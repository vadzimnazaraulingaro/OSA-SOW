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3"/>
  <workbookPr/>
  <xr:revisionPtr revIDLastSave="0" documentId="8_{91130949-B9CA-4849-AF85-A7AFA186381C}" xr6:coauthVersionLast="47" xr6:coauthVersionMax="47" xr10:uidLastSave="{00000000-0000-0000-0000-000000000000}"/>
  <bookViews>
    <workbookView xWindow="0" yWindow="0" windowWidth="16384" windowHeight="8192" tabRatio="500" xr2:uid="{00000000-000D-0000-FFFF-FFFF00000000}"/>
  </bookViews>
  <sheets>
    <sheet name="Timeline" sheetId="1" r:id="rId1"/>
    <sheet name="Engagement" sheetId="2" r:id="rId2"/>
  </sheets>
  <definedNames>
    <definedName name="_xlnm._FilterDatabase" localSheetId="0" hidden="1">Timeline!$A$4:$AM$193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N306" i="1" l="1"/>
  <c r="AM306" i="1"/>
  <c r="AL306" i="1"/>
  <c r="AK306" i="1"/>
  <c r="AJ306" i="1"/>
  <c r="AI306" i="1"/>
  <c r="AH306" i="1"/>
  <c r="AG306" i="1"/>
  <c r="AF306" i="1"/>
  <c r="AE306" i="1"/>
  <c r="AD306" i="1"/>
  <c r="AC306" i="1"/>
  <c r="AB306" i="1"/>
  <c r="AA306" i="1"/>
  <c r="Z306" i="1"/>
  <c r="Y306" i="1"/>
  <c r="X306" i="1"/>
  <c r="W306" i="1"/>
  <c r="V306" i="1"/>
  <c r="U306" i="1"/>
  <c r="S306" i="1"/>
  <c r="R306" i="1"/>
  <c r="Q306" i="1"/>
  <c r="P306" i="1"/>
  <c r="J305" i="1"/>
  <c r="O305" i="1" s="1"/>
  <c r="J304" i="1"/>
  <c r="O304" i="1" s="1"/>
  <c r="J303" i="1"/>
  <c r="O303" i="1" s="1"/>
  <c r="J302" i="1"/>
  <c r="O302" i="1" s="1"/>
  <c r="J301" i="1"/>
  <c r="O301" i="1" s="1"/>
  <c r="J300" i="1"/>
  <c r="O300" i="1" s="1"/>
  <c r="J299" i="1"/>
  <c r="O299" i="1" s="1"/>
  <c r="J298" i="1"/>
  <c r="O298" i="1" s="1"/>
  <c r="J297" i="1"/>
  <c r="O297" i="1" s="1"/>
  <c r="I208" i="1"/>
  <c r="I180" i="1"/>
  <c r="I135" i="1"/>
  <c r="J126" i="1"/>
  <c r="O126" i="1" s="1"/>
  <c r="J123" i="1"/>
  <c r="O123" i="1" s="1"/>
  <c r="I108" i="1"/>
  <c r="J107" i="1"/>
  <c r="J98" i="1"/>
  <c r="O98" i="1" s="1"/>
  <c r="J95" i="1"/>
  <c r="O95" i="1" s="1"/>
  <c r="J81" i="1"/>
  <c r="O81" i="1" s="1"/>
  <c r="J77" i="1"/>
  <c r="O77" i="1" s="1"/>
  <c r="J58" i="1"/>
  <c r="I56" i="1"/>
  <c r="J54" i="1"/>
  <c r="I52" i="1"/>
  <c r="I43" i="1"/>
  <c r="I42" i="1"/>
  <c r="J41" i="1"/>
  <c r="O41" i="1" s="1"/>
  <c r="J33" i="1"/>
  <c r="J32" i="1"/>
  <c r="O32" i="1" s="1"/>
  <c r="J31" i="1"/>
  <c r="O31" i="1" s="1"/>
  <c r="J30" i="1"/>
  <c r="O30" i="1" s="1"/>
  <c r="J29" i="1"/>
  <c r="O29" i="1" s="1"/>
  <c r="J28" i="1"/>
  <c r="O28" i="1" s="1"/>
  <c r="J27" i="1"/>
  <c r="O27" i="1" s="1"/>
  <c r="J26" i="1"/>
  <c r="O26" i="1" s="1"/>
  <c r="J25" i="1"/>
  <c r="O25" i="1" s="1"/>
  <c r="J24" i="1"/>
  <c r="O24" i="1" s="1"/>
  <c r="J23" i="1"/>
  <c r="O23" i="1" s="1"/>
  <c r="J22" i="1"/>
  <c r="O22" i="1" s="1"/>
  <c r="J21" i="1"/>
  <c r="O21" i="1" s="1"/>
  <c r="J20" i="1"/>
  <c r="J19" i="1"/>
  <c r="J18" i="1"/>
  <c r="J17" i="1"/>
  <c r="J16" i="1"/>
  <c r="J15" i="1"/>
  <c r="J14" i="1"/>
  <c r="J13" i="1"/>
  <c r="O13" i="1" s="1"/>
  <c r="J12" i="1"/>
  <c r="J11" i="1"/>
  <c r="O11" i="1" s="1"/>
  <c r="J10" i="1"/>
  <c r="O10" i="1" s="1"/>
  <c r="J9" i="1"/>
  <c r="O9" i="1" s="1"/>
  <c r="J8" i="1"/>
  <c r="O8" i="1" s="1"/>
  <c r="J7" i="1"/>
  <c r="O7" i="1" s="1"/>
  <c r="J6" i="1"/>
  <c r="O6" i="1" s="1"/>
  <c r="J5" i="1"/>
  <c r="O5" i="1" s="1"/>
  <c r="AO4" i="1"/>
  <c r="AO3" i="1"/>
  <c r="C3" i="2" s="1"/>
  <c r="C4" i="2" l="1"/>
  <c r="AO305" i="1"/>
  <c r="AO304" i="1"/>
  <c r="AO303" i="1"/>
  <c r="AO302" i="1"/>
  <c r="AO301" i="1"/>
  <c r="AO300" i="1"/>
  <c r="AO299" i="1"/>
  <c r="AO298" i="1"/>
  <c r="AO297" i="1"/>
  <c r="AO126" i="1"/>
  <c r="AO123" i="1"/>
  <c r="AO107" i="1"/>
  <c r="AO98" i="1"/>
  <c r="AO95" i="1"/>
  <c r="AO81" i="1"/>
  <c r="AO77" i="1"/>
  <c r="AO58" i="1"/>
  <c r="AO54" i="1"/>
  <c r="AO41" i="1"/>
  <c r="AO33" i="1"/>
  <c r="AO32" i="1"/>
  <c r="AO31" i="1"/>
  <c r="AO30" i="1"/>
  <c r="AO29" i="1"/>
  <c r="AO28" i="1"/>
  <c r="AO27" i="1"/>
  <c r="AO26" i="1"/>
  <c r="AO25" i="1"/>
  <c r="AO24" i="1"/>
  <c r="AO23" i="1"/>
  <c r="AO22" i="1"/>
  <c r="AO21" i="1"/>
  <c r="AO20" i="1"/>
  <c r="AO19" i="1"/>
  <c r="AO18" i="1"/>
  <c r="AO17" i="1"/>
  <c r="AO16" i="1"/>
  <c r="AO15" i="1"/>
  <c r="AO14" i="1"/>
  <c r="AO13" i="1"/>
  <c r="AO12" i="1"/>
  <c r="AO11" i="1"/>
  <c r="AO10" i="1"/>
  <c r="AO9" i="1"/>
  <c r="AO8" i="1"/>
  <c r="AO7" i="1"/>
  <c r="AO6" i="1"/>
  <c r="AO5" i="1"/>
  <c r="AP4" i="1"/>
  <c r="I233" i="1"/>
  <c r="O12" i="1"/>
  <c r="O14" i="1"/>
  <c r="I199" i="1"/>
  <c r="O15" i="1"/>
  <c r="I193" i="1"/>
  <c r="O16" i="1"/>
  <c r="O17" i="1"/>
  <c r="O18" i="1"/>
  <c r="O19" i="1"/>
  <c r="I215" i="1"/>
  <c r="O20" i="1"/>
  <c r="O33" i="1"/>
  <c r="AP42" i="1"/>
  <c r="AO42" i="1"/>
  <c r="J42" i="1"/>
  <c r="AP43" i="1"/>
  <c r="AO43" i="1"/>
  <c r="J43" i="1"/>
  <c r="AP52" i="1"/>
  <c r="AO52" i="1"/>
  <c r="J52" i="1"/>
  <c r="I78" i="1"/>
  <c r="O54" i="1"/>
  <c r="AP56" i="1"/>
  <c r="AO56" i="1"/>
  <c r="J56" i="1"/>
  <c r="I82" i="1"/>
  <c r="O58" i="1"/>
  <c r="I109" i="1"/>
  <c r="O107" i="1"/>
  <c r="AP108" i="1"/>
  <c r="AO108" i="1"/>
  <c r="J108" i="1"/>
  <c r="O108" i="1" s="1"/>
  <c r="I136" i="1"/>
  <c r="AP135" i="1"/>
  <c r="AO135" i="1"/>
  <c r="J135" i="1"/>
  <c r="I198" i="1"/>
  <c r="I192" i="1"/>
  <c r="I186" i="1"/>
  <c r="I181" i="1"/>
  <c r="AP180" i="1"/>
  <c r="AO180" i="1"/>
  <c r="J180" i="1"/>
  <c r="AP208" i="1"/>
  <c r="AO208" i="1"/>
  <c r="J208" i="1"/>
  <c r="I209" i="1" l="1"/>
  <c r="O208" i="1"/>
  <c r="I213" i="1"/>
  <c r="I182" i="1"/>
  <c r="O180" i="1"/>
  <c r="AP181" i="1"/>
  <c r="AO181" i="1"/>
  <c r="J181" i="1"/>
  <c r="O181" i="1" s="1"/>
  <c r="AP186" i="1"/>
  <c r="AO186" i="1"/>
  <c r="J186" i="1"/>
  <c r="O186" i="1" s="1"/>
  <c r="AP192" i="1"/>
  <c r="AO192" i="1"/>
  <c r="J192" i="1"/>
  <c r="O192" i="1" s="1"/>
  <c r="AP198" i="1"/>
  <c r="AO198" i="1"/>
  <c r="J198" i="1"/>
  <c r="O198" i="1" s="1"/>
  <c r="I158" i="1"/>
  <c r="I137" i="1"/>
  <c r="O135" i="1"/>
  <c r="AP136" i="1"/>
  <c r="AO136" i="1"/>
  <c r="J136" i="1"/>
  <c r="O136" i="1" s="1"/>
  <c r="AP109" i="1"/>
  <c r="AO109" i="1"/>
  <c r="J109" i="1"/>
  <c r="AP82" i="1"/>
  <c r="AO82" i="1"/>
  <c r="J82" i="1"/>
  <c r="I125" i="1"/>
  <c r="I59" i="1"/>
  <c r="O56" i="1"/>
  <c r="AP78" i="1"/>
  <c r="AO78" i="1"/>
  <c r="J78" i="1"/>
  <c r="I122" i="1"/>
  <c r="I55" i="1"/>
  <c r="O52" i="1"/>
  <c r="I46" i="1"/>
  <c r="O43" i="1"/>
  <c r="I34" i="1"/>
  <c r="O42" i="1"/>
  <c r="AP215" i="1"/>
  <c r="AO215" i="1"/>
  <c r="J215" i="1"/>
  <c r="O215" i="1" s="1"/>
  <c r="AP193" i="1"/>
  <c r="AO193" i="1"/>
  <c r="J193" i="1"/>
  <c r="O193" i="1" s="1"/>
  <c r="AP199" i="1"/>
  <c r="AO199" i="1"/>
  <c r="J199" i="1"/>
  <c r="O199" i="1" s="1"/>
  <c r="AP233" i="1"/>
  <c r="AO233" i="1"/>
  <c r="J233" i="1"/>
  <c r="D4" i="2"/>
  <c r="AP305" i="1"/>
  <c r="AP304" i="1"/>
  <c r="AP303" i="1"/>
  <c r="AP302" i="1"/>
  <c r="AP301" i="1"/>
  <c r="AP300" i="1"/>
  <c r="AP299" i="1"/>
  <c r="AP298" i="1"/>
  <c r="AP297" i="1"/>
  <c r="AP126" i="1"/>
  <c r="AP123" i="1"/>
  <c r="AP107" i="1"/>
  <c r="AP98" i="1"/>
  <c r="AP95" i="1"/>
  <c r="AP81" i="1"/>
  <c r="AP77" i="1"/>
  <c r="AP58" i="1"/>
  <c r="AP54" i="1"/>
  <c r="AP41" i="1"/>
  <c r="AP33" i="1"/>
  <c r="AP32" i="1"/>
  <c r="AP31" i="1"/>
  <c r="AP30" i="1"/>
  <c r="AP29" i="1"/>
  <c r="AP28" i="1"/>
  <c r="AP27" i="1"/>
  <c r="AP26" i="1"/>
  <c r="AP25" i="1"/>
  <c r="AP24" i="1"/>
  <c r="AP23" i="1"/>
  <c r="AP22" i="1"/>
  <c r="AP21" i="1"/>
  <c r="AP20" i="1"/>
  <c r="AP19" i="1"/>
  <c r="AP18" i="1"/>
  <c r="AP17" i="1"/>
  <c r="AP16" i="1"/>
  <c r="AP15" i="1"/>
  <c r="AP14" i="1"/>
  <c r="AP13" i="1"/>
  <c r="AP12" i="1"/>
  <c r="AP11" i="1"/>
  <c r="AP10" i="1"/>
  <c r="AP9" i="1"/>
  <c r="AP8" i="1"/>
  <c r="AP7" i="1"/>
  <c r="AP6" i="1"/>
  <c r="AP5" i="1"/>
  <c r="AQ4" i="1"/>
  <c r="AP3" i="1"/>
  <c r="D3" i="2" s="1"/>
  <c r="E4" i="2" l="1"/>
  <c r="AQ305" i="1"/>
  <c r="AQ304" i="1"/>
  <c r="AQ303" i="1"/>
  <c r="AQ302" i="1"/>
  <c r="AQ301" i="1"/>
  <c r="AQ300" i="1"/>
  <c r="AQ299" i="1"/>
  <c r="AQ298" i="1"/>
  <c r="AQ297" i="1"/>
  <c r="AQ126" i="1"/>
  <c r="AQ123" i="1"/>
  <c r="AQ107" i="1"/>
  <c r="AQ98" i="1"/>
  <c r="AQ95" i="1"/>
  <c r="AQ81" i="1"/>
  <c r="AQ77" i="1"/>
  <c r="AQ58" i="1"/>
  <c r="AQ54" i="1"/>
  <c r="AQ41" i="1"/>
  <c r="AQ33" i="1"/>
  <c r="AQ32" i="1"/>
  <c r="AQ31" i="1"/>
  <c r="AQ30" i="1"/>
  <c r="AQ29" i="1"/>
  <c r="AQ28" i="1"/>
  <c r="AQ27" i="1"/>
  <c r="AQ26" i="1"/>
  <c r="AQ25" i="1"/>
  <c r="AQ24" i="1"/>
  <c r="AQ23" i="1"/>
  <c r="AQ22" i="1"/>
  <c r="AQ21" i="1"/>
  <c r="AQ20" i="1"/>
  <c r="AQ19" i="1"/>
  <c r="AQ18" i="1"/>
  <c r="AQ17" i="1"/>
  <c r="AQ16" i="1"/>
  <c r="AQ15" i="1"/>
  <c r="AQ14" i="1"/>
  <c r="AQ13" i="1"/>
  <c r="AQ12" i="1"/>
  <c r="AQ11" i="1"/>
  <c r="AQ10" i="1"/>
  <c r="AQ9" i="1"/>
  <c r="AQ8" i="1"/>
  <c r="AQ7" i="1"/>
  <c r="AQ6" i="1"/>
  <c r="AQ5" i="1"/>
  <c r="AR4" i="1"/>
  <c r="AQ3" i="1"/>
  <c r="E3" i="2" s="1"/>
  <c r="AQ42" i="1"/>
  <c r="AQ43" i="1"/>
  <c r="AQ52" i="1"/>
  <c r="AQ56" i="1"/>
  <c r="AQ108" i="1"/>
  <c r="AQ135" i="1"/>
  <c r="AQ180" i="1"/>
  <c r="AQ208" i="1"/>
  <c r="AQ181" i="1"/>
  <c r="AQ186" i="1"/>
  <c r="AQ192" i="1"/>
  <c r="AQ198" i="1"/>
  <c r="AQ136" i="1"/>
  <c r="AQ109" i="1"/>
  <c r="AQ82" i="1"/>
  <c r="AQ78" i="1"/>
  <c r="AQ215" i="1"/>
  <c r="AQ193" i="1"/>
  <c r="AQ199" i="1"/>
  <c r="AQ233" i="1"/>
  <c r="O233" i="1"/>
  <c r="AR34" i="1"/>
  <c r="AQ34" i="1"/>
  <c r="AP34" i="1"/>
  <c r="AO34" i="1"/>
  <c r="J34" i="1"/>
  <c r="AR46" i="1"/>
  <c r="AQ46" i="1"/>
  <c r="AP46" i="1"/>
  <c r="AO46" i="1"/>
  <c r="J46" i="1"/>
  <c r="AR55" i="1"/>
  <c r="AQ55" i="1"/>
  <c r="AP55" i="1"/>
  <c r="AO55" i="1"/>
  <c r="J55" i="1"/>
  <c r="AR122" i="1"/>
  <c r="AQ122" i="1"/>
  <c r="AP122" i="1"/>
  <c r="AO122" i="1"/>
  <c r="J122" i="1"/>
  <c r="I76" i="1"/>
  <c r="I35" i="1"/>
  <c r="O78" i="1"/>
  <c r="AR59" i="1"/>
  <c r="AQ59" i="1"/>
  <c r="AP59" i="1"/>
  <c r="AO59" i="1"/>
  <c r="J59" i="1"/>
  <c r="O59" i="1" s="1"/>
  <c r="AR125" i="1"/>
  <c r="AQ125" i="1"/>
  <c r="AP125" i="1"/>
  <c r="AO125" i="1"/>
  <c r="J125" i="1"/>
  <c r="I252" i="1"/>
  <c r="I218" i="1"/>
  <c r="O82" i="1"/>
  <c r="O109" i="1"/>
  <c r="AR137" i="1"/>
  <c r="AQ137" i="1"/>
  <c r="AP137" i="1"/>
  <c r="AO137" i="1"/>
  <c r="J137" i="1"/>
  <c r="I159" i="1"/>
  <c r="AR158" i="1"/>
  <c r="AQ158" i="1"/>
  <c r="AP158" i="1"/>
  <c r="AO158" i="1"/>
  <c r="J158" i="1"/>
  <c r="AR182" i="1"/>
  <c r="AQ182" i="1"/>
  <c r="AP182" i="1"/>
  <c r="AO182" i="1"/>
  <c r="J182" i="1"/>
  <c r="I220" i="1"/>
  <c r="I217" i="1"/>
  <c r="I214" i="1"/>
  <c r="AR213" i="1"/>
  <c r="AQ213" i="1"/>
  <c r="AP213" i="1"/>
  <c r="AO213" i="1"/>
  <c r="J213" i="1"/>
  <c r="AR209" i="1"/>
  <c r="AQ209" i="1"/>
  <c r="AP209" i="1"/>
  <c r="AO209" i="1"/>
  <c r="J209" i="1"/>
  <c r="O209" i="1" l="1"/>
  <c r="I216" i="1"/>
  <c r="I204" i="1"/>
  <c r="O213" i="1"/>
  <c r="AR214" i="1"/>
  <c r="AQ214" i="1"/>
  <c r="AP214" i="1"/>
  <c r="AO214" i="1"/>
  <c r="J214" i="1"/>
  <c r="O214" i="1" s="1"/>
  <c r="AR217" i="1"/>
  <c r="AQ217" i="1"/>
  <c r="AP217" i="1"/>
  <c r="AO217" i="1"/>
  <c r="J217" i="1"/>
  <c r="O217" i="1" s="1"/>
  <c r="AR220" i="1"/>
  <c r="AQ220" i="1"/>
  <c r="AP220" i="1"/>
  <c r="AO220" i="1"/>
  <c r="J220" i="1"/>
  <c r="O220" i="1" s="1"/>
  <c r="I183" i="1"/>
  <c r="I188" i="1"/>
  <c r="O182" i="1"/>
  <c r="I157" i="1"/>
  <c r="I141" i="1"/>
  <c r="O158" i="1"/>
  <c r="AR159" i="1"/>
  <c r="AQ159" i="1"/>
  <c r="AP159" i="1"/>
  <c r="AO159" i="1"/>
  <c r="J159" i="1"/>
  <c r="O159" i="1" s="1"/>
  <c r="O137" i="1"/>
  <c r="AR218" i="1"/>
  <c r="AQ218" i="1"/>
  <c r="AP218" i="1"/>
  <c r="AO218" i="1"/>
  <c r="J218" i="1"/>
  <c r="AR252" i="1"/>
  <c r="AQ252" i="1"/>
  <c r="AP252" i="1"/>
  <c r="AO252" i="1"/>
  <c r="J252" i="1"/>
  <c r="I80" i="1"/>
  <c r="O125" i="1"/>
  <c r="AR35" i="1"/>
  <c r="AQ35" i="1"/>
  <c r="AP35" i="1"/>
  <c r="AO35" i="1"/>
  <c r="J35" i="1"/>
  <c r="AR76" i="1"/>
  <c r="AQ76" i="1"/>
  <c r="AP76" i="1"/>
  <c r="AO76" i="1"/>
  <c r="J76" i="1"/>
  <c r="O122" i="1"/>
  <c r="O55" i="1"/>
  <c r="I67" i="1"/>
  <c r="I47" i="1"/>
  <c r="O46" i="1"/>
  <c r="I36" i="1"/>
  <c r="O34" i="1"/>
  <c r="F4" i="2"/>
  <c r="AR305" i="1"/>
  <c r="AR304" i="1"/>
  <c r="AR303" i="1"/>
  <c r="AR302" i="1"/>
  <c r="AR301" i="1"/>
  <c r="AR300" i="1"/>
  <c r="AR299" i="1"/>
  <c r="AR298" i="1"/>
  <c r="AR297" i="1"/>
  <c r="AR126" i="1"/>
  <c r="AR123" i="1"/>
  <c r="AR107" i="1"/>
  <c r="AR98" i="1"/>
  <c r="AR95" i="1"/>
  <c r="AR81" i="1"/>
  <c r="AR77" i="1"/>
  <c r="AR58" i="1"/>
  <c r="AR54" i="1"/>
  <c r="AR41" i="1"/>
  <c r="AR33" i="1"/>
  <c r="AR32" i="1"/>
  <c r="AR31" i="1"/>
  <c r="AR30" i="1"/>
  <c r="AR29" i="1"/>
  <c r="AR28" i="1"/>
  <c r="AR27" i="1"/>
  <c r="AR26" i="1"/>
  <c r="AR25" i="1"/>
  <c r="AR24" i="1"/>
  <c r="AR23" i="1"/>
  <c r="AR22" i="1"/>
  <c r="AR21" i="1"/>
  <c r="AR20" i="1"/>
  <c r="AR19" i="1"/>
  <c r="AR18" i="1"/>
  <c r="AR17" i="1"/>
  <c r="AR16" i="1"/>
  <c r="AR15" i="1"/>
  <c r="AR14" i="1"/>
  <c r="AR13" i="1"/>
  <c r="AR12" i="1"/>
  <c r="AR11" i="1"/>
  <c r="AR10" i="1"/>
  <c r="AR9" i="1"/>
  <c r="AR8" i="1"/>
  <c r="AR7" i="1"/>
  <c r="AR6" i="1"/>
  <c r="AR5" i="1"/>
  <c r="AS4" i="1"/>
  <c r="AR3" i="1"/>
  <c r="F3" i="2" s="1"/>
  <c r="AR42" i="1"/>
  <c r="AR43" i="1"/>
  <c r="AR52" i="1"/>
  <c r="AR56" i="1"/>
  <c r="AR108" i="1"/>
  <c r="AR135" i="1"/>
  <c r="AR180" i="1"/>
  <c r="AR208" i="1"/>
  <c r="AR181" i="1"/>
  <c r="AR186" i="1"/>
  <c r="AR192" i="1"/>
  <c r="AR198" i="1"/>
  <c r="AR136" i="1"/>
  <c r="AR109" i="1"/>
  <c r="AR82" i="1"/>
  <c r="AR78" i="1"/>
  <c r="AR215" i="1"/>
  <c r="AR193" i="1"/>
  <c r="AR199" i="1"/>
  <c r="AR233" i="1"/>
  <c r="G4" i="2" l="1"/>
  <c r="AS305" i="1"/>
  <c r="AS304" i="1"/>
  <c r="AS303" i="1"/>
  <c r="AS302" i="1"/>
  <c r="AS301" i="1"/>
  <c r="AS300" i="1"/>
  <c r="AS299" i="1"/>
  <c r="AS298" i="1"/>
  <c r="AS297" i="1"/>
  <c r="AS126" i="1"/>
  <c r="AS123" i="1"/>
  <c r="AS107" i="1"/>
  <c r="AS98" i="1"/>
  <c r="AS95" i="1"/>
  <c r="AS81" i="1"/>
  <c r="AS77" i="1"/>
  <c r="AS58" i="1"/>
  <c r="AS54" i="1"/>
  <c r="AS41" i="1"/>
  <c r="AS33" i="1"/>
  <c r="AS32" i="1"/>
  <c r="AS31" i="1"/>
  <c r="AS30" i="1"/>
  <c r="AS29" i="1"/>
  <c r="AS28" i="1"/>
  <c r="AS27" i="1"/>
  <c r="AS26" i="1"/>
  <c r="AS25" i="1"/>
  <c r="AS24" i="1"/>
  <c r="AS23" i="1"/>
  <c r="AS22" i="1"/>
  <c r="AS21" i="1"/>
  <c r="AS20" i="1"/>
  <c r="AS19" i="1"/>
  <c r="AS18" i="1"/>
  <c r="AS17" i="1"/>
  <c r="AS16" i="1"/>
  <c r="AS15" i="1"/>
  <c r="AS14" i="1"/>
  <c r="AS13" i="1"/>
  <c r="AS12" i="1"/>
  <c r="AS11" i="1"/>
  <c r="AS10" i="1"/>
  <c r="AS9" i="1"/>
  <c r="AS8" i="1"/>
  <c r="AS7" i="1"/>
  <c r="AS6" i="1"/>
  <c r="AS5" i="1"/>
  <c r="AT4" i="1"/>
  <c r="AS3" i="1"/>
  <c r="G3" i="2" s="1"/>
  <c r="AS42" i="1"/>
  <c r="AS43" i="1"/>
  <c r="AS52" i="1"/>
  <c r="AS56" i="1"/>
  <c r="AS108" i="1"/>
  <c r="AS135" i="1"/>
  <c r="AS180" i="1"/>
  <c r="AS208" i="1"/>
  <c r="AS181" i="1"/>
  <c r="AS186" i="1"/>
  <c r="AS192" i="1"/>
  <c r="AS198" i="1"/>
  <c r="AS136" i="1"/>
  <c r="AS109" i="1"/>
  <c r="AS82" i="1"/>
  <c r="AS78" i="1"/>
  <c r="AS215" i="1"/>
  <c r="AS193" i="1"/>
  <c r="AS199" i="1"/>
  <c r="AS233" i="1"/>
  <c r="AS34" i="1"/>
  <c r="AS46" i="1"/>
  <c r="AS55" i="1"/>
  <c r="AS122" i="1"/>
  <c r="AS59" i="1"/>
  <c r="AS125" i="1"/>
  <c r="AS137" i="1"/>
  <c r="AS158" i="1"/>
  <c r="AS182" i="1"/>
  <c r="AS213" i="1"/>
  <c r="AS209" i="1"/>
  <c r="AS214" i="1"/>
  <c r="AS217" i="1"/>
  <c r="AS220" i="1"/>
  <c r="AS159" i="1"/>
  <c r="AS218" i="1"/>
  <c r="AS252" i="1"/>
  <c r="AS35" i="1"/>
  <c r="AS76" i="1"/>
  <c r="AT36" i="1"/>
  <c r="AS36" i="1"/>
  <c r="AR36" i="1"/>
  <c r="AQ36" i="1"/>
  <c r="AP36" i="1"/>
  <c r="AO36" i="1"/>
  <c r="J36" i="1"/>
  <c r="AT47" i="1"/>
  <c r="AS47" i="1"/>
  <c r="AR47" i="1"/>
  <c r="AQ47" i="1"/>
  <c r="AP47" i="1"/>
  <c r="AO47" i="1"/>
  <c r="J47" i="1"/>
  <c r="AT67" i="1"/>
  <c r="AS67" i="1"/>
  <c r="AR67" i="1"/>
  <c r="AQ67" i="1"/>
  <c r="AP67" i="1"/>
  <c r="AO67" i="1"/>
  <c r="J67" i="1"/>
  <c r="I97" i="1"/>
  <c r="O76" i="1"/>
  <c r="I37" i="1"/>
  <c r="I187" i="1"/>
  <c r="O35" i="1"/>
  <c r="AT80" i="1"/>
  <c r="AS80" i="1"/>
  <c r="AR80" i="1"/>
  <c r="AQ80" i="1"/>
  <c r="AP80" i="1"/>
  <c r="AO80" i="1"/>
  <c r="J80" i="1"/>
  <c r="I221" i="1"/>
  <c r="O252" i="1"/>
  <c r="I110" i="1"/>
  <c r="O218" i="1"/>
  <c r="I142" i="1"/>
  <c r="AT141" i="1"/>
  <c r="AS141" i="1"/>
  <c r="AR141" i="1"/>
  <c r="AQ141" i="1"/>
  <c r="AP141" i="1"/>
  <c r="AO141" i="1"/>
  <c r="J141" i="1"/>
  <c r="AT157" i="1"/>
  <c r="AS157" i="1"/>
  <c r="AR157" i="1"/>
  <c r="AQ157" i="1"/>
  <c r="AP157" i="1"/>
  <c r="AO157" i="1"/>
  <c r="J157" i="1"/>
  <c r="AT188" i="1"/>
  <c r="AS188" i="1"/>
  <c r="AR188" i="1"/>
  <c r="AQ188" i="1"/>
  <c r="AP188" i="1"/>
  <c r="AO188" i="1"/>
  <c r="J188" i="1"/>
  <c r="AT183" i="1"/>
  <c r="AS183" i="1"/>
  <c r="AR183" i="1"/>
  <c r="AQ183" i="1"/>
  <c r="AP183" i="1"/>
  <c r="AO183" i="1"/>
  <c r="J183" i="1"/>
  <c r="AT204" i="1"/>
  <c r="AS204" i="1"/>
  <c r="AR204" i="1"/>
  <c r="AQ204" i="1"/>
  <c r="AP204" i="1"/>
  <c r="AO204" i="1"/>
  <c r="J204" i="1"/>
  <c r="AT216" i="1"/>
  <c r="AS216" i="1"/>
  <c r="AR216" i="1"/>
  <c r="AQ216" i="1"/>
  <c r="AP216" i="1"/>
  <c r="AO216" i="1"/>
  <c r="J216" i="1"/>
  <c r="I219" i="1" l="1"/>
  <c r="O216" i="1"/>
  <c r="I226" i="1"/>
  <c r="O204" i="1"/>
  <c r="O183" i="1"/>
  <c r="I189" i="1"/>
  <c r="I194" i="1"/>
  <c r="O188" i="1"/>
  <c r="I160" i="1"/>
  <c r="O157" i="1"/>
  <c r="I143" i="1"/>
  <c r="I164" i="1"/>
  <c r="O141" i="1"/>
  <c r="AT142" i="1"/>
  <c r="AS142" i="1"/>
  <c r="AR142" i="1"/>
  <c r="AQ142" i="1"/>
  <c r="AP142" i="1"/>
  <c r="AO142" i="1"/>
  <c r="J142" i="1"/>
  <c r="O142" i="1" s="1"/>
  <c r="AT110" i="1"/>
  <c r="AS110" i="1"/>
  <c r="AR110" i="1"/>
  <c r="AQ110" i="1"/>
  <c r="AP110" i="1"/>
  <c r="AO110" i="1"/>
  <c r="J110" i="1"/>
  <c r="AT221" i="1"/>
  <c r="AS221" i="1"/>
  <c r="AR221" i="1"/>
  <c r="AQ221" i="1"/>
  <c r="AP221" i="1"/>
  <c r="AO221" i="1"/>
  <c r="J221" i="1"/>
  <c r="I94" i="1"/>
  <c r="I83" i="1"/>
  <c r="O80" i="1"/>
  <c r="AT187" i="1"/>
  <c r="AS187" i="1"/>
  <c r="AR187" i="1"/>
  <c r="AQ187" i="1"/>
  <c r="AP187" i="1"/>
  <c r="AO187" i="1"/>
  <c r="J187" i="1"/>
  <c r="AT37" i="1"/>
  <c r="AS37" i="1"/>
  <c r="AR37" i="1"/>
  <c r="AQ37" i="1"/>
  <c r="AP37" i="1"/>
  <c r="AO37" i="1"/>
  <c r="J37" i="1"/>
  <c r="AT97" i="1"/>
  <c r="AS97" i="1"/>
  <c r="AR97" i="1"/>
  <c r="AQ97" i="1"/>
  <c r="AP97" i="1"/>
  <c r="AO97" i="1"/>
  <c r="J97" i="1"/>
  <c r="I70" i="1"/>
  <c r="I68" i="1"/>
  <c r="O67" i="1"/>
  <c r="O47" i="1"/>
  <c r="I38" i="1"/>
  <c r="O36" i="1"/>
  <c r="H4" i="2"/>
  <c r="AT305" i="1"/>
  <c r="AT304" i="1"/>
  <c r="AT303" i="1"/>
  <c r="AT302" i="1"/>
  <c r="AT301" i="1"/>
  <c r="AT300" i="1"/>
  <c r="AT299" i="1"/>
  <c r="AT298" i="1"/>
  <c r="AT297" i="1"/>
  <c r="AT126" i="1"/>
  <c r="AT123" i="1"/>
  <c r="AT107" i="1"/>
  <c r="AT98" i="1"/>
  <c r="AT95" i="1"/>
  <c r="AT81" i="1"/>
  <c r="AT77" i="1"/>
  <c r="AT58" i="1"/>
  <c r="AT54" i="1"/>
  <c r="AT41" i="1"/>
  <c r="AT33" i="1"/>
  <c r="AT32" i="1"/>
  <c r="AT31" i="1"/>
  <c r="AT30" i="1"/>
  <c r="AT29" i="1"/>
  <c r="AT28" i="1"/>
  <c r="AT27" i="1"/>
  <c r="AT26" i="1"/>
  <c r="AT25" i="1"/>
  <c r="AT24" i="1"/>
  <c r="AT23" i="1"/>
  <c r="AT22" i="1"/>
  <c r="AT21" i="1"/>
  <c r="AT20" i="1"/>
  <c r="AT19" i="1"/>
  <c r="AT18" i="1"/>
  <c r="AT17" i="1"/>
  <c r="AT16" i="1"/>
  <c r="AT15" i="1"/>
  <c r="AT14" i="1"/>
  <c r="AT13" i="1"/>
  <c r="AT12" i="1"/>
  <c r="AT11" i="1"/>
  <c r="AT10" i="1"/>
  <c r="AT9" i="1"/>
  <c r="AT8" i="1"/>
  <c r="AT7" i="1"/>
  <c r="AT6" i="1"/>
  <c r="AT5" i="1"/>
  <c r="AU4" i="1"/>
  <c r="AT3" i="1"/>
  <c r="H3" i="2" s="1"/>
  <c r="AT42" i="1"/>
  <c r="AT43" i="1"/>
  <c r="AT52" i="1"/>
  <c r="AT56" i="1"/>
  <c r="AT108" i="1"/>
  <c r="AT135" i="1"/>
  <c r="AT180" i="1"/>
  <c r="AT208" i="1"/>
  <c r="AT181" i="1"/>
  <c r="AT186" i="1"/>
  <c r="AT192" i="1"/>
  <c r="AT198" i="1"/>
  <c r="AT136" i="1"/>
  <c r="AT109" i="1"/>
  <c r="AT82" i="1"/>
  <c r="AT78" i="1"/>
  <c r="AT215" i="1"/>
  <c r="AT193" i="1"/>
  <c r="AT199" i="1"/>
  <c r="AT233" i="1"/>
  <c r="AT34" i="1"/>
  <c r="AT46" i="1"/>
  <c r="AT55" i="1"/>
  <c r="AT122" i="1"/>
  <c r="AT59" i="1"/>
  <c r="AT125" i="1"/>
  <c r="AT137" i="1"/>
  <c r="AT158" i="1"/>
  <c r="AT182" i="1"/>
  <c r="AT213" i="1"/>
  <c r="AT209" i="1"/>
  <c r="AT214" i="1"/>
  <c r="AT217" i="1"/>
  <c r="AT220" i="1"/>
  <c r="AT159" i="1"/>
  <c r="AT218" i="1"/>
  <c r="AT252" i="1"/>
  <c r="AT35" i="1"/>
  <c r="AT76" i="1"/>
  <c r="I4" i="2" l="1"/>
  <c r="AU305" i="1"/>
  <c r="AU304" i="1"/>
  <c r="AU303" i="1"/>
  <c r="AU302" i="1"/>
  <c r="AU301" i="1"/>
  <c r="AU300" i="1"/>
  <c r="AU299" i="1"/>
  <c r="AU298" i="1"/>
  <c r="AU297" i="1"/>
  <c r="AU126" i="1"/>
  <c r="AU123" i="1"/>
  <c r="AU107" i="1"/>
  <c r="AU98" i="1"/>
  <c r="AU95" i="1"/>
  <c r="AU81" i="1"/>
  <c r="AU77" i="1"/>
  <c r="AU58" i="1"/>
  <c r="AU54" i="1"/>
  <c r="AU41" i="1"/>
  <c r="AU33" i="1"/>
  <c r="AU32" i="1"/>
  <c r="AU31" i="1"/>
  <c r="AU30" i="1"/>
  <c r="AU29" i="1"/>
  <c r="AU28" i="1"/>
  <c r="AU27" i="1"/>
  <c r="AU26" i="1"/>
  <c r="AU25" i="1"/>
  <c r="AU24" i="1"/>
  <c r="AU23" i="1"/>
  <c r="AU22" i="1"/>
  <c r="AU21" i="1"/>
  <c r="AU20" i="1"/>
  <c r="AU19" i="1"/>
  <c r="AU18" i="1"/>
  <c r="AU17" i="1"/>
  <c r="AU16" i="1"/>
  <c r="AU15" i="1"/>
  <c r="AU14" i="1"/>
  <c r="AU13" i="1"/>
  <c r="AU12" i="1"/>
  <c r="AU11" i="1"/>
  <c r="AU10" i="1"/>
  <c r="AU9" i="1"/>
  <c r="AU8" i="1"/>
  <c r="AU7" i="1"/>
  <c r="AU6" i="1"/>
  <c r="AU5" i="1"/>
  <c r="AV4" i="1"/>
  <c r="AU3" i="1"/>
  <c r="I3" i="2" s="1"/>
  <c r="AU42" i="1"/>
  <c r="AU43" i="1"/>
  <c r="AU52" i="1"/>
  <c r="AU56" i="1"/>
  <c r="AU108" i="1"/>
  <c r="AU135" i="1"/>
  <c r="AU180" i="1"/>
  <c r="AU208" i="1"/>
  <c r="AU181" i="1"/>
  <c r="AU186" i="1"/>
  <c r="AU192" i="1"/>
  <c r="AU198" i="1"/>
  <c r="AU136" i="1"/>
  <c r="AU109" i="1"/>
  <c r="AU82" i="1"/>
  <c r="AU78" i="1"/>
  <c r="AU215" i="1"/>
  <c r="AU193" i="1"/>
  <c r="AU199" i="1"/>
  <c r="AU233" i="1"/>
  <c r="AU34" i="1"/>
  <c r="AU46" i="1"/>
  <c r="AU55" i="1"/>
  <c r="AU122" i="1"/>
  <c r="AU59" i="1"/>
  <c r="AU125" i="1"/>
  <c r="AU137" i="1"/>
  <c r="AU158" i="1"/>
  <c r="AU182" i="1"/>
  <c r="AU213" i="1"/>
  <c r="AU209" i="1"/>
  <c r="AU214" i="1"/>
  <c r="AU217" i="1"/>
  <c r="AU220" i="1"/>
  <c r="AU159" i="1"/>
  <c r="AU218" i="1"/>
  <c r="AU252" i="1"/>
  <c r="AU35" i="1"/>
  <c r="AU76" i="1"/>
  <c r="AU36" i="1"/>
  <c r="AU47" i="1"/>
  <c r="AU67" i="1"/>
  <c r="AU80" i="1"/>
  <c r="AU141" i="1"/>
  <c r="AU157" i="1"/>
  <c r="AU188" i="1"/>
  <c r="AU183" i="1"/>
  <c r="AU204" i="1"/>
  <c r="AU216" i="1"/>
  <c r="AU142" i="1"/>
  <c r="AU110" i="1"/>
  <c r="AU221" i="1"/>
  <c r="AU187" i="1"/>
  <c r="AU37" i="1"/>
  <c r="AU97" i="1"/>
  <c r="AV38" i="1"/>
  <c r="AU38" i="1"/>
  <c r="AT38" i="1"/>
  <c r="AS38" i="1"/>
  <c r="AR38" i="1"/>
  <c r="AQ38" i="1"/>
  <c r="AP38" i="1"/>
  <c r="AO38" i="1"/>
  <c r="J38" i="1"/>
  <c r="AV68" i="1"/>
  <c r="AU68" i="1"/>
  <c r="AT68" i="1"/>
  <c r="AS68" i="1"/>
  <c r="AR68" i="1"/>
  <c r="AQ68" i="1"/>
  <c r="AP68" i="1"/>
  <c r="AO68" i="1"/>
  <c r="J68" i="1"/>
  <c r="AV70" i="1"/>
  <c r="AU70" i="1"/>
  <c r="AT70" i="1"/>
  <c r="AS70" i="1"/>
  <c r="AR70" i="1"/>
  <c r="AQ70" i="1"/>
  <c r="AP70" i="1"/>
  <c r="AO70" i="1"/>
  <c r="J70" i="1"/>
  <c r="I231" i="1"/>
  <c r="O97" i="1"/>
  <c r="I39" i="1"/>
  <c r="O37" i="1"/>
  <c r="I210" i="1"/>
  <c r="O187" i="1"/>
  <c r="AV83" i="1"/>
  <c r="AU83" i="1"/>
  <c r="AT83" i="1"/>
  <c r="AS83" i="1"/>
  <c r="AR83" i="1"/>
  <c r="AQ83" i="1"/>
  <c r="AP83" i="1"/>
  <c r="AO83" i="1"/>
  <c r="J83" i="1"/>
  <c r="AV94" i="1"/>
  <c r="AU94" i="1"/>
  <c r="AT94" i="1"/>
  <c r="AS94" i="1"/>
  <c r="AR94" i="1"/>
  <c r="AQ94" i="1"/>
  <c r="AP94" i="1"/>
  <c r="AO94" i="1"/>
  <c r="J94" i="1"/>
  <c r="I263" i="1"/>
  <c r="O221" i="1"/>
  <c r="I285" i="1"/>
  <c r="O110" i="1"/>
  <c r="I165" i="1"/>
  <c r="AV164" i="1"/>
  <c r="AU164" i="1"/>
  <c r="AT164" i="1"/>
  <c r="AS164" i="1"/>
  <c r="AR164" i="1"/>
  <c r="AQ164" i="1"/>
  <c r="AP164" i="1"/>
  <c r="AO164" i="1"/>
  <c r="J164" i="1"/>
  <c r="AV143" i="1"/>
  <c r="AU143" i="1"/>
  <c r="AT143" i="1"/>
  <c r="AS143" i="1"/>
  <c r="AR143" i="1"/>
  <c r="AQ143" i="1"/>
  <c r="AP143" i="1"/>
  <c r="AO143" i="1"/>
  <c r="J143" i="1"/>
  <c r="AV160" i="1"/>
  <c r="AU160" i="1"/>
  <c r="AT160" i="1"/>
  <c r="AS160" i="1"/>
  <c r="AR160" i="1"/>
  <c r="AQ160" i="1"/>
  <c r="AP160" i="1"/>
  <c r="AO160" i="1"/>
  <c r="J160" i="1"/>
  <c r="AV194" i="1"/>
  <c r="AU194" i="1"/>
  <c r="AT194" i="1"/>
  <c r="AS194" i="1"/>
  <c r="AR194" i="1"/>
  <c r="AQ194" i="1"/>
  <c r="AP194" i="1"/>
  <c r="AO194" i="1"/>
  <c r="J194" i="1"/>
  <c r="AV189" i="1"/>
  <c r="AU189" i="1"/>
  <c r="AT189" i="1"/>
  <c r="AS189" i="1"/>
  <c r="AR189" i="1"/>
  <c r="AQ189" i="1"/>
  <c r="AP189" i="1"/>
  <c r="AO189" i="1"/>
  <c r="J189" i="1"/>
  <c r="AV226" i="1"/>
  <c r="AU226" i="1"/>
  <c r="AT226" i="1"/>
  <c r="AS226" i="1"/>
  <c r="AR226" i="1"/>
  <c r="AQ226" i="1"/>
  <c r="AP226" i="1"/>
  <c r="AO226" i="1"/>
  <c r="J226" i="1"/>
  <c r="AV219" i="1"/>
  <c r="AU219" i="1"/>
  <c r="AT219" i="1"/>
  <c r="AS219" i="1"/>
  <c r="AR219" i="1"/>
  <c r="AQ219" i="1"/>
  <c r="AP219" i="1"/>
  <c r="AO219" i="1"/>
  <c r="J219" i="1"/>
  <c r="I222" i="1" l="1"/>
  <c r="O219" i="1"/>
  <c r="I113" i="1"/>
  <c r="O226" i="1"/>
  <c r="O189" i="1"/>
  <c r="I200" i="1"/>
  <c r="O194" i="1"/>
  <c r="O160" i="1"/>
  <c r="O143" i="1"/>
  <c r="I166" i="1"/>
  <c r="I144" i="1"/>
  <c r="O164" i="1"/>
  <c r="AV165" i="1"/>
  <c r="AU165" i="1"/>
  <c r="AT165" i="1"/>
  <c r="AS165" i="1"/>
  <c r="AR165" i="1"/>
  <c r="AQ165" i="1"/>
  <c r="AP165" i="1"/>
  <c r="AO165" i="1"/>
  <c r="J165" i="1"/>
  <c r="O165" i="1" s="1"/>
  <c r="AV285" i="1"/>
  <c r="AU285" i="1"/>
  <c r="AT285" i="1"/>
  <c r="AS285" i="1"/>
  <c r="AR285" i="1"/>
  <c r="AQ285" i="1"/>
  <c r="AP285" i="1"/>
  <c r="AO285" i="1"/>
  <c r="J285" i="1"/>
  <c r="AV263" i="1"/>
  <c r="AU263" i="1"/>
  <c r="AT263" i="1"/>
  <c r="AS263" i="1"/>
  <c r="AR263" i="1"/>
  <c r="AQ263" i="1"/>
  <c r="AP263" i="1"/>
  <c r="AO263" i="1"/>
  <c r="J263" i="1"/>
  <c r="I230" i="1"/>
  <c r="I96" i="1"/>
  <c r="O94" i="1"/>
  <c r="O83" i="1"/>
  <c r="AV210" i="1"/>
  <c r="AU210" i="1"/>
  <c r="AT210" i="1"/>
  <c r="AS210" i="1"/>
  <c r="AR210" i="1"/>
  <c r="AQ210" i="1"/>
  <c r="AP210" i="1"/>
  <c r="AO210" i="1"/>
  <c r="J210" i="1"/>
  <c r="AV39" i="1"/>
  <c r="AU39" i="1"/>
  <c r="AT39" i="1"/>
  <c r="AS39" i="1"/>
  <c r="AR39" i="1"/>
  <c r="AQ39" i="1"/>
  <c r="AP39" i="1"/>
  <c r="AO39" i="1"/>
  <c r="J39" i="1"/>
  <c r="AV231" i="1"/>
  <c r="AU231" i="1"/>
  <c r="AT231" i="1"/>
  <c r="AS231" i="1"/>
  <c r="AR231" i="1"/>
  <c r="AQ231" i="1"/>
  <c r="AP231" i="1"/>
  <c r="AO231" i="1"/>
  <c r="J231" i="1"/>
  <c r="I71" i="1"/>
  <c r="I44" i="1"/>
  <c r="O70" i="1"/>
  <c r="O68" i="1"/>
  <c r="O38" i="1"/>
  <c r="J4" i="2"/>
  <c r="AV305" i="1"/>
  <c r="AV304" i="1"/>
  <c r="AV303" i="1"/>
  <c r="AV302" i="1"/>
  <c r="AV301" i="1"/>
  <c r="AV300" i="1"/>
  <c r="AV299" i="1"/>
  <c r="AV298" i="1"/>
  <c r="AV297" i="1"/>
  <c r="AV126" i="1"/>
  <c r="AV123" i="1"/>
  <c r="AV107" i="1"/>
  <c r="AV98" i="1"/>
  <c r="AV95" i="1"/>
  <c r="AV81" i="1"/>
  <c r="AV77" i="1"/>
  <c r="AV58" i="1"/>
  <c r="AV54" i="1"/>
  <c r="AV41" i="1"/>
  <c r="AV33" i="1"/>
  <c r="AV32" i="1"/>
  <c r="AV31" i="1"/>
  <c r="AV30" i="1"/>
  <c r="AV29" i="1"/>
  <c r="AV28" i="1"/>
  <c r="AV27" i="1"/>
  <c r="AV26" i="1"/>
  <c r="AV25" i="1"/>
  <c r="AV24" i="1"/>
  <c r="AV23" i="1"/>
  <c r="AV22" i="1"/>
  <c r="AV21" i="1"/>
  <c r="AV20" i="1"/>
  <c r="AV19" i="1"/>
  <c r="AV18" i="1"/>
  <c r="AV17" i="1"/>
  <c r="AV16" i="1"/>
  <c r="AV15" i="1"/>
  <c r="AV14" i="1"/>
  <c r="AV13" i="1"/>
  <c r="AV12" i="1"/>
  <c r="AV11" i="1"/>
  <c r="AV10" i="1"/>
  <c r="AV9" i="1"/>
  <c r="AV8" i="1"/>
  <c r="AV7" i="1"/>
  <c r="AV6" i="1"/>
  <c r="AV5" i="1"/>
  <c r="AW4" i="1"/>
  <c r="AV3" i="1"/>
  <c r="J3" i="2" s="1"/>
  <c r="AV42" i="1"/>
  <c r="AV43" i="1"/>
  <c r="AV52" i="1"/>
  <c r="AV56" i="1"/>
  <c r="AV108" i="1"/>
  <c r="AV135" i="1"/>
  <c r="AV180" i="1"/>
  <c r="AV208" i="1"/>
  <c r="AV181" i="1"/>
  <c r="AV186" i="1"/>
  <c r="AV192" i="1"/>
  <c r="AV198" i="1"/>
  <c r="AV136" i="1"/>
  <c r="AV109" i="1"/>
  <c r="AV82" i="1"/>
  <c r="AV78" i="1"/>
  <c r="AV215" i="1"/>
  <c r="AV193" i="1"/>
  <c r="AV199" i="1"/>
  <c r="AV233" i="1"/>
  <c r="AV34" i="1"/>
  <c r="AV46" i="1"/>
  <c r="AV55" i="1"/>
  <c r="AV122" i="1"/>
  <c r="AV59" i="1"/>
  <c r="AV125" i="1"/>
  <c r="AV137" i="1"/>
  <c r="AV158" i="1"/>
  <c r="AV182" i="1"/>
  <c r="AV213" i="1"/>
  <c r="AV209" i="1"/>
  <c r="AV214" i="1"/>
  <c r="AV217" i="1"/>
  <c r="AV220" i="1"/>
  <c r="AV159" i="1"/>
  <c r="AV218" i="1"/>
  <c r="AV252" i="1"/>
  <c r="AV35" i="1"/>
  <c r="AV76" i="1"/>
  <c r="AV36" i="1"/>
  <c r="AV47" i="1"/>
  <c r="AV67" i="1"/>
  <c r="AV80" i="1"/>
  <c r="AV141" i="1"/>
  <c r="AV157" i="1"/>
  <c r="AV188" i="1"/>
  <c r="AV183" i="1"/>
  <c r="AV204" i="1"/>
  <c r="AV216" i="1"/>
  <c r="AV142" i="1"/>
  <c r="AV110" i="1"/>
  <c r="AV221" i="1"/>
  <c r="AV187" i="1"/>
  <c r="AV37" i="1"/>
  <c r="AV97" i="1"/>
  <c r="K4" i="2" l="1"/>
  <c r="AW305" i="1"/>
  <c r="AW304" i="1"/>
  <c r="AW303" i="1"/>
  <c r="AW302" i="1"/>
  <c r="AW301" i="1"/>
  <c r="AW300" i="1"/>
  <c r="AW299" i="1"/>
  <c r="AW298" i="1"/>
  <c r="AW297" i="1"/>
  <c r="AW126" i="1"/>
  <c r="AW123" i="1"/>
  <c r="AW107" i="1"/>
  <c r="AW98" i="1"/>
  <c r="AW95" i="1"/>
  <c r="AW81" i="1"/>
  <c r="AW77" i="1"/>
  <c r="AW58" i="1"/>
  <c r="AW54" i="1"/>
  <c r="AW41" i="1"/>
  <c r="AW33" i="1"/>
  <c r="AW32" i="1"/>
  <c r="AW31" i="1"/>
  <c r="AW30" i="1"/>
  <c r="AW29" i="1"/>
  <c r="AW28" i="1"/>
  <c r="AW27" i="1"/>
  <c r="AW26" i="1"/>
  <c r="AW25" i="1"/>
  <c r="AW24" i="1"/>
  <c r="AW23" i="1"/>
  <c r="AW22" i="1"/>
  <c r="AW21" i="1"/>
  <c r="AW20" i="1"/>
  <c r="AW19" i="1"/>
  <c r="AW18" i="1"/>
  <c r="AW17" i="1"/>
  <c r="AW16" i="1"/>
  <c r="AW15" i="1"/>
  <c r="AW14" i="1"/>
  <c r="AW13" i="1"/>
  <c r="AW12" i="1"/>
  <c r="AW11" i="1"/>
  <c r="AW10" i="1"/>
  <c r="AW9" i="1"/>
  <c r="AW8" i="1"/>
  <c r="AW7" i="1"/>
  <c r="AW6" i="1"/>
  <c r="AW5" i="1"/>
  <c r="AX4" i="1"/>
  <c r="AW3" i="1"/>
  <c r="K3" i="2" s="1"/>
  <c r="AW42" i="1"/>
  <c r="AW43" i="1"/>
  <c r="AW52" i="1"/>
  <c r="AW56" i="1"/>
  <c r="AW108" i="1"/>
  <c r="AW135" i="1"/>
  <c r="AW180" i="1"/>
  <c r="AW208" i="1"/>
  <c r="AW181" i="1"/>
  <c r="AW186" i="1"/>
  <c r="AW192" i="1"/>
  <c r="AW198" i="1"/>
  <c r="AW136" i="1"/>
  <c r="AW109" i="1"/>
  <c r="AW82" i="1"/>
  <c r="AW78" i="1"/>
  <c r="AW215" i="1"/>
  <c r="AW193" i="1"/>
  <c r="AW199" i="1"/>
  <c r="AW233" i="1"/>
  <c r="AW34" i="1"/>
  <c r="AW46" i="1"/>
  <c r="AW55" i="1"/>
  <c r="AW122" i="1"/>
  <c r="AW59" i="1"/>
  <c r="AW125" i="1"/>
  <c r="AW137" i="1"/>
  <c r="AW158" i="1"/>
  <c r="AW182" i="1"/>
  <c r="AW213" i="1"/>
  <c r="AW209" i="1"/>
  <c r="AW214" i="1"/>
  <c r="AW217" i="1"/>
  <c r="AW220" i="1"/>
  <c r="AW159" i="1"/>
  <c r="AW218" i="1"/>
  <c r="AW252" i="1"/>
  <c r="AW35" i="1"/>
  <c r="AW76" i="1"/>
  <c r="AW36" i="1"/>
  <c r="AW47" i="1"/>
  <c r="AW67" i="1"/>
  <c r="AW80" i="1"/>
  <c r="AW141" i="1"/>
  <c r="AW157" i="1"/>
  <c r="AW188" i="1"/>
  <c r="AW183" i="1"/>
  <c r="AW204" i="1"/>
  <c r="AW216" i="1"/>
  <c r="AW142" i="1"/>
  <c r="AW110" i="1"/>
  <c r="AW221" i="1"/>
  <c r="AW187" i="1"/>
  <c r="AW37" i="1"/>
  <c r="AW97" i="1"/>
  <c r="AW38" i="1"/>
  <c r="AW68" i="1"/>
  <c r="AW70" i="1"/>
  <c r="AW83" i="1"/>
  <c r="AW94" i="1"/>
  <c r="AW164" i="1"/>
  <c r="AW143" i="1"/>
  <c r="AW160" i="1"/>
  <c r="AW194" i="1"/>
  <c r="AW189" i="1"/>
  <c r="AW226" i="1"/>
  <c r="AW219" i="1"/>
  <c r="AW165" i="1"/>
  <c r="AW285" i="1"/>
  <c r="AW263" i="1"/>
  <c r="AW210" i="1"/>
  <c r="AW39" i="1"/>
  <c r="AW231" i="1"/>
  <c r="AX44" i="1"/>
  <c r="AW44" i="1"/>
  <c r="AV44" i="1"/>
  <c r="AU44" i="1"/>
  <c r="AT44" i="1"/>
  <c r="AS44" i="1"/>
  <c r="AR44" i="1"/>
  <c r="AQ44" i="1"/>
  <c r="AP44" i="1"/>
  <c r="AO44" i="1"/>
  <c r="J44" i="1"/>
  <c r="AX71" i="1"/>
  <c r="AW71" i="1"/>
  <c r="AV71" i="1"/>
  <c r="AU71" i="1"/>
  <c r="AT71" i="1"/>
  <c r="AS71" i="1"/>
  <c r="AR71" i="1"/>
  <c r="AQ71" i="1"/>
  <c r="AP71" i="1"/>
  <c r="AO71" i="1"/>
  <c r="J71" i="1"/>
  <c r="I242" i="1"/>
  <c r="O231" i="1"/>
  <c r="I40" i="1"/>
  <c r="I48" i="1"/>
  <c r="O39" i="1"/>
  <c r="I211" i="1"/>
  <c r="O210" i="1"/>
  <c r="AX96" i="1"/>
  <c r="AW96" i="1"/>
  <c r="AV96" i="1"/>
  <c r="AU96" i="1"/>
  <c r="AT96" i="1"/>
  <c r="AS96" i="1"/>
  <c r="AR96" i="1"/>
  <c r="AQ96" i="1"/>
  <c r="AP96" i="1"/>
  <c r="AO96" i="1"/>
  <c r="J96" i="1"/>
  <c r="O96" i="1" s="1"/>
  <c r="AX230" i="1"/>
  <c r="AW230" i="1"/>
  <c r="AV230" i="1"/>
  <c r="AU230" i="1"/>
  <c r="AT230" i="1"/>
  <c r="AS230" i="1"/>
  <c r="AR230" i="1"/>
  <c r="AQ230" i="1"/>
  <c r="AP230" i="1"/>
  <c r="AO230" i="1"/>
  <c r="J230" i="1"/>
  <c r="I274" i="1"/>
  <c r="I79" i="1"/>
  <c r="O263" i="1"/>
  <c r="I289" i="1"/>
  <c r="I286" i="1"/>
  <c r="I138" i="1"/>
  <c r="O285" i="1"/>
  <c r="I145" i="1"/>
  <c r="AX144" i="1"/>
  <c r="AW144" i="1"/>
  <c r="AV144" i="1"/>
  <c r="AU144" i="1"/>
  <c r="AT144" i="1"/>
  <c r="AS144" i="1"/>
  <c r="AR144" i="1"/>
  <c r="AQ144" i="1"/>
  <c r="AP144" i="1"/>
  <c r="AO144" i="1"/>
  <c r="J144" i="1"/>
  <c r="AX166" i="1"/>
  <c r="AW166" i="1"/>
  <c r="AV166" i="1"/>
  <c r="AU166" i="1"/>
  <c r="AT166" i="1"/>
  <c r="AS166" i="1"/>
  <c r="AR166" i="1"/>
  <c r="AQ166" i="1"/>
  <c r="AP166" i="1"/>
  <c r="AO166" i="1"/>
  <c r="J166" i="1"/>
  <c r="AX200" i="1"/>
  <c r="AW200" i="1"/>
  <c r="AV200" i="1"/>
  <c r="AU200" i="1"/>
  <c r="AT200" i="1"/>
  <c r="AS200" i="1"/>
  <c r="AR200" i="1"/>
  <c r="AQ200" i="1"/>
  <c r="AP200" i="1"/>
  <c r="AO200" i="1"/>
  <c r="J200" i="1"/>
  <c r="AX113" i="1"/>
  <c r="AW113" i="1"/>
  <c r="AV113" i="1"/>
  <c r="AU113" i="1"/>
  <c r="AT113" i="1"/>
  <c r="AS113" i="1"/>
  <c r="AR113" i="1"/>
  <c r="AQ113" i="1"/>
  <c r="AP113" i="1"/>
  <c r="AO113" i="1"/>
  <c r="J113" i="1"/>
  <c r="AX222" i="1"/>
  <c r="AW222" i="1"/>
  <c r="AV222" i="1"/>
  <c r="AU222" i="1"/>
  <c r="AT222" i="1"/>
  <c r="AS222" i="1"/>
  <c r="AR222" i="1"/>
  <c r="AQ222" i="1"/>
  <c r="AP222" i="1"/>
  <c r="AO222" i="1"/>
  <c r="J222" i="1"/>
  <c r="O222" i="1" l="1"/>
  <c r="I177" i="1"/>
  <c r="O113" i="1"/>
  <c r="O200" i="1"/>
  <c r="O166" i="1"/>
  <c r="I146" i="1"/>
  <c r="I167" i="1"/>
  <c r="O144" i="1"/>
  <c r="AX145" i="1"/>
  <c r="AW145" i="1"/>
  <c r="AV145" i="1"/>
  <c r="AU145" i="1"/>
  <c r="AT145" i="1"/>
  <c r="AS145" i="1"/>
  <c r="AR145" i="1"/>
  <c r="AQ145" i="1"/>
  <c r="AP145" i="1"/>
  <c r="AO145" i="1"/>
  <c r="J145" i="1"/>
  <c r="O145" i="1" s="1"/>
  <c r="AX138" i="1"/>
  <c r="AW138" i="1"/>
  <c r="AV138" i="1"/>
  <c r="AU138" i="1"/>
  <c r="AT138" i="1"/>
  <c r="AS138" i="1"/>
  <c r="AR138" i="1"/>
  <c r="AQ138" i="1"/>
  <c r="AP138" i="1"/>
  <c r="AO138" i="1"/>
  <c r="J138" i="1"/>
  <c r="AX286" i="1"/>
  <c r="AW286" i="1"/>
  <c r="AV286" i="1"/>
  <c r="AU286" i="1"/>
  <c r="AT286" i="1"/>
  <c r="AS286" i="1"/>
  <c r="AR286" i="1"/>
  <c r="AQ286" i="1"/>
  <c r="AP286" i="1"/>
  <c r="AO286" i="1"/>
  <c r="J286" i="1"/>
  <c r="AX289" i="1"/>
  <c r="AW289" i="1"/>
  <c r="AV289" i="1"/>
  <c r="AU289" i="1"/>
  <c r="AT289" i="1"/>
  <c r="AS289" i="1"/>
  <c r="AR289" i="1"/>
  <c r="AQ289" i="1"/>
  <c r="AP289" i="1"/>
  <c r="AO289" i="1"/>
  <c r="J289" i="1"/>
  <c r="AX79" i="1"/>
  <c r="AW79" i="1"/>
  <c r="AV79" i="1"/>
  <c r="AU79" i="1"/>
  <c r="AT79" i="1"/>
  <c r="AS79" i="1"/>
  <c r="AR79" i="1"/>
  <c r="AQ79" i="1"/>
  <c r="AP79" i="1"/>
  <c r="AO79" i="1"/>
  <c r="J79" i="1"/>
  <c r="AX274" i="1"/>
  <c r="AW274" i="1"/>
  <c r="AV274" i="1"/>
  <c r="AU274" i="1"/>
  <c r="AT274" i="1"/>
  <c r="AS274" i="1"/>
  <c r="AR274" i="1"/>
  <c r="AQ274" i="1"/>
  <c r="AP274" i="1"/>
  <c r="AO274" i="1"/>
  <c r="J274" i="1"/>
  <c r="I241" i="1"/>
  <c r="I232" i="1"/>
  <c r="O230" i="1"/>
  <c r="AX211" i="1"/>
  <c r="AW211" i="1"/>
  <c r="AV211" i="1"/>
  <c r="AU211" i="1"/>
  <c r="AT211" i="1"/>
  <c r="AS211" i="1"/>
  <c r="AR211" i="1"/>
  <c r="AQ211" i="1"/>
  <c r="AP211" i="1"/>
  <c r="AO211" i="1"/>
  <c r="J211" i="1"/>
  <c r="AX48" i="1"/>
  <c r="AW48" i="1"/>
  <c r="AV48" i="1"/>
  <c r="AU48" i="1"/>
  <c r="AT48" i="1"/>
  <c r="AS48" i="1"/>
  <c r="AR48" i="1"/>
  <c r="AQ48" i="1"/>
  <c r="AP48" i="1"/>
  <c r="AO48" i="1"/>
  <c r="J48" i="1"/>
  <c r="AX40" i="1"/>
  <c r="AW40" i="1"/>
  <c r="AV40" i="1"/>
  <c r="AU40" i="1"/>
  <c r="AT40" i="1"/>
  <c r="AS40" i="1"/>
  <c r="AR40" i="1"/>
  <c r="AQ40" i="1"/>
  <c r="AP40" i="1"/>
  <c r="AO40" i="1"/>
  <c r="J40" i="1"/>
  <c r="AX242" i="1"/>
  <c r="AW242" i="1"/>
  <c r="AV242" i="1"/>
  <c r="AU242" i="1"/>
  <c r="AT242" i="1"/>
  <c r="AS242" i="1"/>
  <c r="AR242" i="1"/>
  <c r="AQ242" i="1"/>
  <c r="AP242" i="1"/>
  <c r="AO242" i="1"/>
  <c r="J242" i="1"/>
  <c r="I72" i="1"/>
  <c r="O71" i="1"/>
  <c r="I53" i="1"/>
  <c r="I45" i="1"/>
  <c r="O44" i="1"/>
  <c r="L4" i="2"/>
  <c r="AX305" i="1"/>
  <c r="AX304" i="1"/>
  <c r="AX303" i="1"/>
  <c r="AX302" i="1"/>
  <c r="AX301" i="1"/>
  <c r="AX300" i="1"/>
  <c r="AX299" i="1"/>
  <c r="AX298" i="1"/>
  <c r="AX297" i="1"/>
  <c r="AX126" i="1"/>
  <c r="AX123" i="1"/>
  <c r="AX107" i="1"/>
  <c r="AX98" i="1"/>
  <c r="AX95" i="1"/>
  <c r="AX81" i="1"/>
  <c r="AX77" i="1"/>
  <c r="AX58" i="1"/>
  <c r="AX54" i="1"/>
  <c r="AX41" i="1"/>
  <c r="AX33" i="1"/>
  <c r="AX32" i="1"/>
  <c r="AX31" i="1"/>
  <c r="AX30" i="1"/>
  <c r="AX29" i="1"/>
  <c r="AX28" i="1"/>
  <c r="AX27" i="1"/>
  <c r="AX26" i="1"/>
  <c r="AX25" i="1"/>
  <c r="AX24" i="1"/>
  <c r="AX23" i="1"/>
  <c r="AX22" i="1"/>
  <c r="AX21" i="1"/>
  <c r="AX20" i="1"/>
  <c r="AX19" i="1"/>
  <c r="AX18" i="1"/>
  <c r="AX17" i="1"/>
  <c r="AX16" i="1"/>
  <c r="AX15" i="1"/>
  <c r="AX14" i="1"/>
  <c r="AX13" i="1"/>
  <c r="AX12" i="1"/>
  <c r="AX11" i="1"/>
  <c r="AX10" i="1"/>
  <c r="AX9" i="1"/>
  <c r="AX8" i="1"/>
  <c r="AX7" i="1"/>
  <c r="AX6" i="1"/>
  <c r="AX5" i="1"/>
  <c r="AY4" i="1"/>
  <c r="AX3" i="1"/>
  <c r="L3" i="2" s="1"/>
  <c r="AX42" i="1"/>
  <c r="AX43" i="1"/>
  <c r="AX52" i="1"/>
  <c r="AX56" i="1"/>
  <c r="AX108" i="1"/>
  <c r="AX135" i="1"/>
  <c r="AX180" i="1"/>
  <c r="AX208" i="1"/>
  <c r="AX181" i="1"/>
  <c r="AX186" i="1"/>
  <c r="AX192" i="1"/>
  <c r="AX198" i="1"/>
  <c r="AX136" i="1"/>
  <c r="AX109" i="1"/>
  <c r="AX82" i="1"/>
  <c r="AX78" i="1"/>
  <c r="AX215" i="1"/>
  <c r="AX193" i="1"/>
  <c r="AX199" i="1"/>
  <c r="AX233" i="1"/>
  <c r="AX34" i="1"/>
  <c r="AX46" i="1"/>
  <c r="AX55" i="1"/>
  <c r="AX122" i="1"/>
  <c r="AX59" i="1"/>
  <c r="AX125" i="1"/>
  <c r="AX137" i="1"/>
  <c r="AX158" i="1"/>
  <c r="AX182" i="1"/>
  <c r="AX213" i="1"/>
  <c r="AX209" i="1"/>
  <c r="AX214" i="1"/>
  <c r="AX217" i="1"/>
  <c r="AX220" i="1"/>
  <c r="AX159" i="1"/>
  <c r="AX218" i="1"/>
  <c r="AX252" i="1"/>
  <c r="AX35" i="1"/>
  <c r="AX76" i="1"/>
  <c r="AX36" i="1"/>
  <c r="AX47" i="1"/>
  <c r="AX67" i="1"/>
  <c r="AX80" i="1"/>
  <c r="AX141" i="1"/>
  <c r="AX157" i="1"/>
  <c r="AX188" i="1"/>
  <c r="AX183" i="1"/>
  <c r="AX204" i="1"/>
  <c r="AX216" i="1"/>
  <c r="AX142" i="1"/>
  <c r="AX110" i="1"/>
  <c r="AX221" i="1"/>
  <c r="AX187" i="1"/>
  <c r="AX37" i="1"/>
  <c r="AX97" i="1"/>
  <c r="AX38" i="1"/>
  <c r="AX68" i="1"/>
  <c r="AX70" i="1"/>
  <c r="AX83" i="1"/>
  <c r="AX94" i="1"/>
  <c r="AX164" i="1"/>
  <c r="AX143" i="1"/>
  <c r="AX160" i="1"/>
  <c r="AX194" i="1"/>
  <c r="AX189" i="1"/>
  <c r="AX226" i="1"/>
  <c r="AX219" i="1"/>
  <c r="AX165" i="1"/>
  <c r="AX285" i="1"/>
  <c r="AX263" i="1"/>
  <c r="AX210" i="1"/>
  <c r="AX39" i="1"/>
  <c r="AX231" i="1"/>
  <c r="M4" i="2" l="1"/>
  <c r="AY305" i="1"/>
  <c r="AY304" i="1"/>
  <c r="AY303" i="1"/>
  <c r="AY302" i="1"/>
  <c r="AY301" i="1"/>
  <c r="AY300" i="1"/>
  <c r="AY299" i="1"/>
  <c r="AY298" i="1"/>
  <c r="AY297" i="1"/>
  <c r="AY126" i="1"/>
  <c r="AY123" i="1"/>
  <c r="AY107" i="1"/>
  <c r="AY98" i="1"/>
  <c r="AY95" i="1"/>
  <c r="AY81" i="1"/>
  <c r="AY77" i="1"/>
  <c r="AY58" i="1"/>
  <c r="AY54" i="1"/>
  <c r="AY41" i="1"/>
  <c r="AY33" i="1"/>
  <c r="AY32" i="1"/>
  <c r="AY31" i="1"/>
  <c r="AY30" i="1"/>
  <c r="AY29" i="1"/>
  <c r="AY28" i="1"/>
  <c r="AY27" i="1"/>
  <c r="AY26" i="1"/>
  <c r="AY25" i="1"/>
  <c r="AY24" i="1"/>
  <c r="AY23" i="1"/>
  <c r="AY22" i="1"/>
  <c r="AY21" i="1"/>
  <c r="AY20" i="1"/>
  <c r="AY19" i="1"/>
  <c r="AY18" i="1"/>
  <c r="AY17" i="1"/>
  <c r="AY16" i="1"/>
  <c r="AY15" i="1"/>
  <c r="AY14" i="1"/>
  <c r="AY13" i="1"/>
  <c r="AY12" i="1"/>
  <c r="AY11" i="1"/>
  <c r="AY10" i="1"/>
  <c r="AY9" i="1"/>
  <c r="AY8" i="1"/>
  <c r="AY7" i="1"/>
  <c r="AY6" i="1"/>
  <c r="AY5" i="1"/>
  <c r="AZ4" i="1"/>
  <c r="AY3" i="1"/>
  <c r="M3" i="2" s="1"/>
  <c r="AY42" i="1"/>
  <c r="AY43" i="1"/>
  <c r="AY52" i="1"/>
  <c r="AY56" i="1"/>
  <c r="AY108" i="1"/>
  <c r="AY135" i="1"/>
  <c r="AY180" i="1"/>
  <c r="AY208" i="1"/>
  <c r="AY181" i="1"/>
  <c r="AY186" i="1"/>
  <c r="AY192" i="1"/>
  <c r="AY198" i="1"/>
  <c r="AY136" i="1"/>
  <c r="AY109" i="1"/>
  <c r="AY82" i="1"/>
  <c r="AY78" i="1"/>
  <c r="AY215" i="1"/>
  <c r="AY193" i="1"/>
  <c r="AY199" i="1"/>
  <c r="AY233" i="1"/>
  <c r="AY34" i="1"/>
  <c r="AY46" i="1"/>
  <c r="AY55" i="1"/>
  <c r="AY122" i="1"/>
  <c r="AY59" i="1"/>
  <c r="AY125" i="1"/>
  <c r="AY137" i="1"/>
  <c r="AY158" i="1"/>
  <c r="AY182" i="1"/>
  <c r="AY213" i="1"/>
  <c r="AY209" i="1"/>
  <c r="AY214" i="1"/>
  <c r="AY217" i="1"/>
  <c r="AY220" i="1"/>
  <c r="AY159" i="1"/>
  <c r="AY218" i="1"/>
  <c r="AY252" i="1"/>
  <c r="AY35" i="1"/>
  <c r="AY76" i="1"/>
  <c r="AY36" i="1"/>
  <c r="AY47" i="1"/>
  <c r="AY67" i="1"/>
  <c r="AY80" i="1"/>
  <c r="AY141" i="1"/>
  <c r="AY157" i="1"/>
  <c r="AY188" i="1"/>
  <c r="AY183" i="1"/>
  <c r="AY204" i="1"/>
  <c r="AY216" i="1"/>
  <c r="AY142" i="1"/>
  <c r="AY110" i="1"/>
  <c r="AY221" i="1"/>
  <c r="AY187" i="1"/>
  <c r="AY37" i="1"/>
  <c r="AY97" i="1"/>
  <c r="AY38" i="1"/>
  <c r="AY68" i="1"/>
  <c r="AY70" i="1"/>
  <c r="AY83" i="1"/>
  <c r="AY94" i="1"/>
  <c r="AY164" i="1"/>
  <c r="AY143" i="1"/>
  <c r="AY160" i="1"/>
  <c r="AY194" i="1"/>
  <c r="AY189" i="1"/>
  <c r="AY226" i="1"/>
  <c r="AY219" i="1"/>
  <c r="AY165" i="1"/>
  <c r="AY285" i="1"/>
  <c r="AY263" i="1"/>
  <c r="AY210" i="1"/>
  <c r="AY39" i="1"/>
  <c r="AY231" i="1"/>
  <c r="AY44" i="1"/>
  <c r="AY71" i="1"/>
  <c r="AY96" i="1"/>
  <c r="AY230" i="1"/>
  <c r="AY144" i="1"/>
  <c r="AY166" i="1"/>
  <c r="AY200" i="1"/>
  <c r="AY113" i="1"/>
  <c r="AY222" i="1"/>
  <c r="AY145" i="1"/>
  <c r="AY138" i="1"/>
  <c r="AY286" i="1"/>
  <c r="AY289" i="1"/>
  <c r="AY79" i="1"/>
  <c r="AY274" i="1"/>
  <c r="AY211" i="1"/>
  <c r="AY48" i="1"/>
  <c r="AY40" i="1"/>
  <c r="AY242" i="1"/>
  <c r="AZ45" i="1"/>
  <c r="AY45" i="1"/>
  <c r="AX45" i="1"/>
  <c r="AW45" i="1"/>
  <c r="AV45" i="1"/>
  <c r="AU45" i="1"/>
  <c r="AT45" i="1"/>
  <c r="AS45" i="1"/>
  <c r="AR45" i="1"/>
  <c r="AQ45" i="1"/>
  <c r="AP45" i="1"/>
  <c r="AO45" i="1"/>
  <c r="J45" i="1"/>
  <c r="AZ53" i="1"/>
  <c r="AY53" i="1"/>
  <c r="AX53" i="1"/>
  <c r="AW53" i="1"/>
  <c r="AV53" i="1"/>
  <c r="AU53" i="1"/>
  <c r="AT53" i="1"/>
  <c r="AS53" i="1"/>
  <c r="AR53" i="1"/>
  <c r="AQ53" i="1"/>
  <c r="AP53" i="1"/>
  <c r="AO53" i="1"/>
  <c r="J53" i="1"/>
  <c r="AZ72" i="1"/>
  <c r="AY72" i="1"/>
  <c r="AX72" i="1"/>
  <c r="AW72" i="1"/>
  <c r="AV72" i="1"/>
  <c r="AU72" i="1"/>
  <c r="AT72" i="1"/>
  <c r="AS72" i="1"/>
  <c r="AR72" i="1"/>
  <c r="AQ72" i="1"/>
  <c r="AP72" i="1"/>
  <c r="AO72" i="1"/>
  <c r="J72" i="1"/>
  <c r="I237" i="1"/>
  <c r="O242" i="1"/>
  <c r="I195" i="1"/>
  <c r="O40" i="1"/>
  <c r="I69" i="1"/>
  <c r="O48" i="1"/>
  <c r="O211" i="1"/>
  <c r="AZ232" i="1"/>
  <c r="AY232" i="1"/>
  <c r="AX232" i="1"/>
  <c r="AW232" i="1"/>
  <c r="AV232" i="1"/>
  <c r="AU232" i="1"/>
  <c r="AT232" i="1"/>
  <c r="AS232" i="1"/>
  <c r="AR232" i="1"/>
  <c r="AQ232" i="1"/>
  <c r="AP232" i="1"/>
  <c r="AO232" i="1"/>
  <c r="J232" i="1"/>
  <c r="O232" i="1" s="1"/>
  <c r="AZ241" i="1"/>
  <c r="AY241" i="1"/>
  <c r="AX241" i="1"/>
  <c r="AW241" i="1"/>
  <c r="AV241" i="1"/>
  <c r="AU241" i="1"/>
  <c r="AT241" i="1"/>
  <c r="AS241" i="1"/>
  <c r="AR241" i="1"/>
  <c r="AQ241" i="1"/>
  <c r="AP241" i="1"/>
  <c r="AO241" i="1"/>
  <c r="J241" i="1"/>
  <c r="O274" i="1"/>
  <c r="I84" i="1"/>
  <c r="I124" i="1"/>
  <c r="I161" i="1"/>
  <c r="O79" i="1"/>
  <c r="O289" i="1"/>
  <c r="O286" i="1"/>
  <c r="I139" i="1"/>
  <c r="O138" i="1"/>
  <c r="I168" i="1"/>
  <c r="AZ167" i="1"/>
  <c r="AY167" i="1"/>
  <c r="AX167" i="1"/>
  <c r="AW167" i="1"/>
  <c r="AV167" i="1"/>
  <c r="AU167" i="1"/>
  <c r="AT167" i="1"/>
  <c r="AS167" i="1"/>
  <c r="AR167" i="1"/>
  <c r="AQ167" i="1"/>
  <c r="AP167" i="1"/>
  <c r="AO167" i="1"/>
  <c r="J167" i="1"/>
  <c r="AZ146" i="1"/>
  <c r="AY146" i="1"/>
  <c r="AX146" i="1"/>
  <c r="AW146" i="1"/>
  <c r="AV146" i="1"/>
  <c r="AU146" i="1"/>
  <c r="AT146" i="1"/>
  <c r="AS146" i="1"/>
  <c r="AR146" i="1"/>
  <c r="AQ146" i="1"/>
  <c r="AP146" i="1"/>
  <c r="AO146" i="1"/>
  <c r="J146" i="1"/>
  <c r="AZ177" i="1"/>
  <c r="AY177" i="1"/>
  <c r="AX177" i="1"/>
  <c r="AW177" i="1"/>
  <c r="AV177" i="1"/>
  <c r="AU177" i="1"/>
  <c r="AT177" i="1"/>
  <c r="AS177" i="1"/>
  <c r="AR177" i="1"/>
  <c r="AQ177" i="1"/>
  <c r="AP177" i="1"/>
  <c r="AO177" i="1"/>
  <c r="J177" i="1"/>
  <c r="I207" i="1" l="1"/>
  <c r="O177" i="1"/>
  <c r="O146" i="1"/>
  <c r="I169" i="1"/>
  <c r="I147" i="1"/>
  <c r="O167" i="1"/>
  <c r="AZ168" i="1"/>
  <c r="AY168" i="1"/>
  <c r="AX168" i="1"/>
  <c r="AW168" i="1"/>
  <c r="AV168" i="1"/>
  <c r="AU168" i="1"/>
  <c r="AT168" i="1"/>
  <c r="AS168" i="1"/>
  <c r="AR168" i="1"/>
  <c r="AQ168" i="1"/>
  <c r="AP168" i="1"/>
  <c r="AO168" i="1"/>
  <c r="J168" i="1"/>
  <c r="O168" i="1" s="1"/>
  <c r="AZ139" i="1"/>
  <c r="AY139" i="1"/>
  <c r="AX139" i="1"/>
  <c r="AW139" i="1"/>
  <c r="AV139" i="1"/>
  <c r="AU139" i="1"/>
  <c r="AT139" i="1"/>
  <c r="AS139" i="1"/>
  <c r="AR139" i="1"/>
  <c r="AQ139" i="1"/>
  <c r="AP139" i="1"/>
  <c r="AO139" i="1"/>
  <c r="J139" i="1"/>
  <c r="AZ161" i="1"/>
  <c r="AY161" i="1"/>
  <c r="AX161" i="1"/>
  <c r="AW161" i="1"/>
  <c r="AV161" i="1"/>
  <c r="AU161" i="1"/>
  <c r="AT161" i="1"/>
  <c r="AS161" i="1"/>
  <c r="AR161" i="1"/>
  <c r="AQ161" i="1"/>
  <c r="AP161" i="1"/>
  <c r="AO161" i="1"/>
  <c r="J161" i="1"/>
  <c r="AZ124" i="1"/>
  <c r="AY124" i="1"/>
  <c r="AX124" i="1"/>
  <c r="AW124" i="1"/>
  <c r="AV124" i="1"/>
  <c r="AU124" i="1"/>
  <c r="AT124" i="1"/>
  <c r="AS124" i="1"/>
  <c r="AR124" i="1"/>
  <c r="AQ124" i="1"/>
  <c r="AP124" i="1"/>
  <c r="AO124" i="1"/>
  <c r="J124" i="1"/>
  <c r="AZ84" i="1"/>
  <c r="AY84" i="1"/>
  <c r="AX84" i="1"/>
  <c r="AW84" i="1"/>
  <c r="AV84" i="1"/>
  <c r="AU84" i="1"/>
  <c r="AT84" i="1"/>
  <c r="AS84" i="1"/>
  <c r="AR84" i="1"/>
  <c r="AQ84" i="1"/>
  <c r="AP84" i="1"/>
  <c r="AO84" i="1"/>
  <c r="J84" i="1"/>
  <c r="I243" i="1"/>
  <c r="I253" i="1"/>
  <c r="O241" i="1"/>
  <c r="AZ69" i="1"/>
  <c r="AY69" i="1"/>
  <c r="AX69" i="1"/>
  <c r="AW69" i="1"/>
  <c r="AV69" i="1"/>
  <c r="AU69" i="1"/>
  <c r="AT69" i="1"/>
  <c r="AS69" i="1"/>
  <c r="AR69" i="1"/>
  <c r="AQ69" i="1"/>
  <c r="AP69" i="1"/>
  <c r="AO69" i="1"/>
  <c r="J69" i="1"/>
  <c r="AZ195" i="1"/>
  <c r="AY195" i="1"/>
  <c r="AX195" i="1"/>
  <c r="AW195" i="1"/>
  <c r="AV195" i="1"/>
  <c r="AU195" i="1"/>
  <c r="AT195" i="1"/>
  <c r="AS195" i="1"/>
  <c r="AR195" i="1"/>
  <c r="AQ195" i="1"/>
  <c r="AP195" i="1"/>
  <c r="AO195" i="1"/>
  <c r="J195" i="1"/>
  <c r="AZ237" i="1"/>
  <c r="AY237" i="1"/>
  <c r="AX237" i="1"/>
  <c r="AW237" i="1"/>
  <c r="AV237" i="1"/>
  <c r="AU237" i="1"/>
  <c r="AT237" i="1"/>
  <c r="AS237" i="1"/>
  <c r="AR237" i="1"/>
  <c r="AQ237" i="1"/>
  <c r="AP237" i="1"/>
  <c r="AO237" i="1"/>
  <c r="J237" i="1"/>
  <c r="I74" i="1"/>
  <c r="O72" i="1"/>
  <c r="I57" i="1"/>
  <c r="O53" i="1"/>
  <c r="I49" i="1"/>
  <c r="I201" i="1"/>
  <c r="O45" i="1"/>
  <c r="N4" i="2"/>
  <c r="AZ305" i="1"/>
  <c r="AZ304" i="1"/>
  <c r="AZ303" i="1"/>
  <c r="AZ302" i="1"/>
  <c r="AZ301" i="1"/>
  <c r="AZ300" i="1"/>
  <c r="AZ299" i="1"/>
  <c r="AZ298" i="1"/>
  <c r="AZ297" i="1"/>
  <c r="AZ126" i="1"/>
  <c r="AZ123" i="1"/>
  <c r="AZ107" i="1"/>
  <c r="AZ98" i="1"/>
  <c r="AZ95" i="1"/>
  <c r="AZ81" i="1"/>
  <c r="AZ77" i="1"/>
  <c r="AZ58" i="1"/>
  <c r="AZ54" i="1"/>
  <c r="AZ41" i="1"/>
  <c r="AZ33" i="1"/>
  <c r="AZ32" i="1"/>
  <c r="AZ31" i="1"/>
  <c r="AZ30" i="1"/>
  <c r="AZ29" i="1"/>
  <c r="AZ28" i="1"/>
  <c r="AZ27" i="1"/>
  <c r="AZ26" i="1"/>
  <c r="AZ25" i="1"/>
  <c r="AZ24" i="1"/>
  <c r="AZ23" i="1"/>
  <c r="AZ22" i="1"/>
  <c r="AZ21" i="1"/>
  <c r="AZ20" i="1"/>
  <c r="AZ19" i="1"/>
  <c r="AZ18" i="1"/>
  <c r="AZ17" i="1"/>
  <c r="AZ16" i="1"/>
  <c r="AZ15" i="1"/>
  <c r="AZ14" i="1"/>
  <c r="AZ13" i="1"/>
  <c r="AZ12" i="1"/>
  <c r="AZ11" i="1"/>
  <c r="AZ10" i="1"/>
  <c r="AZ9" i="1"/>
  <c r="AZ8" i="1"/>
  <c r="AZ7" i="1"/>
  <c r="AZ6" i="1"/>
  <c r="AZ5" i="1"/>
  <c r="BA4" i="1"/>
  <c r="AZ3" i="1"/>
  <c r="N3" i="2" s="1"/>
  <c r="AZ42" i="1"/>
  <c r="AZ43" i="1"/>
  <c r="AZ52" i="1"/>
  <c r="AZ56" i="1"/>
  <c r="AZ108" i="1"/>
  <c r="AZ135" i="1"/>
  <c r="AZ180" i="1"/>
  <c r="AZ208" i="1"/>
  <c r="AZ181" i="1"/>
  <c r="AZ186" i="1"/>
  <c r="AZ192" i="1"/>
  <c r="AZ198" i="1"/>
  <c r="AZ136" i="1"/>
  <c r="AZ109" i="1"/>
  <c r="AZ82" i="1"/>
  <c r="AZ78" i="1"/>
  <c r="AZ215" i="1"/>
  <c r="AZ193" i="1"/>
  <c r="AZ199" i="1"/>
  <c r="AZ233" i="1"/>
  <c r="AZ34" i="1"/>
  <c r="AZ46" i="1"/>
  <c r="AZ55" i="1"/>
  <c r="AZ122" i="1"/>
  <c r="AZ59" i="1"/>
  <c r="AZ125" i="1"/>
  <c r="AZ137" i="1"/>
  <c r="AZ158" i="1"/>
  <c r="AZ182" i="1"/>
  <c r="AZ213" i="1"/>
  <c r="AZ209" i="1"/>
  <c r="AZ214" i="1"/>
  <c r="AZ217" i="1"/>
  <c r="AZ220" i="1"/>
  <c r="AZ159" i="1"/>
  <c r="AZ218" i="1"/>
  <c r="AZ252" i="1"/>
  <c r="AZ35" i="1"/>
  <c r="AZ76" i="1"/>
  <c r="AZ36" i="1"/>
  <c r="AZ47" i="1"/>
  <c r="AZ67" i="1"/>
  <c r="AZ80" i="1"/>
  <c r="AZ141" i="1"/>
  <c r="AZ157" i="1"/>
  <c r="AZ188" i="1"/>
  <c r="AZ183" i="1"/>
  <c r="AZ204" i="1"/>
  <c r="AZ216" i="1"/>
  <c r="AZ142" i="1"/>
  <c r="AZ110" i="1"/>
  <c r="AZ221" i="1"/>
  <c r="AZ187" i="1"/>
  <c r="AZ37" i="1"/>
  <c r="AZ97" i="1"/>
  <c r="AZ38" i="1"/>
  <c r="AZ68" i="1"/>
  <c r="AZ70" i="1"/>
  <c r="AZ83" i="1"/>
  <c r="AZ94" i="1"/>
  <c r="AZ164" i="1"/>
  <c r="AZ143" i="1"/>
  <c r="AZ160" i="1"/>
  <c r="AZ194" i="1"/>
  <c r="AZ189" i="1"/>
  <c r="AZ226" i="1"/>
  <c r="AZ219" i="1"/>
  <c r="AZ165" i="1"/>
  <c r="AZ285" i="1"/>
  <c r="AZ263" i="1"/>
  <c r="AZ210" i="1"/>
  <c r="AZ39" i="1"/>
  <c r="AZ231" i="1"/>
  <c r="AZ44" i="1"/>
  <c r="AZ71" i="1"/>
  <c r="AZ96" i="1"/>
  <c r="AZ230" i="1"/>
  <c r="AZ144" i="1"/>
  <c r="AZ166" i="1"/>
  <c r="AZ200" i="1"/>
  <c r="AZ113" i="1"/>
  <c r="AZ222" i="1"/>
  <c r="AZ145" i="1"/>
  <c r="AZ138" i="1"/>
  <c r="AZ286" i="1"/>
  <c r="AZ289" i="1"/>
  <c r="AZ79" i="1"/>
  <c r="AZ274" i="1"/>
  <c r="AZ211" i="1"/>
  <c r="AZ48" i="1"/>
  <c r="AZ40" i="1"/>
  <c r="AZ242" i="1"/>
  <c r="O4" i="2" l="1"/>
  <c r="BA305" i="1"/>
  <c r="BA304" i="1"/>
  <c r="BA303" i="1"/>
  <c r="BA302" i="1"/>
  <c r="BA301" i="1"/>
  <c r="BA300" i="1"/>
  <c r="BA299" i="1"/>
  <c r="BA298" i="1"/>
  <c r="BA297" i="1"/>
  <c r="BA126" i="1"/>
  <c r="BA123" i="1"/>
  <c r="BA107" i="1"/>
  <c r="BA98" i="1"/>
  <c r="BA95" i="1"/>
  <c r="BA81" i="1"/>
  <c r="BA77" i="1"/>
  <c r="BA58" i="1"/>
  <c r="BA54" i="1"/>
  <c r="BA41" i="1"/>
  <c r="BA33" i="1"/>
  <c r="BA32" i="1"/>
  <c r="BA31" i="1"/>
  <c r="BA30" i="1"/>
  <c r="BA29" i="1"/>
  <c r="BA28" i="1"/>
  <c r="BA27" i="1"/>
  <c r="BA26" i="1"/>
  <c r="BA25" i="1"/>
  <c r="BA24" i="1"/>
  <c r="BA23" i="1"/>
  <c r="BA22" i="1"/>
  <c r="BA21" i="1"/>
  <c r="BA20" i="1"/>
  <c r="BA19" i="1"/>
  <c r="BA18" i="1"/>
  <c r="BA17" i="1"/>
  <c r="BA16" i="1"/>
  <c r="BA15" i="1"/>
  <c r="BA14" i="1"/>
  <c r="BA13" i="1"/>
  <c r="BA12" i="1"/>
  <c r="BA11" i="1"/>
  <c r="BA10" i="1"/>
  <c r="BA9" i="1"/>
  <c r="BA8" i="1"/>
  <c r="BA7" i="1"/>
  <c r="BA6" i="1"/>
  <c r="BA5" i="1"/>
  <c r="BB4" i="1"/>
  <c r="BA3" i="1"/>
  <c r="O3" i="2" s="1"/>
  <c r="BA42" i="1"/>
  <c r="BA43" i="1"/>
  <c r="BA52" i="1"/>
  <c r="BA56" i="1"/>
  <c r="BA108" i="1"/>
  <c r="BA135" i="1"/>
  <c r="BA180" i="1"/>
  <c r="BA208" i="1"/>
  <c r="BA181" i="1"/>
  <c r="BA186" i="1"/>
  <c r="BA192" i="1"/>
  <c r="BA198" i="1"/>
  <c r="BA136" i="1"/>
  <c r="BA109" i="1"/>
  <c r="BA82" i="1"/>
  <c r="BA78" i="1"/>
  <c r="BA215" i="1"/>
  <c r="BA193" i="1"/>
  <c r="BA199" i="1"/>
  <c r="BA233" i="1"/>
  <c r="BA34" i="1"/>
  <c r="BA46" i="1"/>
  <c r="BA55" i="1"/>
  <c r="BA122" i="1"/>
  <c r="BA59" i="1"/>
  <c r="BA125" i="1"/>
  <c r="BA137" i="1"/>
  <c r="BA158" i="1"/>
  <c r="BA182" i="1"/>
  <c r="BA213" i="1"/>
  <c r="BA209" i="1"/>
  <c r="BA214" i="1"/>
  <c r="BA217" i="1"/>
  <c r="BA220" i="1"/>
  <c r="BA159" i="1"/>
  <c r="BA218" i="1"/>
  <c r="BA252" i="1"/>
  <c r="BA35" i="1"/>
  <c r="BA76" i="1"/>
  <c r="BA36" i="1"/>
  <c r="BA47" i="1"/>
  <c r="BA67" i="1"/>
  <c r="BA80" i="1"/>
  <c r="BA141" i="1"/>
  <c r="BA157" i="1"/>
  <c r="BA188" i="1"/>
  <c r="BA183" i="1"/>
  <c r="BA204" i="1"/>
  <c r="BA216" i="1"/>
  <c r="BA142" i="1"/>
  <c r="BA110" i="1"/>
  <c r="BA221" i="1"/>
  <c r="BA187" i="1"/>
  <c r="BA37" i="1"/>
  <c r="BA97" i="1"/>
  <c r="BA38" i="1"/>
  <c r="BA68" i="1"/>
  <c r="BA70" i="1"/>
  <c r="BA83" i="1"/>
  <c r="BA94" i="1"/>
  <c r="BA164" i="1"/>
  <c r="BA143" i="1"/>
  <c r="BA160" i="1"/>
  <c r="BA194" i="1"/>
  <c r="BA189" i="1"/>
  <c r="BA226" i="1"/>
  <c r="BA219" i="1"/>
  <c r="BA165" i="1"/>
  <c r="BA285" i="1"/>
  <c r="BA263" i="1"/>
  <c r="BA210" i="1"/>
  <c r="BA39" i="1"/>
  <c r="BA231" i="1"/>
  <c r="BA44" i="1"/>
  <c r="BA71" i="1"/>
  <c r="BA96" i="1"/>
  <c r="BA230" i="1"/>
  <c r="BA144" i="1"/>
  <c r="BA166" i="1"/>
  <c r="BA200" i="1"/>
  <c r="BA113" i="1"/>
  <c r="BA222" i="1"/>
  <c r="BA145" i="1"/>
  <c r="BA138" i="1"/>
  <c r="BA286" i="1"/>
  <c r="BA289" i="1"/>
  <c r="BA79" i="1"/>
  <c r="BA274" i="1"/>
  <c r="BA211" i="1"/>
  <c r="BA48" i="1"/>
  <c r="BA40" i="1"/>
  <c r="BA242" i="1"/>
  <c r="BA45" i="1"/>
  <c r="BA53" i="1"/>
  <c r="BA72" i="1"/>
  <c r="BA232" i="1"/>
  <c r="BA241" i="1"/>
  <c r="BA167" i="1"/>
  <c r="BA146" i="1"/>
  <c r="BA177" i="1"/>
  <c r="BA168" i="1"/>
  <c r="BA139" i="1"/>
  <c r="BA161" i="1"/>
  <c r="BA124" i="1"/>
  <c r="BA84" i="1"/>
  <c r="BA69" i="1"/>
  <c r="BA195" i="1"/>
  <c r="BA237" i="1"/>
  <c r="BB201" i="1"/>
  <c r="BA201" i="1"/>
  <c r="AZ201" i="1"/>
  <c r="AY201" i="1"/>
  <c r="AX201" i="1"/>
  <c r="AW201" i="1"/>
  <c r="AV201" i="1"/>
  <c r="AU201" i="1"/>
  <c r="AT201" i="1"/>
  <c r="AS201" i="1"/>
  <c r="AR201" i="1"/>
  <c r="AQ201" i="1"/>
  <c r="AP201" i="1"/>
  <c r="AO201" i="1"/>
  <c r="J201" i="1"/>
  <c r="BB49" i="1"/>
  <c r="BA49" i="1"/>
  <c r="AZ49" i="1"/>
  <c r="AY49" i="1"/>
  <c r="AX49" i="1"/>
  <c r="AW49" i="1"/>
  <c r="AV49" i="1"/>
  <c r="AU49" i="1"/>
  <c r="AT49" i="1"/>
  <c r="AS49" i="1"/>
  <c r="AR49" i="1"/>
  <c r="AQ49" i="1"/>
  <c r="AP49" i="1"/>
  <c r="AO49" i="1"/>
  <c r="J49" i="1"/>
  <c r="BB57" i="1"/>
  <c r="BA57" i="1"/>
  <c r="AZ57" i="1"/>
  <c r="AY57" i="1"/>
  <c r="AX57" i="1"/>
  <c r="AW57" i="1"/>
  <c r="AV57" i="1"/>
  <c r="AU57" i="1"/>
  <c r="AT57" i="1"/>
  <c r="AS57" i="1"/>
  <c r="AR57" i="1"/>
  <c r="AQ57" i="1"/>
  <c r="AP57" i="1"/>
  <c r="AO57" i="1"/>
  <c r="J57" i="1"/>
  <c r="BB74" i="1"/>
  <c r="BA74" i="1"/>
  <c r="AZ74" i="1"/>
  <c r="AY74" i="1"/>
  <c r="AX74" i="1"/>
  <c r="AW74" i="1"/>
  <c r="AV74" i="1"/>
  <c r="AU74" i="1"/>
  <c r="AT74" i="1"/>
  <c r="AS74" i="1"/>
  <c r="AR74" i="1"/>
  <c r="AQ74" i="1"/>
  <c r="AP74" i="1"/>
  <c r="AO74" i="1"/>
  <c r="J74" i="1"/>
  <c r="I63" i="1"/>
  <c r="O237" i="1"/>
  <c r="O195" i="1"/>
  <c r="I73" i="1"/>
  <c r="I99" i="1"/>
  <c r="O69" i="1"/>
  <c r="BB253" i="1"/>
  <c r="BA253" i="1"/>
  <c r="AZ253" i="1"/>
  <c r="AY253" i="1"/>
  <c r="AX253" i="1"/>
  <c r="AW253" i="1"/>
  <c r="AV253" i="1"/>
  <c r="AU253" i="1"/>
  <c r="AT253" i="1"/>
  <c r="AS253" i="1"/>
  <c r="AR253" i="1"/>
  <c r="AQ253" i="1"/>
  <c r="AP253" i="1"/>
  <c r="AO253" i="1"/>
  <c r="J253" i="1"/>
  <c r="BB243" i="1"/>
  <c r="BA243" i="1"/>
  <c r="AZ243" i="1"/>
  <c r="AY243" i="1"/>
  <c r="AX243" i="1"/>
  <c r="AW243" i="1"/>
  <c r="AV243" i="1"/>
  <c r="AU243" i="1"/>
  <c r="AT243" i="1"/>
  <c r="AS243" i="1"/>
  <c r="AR243" i="1"/>
  <c r="AQ243" i="1"/>
  <c r="AP243" i="1"/>
  <c r="AO243" i="1"/>
  <c r="J243" i="1"/>
  <c r="I85" i="1"/>
  <c r="I287" i="1"/>
  <c r="O84" i="1"/>
  <c r="I127" i="1"/>
  <c r="O124" i="1"/>
  <c r="I162" i="1"/>
  <c r="O161" i="1"/>
  <c r="O139" i="1"/>
  <c r="I148" i="1"/>
  <c r="BB147" i="1"/>
  <c r="BA147" i="1"/>
  <c r="AZ147" i="1"/>
  <c r="AY147" i="1"/>
  <c r="AX147" i="1"/>
  <c r="AW147" i="1"/>
  <c r="AV147" i="1"/>
  <c r="AU147" i="1"/>
  <c r="AT147" i="1"/>
  <c r="AS147" i="1"/>
  <c r="AR147" i="1"/>
  <c r="AQ147" i="1"/>
  <c r="AP147" i="1"/>
  <c r="AO147" i="1"/>
  <c r="J147" i="1"/>
  <c r="BB169" i="1"/>
  <c r="BA169" i="1"/>
  <c r="AZ169" i="1"/>
  <c r="AY169" i="1"/>
  <c r="AX169" i="1"/>
  <c r="AW169" i="1"/>
  <c r="AV169" i="1"/>
  <c r="AU169" i="1"/>
  <c r="AT169" i="1"/>
  <c r="AS169" i="1"/>
  <c r="AR169" i="1"/>
  <c r="AQ169" i="1"/>
  <c r="AP169" i="1"/>
  <c r="AO169" i="1"/>
  <c r="J169" i="1"/>
  <c r="BB207" i="1"/>
  <c r="BA207" i="1"/>
  <c r="AZ207" i="1"/>
  <c r="AY207" i="1"/>
  <c r="AX207" i="1"/>
  <c r="AW207" i="1"/>
  <c r="AV207" i="1"/>
  <c r="AU207" i="1"/>
  <c r="AT207" i="1"/>
  <c r="AS207" i="1"/>
  <c r="AR207" i="1"/>
  <c r="AQ207" i="1"/>
  <c r="AP207" i="1"/>
  <c r="AO207" i="1"/>
  <c r="J207" i="1"/>
  <c r="O207" i="1" s="1"/>
  <c r="O169" i="1" l="1"/>
  <c r="I149" i="1"/>
  <c r="I170" i="1"/>
  <c r="O147" i="1"/>
  <c r="BB148" i="1"/>
  <c r="BA148" i="1"/>
  <c r="AZ148" i="1"/>
  <c r="AY148" i="1"/>
  <c r="AX148" i="1"/>
  <c r="AW148" i="1"/>
  <c r="AV148" i="1"/>
  <c r="AU148" i="1"/>
  <c r="AT148" i="1"/>
  <c r="AS148" i="1"/>
  <c r="AR148" i="1"/>
  <c r="AQ148" i="1"/>
  <c r="AP148" i="1"/>
  <c r="AO148" i="1"/>
  <c r="J148" i="1"/>
  <c r="O148" i="1" s="1"/>
  <c r="BB162" i="1"/>
  <c r="BA162" i="1"/>
  <c r="AZ162" i="1"/>
  <c r="AY162" i="1"/>
  <c r="AX162" i="1"/>
  <c r="AW162" i="1"/>
  <c r="AV162" i="1"/>
  <c r="AU162" i="1"/>
  <c r="AT162" i="1"/>
  <c r="AS162" i="1"/>
  <c r="AR162" i="1"/>
  <c r="AQ162" i="1"/>
  <c r="AP162" i="1"/>
  <c r="AO162" i="1"/>
  <c r="J162" i="1"/>
  <c r="BB127" i="1"/>
  <c r="BA127" i="1"/>
  <c r="AZ127" i="1"/>
  <c r="AY127" i="1"/>
  <c r="AX127" i="1"/>
  <c r="AW127" i="1"/>
  <c r="AV127" i="1"/>
  <c r="AU127" i="1"/>
  <c r="AT127" i="1"/>
  <c r="AS127" i="1"/>
  <c r="AR127" i="1"/>
  <c r="AQ127" i="1"/>
  <c r="AP127" i="1"/>
  <c r="AO127" i="1"/>
  <c r="J127" i="1"/>
  <c r="BB287" i="1"/>
  <c r="BA287" i="1"/>
  <c r="AZ287" i="1"/>
  <c r="AY287" i="1"/>
  <c r="AX287" i="1"/>
  <c r="AW287" i="1"/>
  <c r="AV287" i="1"/>
  <c r="AU287" i="1"/>
  <c r="AT287" i="1"/>
  <c r="AS287" i="1"/>
  <c r="AR287" i="1"/>
  <c r="AQ287" i="1"/>
  <c r="AP287" i="1"/>
  <c r="AO287" i="1"/>
  <c r="J287" i="1"/>
  <c r="O287" i="1" s="1"/>
  <c r="BB85" i="1"/>
  <c r="BA85" i="1"/>
  <c r="AZ85" i="1"/>
  <c r="AY85" i="1"/>
  <c r="AX85" i="1"/>
  <c r="AW85" i="1"/>
  <c r="AV85" i="1"/>
  <c r="AU85" i="1"/>
  <c r="AT85" i="1"/>
  <c r="AS85" i="1"/>
  <c r="AR85" i="1"/>
  <c r="AQ85" i="1"/>
  <c r="AP85" i="1"/>
  <c r="AO85" i="1"/>
  <c r="J85" i="1"/>
  <c r="I244" i="1"/>
  <c r="O243" i="1"/>
  <c r="I254" i="1"/>
  <c r="I264" i="1"/>
  <c r="O253" i="1"/>
  <c r="BB99" i="1"/>
  <c r="BA99" i="1"/>
  <c r="AZ99" i="1"/>
  <c r="AY99" i="1"/>
  <c r="AX99" i="1"/>
  <c r="AW99" i="1"/>
  <c r="AV99" i="1"/>
  <c r="AU99" i="1"/>
  <c r="AT99" i="1"/>
  <c r="AS99" i="1"/>
  <c r="AR99" i="1"/>
  <c r="AQ99" i="1"/>
  <c r="AP99" i="1"/>
  <c r="AO99" i="1"/>
  <c r="J99" i="1"/>
  <c r="BB73" i="1"/>
  <c r="BA73" i="1"/>
  <c r="AZ73" i="1"/>
  <c r="AY73" i="1"/>
  <c r="AX73" i="1"/>
  <c r="AW73" i="1"/>
  <c r="AV73" i="1"/>
  <c r="AU73" i="1"/>
  <c r="AT73" i="1"/>
  <c r="AS73" i="1"/>
  <c r="AR73" i="1"/>
  <c r="AQ73" i="1"/>
  <c r="AP73" i="1"/>
  <c r="AO73" i="1"/>
  <c r="J73" i="1"/>
  <c r="BB63" i="1"/>
  <c r="BA63" i="1"/>
  <c r="AZ63" i="1"/>
  <c r="AY63" i="1"/>
  <c r="AX63" i="1"/>
  <c r="AW63" i="1"/>
  <c r="AV63" i="1"/>
  <c r="AU63" i="1"/>
  <c r="AT63" i="1"/>
  <c r="AS63" i="1"/>
  <c r="AR63" i="1"/>
  <c r="AQ63" i="1"/>
  <c r="AP63" i="1"/>
  <c r="AO63" i="1"/>
  <c r="J63" i="1"/>
  <c r="I295" i="1"/>
  <c r="I117" i="1"/>
  <c r="O74" i="1"/>
  <c r="I294" i="1"/>
  <c r="O57" i="1"/>
  <c r="I50" i="1"/>
  <c r="O49" i="1"/>
  <c r="O201" i="1"/>
  <c r="P4" i="2"/>
  <c r="BB305" i="1"/>
  <c r="BB304" i="1"/>
  <c r="BB303" i="1"/>
  <c r="BB302" i="1"/>
  <c r="BB301" i="1"/>
  <c r="BB300" i="1"/>
  <c r="BB299" i="1"/>
  <c r="BB298" i="1"/>
  <c r="BB297" i="1"/>
  <c r="BB126" i="1"/>
  <c r="BB123" i="1"/>
  <c r="BB107" i="1"/>
  <c r="BB98" i="1"/>
  <c r="BB95" i="1"/>
  <c r="BB81" i="1"/>
  <c r="BB77" i="1"/>
  <c r="BB58" i="1"/>
  <c r="BB54" i="1"/>
  <c r="BB41" i="1"/>
  <c r="BB33" i="1"/>
  <c r="BB32" i="1"/>
  <c r="BB31" i="1"/>
  <c r="BB30" i="1"/>
  <c r="BB29" i="1"/>
  <c r="BB28" i="1"/>
  <c r="BB27" i="1"/>
  <c r="BB26" i="1"/>
  <c r="BB25" i="1"/>
  <c r="BB24" i="1"/>
  <c r="BB23" i="1"/>
  <c r="BB22" i="1"/>
  <c r="BB21" i="1"/>
  <c r="BB20" i="1"/>
  <c r="BB19" i="1"/>
  <c r="BB18" i="1"/>
  <c r="BB17" i="1"/>
  <c r="BB16" i="1"/>
  <c r="BB15" i="1"/>
  <c r="BB14" i="1"/>
  <c r="BB13" i="1"/>
  <c r="BB12" i="1"/>
  <c r="BB11" i="1"/>
  <c r="BB10" i="1"/>
  <c r="BB9" i="1"/>
  <c r="BB8" i="1"/>
  <c r="BB7" i="1"/>
  <c r="BB6" i="1"/>
  <c r="BB5" i="1"/>
  <c r="BC4" i="1"/>
  <c r="BB3" i="1"/>
  <c r="P3" i="2" s="1"/>
  <c r="BB42" i="1"/>
  <c r="BB43" i="1"/>
  <c r="BB52" i="1"/>
  <c r="BB56" i="1"/>
  <c r="BB108" i="1"/>
  <c r="BB135" i="1"/>
  <c r="BB180" i="1"/>
  <c r="BB208" i="1"/>
  <c r="BB181" i="1"/>
  <c r="BB186" i="1"/>
  <c r="BB192" i="1"/>
  <c r="BB198" i="1"/>
  <c r="BB136" i="1"/>
  <c r="BB109" i="1"/>
  <c r="BB82" i="1"/>
  <c r="BB78" i="1"/>
  <c r="BB215" i="1"/>
  <c r="BB193" i="1"/>
  <c r="BB199" i="1"/>
  <c r="BB233" i="1"/>
  <c r="BB34" i="1"/>
  <c r="BB46" i="1"/>
  <c r="BB55" i="1"/>
  <c r="BB122" i="1"/>
  <c r="BB59" i="1"/>
  <c r="BB125" i="1"/>
  <c r="BB137" i="1"/>
  <c r="BB158" i="1"/>
  <c r="BB182" i="1"/>
  <c r="BB213" i="1"/>
  <c r="BB209" i="1"/>
  <c r="BB214" i="1"/>
  <c r="BB217" i="1"/>
  <c r="BB220" i="1"/>
  <c r="BB159" i="1"/>
  <c r="BB218" i="1"/>
  <c r="BB252" i="1"/>
  <c r="BB35" i="1"/>
  <c r="BB76" i="1"/>
  <c r="BB36" i="1"/>
  <c r="BB47" i="1"/>
  <c r="BB67" i="1"/>
  <c r="BB80" i="1"/>
  <c r="BB141" i="1"/>
  <c r="BB157" i="1"/>
  <c r="BB188" i="1"/>
  <c r="BB183" i="1"/>
  <c r="BB204" i="1"/>
  <c r="BB216" i="1"/>
  <c r="BB142" i="1"/>
  <c r="BB110" i="1"/>
  <c r="BB221" i="1"/>
  <c r="BB187" i="1"/>
  <c r="BB37" i="1"/>
  <c r="BB97" i="1"/>
  <c r="BB38" i="1"/>
  <c r="BB68" i="1"/>
  <c r="BB70" i="1"/>
  <c r="BB83" i="1"/>
  <c r="BB94" i="1"/>
  <c r="BB164" i="1"/>
  <c r="BB143" i="1"/>
  <c r="BB160" i="1"/>
  <c r="BB194" i="1"/>
  <c r="BB189" i="1"/>
  <c r="BB226" i="1"/>
  <c r="BB219" i="1"/>
  <c r="BB165" i="1"/>
  <c r="BB285" i="1"/>
  <c r="BB263" i="1"/>
  <c r="BB210" i="1"/>
  <c r="BB39" i="1"/>
  <c r="BB231" i="1"/>
  <c r="BB44" i="1"/>
  <c r="BB71" i="1"/>
  <c r="BB96" i="1"/>
  <c r="BB230" i="1"/>
  <c r="BB144" i="1"/>
  <c r="BB166" i="1"/>
  <c r="BB200" i="1"/>
  <c r="BB113" i="1"/>
  <c r="BB222" i="1"/>
  <c r="BB145" i="1"/>
  <c r="BB138" i="1"/>
  <c r="BB286" i="1"/>
  <c r="BB289" i="1"/>
  <c r="BB79" i="1"/>
  <c r="BB274" i="1"/>
  <c r="BB211" i="1"/>
  <c r="BB48" i="1"/>
  <c r="BB40" i="1"/>
  <c r="BB242" i="1"/>
  <c r="BB45" i="1"/>
  <c r="BB53" i="1"/>
  <c r="BB72" i="1"/>
  <c r="BB232" i="1"/>
  <c r="BB241" i="1"/>
  <c r="BB167" i="1"/>
  <c r="BB146" i="1"/>
  <c r="BB177" i="1"/>
  <c r="BB168" i="1"/>
  <c r="BB139" i="1"/>
  <c r="BB161" i="1"/>
  <c r="BB124" i="1"/>
  <c r="BB84" i="1"/>
  <c r="BB69" i="1"/>
  <c r="BB195" i="1"/>
  <c r="BB237" i="1"/>
  <c r="Q4" i="2" l="1"/>
  <c r="BC305" i="1"/>
  <c r="BC304" i="1"/>
  <c r="BC303" i="1"/>
  <c r="BC302" i="1"/>
  <c r="BC301" i="1"/>
  <c r="BC300" i="1"/>
  <c r="BC299" i="1"/>
  <c r="BC298" i="1"/>
  <c r="BC297" i="1"/>
  <c r="BC126" i="1"/>
  <c r="BC123" i="1"/>
  <c r="BC107" i="1"/>
  <c r="BC98" i="1"/>
  <c r="BC95" i="1"/>
  <c r="BC81" i="1"/>
  <c r="BC77" i="1"/>
  <c r="BC58" i="1"/>
  <c r="BC54" i="1"/>
  <c r="BC41" i="1"/>
  <c r="BC33" i="1"/>
  <c r="BC32" i="1"/>
  <c r="BC31" i="1"/>
  <c r="BC30" i="1"/>
  <c r="BC29" i="1"/>
  <c r="BC28" i="1"/>
  <c r="BC27" i="1"/>
  <c r="BC26" i="1"/>
  <c r="BC25" i="1"/>
  <c r="BC24" i="1"/>
  <c r="BC23" i="1"/>
  <c r="BC22" i="1"/>
  <c r="BC21" i="1"/>
  <c r="BC20" i="1"/>
  <c r="BC19" i="1"/>
  <c r="BC18" i="1"/>
  <c r="BC17" i="1"/>
  <c r="BC16" i="1"/>
  <c r="BC15" i="1"/>
  <c r="BC14" i="1"/>
  <c r="BC13" i="1"/>
  <c r="BC12" i="1"/>
  <c r="BC11" i="1"/>
  <c r="BC10" i="1"/>
  <c r="BC9" i="1"/>
  <c r="BC8" i="1"/>
  <c r="BC7" i="1"/>
  <c r="BC6" i="1"/>
  <c r="BC5" i="1"/>
  <c r="BD4" i="1"/>
  <c r="BC3" i="1"/>
  <c r="Q3" i="2" s="1"/>
  <c r="BC42" i="1"/>
  <c r="BC43" i="1"/>
  <c r="BC52" i="1"/>
  <c r="BC56" i="1"/>
  <c r="BC108" i="1"/>
  <c r="BC135" i="1"/>
  <c r="BC180" i="1"/>
  <c r="BC208" i="1"/>
  <c r="BC181" i="1"/>
  <c r="BC186" i="1"/>
  <c r="BC192" i="1"/>
  <c r="BC198" i="1"/>
  <c r="BC136" i="1"/>
  <c r="BC109" i="1"/>
  <c r="BC82" i="1"/>
  <c r="BC78" i="1"/>
  <c r="BC215" i="1"/>
  <c r="BC193" i="1"/>
  <c r="BC199" i="1"/>
  <c r="BC233" i="1"/>
  <c r="BC34" i="1"/>
  <c r="BC46" i="1"/>
  <c r="BC55" i="1"/>
  <c r="BC122" i="1"/>
  <c r="BC59" i="1"/>
  <c r="BC125" i="1"/>
  <c r="BC137" i="1"/>
  <c r="BC158" i="1"/>
  <c r="BC182" i="1"/>
  <c r="BC213" i="1"/>
  <c r="BC209" i="1"/>
  <c r="BC214" i="1"/>
  <c r="BC217" i="1"/>
  <c r="BC220" i="1"/>
  <c r="BC159" i="1"/>
  <c r="BC218" i="1"/>
  <c r="BC252" i="1"/>
  <c r="BC35" i="1"/>
  <c r="BC76" i="1"/>
  <c r="BC36" i="1"/>
  <c r="BC47" i="1"/>
  <c r="BC67" i="1"/>
  <c r="BC80" i="1"/>
  <c r="BC141" i="1"/>
  <c r="BC157" i="1"/>
  <c r="BC188" i="1"/>
  <c r="BC183" i="1"/>
  <c r="BC204" i="1"/>
  <c r="BC216" i="1"/>
  <c r="BC142" i="1"/>
  <c r="BC110" i="1"/>
  <c r="BC221" i="1"/>
  <c r="BC187" i="1"/>
  <c r="BC37" i="1"/>
  <c r="BC97" i="1"/>
  <c r="BC38" i="1"/>
  <c r="BC68" i="1"/>
  <c r="BC70" i="1"/>
  <c r="BC83" i="1"/>
  <c r="BC94" i="1"/>
  <c r="BC164" i="1"/>
  <c r="BC143" i="1"/>
  <c r="BC160" i="1"/>
  <c r="BC194" i="1"/>
  <c r="BC189" i="1"/>
  <c r="BC226" i="1"/>
  <c r="BC219" i="1"/>
  <c r="BC165" i="1"/>
  <c r="BC285" i="1"/>
  <c r="BC263" i="1"/>
  <c r="BC210" i="1"/>
  <c r="BC39" i="1"/>
  <c r="BC231" i="1"/>
  <c r="BC44" i="1"/>
  <c r="BC71" i="1"/>
  <c r="BC96" i="1"/>
  <c r="BC230" i="1"/>
  <c r="BC144" i="1"/>
  <c r="BC166" i="1"/>
  <c r="BC200" i="1"/>
  <c r="BC113" i="1"/>
  <c r="BC222" i="1"/>
  <c r="BC145" i="1"/>
  <c r="BC138" i="1"/>
  <c r="BC286" i="1"/>
  <c r="BC289" i="1"/>
  <c r="BC79" i="1"/>
  <c r="BC274" i="1"/>
  <c r="BC211" i="1"/>
  <c r="BC48" i="1"/>
  <c r="BC40" i="1"/>
  <c r="BC242" i="1"/>
  <c r="BC45" i="1"/>
  <c r="BC53" i="1"/>
  <c r="BC72" i="1"/>
  <c r="BC232" i="1"/>
  <c r="BC241" i="1"/>
  <c r="BC167" i="1"/>
  <c r="BC146" i="1"/>
  <c r="BC177" i="1"/>
  <c r="BC168" i="1"/>
  <c r="BC139" i="1"/>
  <c r="BC161" i="1"/>
  <c r="BC124" i="1"/>
  <c r="BC84" i="1"/>
  <c r="BC69" i="1"/>
  <c r="BC195" i="1"/>
  <c r="BC237" i="1"/>
  <c r="BC201" i="1"/>
  <c r="BC49" i="1"/>
  <c r="BC57" i="1"/>
  <c r="BC74" i="1"/>
  <c r="BC253" i="1"/>
  <c r="BC243" i="1"/>
  <c r="BC147" i="1"/>
  <c r="BC169" i="1"/>
  <c r="BC207" i="1"/>
  <c r="BC148" i="1"/>
  <c r="BC162" i="1"/>
  <c r="BC127" i="1"/>
  <c r="BC287" i="1"/>
  <c r="BC85" i="1"/>
  <c r="BC99" i="1"/>
  <c r="BC73" i="1"/>
  <c r="BC63" i="1"/>
  <c r="BD50" i="1"/>
  <c r="BC50" i="1"/>
  <c r="BB50" i="1"/>
  <c r="BA50" i="1"/>
  <c r="AZ50" i="1"/>
  <c r="AY50" i="1"/>
  <c r="AX50" i="1"/>
  <c r="AW50" i="1"/>
  <c r="AV50" i="1"/>
  <c r="AU50" i="1"/>
  <c r="AT50" i="1"/>
  <c r="AS50" i="1"/>
  <c r="AR50" i="1"/>
  <c r="AQ50" i="1"/>
  <c r="AP50" i="1"/>
  <c r="AO50" i="1"/>
  <c r="J50" i="1"/>
  <c r="BD294" i="1"/>
  <c r="BC294" i="1"/>
  <c r="BB294" i="1"/>
  <c r="BA294" i="1"/>
  <c r="AZ294" i="1"/>
  <c r="AY294" i="1"/>
  <c r="AX294" i="1"/>
  <c r="AW294" i="1"/>
  <c r="AV294" i="1"/>
  <c r="AU294" i="1"/>
  <c r="AT294" i="1"/>
  <c r="AS294" i="1"/>
  <c r="AR294" i="1"/>
  <c r="AQ294" i="1"/>
  <c r="AP294" i="1"/>
  <c r="AO294" i="1"/>
  <c r="J294" i="1"/>
  <c r="BD117" i="1"/>
  <c r="BC117" i="1"/>
  <c r="BB117" i="1"/>
  <c r="BA117" i="1"/>
  <c r="AZ117" i="1"/>
  <c r="AY117" i="1"/>
  <c r="AX117" i="1"/>
  <c r="AW117" i="1"/>
  <c r="AV117" i="1"/>
  <c r="AU117" i="1"/>
  <c r="AT117" i="1"/>
  <c r="AS117" i="1"/>
  <c r="AR117" i="1"/>
  <c r="AQ117" i="1"/>
  <c r="AP117" i="1"/>
  <c r="AO117" i="1"/>
  <c r="J117" i="1"/>
  <c r="BD295" i="1"/>
  <c r="BC295" i="1"/>
  <c r="BB295" i="1"/>
  <c r="BA295" i="1"/>
  <c r="AZ295" i="1"/>
  <c r="AY295" i="1"/>
  <c r="AX295" i="1"/>
  <c r="AW295" i="1"/>
  <c r="AV295" i="1"/>
  <c r="AU295" i="1"/>
  <c r="AT295" i="1"/>
  <c r="AS295" i="1"/>
  <c r="AR295" i="1"/>
  <c r="AQ295" i="1"/>
  <c r="AP295" i="1"/>
  <c r="AO295" i="1"/>
  <c r="J295" i="1"/>
  <c r="O295" i="1" s="1"/>
  <c r="I131" i="1"/>
  <c r="O63" i="1"/>
  <c r="I60" i="1"/>
  <c r="O73" i="1"/>
  <c r="I234" i="1"/>
  <c r="O99" i="1"/>
  <c r="BD264" i="1"/>
  <c r="BC264" i="1"/>
  <c r="BB264" i="1"/>
  <c r="BA264" i="1"/>
  <c r="AZ264" i="1"/>
  <c r="AY264" i="1"/>
  <c r="AX264" i="1"/>
  <c r="AW264" i="1"/>
  <c r="AV264" i="1"/>
  <c r="AU264" i="1"/>
  <c r="AT264" i="1"/>
  <c r="AS264" i="1"/>
  <c r="AR264" i="1"/>
  <c r="AQ264" i="1"/>
  <c r="AP264" i="1"/>
  <c r="AO264" i="1"/>
  <c r="J264" i="1"/>
  <c r="BD254" i="1"/>
  <c r="BC254" i="1"/>
  <c r="BB254" i="1"/>
  <c r="BA254" i="1"/>
  <c r="AZ254" i="1"/>
  <c r="AY254" i="1"/>
  <c r="AX254" i="1"/>
  <c r="AW254" i="1"/>
  <c r="AV254" i="1"/>
  <c r="AU254" i="1"/>
  <c r="AT254" i="1"/>
  <c r="AS254" i="1"/>
  <c r="AR254" i="1"/>
  <c r="AQ254" i="1"/>
  <c r="AP254" i="1"/>
  <c r="AO254" i="1"/>
  <c r="J254" i="1"/>
  <c r="BD244" i="1"/>
  <c r="BC244" i="1"/>
  <c r="BB244" i="1"/>
  <c r="BA244" i="1"/>
  <c r="AZ244" i="1"/>
  <c r="AY244" i="1"/>
  <c r="AX244" i="1"/>
  <c r="AW244" i="1"/>
  <c r="AV244" i="1"/>
  <c r="AU244" i="1"/>
  <c r="AT244" i="1"/>
  <c r="AS244" i="1"/>
  <c r="AR244" i="1"/>
  <c r="AQ244" i="1"/>
  <c r="AP244" i="1"/>
  <c r="AO244" i="1"/>
  <c r="J244" i="1"/>
  <c r="O85" i="1"/>
  <c r="I118" i="1"/>
  <c r="I128" i="1"/>
  <c r="O127" i="1"/>
  <c r="O162" i="1"/>
  <c r="I171" i="1"/>
  <c r="BD170" i="1"/>
  <c r="BC170" i="1"/>
  <c r="BB170" i="1"/>
  <c r="BA170" i="1"/>
  <c r="AZ170" i="1"/>
  <c r="AY170" i="1"/>
  <c r="AX170" i="1"/>
  <c r="AW170" i="1"/>
  <c r="AV170" i="1"/>
  <c r="AU170" i="1"/>
  <c r="AT170" i="1"/>
  <c r="AS170" i="1"/>
  <c r="AR170" i="1"/>
  <c r="AQ170" i="1"/>
  <c r="AP170" i="1"/>
  <c r="AO170" i="1"/>
  <c r="J170" i="1"/>
  <c r="BD149" i="1"/>
  <c r="BC149" i="1"/>
  <c r="BB149" i="1"/>
  <c r="BA149" i="1"/>
  <c r="AZ149" i="1"/>
  <c r="AY149" i="1"/>
  <c r="AX149" i="1"/>
  <c r="AW149" i="1"/>
  <c r="AV149" i="1"/>
  <c r="AU149" i="1"/>
  <c r="AT149" i="1"/>
  <c r="AS149" i="1"/>
  <c r="AR149" i="1"/>
  <c r="AQ149" i="1"/>
  <c r="AP149" i="1"/>
  <c r="AO149" i="1"/>
  <c r="J149" i="1"/>
  <c r="I150" i="1" l="1"/>
  <c r="O149" i="1"/>
  <c r="I172" i="1"/>
  <c r="I153" i="1"/>
  <c r="O170" i="1"/>
  <c r="BD171" i="1"/>
  <c r="BC171" i="1"/>
  <c r="BB171" i="1"/>
  <c r="BA171" i="1"/>
  <c r="AZ171" i="1"/>
  <c r="AY171" i="1"/>
  <c r="AX171" i="1"/>
  <c r="AW171" i="1"/>
  <c r="AV171" i="1"/>
  <c r="AU171" i="1"/>
  <c r="AT171" i="1"/>
  <c r="AS171" i="1"/>
  <c r="AR171" i="1"/>
  <c r="AQ171" i="1"/>
  <c r="AP171" i="1"/>
  <c r="AO171" i="1"/>
  <c r="J171" i="1"/>
  <c r="O171" i="1" s="1"/>
  <c r="BD128" i="1"/>
  <c r="BC128" i="1"/>
  <c r="BB128" i="1"/>
  <c r="BA128" i="1"/>
  <c r="AZ128" i="1"/>
  <c r="AY128" i="1"/>
  <c r="AX128" i="1"/>
  <c r="AW128" i="1"/>
  <c r="AV128" i="1"/>
  <c r="AU128" i="1"/>
  <c r="AT128" i="1"/>
  <c r="AS128" i="1"/>
  <c r="AR128" i="1"/>
  <c r="AQ128" i="1"/>
  <c r="AP128" i="1"/>
  <c r="AO128" i="1"/>
  <c r="J128" i="1"/>
  <c r="BD118" i="1"/>
  <c r="BC118" i="1"/>
  <c r="BB118" i="1"/>
  <c r="BA118" i="1"/>
  <c r="AZ118" i="1"/>
  <c r="AY118" i="1"/>
  <c r="AX118" i="1"/>
  <c r="AW118" i="1"/>
  <c r="AV118" i="1"/>
  <c r="AU118" i="1"/>
  <c r="AT118" i="1"/>
  <c r="AS118" i="1"/>
  <c r="AR118" i="1"/>
  <c r="AQ118" i="1"/>
  <c r="AP118" i="1"/>
  <c r="AO118" i="1"/>
  <c r="J118" i="1"/>
  <c r="I245" i="1"/>
  <c r="O244" i="1"/>
  <c r="I255" i="1"/>
  <c r="O254" i="1"/>
  <c r="I265" i="1"/>
  <c r="I275" i="1"/>
  <c r="O264" i="1"/>
  <c r="BD234" i="1"/>
  <c r="BC234" i="1"/>
  <c r="BB234" i="1"/>
  <c r="BA234" i="1"/>
  <c r="AZ234" i="1"/>
  <c r="AY234" i="1"/>
  <c r="AX234" i="1"/>
  <c r="AW234" i="1"/>
  <c r="AV234" i="1"/>
  <c r="AU234" i="1"/>
  <c r="AT234" i="1"/>
  <c r="AS234" i="1"/>
  <c r="AR234" i="1"/>
  <c r="AQ234" i="1"/>
  <c r="AP234" i="1"/>
  <c r="AO234" i="1"/>
  <c r="J234" i="1"/>
  <c r="BD60" i="1"/>
  <c r="BC60" i="1"/>
  <c r="BB60" i="1"/>
  <c r="BA60" i="1"/>
  <c r="AZ60" i="1"/>
  <c r="AY60" i="1"/>
  <c r="AX60" i="1"/>
  <c r="AW60" i="1"/>
  <c r="AV60" i="1"/>
  <c r="AU60" i="1"/>
  <c r="AT60" i="1"/>
  <c r="AS60" i="1"/>
  <c r="AR60" i="1"/>
  <c r="AQ60" i="1"/>
  <c r="AP60" i="1"/>
  <c r="AO60" i="1"/>
  <c r="J60" i="1"/>
  <c r="BD131" i="1"/>
  <c r="BC131" i="1"/>
  <c r="BB131" i="1"/>
  <c r="BA131" i="1"/>
  <c r="AZ131" i="1"/>
  <c r="AY131" i="1"/>
  <c r="AX131" i="1"/>
  <c r="AW131" i="1"/>
  <c r="AV131" i="1"/>
  <c r="AU131" i="1"/>
  <c r="AT131" i="1"/>
  <c r="AS131" i="1"/>
  <c r="AR131" i="1"/>
  <c r="AQ131" i="1"/>
  <c r="AP131" i="1"/>
  <c r="AO131" i="1"/>
  <c r="J131" i="1"/>
  <c r="O117" i="1"/>
  <c r="I65" i="1"/>
  <c r="O294" i="1"/>
  <c r="I91" i="1"/>
  <c r="O50" i="1"/>
  <c r="R4" i="2"/>
  <c r="BD305" i="1"/>
  <c r="BD304" i="1"/>
  <c r="BD303" i="1"/>
  <c r="BD302" i="1"/>
  <c r="BD301" i="1"/>
  <c r="BD300" i="1"/>
  <c r="BD299" i="1"/>
  <c r="BD298" i="1"/>
  <c r="BD297" i="1"/>
  <c r="BD126" i="1"/>
  <c r="BD123" i="1"/>
  <c r="BD107" i="1"/>
  <c r="BD98" i="1"/>
  <c r="BD95" i="1"/>
  <c r="BD81" i="1"/>
  <c r="BD77" i="1"/>
  <c r="BD58" i="1"/>
  <c r="BD54" i="1"/>
  <c r="BD41" i="1"/>
  <c r="BD33" i="1"/>
  <c r="BD32" i="1"/>
  <c r="BD31" i="1"/>
  <c r="BD30" i="1"/>
  <c r="BD29" i="1"/>
  <c r="BD28" i="1"/>
  <c r="BD27" i="1"/>
  <c r="BD26" i="1"/>
  <c r="BD25" i="1"/>
  <c r="BD24" i="1"/>
  <c r="BD23" i="1"/>
  <c r="BD22" i="1"/>
  <c r="BD21" i="1"/>
  <c r="BD20" i="1"/>
  <c r="BD19" i="1"/>
  <c r="BD18" i="1"/>
  <c r="BD17" i="1"/>
  <c r="BD16" i="1"/>
  <c r="BD15" i="1"/>
  <c r="BD14" i="1"/>
  <c r="BD13" i="1"/>
  <c r="BD12" i="1"/>
  <c r="BD11" i="1"/>
  <c r="BD10" i="1"/>
  <c r="BD9" i="1"/>
  <c r="BD8" i="1"/>
  <c r="BD7" i="1"/>
  <c r="BD6" i="1"/>
  <c r="BD5" i="1"/>
  <c r="BE4" i="1"/>
  <c r="BD3" i="1"/>
  <c r="R3" i="2" s="1"/>
  <c r="BD42" i="1"/>
  <c r="BD43" i="1"/>
  <c r="BD52" i="1"/>
  <c r="BD56" i="1"/>
  <c r="BD108" i="1"/>
  <c r="BD135" i="1"/>
  <c r="BD180" i="1"/>
  <c r="BD208" i="1"/>
  <c r="BD181" i="1"/>
  <c r="BD186" i="1"/>
  <c r="BD192" i="1"/>
  <c r="BD198" i="1"/>
  <c r="BD136" i="1"/>
  <c r="BD109" i="1"/>
  <c r="BD82" i="1"/>
  <c r="BD78" i="1"/>
  <c r="BD215" i="1"/>
  <c r="BD193" i="1"/>
  <c r="BD199" i="1"/>
  <c r="BD233" i="1"/>
  <c r="BD34" i="1"/>
  <c r="BD46" i="1"/>
  <c r="BD55" i="1"/>
  <c r="BD122" i="1"/>
  <c r="BD59" i="1"/>
  <c r="BD125" i="1"/>
  <c r="BD137" i="1"/>
  <c r="BD158" i="1"/>
  <c r="BD182" i="1"/>
  <c r="BD213" i="1"/>
  <c r="BD209" i="1"/>
  <c r="BD214" i="1"/>
  <c r="BD217" i="1"/>
  <c r="BD220" i="1"/>
  <c r="BD159" i="1"/>
  <c r="BD218" i="1"/>
  <c r="BD252" i="1"/>
  <c r="BD35" i="1"/>
  <c r="BD76" i="1"/>
  <c r="BD36" i="1"/>
  <c r="BD47" i="1"/>
  <c r="BD67" i="1"/>
  <c r="BD80" i="1"/>
  <c r="BD141" i="1"/>
  <c r="BD157" i="1"/>
  <c r="BD188" i="1"/>
  <c r="BD183" i="1"/>
  <c r="BD204" i="1"/>
  <c r="BD216" i="1"/>
  <c r="BD142" i="1"/>
  <c r="BD110" i="1"/>
  <c r="BD221" i="1"/>
  <c r="BD187" i="1"/>
  <c r="BD37" i="1"/>
  <c r="BD97" i="1"/>
  <c r="BD38" i="1"/>
  <c r="BD68" i="1"/>
  <c r="BD70" i="1"/>
  <c r="BD83" i="1"/>
  <c r="BD94" i="1"/>
  <c r="BD164" i="1"/>
  <c r="BD143" i="1"/>
  <c r="BD160" i="1"/>
  <c r="BD194" i="1"/>
  <c r="BD189" i="1"/>
  <c r="BD226" i="1"/>
  <c r="BD219" i="1"/>
  <c r="BD165" i="1"/>
  <c r="BD285" i="1"/>
  <c r="BD263" i="1"/>
  <c r="BD210" i="1"/>
  <c r="BD39" i="1"/>
  <c r="BD231" i="1"/>
  <c r="BD44" i="1"/>
  <c r="BD71" i="1"/>
  <c r="BD96" i="1"/>
  <c r="BD230" i="1"/>
  <c r="BD144" i="1"/>
  <c r="BD166" i="1"/>
  <c r="BD200" i="1"/>
  <c r="BD113" i="1"/>
  <c r="BD222" i="1"/>
  <c r="BD145" i="1"/>
  <c r="BD138" i="1"/>
  <c r="BD286" i="1"/>
  <c r="BD289" i="1"/>
  <c r="BD79" i="1"/>
  <c r="BD274" i="1"/>
  <c r="BD211" i="1"/>
  <c r="BD48" i="1"/>
  <c r="BD40" i="1"/>
  <c r="BD242" i="1"/>
  <c r="BD45" i="1"/>
  <c r="BD53" i="1"/>
  <c r="BD72" i="1"/>
  <c r="BD232" i="1"/>
  <c r="BD241" i="1"/>
  <c r="BD167" i="1"/>
  <c r="BD146" i="1"/>
  <c r="BD177" i="1"/>
  <c r="BD168" i="1"/>
  <c r="BD139" i="1"/>
  <c r="BD161" i="1"/>
  <c r="BD124" i="1"/>
  <c r="BD84" i="1"/>
  <c r="BD69" i="1"/>
  <c r="BD195" i="1"/>
  <c r="BD237" i="1"/>
  <c r="BD201" i="1"/>
  <c r="BD49" i="1"/>
  <c r="BD57" i="1"/>
  <c r="BD74" i="1"/>
  <c r="BD253" i="1"/>
  <c r="BD243" i="1"/>
  <c r="BD147" i="1"/>
  <c r="BD169" i="1"/>
  <c r="BD207" i="1"/>
  <c r="BD148" i="1"/>
  <c r="BD162" i="1"/>
  <c r="BD127" i="1"/>
  <c r="BD287" i="1"/>
  <c r="BD85" i="1"/>
  <c r="BD99" i="1"/>
  <c r="BD73" i="1"/>
  <c r="BD63" i="1"/>
  <c r="S4" i="2" l="1"/>
  <c r="BE305" i="1"/>
  <c r="BE304" i="1"/>
  <c r="BE303" i="1"/>
  <c r="BE302" i="1"/>
  <c r="BE301" i="1"/>
  <c r="BE300" i="1"/>
  <c r="BE299" i="1"/>
  <c r="BE298" i="1"/>
  <c r="BE297" i="1"/>
  <c r="BE126" i="1"/>
  <c r="BE123" i="1"/>
  <c r="BE107" i="1"/>
  <c r="BE98" i="1"/>
  <c r="BE95" i="1"/>
  <c r="BE81" i="1"/>
  <c r="BE77" i="1"/>
  <c r="BE58" i="1"/>
  <c r="BE54" i="1"/>
  <c r="BE41" i="1"/>
  <c r="BE33" i="1"/>
  <c r="BE32" i="1"/>
  <c r="BE31" i="1"/>
  <c r="BE30" i="1"/>
  <c r="BE29" i="1"/>
  <c r="BE28" i="1"/>
  <c r="BE27" i="1"/>
  <c r="BE26" i="1"/>
  <c r="BE25" i="1"/>
  <c r="BE24" i="1"/>
  <c r="BE23" i="1"/>
  <c r="BE22" i="1"/>
  <c r="BE21" i="1"/>
  <c r="BE20" i="1"/>
  <c r="BE19" i="1"/>
  <c r="BE18" i="1"/>
  <c r="BE17" i="1"/>
  <c r="BE16" i="1"/>
  <c r="BE15" i="1"/>
  <c r="BE14" i="1"/>
  <c r="BE13" i="1"/>
  <c r="BE12" i="1"/>
  <c r="BE11" i="1"/>
  <c r="BE10" i="1"/>
  <c r="BE9" i="1"/>
  <c r="BE8" i="1"/>
  <c r="BE7" i="1"/>
  <c r="BE6" i="1"/>
  <c r="BE5" i="1"/>
  <c r="BF4" i="1"/>
  <c r="BE3" i="1"/>
  <c r="S3" i="2" s="1"/>
  <c r="BE42" i="1"/>
  <c r="BE43" i="1"/>
  <c r="BE52" i="1"/>
  <c r="BE56" i="1"/>
  <c r="BE108" i="1"/>
  <c r="BE135" i="1"/>
  <c r="BE180" i="1"/>
  <c r="BE208" i="1"/>
  <c r="BE181" i="1"/>
  <c r="BE186" i="1"/>
  <c r="BE192" i="1"/>
  <c r="BE198" i="1"/>
  <c r="BE136" i="1"/>
  <c r="BE109" i="1"/>
  <c r="BE82" i="1"/>
  <c r="BE78" i="1"/>
  <c r="BE215" i="1"/>
  <c r="BE193" i="1"/>
  <c r="BE199" i="1"/>
  <c r="BE233" i="1"/>
  <c r="BE34" i="1"/>
  <c r="BE46" i="1"/>
  <c r="BE55" i="1"/>
  <c r="BE122" i="1"/>
  <c r="BE59" i="1"/>
  <c r="BE125" i="1"/>
  <c r="BE137" i="1"/>
  <c r="BE158" i="1"/>
  <c r="BE182" i="1"/>
  <c r="BE213" i="1"/>
  <c r="BE209" i="1"/>
  <c r="BE214" i="1"/>
  <c r="BE217" i="1"/>
  <c r="BE220" i="1"/>
  <c r="BE159" i="1"/>
  <c r="BE218" i="1"/>
  <c r="BE252" i="1"/>
  <c r="BE35" i="1"/>
  <c r="BE76" i="1"/>
  <c r="BE36" i="1"/>
  <c r="BE47" i="1"/>
  <c r="BE67" i="1"/>
  <c r="BE80" i="1"/>
  <c r="BE141" i="1"/>
  <c r="BE157" i="1"/>
  <c r="BE188" i="1"/>
  <c r="BE183" i="1"/>
  <c r="BE204" i="1"/>
  <c r="BE216" i="1"/>
  <c r="BE142" i="1"/>
  <c r="BE110" i="1"/>
  <c r="BE221" i="1"/>
  <c r="BE187" i="1"/>
  <c r="BE37" i="1"/>
  <c r="BE97" i="1"/>
  <c r="BE38" i="1"/>
  <c r="BE68" i="1"/>
  <c r="BE70" i="1"/>
  <c r="BE83" i="1"/>
  <c r="BE94" i="1"/>
  <c r="BE164" i="1"/>
  <c r="BE143" i="1"/>
  <c r="BE160" i="1"/>
  <c r="BE194" i="1"/>
  <c r="BE189" i="1"/>
  <c r="BE226" i="1"/>
  <c r="BE219" i="1"/>
  <c r="BE165" i="1"/>
  <c r="BE285" i="1"/>
  <c r="BE263" i="1"/>
  <c r="BE210" i="1"/>
  <c r="BE39" i="1"/>
  <c r="BE231" i="1"/>
  <c r="BE44" i="1"/>
  <c r="BE71" i="1"/>
  <c r="BE96" i="1"/>
  <c r="BE230" i="1"/>
  <c r="BE144" i="1"/>
  <c r="BE166" i="1"/>
  <c r="BE200" i="1"/>
  <c r="BE113" i="1"/>
  <c r="BE222" i="1"/>
  <c r="BE145" i="1"/>
  <c r="BE138" i="1"/>
  <c r="BE286" i="1"/>
  <c r="BE289" i="1"/>
  <c r="BE79" i="1"/>
  <c r="BE274" i="1"/>
  <c r="BE211" i="1"/>
  <c r="BE48" i="1"/>
  <c r="BE40" i="1"/>
  <c r="BE242" i="1"/>
  <c r="BE45" i="1"/>
  <c r="BE53" i="1"/>
  <c r="BE72" i="1"/>
  <c r="BE232" i="1"/>
  <c r="BE241" i="1"/>
  <c r="BE167" i="1"/>
  <c r="BE146" i="1"/>
  <c r="BE177" i="1"/>
  <c r="BE168" i="1"/>
  <c r="BE139" i="1"/>
  <c r="BE161" i="1"/>
  <c r="BE124" i="1"/>
  <c r="BE84" i="1"/>
  <c r="BE69" i="1"/>
  <c r="BE195" i="1"/>
  <c r="BE237" i="1"/>
  <c r="BE201" i="1"/>
  <c r="BE49" i="1"/>
  <c r="BE57" i="1"/>
  <c r="BE74" i="1"/>
  <c r="BE253" i="1"/>
  <c r="BE243" i="1"/>
  <c r="BE147" i="1"/>
  <c r="BE169" i="1"/>
  <c r="BE207" i="1"/>
  <c r="BE148" i="1"/>
  <c r="BE162" i="1"/>
  <c r="BE127" i="1"/>
  <c r="BE287" i="1"/>
  <c r="BE85" i="1"/>
  <c r="BE99" i="1"/>
  <c r="BE73" i="1"/>
  <c r="BE63" i="1"/>
  <c r="BE50" i="1"/>
  <c r="BE294" i="1"/>
  <c r="BE117" i="1"/>
  <c r="BE295" i="1"/>
  <c r="BE264" i="1"/>
  <c r="BE254" i="1"/>
  <c r="BE244" i="1"/>
  <c r="BE170" i="1"/>
  <c r="BE149" i="1"/>
  <c r="BE171" i="1"/>
  <c r="BE128" i="1"/>
  <c r="BE118" i="1"/>
  <c r="BE234" i="1"/>
  <c r="BE60" i="1"/>
  <c r="BE131" i="1"/>
  <c r="BF91" i="1"/>
  <c r="BE91" i="1"/>
  <c r="BD91" i="1"/>
  <c r="BC91" i="1"/>
  <c r="BB91" i="1"/>
  <c r="BA91" i="1"/>
  <c r="AZ91" i="1"/>
  <c r="AY91" i="1"/>
  <c r="AX91" i="1"/>
  <c r="AW91" i="1"/>
  <c r="AV91" i="1"/>
  <c r="AU91" i="1"/>
  <c r="AT91" i="1"/>
  <c r="AS91" i="1"/>
  <c r="AR91" i="1"/>
  <c r="AQ91" i="1"/>
  <c r="AP91" i="1"/>
  <c r="AO91" i="1"/>
  <c r="J91" i="1"/>
  <c r="BF65" i="1"/>
  <c r="BE65" i="1"/>
  <c r="BD65" i="1"/>
  <c r="BC65" i="1"/>
  <c r="BB65" i="1"/>
  <c r="BA65" i="1"/>
  <c r="AZ65" i="1"/>
  <c r="AY65" i="1"/>
  <c r="AX65" i="1"/>
  <c r="AW65" i="1"/>
  <c r="AV65" i="1"/>
  <c r="AU65" i="1"/>
  <c r="AT65" i="1"/>
  <c r="AS65" i="1"/>
  <c r="AR65" i="1"/>
  <c r="AQ65" i="1"/>
  <c r="AP65" i="1"/>
  <c r="AO65" i="1"/>
  <c r="J65" i="1"/>
  <c r="I87" i="1"/>
  <c r="O131" i="1"/>
  <c r="I61" i="1"/>
  <c r="O60" i="1"/>
  <c r="O234" i="1"/>
  <c r="BF275" i="1"/>
  <c r="BE275" i="1"/>
  <c r="BD275" i="1"/>
  <c r="BC275" i="1"/>
  <c r="BB275" i="1"/>
  <c r="BA275" i="1"/>
  <c r="AZ275" i="1"/>
  <c r="AY275" i="1"/>
  <c r="AX275" i="1"/>
  <c r="AW275" i="1"/>
  <c r="AV275" i="1"/>
  <c r="AU275" i="1"/>
  <c r="AT275" i="1"/>
  <c r="AS275" i="1"/>
  <c r="AR275" i="1"/>
  <c r="AQ275" i="1"/>
  <c r="AP275" i="1"/>
  <c r="AO275" i="1"/>
  <c r="J275" i="1"/>
  <c r="BF265" i="1"/>
  <c r="BE265" i="1"/>
  <c r="BD265" i="1"/>
  <c r="BC265" i="1"/>
  <c r="BB265" i="1"/>
  <c r="BA265" i="1"/>
  <c r="AZ265" i="1"/>
  <c r="AY265" i="1"/>
  <c r="AX265" i="1"/>
  <c r="AW265" i="1"/>
  <c r="AV265" i="1"/>
  <c r="AU265" i="1"/>
  <c r="AT265" i="1"/>
  <c r="AS265" i="1"/>
  <c r="AR265" i="1"/>
  <c r="AQ265" i="1"/>
  <c r="AP265" i="1"/>
  <c r="AO265" i="1"/>
  <c r="J265" i="1"/>
  <c r="BF255" i="1"/>
  <c r="BE255" i="1"/>
  <c r="BD255" i="1"/>
  <c r="BC255" i="1"/>
  <c r="BB255" i="1"/>
  <c r="BA255" i="1"/>
  <c r="AZ255" i="1"/>
  <c r="AY255" i="1"/>
  <c r="AX255" i="1"/>
  <c r="AW255" i="1"/>
  <c r="AV255" i="1"/>
  <c r="AU255" i="1"/>
  <c r="AT255" i="1"/>
  <c r="AS255" i="1"/>
  <c r="AR255" i="1"/>
  <c r="AQ255" i="1"/>
  <c r="AP255" i="1"/>
  <c r="AO255" i="1"/>
  <c r="J255" i="1"/>
  <c r="BF245" i="1"/>
  <c r="BE245" i="1"/>
  <c r="BD245" i="1"/>
  <c r="BC245" i="1"/>
  <c r="BB245" i="1"/>
  <c r="BA245" i="1"/>
  <c r="AZ245" i="1"/>
  <c r="AY245" i="1"/>
  <c r="AX245" i="1"/>
  <c r="AW245" i="1"/>
  <c r="AV245" i="1"/>
  <c r="AU245" i="1"/>
  <c r="AT245" i="1"/>
  <c r="AS245" i="1"/>
  <c r="AR245" i="1"/>
  <c r="AQ245" i="1"/>
  <c r="AP245" i="1"/>
  <c r="AO245" i="1"/>
  <c r="J245" i="1"/>
  <c r="I288" i="1"/>
  <c r="O118" i="1"/>
  <c r="I129" i="1"/>
  <c r="I101" i="1"/>
  <c r="O128" i="1"/>
  <c r="BF153" i="1"/>
  <c r="BE153" i="1"/>
  <c r="BD153" i="1"/>
  <c r="BC153" i="1"/>
  <c r="BB153" i="1"/>
  <c r="BA153" i="1"/>
  <c r="AZ153" i="1"/>
  <c r="AY153" i="1"/>
  <c r="AX153" i="1"/>
  <c r="AW153" i="1"/>
  <c r="AV153" i="1"/>
  <c r="AU153" i="1"/>
  <c r="AT153" i="1"/>
  <c r="AS153" i="1"/>
  <c r="AR153" i="1"/>
  <c r="AQ153" i="1"/>
  <c r="AP153" i="1"/>
  <c r="AO153" i="1"/>
  <c r="J153" i="1"/>
  <c r="BF172" i="1"/>
  <c r="BE172" i="1"/>
  <c r="BD172" i="1"/>
  <c r="BC172" i="1"/>
  <c r="BB172" i="1"/>
  <c r="BA172" i="1"/>
  <c r="AZ172" i="1"/>
  <c r="AY172" i="1"/>
  <c r="AX172" i="1"/>
  <c r="AW172" i="1"/>
  <c r="AV172" i="1"/>
  <c r="AU172" i="1"/>
  <c r="AT172" i="1"/>
  <c r="AS172" i="1"/>
  <c r="AR172" i="1"/>
  <c r="AQ172" i="1"/>
  <c r="AP172" i="1"/>
  <c r="AO172" i="1"/>
  <c r="J172" i="1"/>
  <c r="BF150" i="1"/>
  <c r="BE150" i="1"/>
  <c r="BD150" i="1"/>
  <c r="BC150" i="1"/>
  <c r="BB150" i="1"/>
  <c r="BA150" i="1"/>
  <c r="AZ150" i="1"/>
  <c r="AY150" i="1"/>
  <c r="AX150" i="1"/>
  <c r="AW150" i="1"/>
  <c r="AV150" i="1"/>
  <c r="AU150" i="1"/>
  <c r="AT150" i="1"/>
  <c r="AS150" i="1"/>
  <c r="AR150" i="1"/>
  <c r="AQ150" i="1"/>
  <c r="AP150" i="1"/>
  <c r="AO150" i="1"/>
  <c r="J150" i="1"/>
  <c r="I151" i="1" l="1"/>
  <c r="O150" i="1"/>
  <c r="O172" i="1"/>
  <c r="I176" i="1"/>
  <c r="O153" i="1"/>
  <c r="BF101" i="1"/>
  <c r="BE101" i="1"/>
  <c r="BD101" i="1"/>
  <c r="BC101" i="1"/>
  <c r="BB101" i="1"/>
  <c r="BA101" i="1"/>
  <c r="AZ101" i="1"/>
  <c r="AY101" i="1"/>
  <c r="AX101" i="1"/>
  <c r="AW101" i="1"/>
  <c r="AV101" i="1"/>
  <c r="AU101" i="1"/>
  <c r="AT101" i="1"/>
  <c r="AS101" i="1"/>
  <c r="AR101" i="1"/>
  <c r="AQ101" i="1"/>
  <c r="AP101" i="1"/>
  <c r="AO101" i="1"/>
  <c r="J101" i="1"/>
  <c r="BF129" i="1"/>
  <c r="BE129" i="1"/>
  <c r="BD129" i="1"/>
  <c r="BC129" i="1"/>
  <c r="BB129" i="1"/>
  <c r="BA129" i="1"/>
  <c r="AZ129" i="1"/>
  <c r="AY129" i="1"/>
  <c r="AX129" i="1"/>
  <c r="AW129" i="1"/>
  <c r="AV129" i="1"/>
  <c r="AU129" i="1"/>
  <c r="AT129" i="1"/>
  <c r="AS129" i="1"/>
  <c r="AR129" i="1"/>
  <c r="AQ129" i="1"/>
  <c r="AP129" i="1"/>
  <c r="AO129" i="1"/>
  <c r="J129" i="1"/>
  <c r="BF288" i="1"/>
  <c r="BE288" i="1"/>
  <c r="BD288" i="1"/>
  <c r="BC288" i="1"/>
  <c r="BB288" i="1"/>
  <c r="BA288" i="1"/>
  <c r="AZ288" i="1"/>
  <c r="AY288" i="1"/>
  <c r="AX288" i="1"/>
  <c r="AW288" i="1"/>
  <c r="AV288" i="1"/>
  <c r="AU288" i="1"/>
  <c r="AT288" i="1"/>
  <c r="AS288" i="1"/>
  <c r="AR288" i="1"/>
  <c r="AQ288" i="1"/>
  <c r="AP288" i="1"/>
  <c r="AO288" i="1"/>
  <c r="J288" i="1"/>
  <c r="I246" i="1"/>
  <c r="I111" i="1"/>
  <c r="O245" i="1"/>
  <c r="O255" i="1"/>
  <c r="I266" i="1"/>
  <c r="O265" i="1"/>
  <c r="I276" i="1"/>
  <c r="I248" i="1"/>
  <c r="O275" i="1"/>
  <c r="BF61" i="1"/>
  <c r="BE61" i="1"/>
  <c r="BD61" i="1"/>
  <c r="BC61" i="1"/>
  <c r="BB61" i="1"/>
  <c r="BA61" i="1"/>
  <c r="AZ61" i="1"/>
  <c r="AY61" i="1"/>
  <c r="AX61" i="1"/>
  <c r="AW61" i="1"/>
  <c r="AV61" i="1"/>
  <c r="AU61" i="1"/>
  <c r="AT61" i="1"/>
  <c r="AS61" i="1"/>
  <c r="AR61" i="1"/>
  <c r="AQ61" i="1"/>
  <c r="AP61" i="1"/>
  <c r="AO61" i="1"/>
  <c r="J61" i="1"/>
  <c r="BF87" i="1"/>
  <c r="BE87" i="1"/>
  <c r="BD87" i="1"/>
  <c r="BC87" i="1"/>
  <c r="BB87" i="1"/>
  <c r="BA87" i="1"/>
  <c r="AZ87" i="1"/>
  <c r="AY87" i="1"/>
  <c r="AX87" i="1"/>
  <c r="AW87" i="1"/>
  <c r="AV87" i="1"/>
  <c r="AU87" i="1"/>
  <c r="AT87" i="1"/>
  <c r="AS87" i="1"/>
  <c r="AR87" i="1"/>
  <c r="AQ87" i="1"/>
  <c r="AP87" i="1"/>
  <c r="AO87" i="1"/>
  <c r="J87" i="1"/>
  <c r="I89" i="1"/>
  <c r="O65" i="1"/>
  <c r="I291" i="1"/>
  <c r="O91" i="1"/>
  <c r="T4" i="2"/>
  <c r="BF305" i="1"/>
  <c r="BF304" i="1"/>
  <c r="BF303" i="1"/>
  <c r="BF302" i="1"/>
  <c r="BF301" i="1"/>
  <c r="BF300" i="1"/>
  <c r="BF299" i="1"/>
  <c r="BF298" i="1"/>
  <c r="BF297" i="1"/>
  <c r="BF126" i="1"/>
  <c r="BF123" i="1"/>
  <c r="BF107" i="1"/>
  <c r="BF98" i="1"/>
  <c r="BF95" i="1"/>
  <c r="BF81" i="1"/>
  <c r="BF77" i="1"/>
  <c r="BF58" i="1"/>
  <c r="BF54" i="1"/>
  <c r="BF41" i="1"/>
  <c r="BF33" i="1"/>
  <c r="BF32" i="1"/>
  <c r="BF31" i="1"/>
  <c r="BF30" i="1"/>
  <c r="BF29" i="1"/>
  <c r="BF28" i="1"/>
  <c r="BF27" i="1"/>
  <c r="BF26" i="1"/>
  <c r="BF25" i="1"/>
  <c r="BF24" i="1"/>
  <c r="BF23" i="1"/>
  <c r="BF22" i="1"/>
  <c r="BF21" i="1"/>
  <c r="BF20" i="1"/>
  <c r="BF19" i="1"/>
  <c r="BF18" i="1"/>
  <c r="BF17" i="1"/>
  <c r="BF16" i="1"/>
  <c r="BF15" i="1"/>
  <c r="BF14" i="1"/>
  <c r="BF13" i="1"/>
  <c r="BF12" i="1"/>
  <c r="BF11" i="1"/>
  <c r="BF10" i="1"/>
  <c r="BF9" i="1"/>
  <c r="BF8" i="1"/>
  <c r="BF7" i="1"/>
  <c r="BF6" i="1"/>
  <c r="BF5" i="1"/>
  <c r="BG4" i="1"/>
  <c r="BF3" i="1"/>
  <c r="T3" i="2" s="1"/>
  <c r="BF42" i="1"/>
  <c r="BF43" i="1"/>
  <c r="BF52" i="1"/>
  <c r="BF56" i="1"/>
  <c r="BF108" i="1"/>
  <c r="BF135" i="1"/>
  <c r="BF180" i="1"/>
  <c r="BF208" i="1"/>
  <c r="BF181" i="1"/>
  <c r="BF186" i="1"/>
  <c r="BF192" i="1"/>
  <c r="BF198" i="1"/>
  <c r="BF136" i="1"/>
  <c r="BF109" i="1"/>
  <c r="BF82" i="1"/>
  <c r="BF78" i="1"/>
  <c r="BF215" i="1"/>
  <c r="BF193" i="1"/>
  <c r="BF199" i="1"/>
  <c r="BF233" i="1"/>
  <c r="BF34" i="1"/>
  <c r="BF46" i="1"/>
  <c r="BF55" i="1"/>
  <c r="BF122" i="1"/>
  <c r="BF59" i="1"/>
  <c r="BF125" i="1"/>
  <c r="BF137" i="1"/>
  <c r="BF158" i="1"/>
  <c r="BF182" i="1"/>
  <c r="BF213" i="1"/>
  <c r="BF209" i="1"/>
  <c r="BF214" i="1"/>
  <c r="BF217" i="1"/>
  <c r="BF220" i="1"/>
  <c r="BF159" i="1"/>
  <c r="BF218" i="1"/>
  <c r="BF252" i="1"/>
  <c r="BF35" i="1"/>
  <c r="BF76" i="1"/>
  <c r="BF36" i="1"/>
  <c r="BF47" i="1"/>
  <c r="BF67" i="1"/>
  <c r="BF80" i="1"/>
  <c r="BF141" i="1"/>
  <c r="BF157" i="1"/>
  <c r="BF188" i="1"/>
  <c r="BF183" i="1"/>
  <c r="BF204" i="1"/>
  <c r="BF216" i="1"/>
  <c r="BF142" i="1"/>
  <c r="BF110" i="1"/>
  <c r="BF221" i="1"/>
  <c r="BF187" i="1"/>
  <c r="BF37" i="1"/>
  <c r="BF97" i="1"/>
  <c r="BF38" i="1"/>
  <c r="BF68" i="1"/>
  <c r="BF70" i="1"/>
  <c r="BF83" i="1"/>
  <c r="BF94" i="1"/>
  <c r="BF164" i="1"/>
  <c r="BF143" i="1"/>
  <c r="BF160" i="1"/>
  <c r="BF194" i="1"/>
  <c r="BF189" i="1"/>
  <c r="BF226" i="1"/>
  <c r="BF219" i="1"/>
  <c r="BF165" i="1"/>
  <c r="BF285" i="1"/>
  <c r="BF263" i="1"/>
  <c r="BF210" i="1"/>
  <c r="BF39" i="1"/>
  <c r="BF231" i="1"/>
  <c r="BF44" i="1"/>
  <c r="BF71" i="1"/>
  <c r="BF96" i="1"/>
  <c r="BF230" i="1"/>
  <c r="BF144" i="1"/>
  <c r="BF166" i="1"/>
  <c r="BF200" i="1"/>
  <c r="BF113" i="1"/>
  <c r="BF222" i="1"/>
  <c r="BF145" i="1"/>
  <c r="BF138" i="1"/>
  <c r="BF286" i="1"/>
  <c r="BF289" i="1"/>
  <c r="BF79" i="1"/>
  <c r="BF274" i="1"/>
  <c r="BF211" i="1"/>
  <c r="BF48" i="1"/>
  <c r="BF40" i="1"/>
  <c r="BF242" i="1"/>
  <c r="BF45" i="1"/>
  <c r="BF53" i="1"/>
  <c r="BF72" i="1"/>
  <c r="BF232" i="1"/>
  <c r="BF241" i="1"/>
  <c r="BF167" i="1"/>
  <c r="BF146" i="1"/>
  <c r="BF177" i="1"/>
  <c r="BF168" i="1"/>
  <c r="BF139" i="1"/>
  <c r="BF161" i="1"/>
  <c r="BF124" i="1"/>
  <c r="BF84" i="1"/>
  <c r="BF69" i="1"/>
  <c r="BF195" i="1"/>
  <c r="BF237" i="1"/>
  <c r="BF201" i="1"/>
  <c r="BF49" i="1"/>
  <c r="BF57" i="1"/>
  <c r="BF74" i="1"/>
  <c r="BF253" i="1"/>
  <c r="BF243" i="1"/>
  <c r="BF147" i="1"/>
  <c r="BF169" i="1"/>
  <c r="BF207" i="1"/>
  <c r="BF148" i="1"/>
  <c r="BF162" i="1"/>
  <c r="BF127" i="1"/>
  <c r="BF287" i="1"/>
  <c r="BF85" i="1"/>
  <c r="BF99" i="1"/>
  <c r="BF73" i="1"/>
  <c r="BF63" i="1"/>
  <c r="BF50" i="1"/>
  <c r="BF294" i="1"/>
  <c r="BF117" i="1"/>
  <c r="BF295" i="1"/>
  <c r="BF264" i="1"/>
  <c r="BF254" i="1"/>
  <c r="BF244" i="1"/>
  <c r="BF170" i="1"/>
  <c r="BF149" i="1"/>
  <c r="BF171" i="1"/>
  <c r="BF128" i="1"/>
  <c r="BF118" i="1"/>
  <c r="BF234" i="1"/>
  <c r="BF60" i="1"/>
  <c r="BF131" i="1"/>
  <c r="U4" i="2" l="1"/>
  <c r="BG305" i="1"/>
  <c r="BG304" i="1"/>
  <c r="BG303" i="1"/>
  <c r="BG302" i="1"/>
  <c r="BG301" i="1"/>
  <c r="BG300" i="1"/>
  <c r="BG299" i="1"/>
  <c r="BG298" i="1"/>
  <c r="BG297" i="1"/>
  <c r="BG126" i="1"/>
  <c r="BG123" i="1"/>
  <c r="BG107" i="1"/>
  <c r="BG98" i="1"/>
  <c r="BG95" i="1"/>
  <c r="BG81" i="1"/>
  <c r="BG77" i="1"/>
  <c r="BG58" i="1"/>
  <c r="BG54" i="1"/>
  <c r="BG41" i="1"/>
  <c r="BG33" i="1"/>
  <c r="BG32" i="1"/>
  <c r="BG31" i="1"/>
  <c r="BG30" i="1"/>
  <c r="BG29" i="1"/>
  <c r="BG28" i="1"/>
  <c r="BG27" i="1"/>
  <c r="BG26" i="1"/>
  <c r="BG25" i="1"/>
  <c r="BG24" i="1"/>
  <c r="BG23" i="1"/>
  <c r="BG22" i="1"/>
  <c r="BG21" i="1"/>
  <c r="BG20" i="1"/>
  <c r="BG19" i="1"/>
  <c r="BG18" i="1"/>
  <c r="BG17" i="1"/>
  <c r="BG16" i="1"/>
  <c r="BG15" i="1"/>
  <c r="BG14" i="1"/>
  <c r="BG13" i="1"/>
  <c r="BG12" i="1"/>
  <c r="BG11" i="1"/>
  <c r="BG10" i="1"/>
  <c r="BG9" i="1"/>
  <c r="BG8" i="1"/>
  <c r="BG7" i="1"/>
  <c r="BG6" i="1"/>
  <c r="BG5" i="1"/>
  <c r="BH4" i="1"/>
  <c r="BG3" i="1"/>
  <c r="U3" i="2" s="1"/>
  <c r="BG42" i="1"/>
  <c r="BG43" i="1"/>
  <c r="BG52" i="1"/>
  <c r="BG56" i="1"/>
  <c r="BG108" i="1"/>
  <c r="BG135" i="1"/>
  <c r="BG180" i="1"/>
  <c r="BG208" i="1"/>
  <c r="BG181" i="1"/>
  <c r="BG186" i="1"/>
  <c r="BG192" i="1"/>
  <c r="BG198" i="1"/>
  <c r="BG136" i="1"/>
  <c r="BG109" i="1"/>
  <c r="BG82" i="1"/>
  <c r="BG78" i="1"/>
  <c r="BG215" i="1"/>
  <c r="BG193" i="1"/>
  <c r="BG199" i="1"/>
  <c r="BG233" i="1"/>
  <c r="BG34" i="1"/>
  <c r="BG46" i="1"/>
  <c r="BG55" i="1"/>
  <c r="BG122" i="1"/>
  <c r="BG59" i="1"/>
  <c r="BG125" i="1"/>
  <c r="BG137" i="1"/>
  <c r="BG158" i="1"/>
  <c r="BG182" i="1"/>
  <c r="BG213" i="1"/>
  <c r="BG209" i="1"/>
  <c r="BG214" i="1"/>
  <c r="BG217" i="1"/>
  <c r="BG220" i="1"/>
  <c r="BG159" i="1"/>
  <c r="BG218" i="1"/>
  <c r="BG252" i="1"/>
  <c r="BG35" i="1"/>
  <c r="BG76" i="1"/>
  <c r="BG36" i="1"/>
  <c r="BG47" i="1"/>
  <c r="BG67" i="1"/>
  <c r="BG80" i="1"/>
  <c r="BG141" i="1"/>
  <c r="BG157" i="1"/>
  <c r="BG188" i="1"/>
  <c r="BG183" i="1"/>
  <c r="BG204" i="1"/>
  <c r="BG216" i="1"/>
  <c r="BG142" i="1"/>
  <c r="BG110" i="1"/>
  <c r="BG221" i="1"/>
  <c r="BG187" i="1"/>
  <c r="BG37" i="1"/>
  <c r="BG97" i="1"/>
  <c r="BG38" i="1"/>
  <c r="BG68" i="1"/>
  <c r="BG70" i="1"/>
  <c r="BG83" i="1"/>
  <c r="BG94" i="1"/>
  <c r="BG164" i="1"/>
  <c r="BG143" i="1"/>
  <c r="BG160" i="1"/>
  <c r="BG194" i="1"/>
  <c r="BG189" i="1"/>
  <c r="BG226" i="1"/>
  <c r="BG219" i="1"/>
  <c r="BG165" i="1"/>
  <c r="BG285" i="1"/>
  <c r="BG263" i="1"/>
  <c r="BG210" i="1"/>
  <c r="BG39" i="1"/>
  <c r="BG231" i="1"/>
  <c r="BG44" i="1"/>
  <c r="BG71" i="1"/>
  <c r="BG96" i="1"/>
  <c r="BG230" i="1"/>
  <c r="BG144" i="1"/>
  <c r="BG166" i="1"/>
  <c r="BG200" i="1"/>
  <c r="BG113" i="1"/>
  <c r="BG222" i="1"/>
  <c r="BG145" i="1"/>
  <c r="BG138" i="1"/>
  <c r="BG286" i="1"/>
  <c r="BG289" i="1"/>
  <c r="BG79" i="1"/>
  <c r="BG274" i="1"/>
  <c r="BG211" i="1"/>
  <c r="BG48" i="1"/>
  <c r="BG40" i="1"/>
  <c r="BG242" i="1"/>
  <c r="BG45" i="1"/>
  <c r="BG53" i="1"/>
  <c r="BG72" i="1"/>
  <c r="BG232" i="1"/>
  <c r="BG241" i="1"/>
  <c r="BG167" i="1"/>
  <c r="BG146" i="1"/>
  <c r="BG177" i="1"/>
  <c r="BG168" i="1"/>
  <c r="BG139" i="1"/>
  <c r="BG161" i="1"/>
  <c r="BG124" i="1"/>
  <c r="BG84" i="1"/>
  <c r="BG69" i="1"/>
  <c r="BG195" i="1"/>
  <c r="BG237" i="1"/>
  <c r="BG201" i="1"/>
  <c r="BG49" i="1"/>
  <c r="BG57" i="1"/>
  <c r="BG74" i="1"/>
  <c r="BG253" i="1"/>
  <c r="BG243" i="1"/>
  <c r="BG147" i="1"/>
  <c r="BG169" i="1"/>
  <c r="BG207" i="1"/>
  <c r="BG148" i="1"/>
  <c r="BG162" i="1"/>
  <c r="BG127" i="1"/>
  <c r="BG287" i="1"/>
  <c r="BG85" i="1"/>
  <c r="BG99" i="1"/>
  <c r="BG73" i="1"/>
  <c r="BG63" i="1"/>
  <c r="BG50" i="1"/>
  <c r="BG294" i="1"/>
  <c r="BG117" i="1"/>
  <c r="BG295" i="1"/>
  <c r="BG264" i="1"/>
  <c r="BG254" i="1"/>
  <c r="BG244" i="1"/>
  <c r="BG170" i="1"/>
  <c r="BG149" i="1"/>
  <c r="BG171" i="1"/>
  <c r="BG128" i="1"/>
  <c r="BG118" i="1"/>
  <c r="BG234" i="1"/>
  <c r="BG60" i="1"/>
  <c r="BG131" i="1"/>
  <c r="BG91" i="1"/>
  <c r="BG65" i="1"/>
  <c r="BG275" i="1"/>
  <c r="BG265" i="1"/>
  <c r="BG255" i="1"/>
  <c r="BG245" i="1"/>
  <c r="BG153" i="1"/>
  <c r="BG172" i="1"/>
  <c r="BG150" i="1"/>
  <c r="BG101" i="1"/>
  <c r="BG129" i="1"/>
  <c r="BG288" i="1"/>
  <c r="BG61" i="1"/>
  <c r="BG87" i="1"/>
  <c r="BH291" i="1"/>
  <c r="BG291" i="1"/>
  <c r="BF291" i="1"/>
  <c r="BE291" i="1"/>
  <c r="BD291" i="1"/>
  <c r="BC291" i="1"/>
  <c r="BB291" i="1"/>
  <c r="BA291" i="1"/>
  <c r="AZ291" i="1"/>
  <c r="AY291" i="1"/>
  <c r="AX291" i="1"/>
  <c r="AW291" i="1"/>
  <c r="AV291" i="1"/>
  <c r="AU291" i="1"/>
  <c r="AT291" i="1"/>
  <c r="AS291" i="1"/>
  <c r="AR291" i="1"/>
  <c r="AQ291" i="1"/>
  <c r="AP291" i="1"/>
  <c r="AO291" i="1"/>
  <c r="J291" i="1"/>
  <c r="BH89" i="1"/>
  <c r="BG89" i="1"/>
  <c r="BF89" i="1"/>
  <c r="BE89" i="1"/>
  <c r="BD89" i="1"/>
  <c r="BC89" i="1"/>
  <c r="BB89" i="1"/>
  <c r="BA89" i="1"/>
  <c r="AZ89" i="1"/>
  <c r="AY89" i="1"/>
  <c r="AX89" i="1"/>
  <c r="AW89" i="1"/>
  <c r="AV89" i="1"/>
  <c r="AU89" i="1"/>
  <c r="AT89" i="1"/>
  <c r="AS89" i="1"/>
  <c r="AR89" i="1"/>
  <c r="AQ89" i="1"/>
  <c r="AP89" i="1"/>
  <c r="AO89" i="1"/>
  <c r="J89" i="1"/>
  <c r="I103" i="1"/>
  <c r="O87" i="1"/>
  <c r="I223" i="1"/>
  <c r="O61" i="1"/>
  <c r="BH248" i="1"/>
  <c r="BG248" i="1"/>
  <c r="BF248" i="1"/>
  <c r="BE248" i="1"/>
  <c r="BD248" i="1"/>
  <c r="BC248" i="1"/>
  <c r="BB248" i="1"/>
  <c r="BA248" i="1"/>
  <c r="AZ248" i="1"/>
  <c r="AY248" i="1"/>
  <c r="AX248" i="1"/>
  <c r="AW248" i="1"/>
  <c r="AV248" i="1"/>
  <c r="AU248" i="1"/>
  <c r="AT248" i="1"/>
  <c r="AS248" i="1"/>
  <c r="AR248" i="1"/>
  <c r="AQ248" i="1"/>
  <c r="AP248" i="1"/>
  <c r="AO248" i="1"/>
  <c r="J248" i="1"/>
  <c r="BH276" i="1"/>
  <c r="BG276" i="1"/>
  <c r="BF276" i="1"/>
  <c r="BE276" i="1"/>
  <c r="BD276" i="1"/>
  <c r="BC276" i="1"/>
  <c r="BB276" i="1"/>
  <c r="BA276" i="1"/>
  <c r="AZ276" i="1"/>
  <c r="AY276" i="1"/>
  <c r="AX276" i="1"/>
  <c r="AW276" i="1"/>
  <c r="AV276" i="1"/>
  <c r="AU276" i="1"/>
  <c r="AT276" i="1"/>
  <c r="AS276" i="1"/>
  <c r="AR276" i="1"/>
  <c r="AQ276" i="1"/>
  <c r="AP276" i="1"/>
  <c r="AO276" i="1"/>
  <c r="J276" i="1"/>
  <c r="BH266" i="1"/>
  <c r="BG266" i="1"/>
  <c r="BF266" i="1"/>
  <c r="BE266" i="1"/>
  <c r="BD266" i="1"/>
  <c r="BC266" i="1"/>
  <c r="BB266" i="1"/>
  <c r="BA266" i="1"/>
  <c r="AZ266" i="1"/>
  <c r="AY266" i="1"/>
  <c r="AX266" i="1"/>
  <c r="AW266" i="1"/>
  <c r="AV266" i="1"/>
  <c r="AU266" i="1"/>
  <c r="AT266" i="1"/>
  <c r="AS266" i="1"/>
  <c r="AR266" i="1"/>
  <c r="AQ266" i="1"/>
  <c r="AP266" i="1"/>
  <c r="AO266" i="1"/>
  <c r="J266" i="1"/>
  <c r="BH111" i="1"/>
  <c r="BG111" i="1"/>
  <c r="BF111" i="1"/>
  <c r="BE111" i="1"/>
  <c r="BD111" i="1"/>
  <c r="BC111" i="1"/>
  <c r="BB111" i="1"/>
  <c r="BA111" i="1"/>
  <c r="AZ111" i="1"/>
  <c r="AY111" i="1"/>
  <c r="AX111" i="1"/>
  <c r="AW111" i="1"/>
  <c r="AV111" i="1"/>
  <c r="AU111" i="1"/>
  <c r="AT111" i="1"/>
  <c r="AS111" i="1"/>
  <c r="AR111" i="1"/>
  <c r="AQ111" i="1"/>
  <c r="AP111" i="1"/>
  <c r="AO111" i="1"/>
  <c r="J111" i="1"/>
  <c r="BH246" i="1"/>
  <c r="BG246" i="1"/>
  <c r="BF246" i="1"/>
  <c r="BE246" i="1"/>
  <c r="BD246" i="1"/>
  <c r="BC246" i="1"/>
  <c r="BB246" i="1"/>
  <c r="BA246" i="1"/>
  <c r="AZ246" i="1"/>
  <c r="AY246" i="1"/>
  <c r="AX246" i="1"/>
  <c r="AW246" i="1"/>
  <c r="AV246" i="1"/>
  <c r="AU246" i="1"/>
  <c r="AT246" i="1"/>
  <c r="AS246" i="1"/>
  <c r="AR246" i="1"/>
  <c r="AQ246" i="1"/>
  <c r="AP246" i="1"/>
  <c r="AO246" i="1"/>
  <c r="J246" i="1"/>
  <c r="I290" i="1"/>
  <c r="I173" i="1"/>
  <c r="O288" i="1"/>
  <c r="I119" i="1"/>
  <c r="O129" i="1"/>
  <c r="I184" i="1"/>
  <c r="O101" i="1"/>
  <c r="BH176" i="1"/>
  <c r="BG176" i="1"/>
  <c r="BF176" i="1"/>
  <c r="BE176" i="1"/>
  <c r="BD176" i="1"/>
  <c r="BC176" i="1"/>
  <c r="BB176" i="1"/>
  <c r="BA176" i="1"/>
  <c r="AZ176" i="1"/>
  <c r="AY176" i="1"/>
  <c r="AX176" i="1"/>
  <c r="AW176" i="1"/>
  <c r="AV176" i="1"/>
  <c r="AU176" i="1"/>
  <c r="AT176" i="1"/>
  <c r="AS176" i="1"/>
  <c r="AR176" i="1"/>
  <c r="AQ176" i="1"/>
  <c r="AP176" i="1"/>
  <c r="AO176" i="1"/>
  <c r="J176" i="1"/>
  <c r="O176" i="1" s="1"/>
  <c r="BH151" i="1"/>
  <c r="BG151" i="1"/>
  <c r="BF151" i="1"/>
  <c r="BE151" i="1"/>
  <c r="BD151" i="1"/>
  <c r="BC151" i="1"/>
  <c r="BB151" i="1"/>
  <c r="BA151" i="1"/>
  <c r="AZ151" i="1"/>
  <c r="AY151" i="1"/>
  <c r="AX151" i="1"/>
  <c r="AW151" i="1"/>
  <c r="AV151" i="1"/>
  <c r="AU151" i="1"/>
  <c r="AT151" i="1"/>
  <c r="AS151" i="1"/>
  <c r="AR151" i="1"/>
  <c r="AQ151" i="1"/>
  <c r="AP151" i="1"/>
  <c r="AO151" i="1"/>
  <c r="J151" i="1"/>
  <c r="O151" i="1" l="1"/>
  <c r="BH184" i="1"/>
  <c r="BG184" i="1"/>
  <c r="BF184" i="1"/>
  <c r="BE184" i="1"/>
  <c r="BD184" i="1"/>
  <c r="BC184" i="1"/>
  <c r="BB184" i="1"/>
  <c r="BA184" i="1"/>
  <c r="AZ184" i="1"/>
  <c r="AY184" i="1"/>
  <c r="AX184" i="1"/>
  <c r="AW184" i="1"/>
  <c r="AV184" i="1"/>
  <c r="AU184" i="1"/>
  <c r="AT184" i="1"/>
  <c r="AS184" i="1"/>
  <c r="AR184" i="1"/>
  <c r="AQ184" i="1"/>
  <c r="AP184" i="1"/>
  <c r="AO184" i="1"/>
  <c r="J184" i="1"/>
  <c r="BH119" i="1"/>
  <c r="BG119" i="1"/>
  <c r="BF119" i="1"/>
  <c r="BE119" i="1"/>
  <c r="BD119" i="1"/>
  <c r="BC119" i="1"/>
  <c r="BB119" i="1"/>
  <c r="BA119" i="1"/>
  <c r="AZ119" i="1"/>
  <c r="AY119" i="1"/>
  <c r="AX119" i="1"/>
  <c r="AW119" i="1"/>
  <c r="AV119" i="1"/>
  <c r="AU119" i="1"/>
  <c r="AT119" i="1"/>
  <c r="AS119" i="1"/>
  <c r="AR119" i="1"/>
  <c r="AQ119" i="1"/>
  <c r="AP119" i="1"/>
  <c r="AO119" i="1"/>
  <c r="J119" i="1"/>
  <c r="BH173" i="1"/>
  <c r="BG173" i="1"/>
  <c r="BF173" i="1"/>
  <c r="BE173" i="1"/>
  <c r="BD173" i="1"/>
  <c r="BC173" i="1"/>
  <c r="BB173" i="1"/>
  <c r="BA173" i="1"/>
  <c r="AZ173" i="1"/>
  <c r="AY173" i="1"/>
  <c r="AX173" i="1"/>
  <c r="AW173" i="1"/>
  <c r="AV173" i="1"/>
  <c r="AU173" i="1"/>
  <c r="AT173" i="1"/>
  <c r="AS173" i="1"/>
  <c r="AR173" i="1"/>
  <c r="AQ173" i="1"/>
  <c r="AP173" i="1"/>
  <c r="AO173" i="1"/>
  <c r="J173" i="1"/>
  <c r="BH290" i="1"/>
  <c r="BG290" i="1"/>
  <c r="BF290" i="1"/>
  <c r="BE290" i="1"/>
  <c r="BD290" i="1"/>
  <c r="BC290" i="1"/>
  <c r="BB290" i="1"/>
  <c r="BA290" i="1"/>
  <c r="AZ290" i="1"/>
  <c r="AY290" i="1"/>
  <c r="AX290" i="1"/>
  <c r="AW290" i="1"/>
  <c r="AV290" i="1"/>
  <c r="AU290" i="1"/>
  <c r="AT290" i="1"/>
  <c r="AS290" i="1"/>
  <c r="AR290" i="1"/>
  <c r="AQ290" i="1"/>
  <c r="AP290" i="1"/>
  <c r="AO290" i="1"/>
  <c r="J290" i="1"/>
  <c r="O246" i="1"/>
  <c r="O111" i="1"/>
  <c r="O266" i="1"/>
  <c r="I277" i="1"/>
  <c r="O276" i="1"/>
  <c r="I259" i="1"/>
  <c r="O248" i="1"/>
  <c r="BH223" i="1"/>
  <c r="BG223" i="1"/>
  <c r="BF223" i="1"/>
  <c r="BE223" i="1"/>
  <c r="BD223" i="1"/>
  <c r="BC223" i="1"/>
  <c r="BB223" i="1"/>
  <c r="BA223" i="1"/>
  <c r="AZ223" i="1"/>
  <c r="AY223" i="1"/>
  <c r="AX223" i="1"/>
  <c r="AW223" i="1"/>
  <c r="AV223" i="1"/>
  <c r="AU223" i="1"/>
  <c r="AT223" i="1"/>
  <c r="AS223" i="1"/>
  <c r="AR223" i="1"/>
  <c r="AQ223" i="1"/>
  <c r="AP223" i="1"/>
  <c r="AO223" i="1"/>
  <c r="J223" i="1"/>
  <c r="BH103" i="1"/>
  <c r="BG103" i="1"/>
  <c r="BF103" i="1"/>
  <c r="BE103" i="1"/>
  <c r="BD103" i="1"/>
  <c r="BC103" i="1"/>
  <c r="BB103" i="1"/>
  <c r="BA103" i="1"/>
  <c r="AZ103" i="1"/>
  <c r="AY103" i="1"/>
  <c r="AX103" i="1"/>
  <c r="AW103" i="1"/>
  <c r="AV103" i="1"/>
  <c r="AU103" i="1"/>
  <c r="AT103" i="1"/>
  <c r="AS103" i="1"/>
  <c r="AR103" i="1"/>
  <c r="AQ103" i="1"/>
  <c r="AP103" i="1"/>
  <c r="AO103" i="1"/>
  <c r="J103" i="1"/>
  <c r="I105" i="1"/>
  <c r="O89" i="1"/>
  <c r="O291" i="1"/>
  <c r="V4" i="2"/>
  <c r="BH305" i="1"/>
  <c r="BH304" i="1"/>
  <c r="BH303" i="1"/>
  <c r="BH302" i="1"/>
  <c r="BH301" i="1"/>
  <c r="BH300" i="1"/>
  <c r="BH299" i="1"/>
  <c r="BH298" i="1"/>
  <c r="BH297" i="1"/>
  <c r="BH126" i="1"/>
  <c r="BH123" i="1"/>
  <c r="BH107" i="1"/>
  <c r="BH98" i="1"/>
  <c r="BH95" i="1"/>
  <c r="BH81" i="1"/>
  <c r="BH77" i="1"/>
  <c r="BH58" i="1"/>
  <c r="BH54" i="1"/>
  <c r="BH41" i="1"/>
  <c r="BH33" i="1"/>
  <c r="BH32" i="1"/>
  <c r="BH31" i="1"/>
  <c r="BH30" i="1"/>
  <c r="BH29" i="1"/>
  <c r="BH28" i="1"/>
  <c r="BH27" i="1"/>
  <c r="BH26" i="1"/>
  <c r="BH25" i="1"/>
  <c r="BH24" i="1"/>
  <c r="BH23" i="1"/>
  <c r="BH22" i="1"/>
  <c r="BH21" i="1"/>
  <c r="BH20" i="1"/>
  <c r="BH19" i="1"/>
  <c r="BH18" i="1"/>
  <c r="BH17" i="1"/>
  <c r="BH16" i="1"/>
  <c r="BH15" i="1"/>
  <c r="BH14" i="1"/>
  <c r="BH13" i="1"/>
  <c r="BH12" i="1"/>
  <c r="BH11" i="1"/>
  <c r="BH10" i="1"/>
  <c r="BH9" i="1"/>
  <c r="BH8" i="1"/>
  <c r="BH7" i="1"/>
  <c r="BH6" i="1"/>
  <c r="BH5" i="1"/>
  <c r="BI4" i="1"/>
  <c r="BH3" i="1"/>
  <c r="V3" i="2" s="1"/>
  <c r="BH42" i="1"/>
  <c r="BH43" i="1"/>
  <c r="BH52" i="1"/>
  <c r="BH56" i="1"/>
  <c r="BH108" i="1"/>
  <c r="BH135" i="1"/>
  <c r="BH180" i="1"/>
  <c r="BH208" i="1"/>
  <c r="BH181" i="1"/>
  <c r="BH186" i="1"/>
  <c r="BH192" i="1"/>
  <c r="BH198" i="1"/>
  <c r="BH136" i="1"/>
  <c r="BH109" i="1"/>
  <c r="BH82" i="1"/>
  <c r="BH78" i="1"/>
  <c r="BH215" i="1"/>
  <c r="BH193" i="1"/>
  <c r="BH199" i="1"/>
  <c r="BH233" i="1"/>
  <c r="BH34" i="1"/>
  <c r="BH46" i="1"/>
  <c r="BH55" i="1"/>
  <c r="BH122" i="1"/>
  <c r="BH59" i="1"/>
  <c r="BH125" i="1"/>
  <c r="BH137" i="1"/>
  <c r="BH158" i="1"/>
  <c r="BH182" i="1"/>
  <c r="BH213" i="1"/>
  <c r="BH209" i="1"/>
  <c r="BH214" i="1"/>
  <c r="BH217" i="1"/>
  <c r="BH220" i="1"/>
  <c r="BH159" i="1"/>
  <c r="BH218" i="1"/>
  <c r="BH252" i="1"/>
  <c r="BH35" i="1"/>
  <c r="BH76" i="1"/>
  <c r="BH36" i="1"/>
  <c r="BH47" i="1"/>
  <c r="BH67" i="1"/>
  <c r="BH80" i="1"/>
  <c r="BH141" i="1"/>
  <c r="BH157" i="1"/>
  <c r="BH188" i="1"/>
  <c r="BH183" i="1"/>
  <c r="BH204" i="1"/>
  <c r="BH216" i="1"/>
  <c r="BH142" i="1"/>
  <c r="BH110" i="1"/>
  <c r="BH221" i="1"/>
  <c r="BH187" i="1"/>
  <c r="BH37" i="1"/>
  <c r="BH97" i="1"/>
  <c r="BH38" i="1"/>
  <c r="BH68" i="1"/>
  <c r="BH70" i="1"/>
  <c r="BH83" i="1"/>
  <c r="BH94" i="1"/>
  <c r="BH164" i="1"/>
  <c r="BH143" i="1"/>
  <c r="BH160" i="1"/>
  <c r="BH194" i="1"/>
  <c r="BH189" i="1"/>
  <c r="BH226" i="1"/>
  <c r="BH219" i="1"/>
  <c r="BH165" i="1"/>
  <c r="BH285" i="1"/>
  <c r="BH263" i="1"/>
  <c r="BH210" i="1"/>
  <c r="BH39" i="1"/>
  <c r="BH231" i="1"/>
  <c r="BH44" i="1"/>
  <c r="BH71" i="1"/>
  <c r="BH96" i="1"/>
  <c r="BH230" i="1"/>
  <c r="BH144" i="1"/>
  <c r="BH166" i="1"/>
  <c r="BH200" i="1"/>
  <c r="BH113" i="1"/>
  <c r="BH222" i="1"/>
  <c r="BH145" i="1"/>
  <c r="BH138" i="1"/>
  <c r="BH286" i="1"/>
  <c r="BH289" i="1"/>
  <c r="BH79" i="1"/>
  <c r="BH274" i="1"/>
  <c r="BH211" i="1"/>
  <c r="BH48" i="1"/>
  <c r="BH40" i="1"/>
  <c r="BH242" i="1"/>
  <c r="BH45" i="1"/>
  <c r="BH53" i="1"/>
  <c r="BH72" i="1"/>
  <c r="BH232" i="1"/>
  <c r="BH241" i="1"/>
  <c r="BH167" i="1"/>
  <c r="BH146" i="1"/>
  <c r="BH177" i="1"/>
  <c r="BH168" i="1"/>
  <c r="BH139" i="1"/>
  <c r="BH161" i="1"/>
  <c r="BH124" i="1"/>
  <c r="BH84" i="1"/>
  <c r="BH69" i="1"/>
  <c r="BH195" i="1"/>
  <c r="BH237" i="1"/>
  <c r="BH201" i="1"/>
  <c r="BH49" i="1"/>
  <c r="BH57" i="1"/>
  <c r="BH74" i="1"/>
  <c r="BH253" i="1"/>
  <c r="BH243" i="1"/>
  <c r="BH147" i="1"/>
  <c r="BH169" i="1"/>
  <c r="BH207" i="1"/>
  <c r="BH148" i="1"/>
  <c r="BH162" i="1"/>
  <c r="BH127" i="1"/>
  <c r="BH287" i="1"/>
  <c r="BH85" i="1"/>
  <c r="BH99" i="1"/>
  <c r="BH73" i="1"/>
  <c r="BH63" i="1"/>
  <c r="BH50" i="1"/>
  <c r="BH294" i="1"/>
  <c r="BH117" i="1"/>
  <c r="BH295" i="1"/>
  <c r="BH264" i="1"/>
  <c r="BH254" i="1"/>
  <c r="BH244" i="1"/>
  <c r="BH170" i="1"/>
  <c r="BH149" i="1"/>
  <c r="BH171" i="1"/>
  <c r="BH128" i="1"/>
  <c r="BH118" i="1"/>
  <c r="BH234" i="1"/>
  <c r="BH60" i="1"/>
  <c r="BH131" i="1"/>
  <c r="BH91" i="1"/>
  <c r="BH65" i="1"/>
  <c r="BH275" i="1"/>
  <c r="BH265" i="1"/>
  <c r="BH255" i="1"/>
  <c r="BH245" i="1"/>
  <c r="BH153" i="1"/>
  <c r="BH172" i="1"/>
  <c r="BH150" i="1"/>
  <c r="BH101" i="1"/>
  <c r="BH129" i="1"/>
  <c r="BH288" i="1"/>
  <c r="BH61" i="1"/>
  <c r="BH87" i="1"/>
  <c r="W4" i="2" l="1"/>
  <c r="BI305" i="1"/>
  <c r="BI304" i="1"/>
  <c r="BI303" i="1"/>
  <c r="BI302" i="1"/>
  <c r="BI301" i="1"/>
  <c r="BI300" i="1"/>
  <c r="BI299" i="1"/>
  <c r="BI298" i="1"/>
  <c r="BI297" i="1"/>
  <c r="BI126" i="1"/>
  <c r="BI123" i="1"/>
  <c r="BI107" i="1"/>
  <c r="BI98" i="1"/>
  <c r="BI95" i="1"/>
  <c r="BI81" i="1"/>
  <c r="BI77" i="1"/>
  <c r="BI58" i="1"/>
  <c r="BI54" i="1"/>
  <c r="BI41" i="1"/>
  <c r="BI33" i="1"/>
  <c r="BI32" i="1"/>
  <c r="BI31" i="1"/>
  <c r="BI30" i="1"/>
  <c r="BI29" i="1"/>
  <c r="BI28" i="1"/>
  <c r="BI27" i="1"/>
  <c r="BI26" i="1"/>
  <c r="BI25" i="1"/>
  <c r="BI24" i="1"/>
  <c r="BI23" i="1"/>
  <c r="BI22" i="1"/>
  <c r="BI21" i="1"/>
  <c r="BI20" i="1"/>
  <c r="BI19" i="1"/>
  <c r="BI18" i="1"/>
  <c r="BI17" i="1"/>
  <c r="BI16" i="1"/>
  <c r="BI15" i="1"/>
  <c r="BI14" i="1"/>
  <c r="BI13" i="1"/>
  <c r="BI12" i="1"/>
  <c r="BI11" i="1"/>
  <c r="BI10" i="1"/>
  <c r="BI9" i="1"/>
  <c r="BI8" i="1"/>
  <c r="BI7" i="1"/>
  <c r="BI6" i="1"/>
  <c r="BI5" i="1"/>
  <c r="BJ4" i="1"/>
  <c r="BI3" i="1"/>
  <c r="W3" i="2" s="1"/>
  <c r="BI42" i="1"/>
  <c r="BI43" i="1"/>
  <c r="BI52" i="1"/>
  <c r="BI56" i="1"/>
  <c r="BI108" i="1"/>
  <c r="BI135" i="1"/>
  <c r="BI180" i="1"/>
  <c r="BI208" i="1"/>
  <c r="BI181" i="1"/>
  <c r="BI186" i="1"/>
  <c r="BI192" i="1"/>
  <c r="BI198" i="1"/>
  <c r="BI136" i="1"/>
  <c r="BI109" i="1"/>
  <c r="BI82" i="1"/>
  <c r="BI78" i="1"/>
  <c r="BI215" i="1"/>
  <c r="BI193" i="1"/>
  <c r="BI199" i="1"/>
  <c r="BI233" i="1"/>
  <c r="BI34" i="1"/>
  <c r="BI46" i="1"/>
  <c r="BI55" i="1"/>
  <c r="BI122" i="1"/>
  <c r="BI59" i="1"/>
  <c r="BI125" i="1"/>
  <c r="BI137" i="1"/>
  <c r="BI158" i="1"/>
  <c r="BI182" i="1"/>
  <c r="BI213" i="1"/>
  <c r="BI209" i="1"/>
  <c r="BI214" i="1"/>
  <c r="BI217" i="1"/>
  <c r="BI220" i="1"/>
  <c r="BI159" i="1"/>
  <c r="BI218" i="1"/>
  <c r="BI252" i="1"/>
  <c r="BI35" i="1"/>
  <c r="BI76" i="1"/>
  <c r="BI36" i="1"/>
  <c r="BI47" i="1"/>
  <c r="BI67" i="1"/>
  <c r="BI80" i="1"/>
  <c r="BI141" i="1"/>
  <c r="BI157" i="1"/>
  <c r="BI188" i="1"/>
  <c r="BI183" i="1"/>
  <c r="BI204" i="1"/>
  <c r="BI216" i="1"/>
  <c r="BI142" i="1"/>
  <c r="BI110" i="1"/>
  <c r="BI221" i="1"/>
  <c r="BI187" i="1"/>
  <c r="BI37" i="1"/>
  <c r="BI97" i="1"/>
  <c r="BI38" i="1"/>
  <c r="BI68" i="1"/>
  <c r="BI70" i="1"/>
  <c r="BI83" i="1"/>
  <c r="BI94" i="1"/>
  <c r="BI164" i="1"/>
  <c r="BI143" i="1"/>
  <c r="BI160" i="1"/>
  <c r="BI194" i="1"/>
  <c r="BI189" i="1"/>
  <c r="BI226" i="1"/>
  <c r="BI219" i="1"/>
  <c r="BI165" i="1"/>
  <c r="BI285" i="1"/>
  <c r="BI263" i="1"/>
  <c r="BI210" i="1"/>
  <c r="BI39" i="1"/>
  <c r="BI231" i="1"/>
  <c r="BI44" i="1"/>
  <c r="BI71" i="1"/>
  <c r="BI96" i="1"/>
  <c r="BI230" i="1"/>
  <c r="BI144" i="1"/>
  <c r="BI166" i="1"/>
  <c r="BI200" i="1"/>
  <c r="BI113" i="1"/>
  <c r="BI222" i="1"/>
  <c r="BI145" i="1"/>
  <c r="BI138" i="1"/>
  <c r="BI286" i="1"/>
  <c r="BI289" i="1"/>
  <c r="BI79" i="1"/>
  <c r="BI274" i="1"/>
  <c r="BI211" i="1"/>
  <c r="BI48" i="1"/>
  <c r="BI40" i="1"/>
  <c r="BI242" i="1"/>
  <c r="BI45" i="1"/>
  <c r="BI53" i="1"/>
  <c r="BI72" i="1"/>
  <c r="BI232" i="1"/>
  <c r="BI241" i="1"/>
  <c r="BI167" i="1"/>
  <c r="BI146" i="1"/>
  <c r="BI177" i="1"/>
  <c r="BI168" i="1"/>
  <c r="BI139" i="1"/>
  <c r="BI161" i="1"/>
  <c r="BI124" i="1"/>
  <c r="BI84" i="1"/>
  <c r="BI69" i="1"/>
  <c r="BI195" i="1"/>
  <c r="BI237" i="1"/>
  <c r="BI201" i="1"/>
  <c r="BI49" i="1"/>
  <c r="BI57" i="1"/>
  <c r="BI74" i="1"/>
  <c r="BI253" i="1"/>
  <c r="BI243" i="1"/>
  <c r="BI147" i="1"/>
  <c r="BI169" i="1"/>
  <c r="BI207" i="1"/>
  <c r="BI148" i="1"/>
  <c r="BI162" i="1"/>
  <c r="BI127" i="1"/>
  <c r="BI287" i="1"/>
  <c r="BI85" i="1"/>
  <c r="BI99" i="1"/>
  <c r="BI73" i="1"/>
  <c r="BI63" i="1"/>
  <c r="BI50" i="1"/>
  <c r="BI294" i="1"/>
  <c r="BI117" i="1"/>
  <c r="BI295" i="1"/>
  <c r="BI264" i="1"/>
  <c r="BI254" i="1"/>
  <c r="BI244" i="1"/>
  <c r="BI170" i="1"/>
  <c r="BI149" i="1"/>
  <c r="BI171" i="1"/>
  <c r="BI128" i="1"/>
  <c r="BI118" i="1"/>
  <c r="BI234" i="1"/>
  <c r="BI60" i="1"/>
  <c r="BI131" i="1"/>
  <c r="BI91" i="1"/>
  <c r="BI65" i="1"/>
  <c r="BI275" i="1"/>
  <c r="BI265" i="1"/>
  <c r="BI255" i="1"/>
  <c r="BI245" i="1"/>
  <c r="BI153" i="1"/>
  <c r="BI172" i="1"/>
  <c r="BI150" i="1"/>
  <c r="BI101" i="1"/>
  <c r="BI129" i="1"/>
  <c r="BI288" i="1"/>
  <c r="BI61" i="1"/>
  <c r="BI87" i="1"/>
  <c r="BI291" i="1"/>
  <c r="BI89" i="1"/>
  <c r="BI248" i="1"/>
  <c r="BI276" i="1"/>
  <c r="BI266" i="1"/>
  <c r="BI111" i="1"/>
  <c r="BI246" i="1"/>
  <c r="BI176" i="1"/>
  <c r="BI151" i="1"/>
  <c r="BI184" i="1"/>
  <c r="BI119" i="1"/>
  <c r="BI173" i="1"/>
  <c r="BI290" i="1"/>
  <c r="BI223" i="1"/>
  <c r="BI103" i="1"/>
  <c r="BJ105" i="1"/>
  <c r="BI105" i="1"/>
  <c r="BH105" i="1"/>
  <c r="BG105" i="1"/>
  <c r="BF105" i="1"/>
  <c r="BE105" i="1"/>
  <c r="BD105" i="1"/>
  <c r="BC105" i="1"/>
  <c r="BB105" i="1"/>
  <c r="BA105" i="1"/>
  <c r="AZ105" i="1"/>
  <c r="AY105" i="1"/>
  <c r="AX105" i="1"/>
  <c r="AW105" i="1"/>
  <c r="AV105" i="1"/>
  <c r="AU105" i="1"/>
  <c r="AT105" i="1"/>
  <c r="AS105" i="1"/>
  <c r="AR105" i="1"/>
  <c r="AQ105" i="1"/>
  <c r="AP105" i="1"/>
  <c r="AO105" i="1"/>
  <c r="J105" i="1"/>
  <c r="I66" i="1"/>
  <c r="O103" i="1"/>
  <c r="O223" i="1"/>
  <c r="BJ259" i="1"/>
  <c r="BI259" i="1"/>
  <c r="BH259" i="1"/>
  <c r="BG259" i="1"/>
  <c r="BF259" i="1"/>
  <c r="BE259" i="1"/>
  <c r="BD259" i="1"/>
  <c r="BC259" i="1"/>
  <c r="BB259" i="1"/>
  <c r="BA259" i="1"/>
  <c r="AZ259" i="1"/>
  <c r="AY259" i="1"/>
  <c r="AX259" i="1"/>
  <c r="AW259" i="1"/>
  <c r="AV259" i="1"/>
  <c r="AU259" i="1"/>
  <c r="AT259" i="1"/>
  <c r="AS259" i="1"/>
  <c r="AR259" i="1"/>
  <c r="AQ259" i="1"/>
  <c r="AP259" i="1"/>
  <c r="AO259" i="1"/>
  <c r="J259" i="1"/>
  <c r="BJ277" i="1"/>
  <c r="BI277" i="1"/>
  <c r="BH277" i="1"/>
  <c r="BG277" i="1"/>
  <c r="BF277" i="1"/>
  <c r="BE277" i="1"/>
  <c r="BD277" i="1"/>
  <c r="BC277" i="1"/>
  <c r="BB277" i="1"/>
  <c r="BA277" i="1"/>
  <c r="AZ277" i="1"/>
  <c r="AY277" i="1"/>
  <c r="AX277" i="1"/>
  <c r="AW277" i="1"/>
  <c r="AV277" i="1"/>
  <c r="AU277" i="1"/>
  <c r="AT277" i="1"/>
  <c r="AS277" i="1"/>
  <c r="AR277" i="1"/>
  <c r="AQ277" i="1"/>
  <c r="AP277" i="1"/>
  <c r="AO277" i="1"/>
  <c r="J277" i="1"/>
  <c r="I292" i="1"/>
  <c r="I256" i="1"/>
  <c r="O290" i="1"/>
  <c r="I174" i="1"/>
  <c r="I92" i="1"/>
  <c r="O173" i="1"/>
  <c r="I120" i="1"/>
  <c r="I293" i="1"/>
  <c r="O119" i="1"/>
  <c r="O184" i="1"/>
  <c r="BJ293" i="1" l="1"/>
  <c r="BI293" i="1"/>
  <c r="BH293" i="1"/>
  <c r="BG293" i="1"/>
  <c r="BF293" i="1"/>
  <c r="BE293" i="1"/>
  <c r="BD293" i="1"/>
  <c r="BC293" i="1"/>
  <c r="BB293" i="1"/>
  <c r="BA293" i="1"/>
  <c r="AZ293" i="1"/>
  <c r="AY293" i="1"/>
  <c r="AX293" i="1"/>
  <c r="AW293" i="1"/>
  <c r="AV293" i="1"/>
  <c r="AU293" i="1"/>
  <c r="AT293" i="1"/>
  <c r="AS293" i="1"/>
  <c r="AR293" i="1"/>
  <c r="AQ293" i="1"/>
  <c r="AP293" i="1"/>
  <c r="AO293" i="1"/>
  <c r="J293" i="1"/>
  <c r="O293" i="1" s="1"/>
  <c r="BJ120" i="1"/>
  <c r="BI120" i="1"/>
  <c r="BH120" i="1"/>
  <c r="BG120" i="1"/>
  <c r="BF120" i="1"/>
  <c r="BE120" i="1"/>
  <c r="BD120" i="1"/>
  <c r="BC120" i="1"/>
  <c r="BB120" i="1"/>
  <c r="BA120" i="1"/>
  <c r="AZ120" i="1"/>
  <c r="AY120" i="1"/>
  <c r="AX120" i="1"/>
  <c r="AW120" i="1"/>
  <c r="AV120" i="1"/>
  <c r="AU120" i="1"/>
  <c r="AT120" i="1"/>
  <c r="AS120" i="1"/>
  <c r="AR120" i="1"/>
  <c r="AQ120" i="1"/>
  <c r="AP120" i="1"/>
  <c r="AO120" i="1"/>
  <c r="J120" i="1"/>
  <c r="BJ92" i="1"/>
  <c r="BI92" i="1"/>
  <c r="BH92" i="1"/>
  <c r="BG92" i="1"/>
  <c r="BF92" i="1"/>
  <c r="BE92" i="1"/>
  <c r="BD92" i="1"/>
  <c r="BC92" i="1"/>
  <c r="BB92" i="1"/>
  <c r="BA92" i="1"/>
  <c r="AZ92" i="1"/>
  <c r="AY92" i="1"/>
  <c r="AX92" i="1"/>
  <c r="AW92" i="1"/>
  <c r="AV92" i="1"/>
  <c r="AU92" i="1"/>
  <c r="AT92" i="1"/>
  <c r="AS92" i="1"/>
  <c r="AR92" i="1"/>
  <c r="AQ92" i="1"/>
  <c r="AP92" i="1"/>
  <c r="AO92" i="1"/>
  <c r="J92" i="1"/>
  <c r="BJ174" i="1"/>
  <c r="BI174" i="1"/>
  <c r="BH174" i="1"/>
  <c r="BG174" i="1"/>
  <c r="BF174" i="1"/>
  <c r="BE174" i="1"/>
  <c r="BD174" i="1"/>
  <c r="BC174" i="1"/>
  <c r="BB174" i="1"/>
  <c r="BA174" i="1"/>
  <c r="AZ174" i="1"/>
  <c r="AY174" i="1"/>
  <c r="AX174" i="1"/>
  <c r="AW174" i="1"/>
  <c r="AV174" i="1"/>
  <c r="AU174" i="1"/>
  <c r="AT174" i="1"/>
  <c r="AS174" i="1"/>
  <c r="AR174" i="1"/>
  <c r="AQ174" i="1"/>
  <c r="AP174" i="1"/>
  <c r="AO174" i="1"/>
  <c r="J174" i="1"/>
  <c r="BJ256" i="1"/>
  <c r="BI256" i="1"/>
  <c r="BH256" i="1"/>
  <c r="BG256" i="1"/>
  <c r="BF256" i="1"/>
  <c r="BE256" i="1"/>
  <c r="BD256" i="1"/>
  <c r="BC256" i="1"/>
  <c r="BB256" i="1"/>
  <c r="BA256" i="1"/>
  <c r="AZ256" i="1"/>
  <c r="AY256" i="1"/>
  <c r="AX256" i="1"/>
  <c r="AW256" i="1"/>
  <c r="AV256" i="1"/>
  <c r="AU256" i="1"/>
  <c r="AT256" i="1"/>
  <c r="AS256" i="1"/>
  <c r="AR256" i="1"/>
  <c r="AQ256" i="1"/>
  <c r="AP256" i="1"/>
  <c r="AO256" i="1"/>
  <c r="J256" i="1"/>
  <c r="BJ292" i="1"/>
  <c r="BI292" i="1"/>
  <c r="BH292" i="1"/>
  <c r="BG292" i="1"/>
  <c r="BF292" i="1"/>
  <c r="BE292" i="1"/>
  <c r="BD292" i="1"/>
  <c r="BC292" i="1"/>
  <c r="BB292" i="1"/>
  <c r="BA292" i="1"/>
  <c r="AZ292" i="1"/>
  <c r="AY292" i="1"/>
  <c r="AX292" i="1"/>
  <c r="AW292" i="1"/>
  <c r="AV292" i="1"/>
  <c r="AU292" i="1"/>
  <c r="AT292" i="1"/>
  <c r="AS292" i="1"/>
  <c r="AR292" i="1"/>
  <c r="AQ292" i="1"/>
  <c r="AP292" i="1"/>
  <c r="AO292" i="1"/>
  <c r="J292" i="1"/>
  <c r="O292" i="1" s="1"/>
  <c r="I278" i="1"/>
  <c r="O277" i="1"/>
  <c r="I270" i="1"/>
  <c r="O259" i="1"/>
  <c r="BJ66" i="1"/>
  <c r="BI66" i="1"/>
  <c r="BH66" i="1"/>
  <c r="BG66" i="1"/>
  <c r="BF66" i="1"/>
  <c r="BE66" i="1"/>
  <c r="BD66" i="1"/>
  <c r="BC66" i="1"/>
  <c r="BB66" i="1"/>
  <c r="BA66" i="1"/>
  <c r="AZ66" i="1"/>
  <c r="AY66" i="1"/>
  <c r="AX66" i="1"/>
  <c r="AW66" i="1"/>
  <c r="AV66" i="1"/>
  <c r="AU66" i="1"/>
  <c r="AT66" i="1"/>
  <c r="AS66" i="1"/>
  <c r="AR66" i="1"/>
  <c r="AQ66" i="1"/>
  <c r="AP66" i="1"/>
  <c r="AO66" i="1"/>
  <c r="J66" i="1"/>
  <c r="I133" i="1"/>
  <c r="O105" i="1"/>
  <c r="X4" i="2"/>
  <c r="BJ305" i="1"/>
  <c r="BJ304" i="1"/>
  <c r="BJ303" i="1"/>
  <c r="BJ302" i="1"/>
  <c r="BJ301" i="1"/>
  <c r="BJ300" i="1"/>
  <c r="BJ299" i="1"/>
  <c r="BJ298" i="1"/>
  <c r="BJ297" i="1"/>
  <c r="BJ126" i="1"/>
  <c r="BJ123" i="1"/>
  <c r="BJ107" i="1"/>
  <c r="BJ98" i="1"/>
  <c r="BJ95" i="1"/>
  <c r="BJ81" i="1"/>
  <c r="BJ77" i="1"/>
  <c r="BJ58" i="1"/>
  <c r="BJ54" i="1"/>
  <c r="BJ41" i="1"/>
  <c r="BJ33" i="1"/>
  <c r="BJ32" i="1"/>
  <c r="BJ31" i="1"/>
  <c r="BJ30" i="1"/>
  <c r="BJ29" i="1"/>
  <c r="BJ28" i="1"/>
  <c r="BJ27" i="1"/>
  <c r="BJ26" i="1"/>
  <c r="BJ25" i="1"/>
  <c r="BJ24" i="1"/>
  <c r="BJ23" i="1"/>
  <c r="BJ22" i="1"/>
  <c r="BJ21" i="1"/>
  <c r="BJ20" i="1"/>
  <c r="BJ19" i="1"/>
  <c r="BJ18" i="1"/>
  <c r="BJ17" i="1"/>
  <c r="BJ16" i="1"/>
  <c r="BJ15" i="1"/>
  <c r="BJ14" i="1"/>
  <c r="BJ13" i="1"/>
  <c r="BJ12" i="1"/>
  <c r="BJ11" i="1"/>
  <c r="BJ10" i="1"/>
  <c r="BJ9" i="1"/>
  <c r="BJ8" i="1"/>
  <c r="BJ7" i="1"/>
  <c r="BJ6" i="1"/>
  <c r="BJ5" i="1"/>
  <c r="BK4" i="1"/>
  <c r="BJ3" i="1"/>
  <c r="X3" i="2" s="1"/>
  <c r="BJ42" i="1"/>
  <c r="BJ43" i="1"/>
  <c r="BJ52" i="1"/>
  <c r="BJ56" i="1"/>
  <c r="BJ108" i="1"/>
  <c r="BJ135" i="1"/>
  <c r="BJ180" i="1"/>
  <c r="BJ208" i="1"/>
  <c r="BJ181" i="1"/>
  <c r="BJ186" i="1"/>
  <c r="BJ192" i="1"/>
  <c r="BJ198" i="1"/>
  <c r="BJ136" i="1"/>
  <c r="BJ109" i="1"/>
  <c r="BJ82" i="1"/>
  <c r="BJ78" i="1"/>
  <c r="BJ215" i="1"/>
  <c r="BJ193" i="1"/>
  <c r="BJ199" i="1"/>
  <c r="BJ233" i="1"/>
  <c r="BJ34" i="1"/>
  <c r="BJ46" i="1"/>
  <c r="BJ55" i="1"/>
  <c r="BJ122" i="1"/>
  <c r="BJ59" i="1"/>
  <c r="BJ125" i="1"/>
  <c r="BJ137" i="1"/>
  <c r="BJ158" i="1"/>
  <c r="BJ182" i="1"/>
  <c r="BJ213" i="1"/>
  <c r="BJ209" i="1"/>
  <c r="BJ214" i="1"/>
  <c r="BJ217" i="1"/>
  <c r="BJ220" i="1"/>
  <c r="BJ159" i="1"/>
  <c r="BJ218" i="1"/>
  <c r="BJ252" i="1"/>
  <c r="BJ35" i="1"/>
  <c r="BJ76" i="1"/>
  <c r="BJ36" i="1"/>
  <c r="BJ47" i="1"/>
  <c r="BJ67" i="1"/>
  <c r="BJ80" i="1"/>
  <c r="BJ141" i="1"/>
  <c r="BJ157" i="1"/>
  <c r="BJ188" i="1"/>
  <c r="BJ183" i="1"/>
  <c r="BJ204" i="1"/>
  <c r="BJ216" i="1"/>
  <c r="BJ142" i="1"/>
  <c r="BJ110" i="1"/>
  <c r="BJ221" i="1"/>
  <c r="BJ187" i="1"/>
  <c r="BJ37" i="1"/>
  <c r="BJ97" i="1"/>
  <c r="BJ38" i="1"/>
  <c r="BJ68" i="1"/>
  <c r="BJ70" i="1"/>
  <c r="BJ83" i="1"/>
  <c r="BJ94" i="1"/>
  <c r="BJ164" i="1"/>
  <c r="BJ143" i="1"/>
  <c r="BJ160" i="1"/>
  <c r="BJ194" i="1"/>
  <c r="BJ189" i="1"/>
  <c r="BJ226" i="1"/>
  <c r="BJ219" i="1"/>
  <c r="BJ165" i="1"/>
  <c r="BJ285" i="1"/>
  <c r="BJ263" i="1"/>
  <c r="BJ210" i="1"/>
  <c r="BJ39" i="1"/>
  <c r="BJ231" i="1"/>
  <c r="BJ44" i="1"/>
  <c r="BJ71" i="1"/>
  <c r="BJ96" i="1"/>
  <c r="BJ230" i="1"/>
  <c r="BJ144" i="1"/>
  <c r="BJ166" i="1"/>
  <c r="BJ200" i="1"/>
  <c r="BJ113" i="1"/>
  <c r="BJ222" i="1"/>
  <c r="BJ145" i="1"/>
  <c r="BJ138" i="1"/>
  <c r="BJ286" i="1"/>
  <c r="BJ289" i="1"/>
  <c r="BJ79" i="1"/>
  <c r="BJ274" i="1"/>
  <c r="BJ211" i="1"/>
  <c r="BJ48" i="1"/>
  <c r="BJ40" i="1"/>
  <c r="BJ242" i="1"/>
  <c r="BJ45" i="1"/>
  <c r="BJ53" i="1"/>
  <c r="BJ72" i="1"/>
  <c r="BJ232" i="1"/>
  <c r="BJ241" i="1"/>
  <c r="BJ167" i="1"/>
  <c r="BJ146" i="1"/>
  <c r="BJ177" i="1"/>
  <c r="BJ168" i="1"/>
  <c r="BJ139" i="1"/>
  <c r="BJ161" i="1"/>
  <c r="BJ124" i="1"/>
  <c r="BJ84" i="1"/>
  <c r="BJ69" i="1"/>
  <c r="BJ195" i="1"/>
  <c r="BJ237" i="1"/>
  <c r="BJ201" i="1"/>
  <c r="BJ49" i="1"/>
  <c r="BJ57" i="1"/>
  <c r="BJ74" i="1"/>
  <c r="BJ253" i="1"/>
  <c r="BJ243" i="1"/>
  <c r="BJ147" i="1"/>
  <c r="BJ169" i="1"/>
  <c r="BJ207" i="1"/>
  <c r="BJ148" i="1"/>
  <c r="BJ162" i="1"/>
  <c r="BJ127" i="1"/>
  <c r="BJ287" i="1"/>
  <c r="BJ85" i="1"/>
  <c r="BJ99" i="1"/>
  <c r="BJ73" i="1"/>
  <c r="BJ63" i="1"/>
  <c r="BJ50" i="1"/>
  <c r="BJ294" i="1"/>
  <c r="BJ117" i="1"/>
  <c r="BJ295" i="1"/>
  <c r="BJ264" i="1"/>
  <c r="BJ254" i="1"/>
  <c r="BJ244" i="1"/>
  <c r="BJ170" i="1"/>
  <c r="BJ149" i="1"/>
  <c r="BJ171" i="1"/>
  <c r="BJ128" i="1"/>
  <c r="BJ118" i="1"/>
  <c r="BJ234" i="1"/>
  <c r="BJ60" i="1"/>
  <c r="BJ131" i="1"/>
  <c r="BJ91" i="1"/>
  <c r="BJ65" i="1"/>
  <c r="BJ275" i="1"/>
  <c r="BJ265" i="1"/>
  <c r="BJ255" i="1"/>
  <c r="BJ245" i="1"/>
  <c r="BJ153" i="1"/>
  <c r="BJ172" i="1"/>
  <c r="BJ150" i="1"/>
  <c r="BJ101" i="1"/>
  <c r="BJ129" i="1"/>
  <c r="BJ288" i="1"/>
  <c r="BJ61" i="1"/>
  <c r="BJ87" i="1"/>
  <c r="BJ291" i="1"/>
  <c r="BJ89" i="1"/>
  <c r="BJ248" i="1"/>
  <c r="BJ276" i="1"/>
  <c r="BJ266" i="1"/>
  <c r="BJ111" i="1"/>
  <c r="BJ246" i="1"/>
  <c r="BJ176" i="1"/>
  <c r="BJ151" i="1"/>
  <c r="BJ184" i="1"/>
  <c r="BJ119" i="1"/>
  <c r="BJ173" i="1"/>
  <c r="BJ290" i="1"/>
  <c r="BJ223" i="1"/>
  <c r="BJ103" i="1"/>
  <c r="Y4" i="2" l="1"/>
  <c r="BK305" i="1"/>
  <c r="BK304" i="1"/>
  <c r="BK303" i="1"/>
  <c r="BK302" i="1"/>
  <c r="BK301" i="1"/>
  <c r="BK300" i="1"/>
  <c r="BK299" i="1"/>
  <c r="BK298" i="1"/>
  <c r="BK297" i="1"/>
  <c r="BK126" i="1"/>
  <c r="BK123" i="1"/>
  <c r="BK107" i="1"/>
  <c r="BK98" i="1"/>
  <c r="BK95" i="1"/>
  <c r="BK81" i="1"/>
  <c r="BK77" i="1"/>
  <c r="BK58" i="1"/>
  <c r="BK54" i="1"/>
  <c r="BK41" i="1"/>
  <c r="BK33" i="1"/>
  <c r="BK32" i="1"/>
  <c r="BK31" i="1"/>
  <c r="BK30" i="1"/>
  <c r="BK29" i="1"/>
  <c r="BK28" i="1"/>
  <c r="BK27" i="1"/>
  <c r="BK26" i="1"/>
  <c r="BK25" i="1"/>
  <c r="BK24" i="1"/>
  <c r="BK23" i="1"/>
  <c r="BK22" i="1"/>
  <c r="BK21" i="1"/>
  <c r="BK20" i="1"/>
  <c r="BK19" i="1"/>
  <c r="BK18" i="1"/>
  <c r="BK17" i="1"/>
  <c r="BK16" i="1"/>
  <c r="BK15" i="1"/>
  <c r="BK14" i="1"/>
  <c r="BK13" i="1"/>
  <c r="BK12" i="1"/>
  <c r="BK11" i="1"/>
  <c r="BK10" i="1"/>
  <c r="BK9" i="1"/>
  <c r="BK8" i="1"/>
  <c r="BK7" i="1"/>
  <c r="BK6" i="1"/>
  <c r="BK5" i="1"/>
  <c r="BL4" i="1"/>
  <c r="BK3" i="1"/>
  <c r="Y3" i="2" s="1"/>
  <c r="BK42" i="1"/>
  <c r="BK43" i="1"/>
  <c r="BK52" i="1"/>
  <c r="BK56" i="1"/>
  <c r="BK108" i="1"/>
  <c r="BK135" i="1"/>
  <c r="BK180" i="1"/>
  <c r="BK208" i="1"/>
  <c r="BK181" i="1"/>
  <c r="BK186" i="1"/>
  <c r="BK192" i="1"/>
  <c r="BK198" i="1"/>
  <c r="BK136" i="1"/>
  <c r="BK109" i="1"/>
  <c r="BK82" i="1"/>
  <c r="BK78" i="1"/>
  <c r="BK215" i="1"/>
  <c r="BK193" i="1"/>
  <c r="BK199" i="1"/>
  <c r="BK233" i="1"/>
  <c r="BK34" i="1"/>
  <c r="BK46" i="1"/>
  <c r="BK55" i="1"/>
  <c r="BK122" i="1"/>
  <c r="BK59" i="1"/>
  <c r="BK125" i="1"/>
  <c r="BK137" i="1"/>
  <c r="BK158" i="1"/>
  <c r="BK182" i="1"/>
  <c r="BK213" i="1"/>
  <c r="BK209" i="1"/>
  <c r="BK214" i="1"/>
  <c r="BK217" i="1"/>
  <c r="BK220" i="1"/>
  <c r="BK159" i="1"/>
  <c r="BK218" i="1"/>
  <c r="BK252" i="1"/>
  <c r="BK35" i="1"/>
  <c r="BK76" i="1"/>
  <c r="BK36" i="1"/>
  <c r="BK47" i="1"/>
  <c r="BK67" i="1"/>
  <c r="BK80" i="1"/>
  <c r="BK141" i="1"/>
  <c r="BK157" i="1"/>
  <c r="BK188" i="1"/>
  <c r="BK183" i="1"/>
  <c r="BK204" i="1"/>
  <c r="BK216" i="1"/>
  <c r="BK142" i="1"/>
  <c r="BK110" i="1"/>
  <c r="BK221" i="1"/>
  <c r="BK187" i="1"/>
  <c r="BK37" i="1"/>
  <c r="BK97" i="1"/>
  <c r="BK38" i="1"/>
  <c r="BK68" i="1"/>
  <c r="BK70" i="1"/>
  <c r="BK83" i="1"/>
  <c r="BK94" i="1"/>
  <c r="BK164" i="1"/>
  <c r="BK143" i="1"/>
  <c r="BK160" i="1"/>
  <c r="BK194" i="1"/>
  <c r="BK189" i="1"/>
  <c r="BK226" i="1"/>
  <c r="BK219" i="1"/>
  <c r="BK165" i="1"/>
  <c r="BK285" i="1"/>
  <c r="BK263" i="1"/>
  <c r="BK210" i="1"/>
  <c r="BK39" i="1"/>
  <c r="BK231" i="1"/>
  <c r="BK44" i="1"/>
  <c r="BK71" i="1"/>
  <c r="BK96" i="1"/>
  <c r="BK230" i="1"/>
  <c r="BK144" i="1"/>
  <c r="BK166" i="1"/>
  <c r="BK200" i="1"/>
  <c r="BK113" i="1"/>
  <c r="BK222" i="1"/>
  <c r="BK145" i="1"/>
  <c r="BK138" i="1"/>
  <c r="BK286" i="1"/>
  <c r="BK289" i="1"/>
  <c r="BK79" i="1"/>
  <c r="BK274" i="1"/>
  <c r="BK211" i="1"/>
  <c r="BK48" i="1"/>
  <c r="BK40" i="1"/>
  <c r="BK242" i="1"/>
  <c r="BK45" i="1"/>
  <c r="BK53" i="1"/>
  <c r="BK72" i="1"/>
  <c r="BK232" i="1"/>
  <c r="BK241" i="1"/>
  <c r="BK167" i="1"/>
  <c r="BK146" i="1"/>
  <c r="BK177" i="1"/>
  <c r="BK168" i="1"/>
  <c r="BK139" i="1"/>
  <c r="BK161" i="1"/>
  <c r="BK124" i="1"/>
  <c r="BK84" i="1"/>
  <c r="BK69" i="1"/>
  <c r="BK195" i="1"/>
  <c r="BK237" i="1"/>
  <c r="BK201" i="1"/>
  <c r="BK49" i="1"/>
  <c r="BK57" i="1"/>
  <c r="BK74" i="1"/>
  <c r="BK253" i="1"/>
  <c r="BK243" i="1"/>
  <c r="BK147" i="1"/>
  <c r="BK169" i="1"/>
  <c r="BK207" i="1"/>
  <c r="BK148" i="1"/>
  <c r="BK162" i="1"/>
  <c r="BK127" i="1"/>
  <c r="BK287" i="1"/>
  <c r="BK85" i="1"/>
  <c r="BK99" i="1"/>
  <c r="BK73" i="1"/>
  <c r="BK63" i="1"/>
  <c r="BK50" i="1"/>
  <c r="BK294" i="1"/>
  <c r="BK117" i="1"/>
  <c r="BK295" i="1"/>
  <c r="BK264" i="1"/>
  <c r="BK254" i="1"/>
  <c r="BK244" i="1"/>
  <c r="BK170" i="1"/>
  <c r="BK149" i="1"/>
  <c r="BK171" i="1"/>
  <c r="BK128" i="1"/>
  <c r="BK118" i="1"/>
  <c r="BK234" i="1"/>
  <c r="BK60" i="1"/>
  <c r="BK131" i="1"/>
  <c r="BK91" i="1"/>
  <c r="BK65" i="1"/>
  <c r="BK275" i="1"/>
  <c r="BK265" i="1"/>
  <c r="BK255" i="1"/>
  <c r="BK245" i="1"/>
  <c r="BK153" i="1"/>
  <c r="BK172" i="1"/>
  <c r="BK150" i="1"/>
  <c r="BK101" i="1"/>
  <c r="BK129" i="1"/>
  <c r="BK288" i="1"/>
  <c r="BK61" i="1"/>
  <c r="BK87" i="1"/>
  <c r="BK291" i="1"/>
  <c r="BK89" i="1"/>
  <c r="BK248" i="1"/>
  <c r="BK276" i="1"/>
  <c r="BK266" i="1"/>
  <c r="BK111" i="1"/>
  <c r="BK246" i="1"/>
  <c r="BK176" i="1"/>
  <c r="BK151" i="1"/>
  <c r="BK184" i="1"/>
  <c r="BK119" i="1"/>
  <c r="BK173" i="1"/>
  <c r="BK290" i="1"/>
  <c r="BK223" i="1"/>
  <c r="BK103" i="1"/>
  <c r="BK105" i="1"/>
  <c r="BK259" i="1"/>
  <c r="BK277" i="1"/>
  <c r="BK293" i="1"/>
  <c r="BK120" i="1"/>
  <c r="BK92" i="1"/>
  <c r="BK174" i="1"/>
  <c r="BK256" i="1"/>
  <c r="BK292" i="1"/>
  <c r="BK66" i="1"/>
  <c r="BL133" i="1"/>
  <c r="BK133" i="1"/>
  <c r="BJ133" i="1"/>
  <c r="BI133" i="1"/>
  <c r="BH133" i="1"/>
  <c r="BG133" i="1"/>
  <c r="BF133" i="1"/>
  <c r="BE133" i="1"/>
  <c r="BD133" i="1"/>
  <c r="BC133" i="1"/>
  <c r="BB133" i="1"/>
  <c r="BA133" i="1"/>
  <c r="AZ133" i="1"/>
  <c r="AY133" i="1"/>
  <c r="AX133" i="1"/>
  <c r="AW133" i="1"/>
  <c r="AV133" i="1"/>
  <c r="AU133" i="1"/>
  <c r="AT133" i="1"/>
  <c r="AS133" i="1"/>
  <c r="AR133" i="1"/>
  <c r="AQ133" i="1"/>
  <c r="AP133" i="1"/>
  <c r="AO133" i="1"/>
  <c r="J133" i="1"/>
  <c r="I116" i="1"/>
  <c r="O66" i="1"/>
  <c r="BL270" i="1"/>
  <c r="BK270" i="1"/>
  <c r="BJ270" i="1"/>
  <c r="BI270" i="1"/>
  <c r="BH270" i="1"/>
  <c r="BG270" i="1"/>
  <c r="BF270" i="1"/>
  <c r="BE270" i="1"/>
  <c r="BD270" i="1"/>
  <c r="BC270" i="1"/>
  <c r="BB270" i="1"/>
  <c r="BA270" i="1"/>
  <c r="AZ270" i="1"/>
  <c r="AY270" i="1"/>
  <c r="AX270" i="1"/>
  <c r="AW270" i="1"/>
  <c r="AV270" i="1"/>
  <c r="AU270" i="1"/>
  <c r="AT270" i="1"/>
  <c r="AS270" i="1"/>
  <c r="AR270" i="1"/>
  <c r="AQ270" i="1"/>
  <c r="AP270" i="1"/>
  <c r="AO270" i="1"/>
  <c r="J270" i="1"/>
  <c r="BL278" i="1"/>
  <c r="BK278" i="1"/>
  <c r="BJ278" i="1"/>
  <c r="BI278" i="1"/>
  <c r="BH278" i="1"/>
  <c r="BG278" i="1"/>
  <c r="BF278" i="1"/>
  <c r="BE278" i="1"/>
  <c r="BD278" i="1"/>
  <c r="BC278" i="1"/>
  <c r="BB278" i="1"/>
  <c r="BA278" i="1"/>
  <c r="AZ278" i="1"/>
  <c r="AY278" i="1"/>
  <c r="AX278" i="1"/>
  <c r="AW278" i="1"/>
  <c r="AV278" i="1"/>
  <c r="AU278" i="1"/>
  <c r="AT278" i="1"/>
  <c r="AS278" i="1"/>
  <c r="AR278" i="1"/>
  <c r="AQ278" i="1"/>
  <c r="AP278" i="1"/>
  <c r="AO278" i="1"/>
  <c r="J278" i="1"/>
  <c r="I257" i="1"/>
  <c r="O256" i="1"/>
  <c r="I267" i="1"/>
  <c r="O174" i="1"/>
  <c r="I100" i="1"/>
  <c r="O92" i="1"/>
  <c r="I121" i="1"/>
  <c r="I190" i="1"/>
  <c r="O120" i="1"/>
  <c r="BL190" i="1" l="1"/>
  <c r="BK190" i="1"/>
  <c r="BJ190" i="1"/>
  <c r="BI190" i="1"/>
  <c r="BH190" i="1"/>
  <c r="BG190" i="1"/>
  <c r="BF190" i="1"/>
  <c r="BE190" i="1"/>
  <c r="BD190" i="1"/>
  <c r="BC190" i="1"/>
  <c r="BB190" i="1"/>
  <c r="BA190" i="1"/>
  <c r="AZ190" i="1"/>
  <c r="AY190" i="1"/>
  <c r="AX190" i="1"/>
  <c r="AW190" i="1"/>
  <c r="AV190" i="1"/>
  <c r="AU190" i="1"/>
  <c r="AT190" i="1"/>
  <c r="AS190" i="1"/>
  <c r="AR190" i="1"/>
  <c r="AQ190" i="1"/>
  <c r="AP190" i="1"/>
  <c r="AO190" i="1"/>
  <c r="J190" i="1"/>
  <c r="BL121" i="1"/>
  <c r="BK121" i="1"/>
  <c r="BJ121" i="1"/>
  <c r="BI121" i="1"/>
  <c r="BH121" i="1"/>
  <c r="BG121" i="1"/>
  <c r="BF121" i="1"/>
  <c r="BE121" i="1"/>
  <c r="BD121" i="1"/>
  <c r="BC121" i="1"/>
  <c r="BB121" i="1"/>
  <c r="BA121" i="1"/>
  <c r="AZ121" i="1"/>
  <c r="AY121" i="1"/>
  <c r="AX121" i="1"/>
  <c r="AW121" i="1"/>
  <c r="AV121" i="1"/>
  <c r="AU121" i="1"/>
  <c r="AT121" i="1"/>
  <c r="AS121" i="1"/>
  <c r="AR121" i="1"/>
  <c r="AQ121" i="1"/>
  <c r="AP121" i="1"/>
  <c r="AO121" i="1"/>
  <c r="J121" i="1"/>
  <c r="O121" i="1" s="1"/>
  <c r="BL100" i="1"/>
  <c r="BK100" i="1"/>
  <c r="BJ100" i="1"/>
  <c r="BI100" i="1"/>
  <c r="BH100" i="1"/>
  <c r="BG100" i="1"/>
  <c r="BF100" i="1"/>
  <c r="BE100" i="1"/>
  <c r="BD100" i="1"/>
  <c r="BC100" i="1"/>
  <c r="BB100" i="1"/>
  <c r="BA100" i="1"/>
  <c r="AZ100" i="1"/>
  <c r="AY100" i="1"/>
  <c r="AX100" i="1"/>
  <c r="AW100" i="1"/>
  <c r="AV100" i="1"/>
  <c r="AU100" i="1"/>
  <c r="AT100" i="1"/>
  <c r="AS100" i="1"/>
  <c r="AR100" i="1"/>
  <c r="AQ100" i="1"/>
  <c r="AP100" i="1"/>
  <c r="AO100" i="1"/>
  <c r="J100" i="1"/>
  <c r="BL267" i="1"/>
  <c r="BK267" i="1"/>
  <c r="BJ267" i="1"/>
  <c r="BI267" i="1"/>
  <c r="BH267" i="1"/>
  <c r="BG267" i="1"/>
  <c r="BF267" i="1"/>
  <c r="BE267" i="1"/>
  <c r="BD267" i="1"/>
  <c r="BC267" i="1"/>
  <c r="BB267" i="1"/>
  <c r="BA267" i="1"/>
  <c r="AZ267" i="1"/>
  <c r="AY267" i="1"/>
  <c r="AX267" i="1"/>
  <c r="AW267" i="1"/>
  <c r="AV267" i="1"/>
  <c r="AU267" i="1"/>
  <c r="AT267" i="1"/>
  <c r="AS267" i="1"/>
  <c r="AR267" i="1"/>
  <c r="AQ267" i="1"/>
  <c r="AP267" i="1"/>
  <c r="AO267" i="1"/>
  <c r="J267" i="1"/>
  <c r="BL257" i="1"/>
  <c r="BK257" i="1"/>
  <c r="BJ257" i="1"/>
  <c r="BI257" i="1"/>
  <c r="BH257" i="1"/>
  <c r="BG257" i="1"/>
  <c r="BF257" i="1"/>
  <c r="BE257" i="1"/>
  <c r="BD257" i="1"/>
  <c r="BC257" i="1"/>
  <c r="BB257" i="1"/>
  <c r="BA257" i="1"/>
  <c r="AZ257" i="1"/>
  <c r="AY257" i="1"/>
  <c r="AX257" i="1"/>
  <c r="AW257" i="1"/>
  <c r="AV257" i="1"/>
  <c r="AU257" i="1"/>
  <c r="AT257" i="1"/>
  <c r="AS257" i="1"/>
  <c r="AR257" i="1"/>
  <c r="AQ257" i="1"/>
  <c r="AP257" i="1"/>
  <c r="AO257" i="1"/>
  <c r="J257" i="1"/>
  <c r="I51" i="1"/>
  <c r="O278" i="1"/>
  <c r="I281" i="1"/>
  <c r="O270" i="1"/>
  <c r="BL116" i="1"/>
  <c r="BK116" i="1"/>
  <c r="BJ116" i="1"/>
  <c r="BI116" i="1"/>
  <c r="BH116" i="1"/>
  <c r="BG116" i="1"/>
  <c r="BF116" i="1"/>
  <c r="BE116" i="1"/>
  <c r="BD116" i="1"/>
  <c r="BC116" i="1"/>
  <c r="BB116" i="1"/>
  <c r="BA116" i="1"/>
  <c r="AZ116" i="1"/>
  <c r="AY116" i="1"/>
  <c r="AX116" i="1"/>
  <c r="AW116" i="1"/>
  <c r="AV116" i="1"/>
  <c r="AU116" i="1"/>
  <c r="AT116" i="1"/>
  <c r="AS116" i="1"/>
  <c r="AR116" i="1"/>
  <c r="AQ116" i="1"/>
  <c r="AP116" i="1"/>
  <c r="AO116" i="1"/>
  <c r="J116" i="1"/>
  <c r="I115" i="1"/>
  <c r="O133" i="1"/>
  <c r="Z4" i="2"/>
  <c r="BL305" i="1"/>
  <c r="BL304" i="1"/>
  <c r="BL303" i="1"/>
  <c r="BL302" i="1"/>
  <c r="BL301" i="1"/>
  <c r="BL300" i="1"/>
  <c r="BL299" i="1"/>
  <c r="BL298" i="1"/>
  <c r="BL297" i="1"/>
  <c r="BL126" i="1"/>
  <c r="BL123" i="1"/>
  <c r="BL107" i="1"/>
  <c r="BL98" i="1"/>
  <c r="BL95" i="1"/>
  <c r="BL81" i="1"/>
  <c r="BL77" i="1"/>
  <c r="BL58" i="1"/>
  <c r="BL54" i="1"/>
  <c r="BL41" i="1"/>
  <c r="BL33" i="1"/>
  <c r="BL32" i="1"/>
  <c r="BL31" i="1"/>
  <c r="BL30" i="1"/>
  <c r="BL29" i="1"/>
  <c r="BL28" i="1"/>
  <c r="BL27" i="1"/>
  <c r="BL26" i="1"/>
  <c r="BL25" i="1"/>
  <c r="BL24" i="1"/>
  <c r="BL23" i="1"/>
  <c r="BL22" i="1"/>
  <c r="BL21" i="1"/>
  <c r="BL20" i="1"/>
  <c r="BL19" i="1"/>
  <c r="BL18" i="1"/>
  <c r="BL17" i="1"/>
  <c r="BL16" i="1"/>
  <c r="BL15" i="1"/>
  <c r="BL14" i="1"/>
  <c r="BL13" i="1"/>
  <c r="BL12" i="1"/>
  <c r="BL11" i="1"/>
  <c r="BL10" i="1"/>
  <c r="BL9" i="1"/>
  <c r="BL8" i="1"/>
  <c r="BL7" i="1"/>
  <c r="BL6" i="1"/>
  <c r="BL5" i="1"/>
  <c r="BM4" i="1"/>
  <c r="BL3" i="1"/>
  <c r="Z3" i="2" s="1"/>
  <c r="BL42" i="1"/>
  <c r="BL43" i="1"/>
  <c r="BL52" i="1"/>
  <c r="BL56" i="1"/>
  <c r="BL108" i="1"/>
  <c r="BL135" i="1"/>
  <c r="BL180" i="1"/>
  <c r="BL208" i="1"/>
  <c r="BL181" i="1"/>
  <c r="BL186" i="1"/>
  <c r="BL192" i="1"/>
  <c r="BL198" i="1"/>
  <c r="BL136" i="1"/>
  <c r="BL109" i="1"/>
  <c r="BL82" i="1"/>
  <c r="BL78" i="1"/>
  <c r="BL215" i="1"/>
  <c r="BL193" i="1"/>
  <c r="BL199" i="1"/>
  <c r="BL233" i="1"/>
  <c r="BL34" i="1"/>
  <c r="BL46" i="1"/>
  <c r="BL55" i="1"/>
  <c r="BL122" i="1"/>
  <c r="BL59" i="1"/>
  <c r="BL125" i="1"/>
  <c r="BL137" i="1"/>
  <c r="BL158" i="1"/>
  <c r="BL182" i="1"/>
  <c r="BL213" i="1"/>
  <c r="BL209" i="1"/>
  <c r="BL214" i="1"/>
  <c r="BL217" i="1"/>
  <c r="BL220" i="1"/>
  <c r="BL159" i="1"/>
  <c r="BL218" i="1"/>
  <c r="BL252" i="1"/>
  <c r="BL35" i="1"/>
  <c r="BL76" i="1"/>
  <c r="BL36" i="1"/>
  <c r="BL47" i="1"/>
  <c r="BL67" i="1"/>
  <c r="BL80" i="1"/>
  <c r="BL141" i="1"/>
  <c r="BL157" i="1"/>
  <c r="BL188" i="1"/>
  <c r="BL183" i="1"/>
  <c r="BL204" i="1"/>
  <c r="BL216" i="1"/>
  <c r="BL142" i="1"/>
  <c r="BL110" i="1"/>
  <c r="BL221" i="1"/>
  <c r="BL187" i="1"/>
  <c r="BL37" i="1"/>
  <c r="BL97" i="1"/>
  <c r="BL38" i="1"/>
  <c r="BL68" i="1"/>
  <c r="BL70" i="1"/>
  <c r="BL83" i="1"/>
  <c r="BL94" i="1"/>
  <c r="BL164" i="1"/>
  <c r="BL143" i="1"/>
  <c r="BL160" i="1"/>
  <c r="BL194" i="1"/>
  <c r="BL189" i="1"/>
  <c r="BL226" i="1"/>
  <c r="BL219" i="1"/>
  <c r="BL165" i="1"/>
  <c r="BL285" i="1"/>
  <c r="BL263" i="1"/>
  <c r="BL210" i="1"/>
  <c r="BL39" i="1"/>
  <c r="BL231" i="1"/>
  <c r="BL44" i="1"/>
  <c r="BL71" i="1"/>
  <c r="BL96" i="1"/>
  <c r="BL230" i="1"/>
  <c r="BL144" i="1"/>
  <c r="BL166" i="1"/>
  <c r="BL200" i="1"/>
  <c r="BL113" i="1"/>
  <c r="BL222" i="1"/>
  <c r="BL145" i="1"/>
  <c r="BL138" i="1"/>
  <c r="BL286" i="1"/>
  <c r="BL289" i="1"/>
  <c r="BL79" i="1"/>
  <c r="BL274" i="1"/>
  <c r="BL211" i="1"/>
  <c r="BL48" i="1"/>
  <c r="BL40" i="1"/>
  <c r="BL242" i="1"/>
  <c r="BL45" i="1"/>
  <c r="BL53" i="1"/>
  <c r="BL72" i="1"/>
  <c r="BL232" i="1"/>
  <c r="BL241" i="1"/>
  <c r="BL167" i="1"/>
  <c r="BL146" i="1"/>
  <c r="BL177" i="1"/>
  <c r="BL168" i="1"/>
  <c r="BL139" i="1"/>
  <c r="BL161" i="1"/>
  <c r="BL124" i="1"/>
  <c r="BL84" i="1"/>
  <c r="BL69" i="1"/>
  <c r="BL195" i="1"/>
  <c r="BL237" i="1"/>
  <c r="BL201" i="1"/>
  <c r="BL49" i="1"/>
  <c r="BL57" i="1"/>
  <c r="BL74" i="1"/>
  <c r="BL253" i="1"/>
  <c r="BL243" i="1"/>
  <c r="BL147" i="1"/>
  <c r="BL169" i="1"/>
  <c r="BL207" i="1"/>
  <c r="BL148" i="1"/>
  <c r="BL162" i="1"/>
  <c r="BL127" i="1"/>
  <c r="BL287" i="1"/>
  <c r="BL85" i="1"/>
  <c r="BL99" i="1"/>
  <c r="BL73" i="1"/>
  <c r="BL63" i="1"/>
  <c r="BL50" i="1"/>
  <c r="BL294" i="1"/>
  <c r="BL117" i="1"/>
  <c r="BL295" i="1"/>
  <c r="BL264" i="1"/>
  <c r="BL254" i="1"/>
  <c r="BL244" i="1"/>
  <c r="BL170" i="1"/>
  <c r="BL149" i="1"/>
  <c r="BL171" i="1"/>
  <c r="BL128" i="1"/>
  <c r="BL118" i="1"/>
  <c r="BL234" i="1"/>
  <c r="BL60" i="1"/>
  <c r="BL131" i="1"/>
  <c r="BL91" i="1"/>
  <c r="BL65" i="1"/>
  <c r="BL275" i="1"/>
  <c r="BL265" i="1"/>
  <c r="BL255" i="1"/>
  <c r="BL245" i="1"/>
  <c r="BL153" i="1"/>
  <c r="BL172" i="1"/>
  <c r="BL150" i="1"/>
  <c r="BL101" i="1"/>
  <c r="BL129" i="1"/>
  <c r="BL288" i="1"/>
  <c r="BL61" i="1"/>
  <c r="BL87" i="1"/>
  <c r="BL291" i="1"/>
  <c r="BL89" i="1"/>
  <c r="BL248" i="1"/>
  <c r="BL276" i="1"/>
  <c r="BL266" i="1"/>
  <c r="BL111" i="1"/>
  <c r="BL246" i="1"/>
  <c r="BL176" i="1"/>
  <c r="BL151" i="1"/>
  <c r="BL184" i="1"/>
  <c r="BL119" i="1"/>
  <c r="BL173" i="1"/>
  <c r="BL290" i="1"/>
  <c r="BL223" i="1"/>
  <c r="BL103" i="1"/>
  <c r="BL105" i="1"/>
  <c r="BL259" i="1"/>
  <c r="BL277" i="1"/>
  <c r="BL293" i="1"/>
  <c r="BL120" i="1"/>
  <c r="BL92" i="1"/>
  <c r="BL174" i="1"/>
  <c r="BL256" i="1"/>
  <c r="BL292" i="1"/>
  <c r="BL66" i="1"/>
  <c r="AA4" i="2" l="1"/>
  <c r="BM305" i="1"/>
  <c r="BM304" i="1"/>
  <c r="BM303" i="1"/>
  <c r="BM302" i="1"/>
  <c r="BM301" i="1"/>
  <c r="BM300" i="1"/>
  <c r="BM299" i="1"/>
  <c r="BM298" i="1"/>
  <c r="BM297" i="1"/>
  <c r="BM126" i="1"/>
  <c r="BM123" i="1"/>
  <c r="BM107" i="1"/>
  <c r="BM98" i="1"/>
  <c r="BM95" i="1"/>
  <c r="BM81" i="1"/>
  <c r="BM77" i="1"/>
  <c r="BM58" i="1"/>
  <c r="BM54" i="1"/>
  <c r="BM41" i="1"/>
  <c r="BM33" i="1"/>
  <c r="BM32" i="1"/>
  <c r="BM31" i="1"/>
  <c r="BM30" i="1"/>
  <c r="BM29" i="1"/>
  <c r="BM28" i="1"/>
  <c r="BM27" i="1"/>
  <c r="BM26" i="1"/>
  <c r="BM25" i="1"/>
  <c r="BM24" i="1"/>
  <c r="BM23" i="1"/>
  <c r="BM22" i="1"/>
  <c r="BM21" i="1"/>
  <c r="BM20" i="1"/>
  <c r="BM19" i="1"/>
  <c r="BM18" i="1"/>
  <c r="BM17" i="1"/>
  <c r="BM16" i="1"/>
  <c r="BM15" i="1"/>
  <c r="BM14" i="1"/>
  <c r="BM13" i="1"/>
  <c r="BM12" i="1"/>
  <c r="BM11" i="1"/>
  <c r="BM10" i="1"/>
  <c r="BM9" i="1"/>
  <c r="BM8" i="1"/>
  <c r="BM7" i="1"/>
  <c r="BM6" i="1"/>
  <c r="BM5" i="1"/>
  <c r="BN4" i="1"/>
  <c r="BM3" i="1"/>
  <c r="AA3" i="2" s="1"/>
  <c r="BM42" i="1"/>
  <c r="BM43" i="1"/>
  <c r="BM52" i="1"/>
  <c r="BM56" i="1"/>
  <c r="BM108" i="1"/>
  <c r="BM135" i="1"/>
  <c r="BM180" i="1"/>
  <c r="BM208" i="1"/>
  <c r="BM181" i="1"/>
  <c r="BM186" i="1"/>
  <c r="BM192" i="1"/>
  <c r="BM198" i="1"/>
  <c r="BM136" i="1"/>
  <c r="BM109" i="1"/>
  <c r="BM82" i="1"/>
  <c r="BM78" i="1"/>
  <c r="BM215" i="1"/>
  <c r="BM193" i="1"/>
  <c r="BM199" i="1"/>
  <c r="BM233" i="1"/>
  <c r="BM34" i="1"/>
  <c r="BM46" i="1"/>
  <c r="BM55" i="1"/>
  <c r="BM122" i="1"/>
  <c r="BM59" i="1"/>
  <c r="BM125" i="1"/>
  <c r="BM137" i="1"/>
  <c r="BM158" i="1"/>
  <c r="BM182" i="1"/>
  <c r="BM213" i="1"/>
  <c r="BM209" i="1"/>
  <c r="BM214" i="1"/>
  <c r="BM217" i="1"/>
  <c r="BM220" i="1"/>
  <c r="BM159" i="1"/>
  <c r="BM218" i="1"/>
  <c r="BM252" i="1"/>
  <c r="BM35" i="1"/>
  <c r="BM76" i="1"/>
  <c r="BM36" i="1"/>
  <c r="BM47" i="1"/>
  <c r="BM67" i="1"/>
  <c r="BM80" i="1"/>
  <c r="BM141" i="1"/>
  <c r="BM157" i="1"/>
  <c r="BM188" i="1"/>
  <c r="BM183" i="1"/>
  <c r="BM204" i="1"/>
  <c r="BM216" i="1"/>
  <c r="BM142" i="1"/>
  <c r="BM110" i="1"/>
  <c r="BM221" i="1"/>
  <c r="BM187" i="1"/>
  <c r="BM37" i="1"/>
  <c r="BM97" i="1"/>
  <c r="BM38" i="1"/>
  <c r="BM68" i="1"/>
  <c r="BM70" i="1"/>
  <c r="BM83" i="1"/>
  <c r="BM94" i="1"/>
  <c r="BM164" i="1"/>
  <c r="BM143" i="1"/>
  <c r="BM160" i="1"/>
  <c r="BM194" i="1"/>
  <c r="BM189" i="1"/>
  <c r="BM226" i="1"/>
  <c r="BM219" i="1"/>
  <c r="BM165" i="1"/>
  <c r="BM285" i="1"/>
  <c r="BM263" i="1"/>
  <c r="BM210" i="1"/>
  <c r="BM39" i="1"/>
  <c r="BM231" i="1"/>
  <c r="BM44" i="1"/>
  <c r="BM71" i="1"/>
  <c r="BM96" i="1"/>
  <c r="BM230" i="1"/>
  <c r="BM144" i="1"/>
  <c r="BM166" i="1"/>
  <c r="BM200" i="1"/>
  <c r="BM113" i="1"/>
  <c r="BM222" i="1"/>
  <c r="BM145" i="1"/>
  <c r="BM138" i="1"/>
  <c r="BM286" i="1"/>
  <c r="BM289" i="1"/>
  <c r="BM79" i="1"/>
  <c r="BM274" i="1"/>
  <c r="BM211" i="1"/>
  <c r="BM48" i="1"/>
  <c r="BM40" i="1"/>
  <c r="BM242" i="1"/>
  <c r="BM45" i="1"/>
  <c r="BM53" i="1"/>
  <c r="BM72" i="1"/>
  <c r="BM232" i="1"/>
  <c r="BM241" i="1"/>
  <c r="BM167" i="1"/>
  <c r="BM146" i="1"/>
  <c r="BM177" i="1"/>
  <c r="BM168" i="1"/>
  <c r="BM139" i="1"/>
  <c r="BM161" i="1"/>
  <c r="BM124" i="1"/>
  <c r="BM84" i="1"/>
  <c r="BM69" i="1"/>
  <c r="BM195" i="1"/>
  <c r="BM237" i="1"/>
  <c r="BM201" i="1"/>
  <c r="BM49" i="1"/>
  <c r="BM57" i="1"/>
  <c r="BM74" i="1"/>
  <c r="BM253" i="1"/>
  <c r="BM243" i="1"/>
  <c r="BM147" i="1"/>
  <c r="BM169" i="1"/>
  <c r="BM207" i="1"/>
  <c r="BM148" i="1"/>
  <c r="BM162" i="1"/>
  <c r="BM127" i="1"/>
  <c r="BM287" i="1"/>
  <c r="BM85" i="1"/>
  <c r="BM99" i="1"/>
  <c r="BM73" i="1"/>
  <c r="BM63" i="1"/>
  <c r="BM50" i="1"/>
  <c r="BM294" i="1"/>
  <c r="BM117" i="1"/>
  <c r="BM295" i="1"/>
  <c r="BM264" i="1"/>
  <c r="BM254" i="1"/>
  <c r="BM244" i="1"/>
  <c r="BM170" i="1"/>
  <c r="BM149" i="1"/>
  <c r="BM171" i="1"/>
  <c r="BM128" i="1"/>
  <c r="BM118" i="1"/>
  <c r="BM234" i="1"/>
  <c r="BM60" i="1"/>
  <c r="BM131" i="1"/>
  <c r="BM91" i="1"/>
  <c r="BM65" i="1"/>
  <c r="BM275" i="1"/>
  <c r="BM265" i="1"/>
  <c r="BM255" i="1"/>
  <c r="BM245" i="1"/>
  <c r="BM153" i="1"/>
  <c r="BM172" i="1"/>
  <c r="BM150" i="1"/>
  <c r="BM101" i="1"/>
  <c r="BM129" i="1"/>
  <c r="BM288" i="1"/>
  <c r="BM61" i="1"/>
  <c r="BM87" i="1"/>
  <c r="BM291" i="1"/>
  <c r="BM89" i="1"/>
  <c r="BM248" i="1"/>
  <c r="BM276" i="1"/>
  <c r="BM266" i="1"/>
  <c r="BM111" i="1"/>
  <c r="BM246" i="1"/>
  <c r="BM176" i="1"/>
  <c r="BM151" i="1"/>
  <c r="BM184" i="1"/>
  <c r="BM119" i="1"/>
  <c r="BM173" i="1"/>
  <c r="BM290" i="1"/>
  <c r="BM223" i="1"/>
  <c r="BM103" i="1"/>
  <c r="BM105" i="1"/>
  <c r="BM259" i="1"/>
  <c r="BM277" i="1"/>
  <c r="BM293" i="1"/>
  <c r="BM120" i="1"/>
  <c r="BM92" i="1"/>
  <c r="BM174" i="1"/>
  <c r="BM256" i="1"/>
  <c r="BM292" i="1"/>
  <c r="BM66" i="1"/>
  <c r="BM133" i="1"/>
  <c r="BM270" i="1"/>
  <c r="BM278" i="1"/>
  <c r="BM190" i="1"/>
  <c r="BM121" i="1"/>
  <c r="BM100" i="1"/>
  <c r="BM267" i="1"/>
  <c r="BM257" i="1"/>
  <c r="BM116" i="1"/>
  <c r="BN115" i="1"/>
  <c r="BM115" i="1"/>
  <c r="BL115" i="1"/>
  <c r="BK115" i="1"/>
  <c r="BJ115" i="1"/>
  <c r="BI115" i="1"/>
  <c r="BH115" i="1"/>
  <c r="BG115" i="1"/>
  <c r="BF115" i="1"/>
  <c r="BE115" i="1"/>
  <c r="BD115" i="1"/>
  <c r="BC115" i="1"/>
  <c r="BB115" i="1"/>
  <c r="BA115" i="1"/>
  <c r="AZ115" i="1"/>
  <c r="AY115" i="1"/>
  <c r="AX115" i="1"/>
  <c r="AW115" i="1"/>
  <c r="AV115" i="1"/>
  <c r="AU115" i="1"/>
  <c r="AT115" i="1"/>
  <c r="AS115" i="1"/>
  <c r="AR115" i="1"/>
  <c r="AQ115" i="1"/>
  <c r="AP115" i="1"/>
  <c r="AO115" i="1"/>
  <c r="J115" i="1"/>
  <c r="I229" i="1"/>
  <c r="O116" i="1"/>
  <c r="BN281" i="1"/>
  <c r="BM281" i="1"/>
  <c r="BL281" i="1"/>
  <c r="BK281" i="1"/>
  <c r="BJ281" i="1"/>
  <c r="BI281" i="1"/>
  <c r="BH281" i="1"/>
  <c r="BG281" i="1"/>
  <c r="BF281" i="1"/>
  <c r="BE281" i="1"/>
  <c r="BD281" i="1"/>
  <c r="BC281" i="1"/>
  <c r="BB281" i="1"/>
  <c r="BA281" i="1"/>
  <c r="AZ281" i="1"/>
  <c r="AY281" i="1"/>
  <c r="AX281" i="1"/>
  <c r="AW281" i="1"/>
  <c r="AV281" i="1"/>
  <c r="AU281" i="1"/>
  <c r="AT281" i="1"/>
  <c r="AS281" i="1"/>
  <c r="AR281" i="1"/>
  <c r="AQ281" i="1"/>
  <c r="AP281" i="1"/>
  <c r="AO281" i="1"/>
  <c r="J281" i="1"/>
  <c r="BN51" i="1"/>
  <c r="BM51" i="1"/>
  <c r="BL51" i="1"/>
  <c r="BK51" i="1"/>
  <c r="BJ51" i="1"/>
  <c r="BI51" i="1"/>
  <c r="BH51" i="1"/>
  <c r="BG51" i="1"/>
  <c r="BF51" i="1"/>
  <c r="BE51" i="1"/>
  <c r="BD51" i="1"/>
  <c r="BC51" i="1"/>
  <c r="BB51" i="1"/>
  <c r="BA51" i="1"/>
  <c r="AZ51" i="1"/>
  <c r="AY51" i="1"/>
  <c r="AX51" i="1"/>
  <c r="AW51" i="1"/>
  <c r="AV51" i="1"/>
  <c r="AU51" i="1"/>
  <c r="AT51" i="1"/>
  <c r="AS51" i="1"/>
  <c r="AR51" i="1"/>
  <c r="AQ51" i="1"/>
  <c r="AP51" i="1"/>
  <c r="AO51" i="1"/>
  <c r="J51" i="1"/>
  <c r="I130" i="1"/>
  <c r="I152" i="1"/>
  <c r="O257" i="1"/>
  <c r="I247" i="1"/>
  <c r="O267" i="1"/>
  <c r="I235" i="1"/>
  <c r="O100" i="1"/>
  <c r="I196" i="1"/>
  <c r="I224" i="1"/>
  <c r="O190" i="1"/>
  <c r="BN224" i="1" l="1"/>
  <c r="BM224" i="1"/>
  <c r="BL224" i="1"/>
  <c r="BK224" i="1"/>
  <c r="BJ224" i="1"/>
  <c r="BI224" i="1"/>
  <c r="BH224" i="1"/>
  <c r="BG224" i="1"/>
  <c r="BF224" i="1"/>
  <c r="BE224" i="1"/>
  <c r="BD224" i="1"/>
  <c r="BC224" i="1"/>
  <c r="BB224" i="1"/>
  <c r="BA224" i="1"/>
  <c r="AZ224" i="1"/>
  <c r="AY224" i="1"/>
  <c r="AX224" i="1"/>
  <c r="AW224" i="1"/>
  <c r="AV224" i="1"/>
  <c r="AU224" i="1"/>
  <c r="AT224" i="1"/>
  <c r="AS224" i="1"/>
  <c r="AR224" i="1"/>
  <c r="AQ224" i="1"/>
  <c r="AP224" i="1"/>
  <c r="AO224" i="1"/>
  <c r="J224" i="1"/>
  <c r="BN196" i="1"/>
  <c r="BM196" i="1"/>
  <c r="BL196" i="1"/>
  <c r="BK196" i="1"/>
  <c r="BJ196" i="1"/>
  <c r="BI196" i="1"/>
  <c r="BH196" i="1"/>
  <c r="BG196" i="1"/>
  <c r="BF196" i="1"/>
  <c r="BE196" i="1"/>
  <c r="BD196" i="1"/>
  <c r="BC196" i="1"/>
  <c r="BB196" i="1"/>
  <c r="BA196" i="1"/>
  <c r="AZ196" i="1"/>
  <c r="AY196" i="1"/>
  <c r="AX196" i="1"/>
  <c r="AW196" i="1"/>
  <c r="AV196" i="1"/>
  <c r="AU196" i="1"/>
  <c r="AT196" i="1"/>
  <c r="AS196" i="1"/>
  <c r="AR196" i="1"/>
  <c r="AQ196" i="1"/>
  <c r="AP196" i="1"/>
  <c r="AO196" i="1"/>
  <c r="J196" i="1"/>
  <c r="BN235" i="1"/>
  <c r="BM235" i="1"/>
  <c r="BL235" i="1"/>
  <c r="BK235" i="1"/>
  <c r="BJ235" i="1"/>
  <c r="BI235" i="1"/>
  <c r="BH235" i="1"/>
  <c r="BG235" i="1"/>
  <c r="BF235" i="1"/>
  <c r="BE235" i="1"/>
  <c r="BD235" i="1"/>
  <c r="BC235" i="1"/>
  <c r="BB235" i="1"/>
  <c r="BA235" i="1"/>
  <c r="AZ235" i="1"/>
  <c r="AY235" i="1"/>
  <c r="AX235" i="1"/>
  <c r="AW235" i="1"/>
  <c r="AV235" i="1"/>
  <c r="AU235" i="1"/>
  <c r="AT235" i="1"/>
  <c r="AS235" i="1"/>
  <c r="AR235" i="1"/>
  <c r="AQ235" i="1"/>
  <c r="AP235" i="1"/>
  <c r="AO235" i="1"/>
  <c r="J235" i="1"/>
  <c r="BN247" i="1"/>
  <c r="BM247" i="1"/>
  <c r="BL247" i="1"/>
  <c r="BK247" i="1"/>
  <c r="BJ247" i="1"/>
  <c r="BI247" i="1"/>
  <c r="BH247" i="1"/>
  <c r="BG247" i="1"/>
  <c r="BF247" i="1"/>
  <c r="BE247" i="1"/>
  <c r="BD247" i="1"/>
  <c r="BC247" i="1"/>
  <c r="BB247" i="1"/>
  <c r="BA247" i="1"/>
  <c r="AZ247" i="1"/>
  <c r="AY247" i="1"/>
  <c r="AX247" i="1"/>
  <c r="AW247" i="1"/>
  <c r="AV247" i="1"/>
  <c r="AU247" i="1"/>
  <c r="AT247" i="1"/>
  <c r="AS247" i="1"/>
  <c r="AR247" i="1"/>
  <c r="AQ247" i="1"/>
  <c r="AP247" i="1"/>
  <c r="AO247" i="1"/>
  <c r="J247" i="1"/>
  <c r="BN152" i="1"/>
  <c r="BM152" i="1"/>
  <c r="BL152" i="1"/>
  <c r="BK152" i="1"/>
  <c r="BJ152" i="1"/>
  <c r="BI152" i="1"/>
  <c r="BH152" i="1"/>
  <c r="BG152" i="1"/>
  <c r="BF152" i="1"/>
  <c r="BE152" i="1"/>
  <c r="BD152" i="1"/>
  <c r="BC152" i="1"/>
  <c r="BB152" i="1"/>
  <c r="BA152" i="1"/>
  <c r="AZ152" i="1"/>
  <c r="AY152" i="1"/>
  <c r="AX152" i="1"/>
  <c r="AW152" i="1"/>
  <c r="AV152" i="1"/>
  <c r="AU152" i="1"/>
  <c r="AT152" i="1"/>
  <c r="AS152" i="1"/>
  <c r="AR152" i="1"/>
  <c r="AQ152" i="1"/>
  <c r="AP152" i="1"/>
  <c r="AO152" i="1"/>
  <c r="J152" i="1"/>
  <c r="BN130" i="1"/>
  <c r="BM130" i="1"/>
  <c r="BL130" i="1"/>
  <c r="BK130" i="1"/>
  <c r="BJ130" i="1"/>
  <c r="BI130" i="1"/>
  <c r="BH130" i="1"/>
  <c r="BG130" i="1"/>
  <c r="BF130" i="1"/>
  <c r="BE130" i="1"/>
  <c r="BD130" i="1"/>
  <c r="BC130" i="1"/>
  <c r="BB130" i="1"/>
  <c r="BA130" i="1"/>
  <c r="AZ130" i="1"/>
  <c r="AY130" i="1"/>
  <c r="AX130" i="1"/>
  <c r="AW130" i="1"/>
  <c r="AV130" i="1"/>
  <c r="AU130" i="1"/>
  <c r="AT130" i="1"/>
  <c r="AS130" i="1"/>
  <c r="AR130" i="1"/>
  <c r="AQ130" i="1"/>
  <c r="AP130" i="1"/>
  <c r="AO130" i="1"/>
  <c r="J130" i="1"/>
  <c r="O130" i="1" s="1"/>
  <c r="I112" i="1"/>
  <c r="O51" i="1"/>
  <c r="I90" i="1"/>
  <c r="O281" i="1"/>
  <c r="BN229" i="1"/>
  <c r="BM229" i="1"/>
  <c r="BL229" i="1"/>
  <c r="BK229" i="1"/>
  <c r="BJ229" i="1"/>
  <c r="BI229" i="1"/>
  <c r="BH229" i="1"/>
  <c r="BG229" i="1"/>
  <c r="BF229" i="1"/>
  <c r="BE229" i="1"/>
  <c r="BD229" i="1"/>
  <c r="BC229" i="1"/>
  <c r="BB229" i="1"/>
  <c r="BA229" i="1"/>
  <c r="AZ229" i="1"/>
  <c r="AY229" i="1"/>
  <c r="AX229" i="1"/>
  <c r="AW229" i="1"/>
  <c r="AV229" i="1"/>
  <c r="AU229" i="1"/>
  <c r="AT229" i="1"/>
  <c r="AS229" i="1"/>
  <c r="AR229" i="1"/>
  <c r="AQ229" i="1"/>
  <c r="AP229" i="1"/>
  <c r="AO229" i="1"/>
  <c r="J229" i="1"/>
  <c r="I155" i="1"/>
  <c r="O115" i="1"/>
  <c r="AB4" i="2"/>
  <c r="BN305" i="1"/>
  <c r="BN304" i="1"/>
  <c r="BN303" i="1"/>
  <c r="BN302" i="1"/>
  <c r="BN301" i="1"/>
  <c r="BN300" i="1"/>
  <c r="BN299" i="1"/>
  <c r="BN298" i="1"/>
  <c r="BN297" i="1"/>
  <c r="BN126" i="1"/>
  <c r="BN123" i="1"/>
  <c r="BN107" i="1"/>
  <c r="BN98" i="1"/>
  <c r="BN95" i="1"/>
  <c r="BN81" i="1"/>
  <c r="BN77" i="1"/>
  <c r="BN58" i="1"/>
  <c r="BN54" i="1"/>
  <c r="BN41" i="1"/>
  <c r="BN33" i="1"/>
  <c r="BN32" i="1"/>
  <c r="BN31" i="1"/>
  <c r="BN30" i="1"/>
  <c r="BN29" i="1"/>
  <c r="BN28" i="1"/>
  <c r="BN27" i="1"/>
  <c r="BN26" i="1"/>
  <c r="BN25" i="1"/>
  <c r="BN24" i="1"/>
  <c r="BN23" i="1"/>
  <c r="BN22" i="1"/>
  <c r="BN21" i="1"/>
  <c r="BN20" i="1"/>
  <c r="BN19" i="1"/>
  <c r="BN18" i="1"/>
  <c r="BN17" i="1"/>
  <c r="BN16" i="1"/>
  <c r="BN15" i="1"/>
  <c r="BN14" i="1"/>
  <c r="BN13" i="1"/>
  <c r="BN12" i="1"/>
  <c r="BN11" i="1"/>
  <c r="BN10" i="1"/>
  <c r="BN9" i="1"/>
  <c r="BN8" i="1"/>
  <c r="BN7" i="1"/>
  <c r="BN6" i="1"/>
  <c r="BN5" i="1"/>
  <c r="BO4" i="1"/>
  <c r="BN3" i="1"/>
  <c r="AB3" i="2" s="1"/>
  <c r="BN42" i="1"/>
  <c r="BN43" i="1"/>
  <c r="BN52" i="1"/>
  <c r="BN56" i="1"/>
  <c r="BN108" i="1"/>
  <c r="BN135" i="1"/>
  <c r="BN180" i="1"/>
  <c r="BN208" i="1"/>
  <c r="BN181" i="1"/>
  <c r="BN186" i="1"/>
  <c r="BN192" i="1"/>
  <c r="BN198" i="1"/>
  <c r="BN136" i="1"/>
  <c r="BN109" i="1"/>
  <c r="BN82" i="1"/>
  <c r="BN78" i="1"/>
  <c r="BN215" i="1"/>
  <c r="BN193" i="1"/>
  <c r="BN199" i="1"/>
  <c r="BN233" i="1"/>
  <c r="BN34" i="1"/>
  <c r="BN46" i="1"/>
  <c r="BN55" i="1"/>
  <c r="BN122" i="1"/>
  <c r="BN59" i="1"/>
  <c r="BN125" i="1"/>
  <c r="BN137" i="1"/>
  <c r="BN158" i="1"/>
  <c r="BN182" i="1"/>
  <c r="BN213" i="1"/>
  <c r="BN209" i="1"/>
  <c r="BN214" i="1"/>
  <c r="BN217" i="1"/>
  <c r="BN220" i="1"/>
  <c r="BN159" i="1"/>
  <c r="BN218" i="1"/>
  <c r="BN252" i="1"/>
  <c r="BN35" i="1"/>
  <c r="BN76" i="1"/>
  <c r="BN36" i="1"/>
  <c r="BN47" i="1"/>
  <c r="BN67" i="1"/>
  <c r="BN80" i="1"/>
  <c r="BN141" i="1"/>
  <c r="BN157" i="1"/>
  <c r="BN188" i="1"/>
  <c r="BN183" i="1"/>
  <c r="BN204" i="1"/>
  <c r="BN216" i="1"/>
  <c r="BN142" i="1"/>
  <c r="BN110" i="1"/>
  <c r="BN221" i="1"/>
  <c r="BN187" i="1"/>
  <c r="BN37" i="1"/>
  <c r="BN97" i="1"/>
  <c r="BN38" i="1"/>
  <c r="BN68" i="1"/>
  <c r="BN70" i="1"/>
  <c r="BN83" i="1"/>
  <c r="BN94" i="1"/>
  <c r="BN164" i="1"/>
  <c r="BN143" i="1"/>
  <c r="BN160" i="1"/>
  <c r="BN194" i="1"/>
  <c r="BN189" i="1"/>
  <c r="BN226" i="1"/>
  <c r="BN219" i="1"/>
  <c r="BN165" i="1"/>
  <c r="BN285" i="1"/>
  <c r="BN263" i="1"/>
  <c r="BN210" i="1"/>
  <c r="BN39" i="1"/>
  <c r="BN231" i="1"/>
  <c r="BN44" i="1"/>
  <c r="BN71" i="1"/>
  <c r="BN96" i="1"/>
  <c r="BN230" i="1"/>
  <c r="BN144" i="1"/>
  <c r="BN166" i="1"/>
  <c r="BN200" i="1"/>
  <c r="BN113" i="1"/>
  <c r="BN222" i="1"/>
  <c r="BN145" i="1"/>
  <c r="BN138" i="1"/>
  <c r="BN286" i="1"/>
  <c r="BN289" i="1"/>
  <c r="BN79" i="1"/>
  <c r="BN274" i="1"/>
  <c r="BN211" i="1"/>
  <c r="BN48" i="1"/>
  <c r="BN40" i="1"/>
  <c r="BN242" i="1"/>
  <c r="BN45" i="1"/>
  <c r="BN53" i="1"/>
  <c r="BN72" i="1"/>
  <c r="BN232" i="1"/>
  <c r="BN241" i="1"/>
  <c r="BN167" i="1"/>
  <c r="BN146" i="1"/>
  <c r="BN177" i="1"/>
  <c r="BN168" i="1"/>
  <c r="BN139" i="1"/>
  <c r="BN161" i="1"/>
  <c r="BN124" i="1"/>
  <c r="BN84" i="1"/>
  <c r="BN69" i="1"/>
  <c r="BN195" i="1"/>
  <c r="BN237" i="1"/>
  <c r="BN201" i="1"/>
  <c r="BN49" i="1"/>
  <c r="BN57" i="1"/>
  <c r="BN74" i="1"/>
  <c r="BN253" i="1"/>
  <c r="BN243" i="1"/>
  <c r="BN147" i="1"/>
  <c r="BN169" i="1"/>
  <c r="BN207" i="1"/>
  <c r="BN148" i="1"/>
  <c r="BN162" i="1"/>
  <c r="BN127" i="1"/>
  <c r="BN287" i="1"/>
  <c r="BN85" i="1"/>
  <c r="BN99" i="1"/>
  <c r="BN73" i="1"/>
  <c r="BN63" i="1"/>
  <c r="BN50" i="1"/>
  <c r="BN294" i="1"/>
  <c r="BN117" i="1"/>
  <c r="BN295" i="1"/>
  <c r="BN264" i="1"/>
  <c r="BN254" i="1"/>
  <c r="BN244" i="1"/>
  <c r="BN170" i="1"/>
  <c r="BN149" i="1"/>
  <c r="BN171" i="1"/>
  <c r="BN128" i="1"/>
  <c r="BN118" i="1"/>
  <c r="BN234" i="1"/>
  <c r="BN60" i="1"/>
  <c r="BN131" i="1"/>
  <c r="BN91" i="1"/>
  <c r="BN65" i="1"/>
  <c r="BN275" i="1"/>
  <c r="BN265" i="1"/>
  <c r="BN255" i="1"/>
  <c r="BN245" i="1"/>
  <c r="BN153" i="1"/>
  <c r="BN172" i="1"/>
  <c r="BN150" i="1"/>
  <c r="BN101" i="1"/>
  <c r="BN129" i="1"/>
  <c r="BN288" i="1"/>
  <c r="BN61" i="1"/>
  <c r="BN87" i="1"/>
  <c r="BN291" i="1"/>
  <c r="BN89" i="1"/>
  <c r="BN248" i="1"/>
  <c r="BN276" i="1"/>
  <c r="BN266" i="1"/>
  <c r="BN111" i="1"/>
  <c r="BN246" i="1"/>
  <c r="BN176" i="1"/>
  <c r="BN151" i="1"/>
  <c r="BN184" i="1"/>
  <c r="BN119" i="1"/>
  <c r="BN173" i="1"/>
  <c r="BN290" i="1"/>
  <c r="BN223" i="1"/>
  <c r="BN103" i="1"/>
  <c r="BN105" i="1"/>
  <c r="BN259" i="1"/>
  <c r="BN277" i="1"/>
  <c r="BN293" i="1"/>
  <c r="BN120" i="1"/>
  <c r="BN92" i="1"/>
  <c r="BN174" i="1"/>
  <c r="BN256" i="1"/>
  <c r="BN292" i="1"/>
  <c r="BN66" i="1"/>
  <c r="BN133" i="1"/>
  <c r="BN270" i="1"/>
  <c r="BN278" i="1"/>
  <c r="BN190" i="1"/>
  <c r="BN121" i="1"/>
  <c r="BN100" i="1"/>
  <c r="BN267" i="1"/>
  <c r="BN257" i="1"/>
  <c r="BN116" i="1"/>
  <c r="AC4" i="2" l="1"/>
  <c r="BO305" i="1"/>
  <c r="BO304" i="1"/>
  <c r="BO303" i="1"/>
  <c r="BO302" i="1"/>
  <c r="BO301" i="1"/>
  <c r="BO300" i="1"/>
  <c r="BO299" i="1"/>
  <c r="BO298" i="1"/>
  <c r="BO297" i="1"/>
  <c r="BO126" i="1"/>
  <c r="BO123" i="1"/>
  <c r="BO107" i="1"/>
  <c r="BO98" i="1"/>
  <c r="BO95" i="1"/>
  <c r="BO81" i="1"/>
  <c r="BO77" i="1"/>
  <c r="BO58" i="1"/>
  <c r="BO54" i="1"/>
  <c r="BO41" i="1"/>
  <c r="BO33" i="1"/>
  <c r="BO32" i="1"/>
  <c r="BO31" i="1"/>
  <c r="BO30" i="1"/>
  <c r="BO29" i="1"/>
  <c r="BO28" i="1"/>
  <c r="BO27" i="1"/>
  <c r="BO26" i="1"/>
  <c r="BO25" i="1"/>
  <c r="BO24" i="1"/>
  <c r="BO23" i="1"/>
  <c r="BO22" i="1"/>
  <c r="BO21" i="1"/>
  <c r="BO20" i="1"/>
  <c r="BO19" i="1"/>
  <c r="BO18" i="1"/>
  <c r="BO17" i="1"/>
  <c r="BO16" i="1"/>
  <c r="BO15" i="1"/>
  <c r="BO14" i="1"/>
  <c r="BO13" i="1"/>
  <c r="BO12" i="1"/>
  <c r="BO11" i="1"/>
  <c r="BO10" i="1"/>
  <c r="BO9" i="1"/>
  <c r="BO8" i="1"/>
  <c r="BO7" i="1"/>
  <c r="BO6" i="1"/>
  <c r="BO5" i="1"/>
  <c r="BP4" i="1"/>
  <c r="BO3" i="1"/>
  <c r="AC3" i="2" s="1"/>
  <c r="BO42" i="1"/>
  <c r="BO43" i="1"/>
  <c r="BO52" i="1"/>
  <c r="BO56" i="1"/>
  <c r="BO108" i="1"/>
  <c r="BO135" i="1"/>
  <c r="BO180" i="1"/>
  <c r="BO208" i="1"/>
  <c r="BO181" i="1"/>
  <c r="BO186" i="1"/>
  <c r="BO192" i="1"/>
  <c r="BO198" i="1"/>
  <c r="BO136" i="1"/>
  <c r="BO109" i="1"/>
  <c r="BO82" i="1"/>
  <c r="BO78" i="1"/>
  <c r="BO215" i="1"/>
  <c r="BO193" i="1"/>
  <c r="BO199" i="1"/>
  <c r="BO233" i="1"/>
  <c r="BO34" i="1"/>
  <c r="BO46" i="1"/>
  <c r="BO55" i="1"/>
  <c r="BO122" i="1"/>
  <c r="BO59" i="1"/>
  <c r="BO125" i="1"/>
  <c r="BO137" i="1"/>
  <c r="BO158" i="1"/>
  <c r="BO182" i="1"/>
  <c r="BO213" i="1"/>
  <c r="BO209" i="1"/>
  <c r="BO214" i="1"/>
  <c r="BO217" i="1"/>
  <c r="BO220" i="1"/>
  <c r="BO159" i="1"/>
  <c r="BO218" i="1"/>
  <c r="BO252" i="1"/>
  <c r="BO35" i="1"/>
  <c r="BO76" i="1"/>
  <c r="BO36" i="1"/>
  <c r="BO47" i="1"/>
  <c r="BO67" i="1"/>
  <c r="BO80" i="1"/>
  <c r="BO141" i="1"/>
  <c r="BO157" i="1"/>
  <c r="BO188" i="1"/>
  <c r="BO183" i="1"/>
  <c r="BO204" i="1"/>
  <c r="BO216" i="1"/>
  <c r="BO142" i="1"/>
  <c r="BO110" i="1"/>
  <c r="BO221" i="1"/>
  <c r="BO187" i="1"/>
  <c r="BO37" i="1"/>
  <c r="BO97" i="1"/>
  <c r="BO38" i="1"/>
  <c r="BO68" i="1"/>
  <c r="BO70" i="1"/>
  <c r="BO83" i="1"/>
  <c r="BO94" i="1"/>
  <c r="BO164" i="1"/>
  <c r="BO143" i="1"/>
  <c r="BO160" i="1"/>
  <c r="BO194" i="1"/>
  <c r="BO189" i="1"/>
  <c r="BO226" i="1"/>
  <c r="BO219" i="1"/>
  <c r="BO165" i="1"/>
  <c r="BO285" i="1"/>
  <c r="BO263" i="1"/>
  <c r="BO210" i="1"/>
  <c r="BO39" i="1"/>
  <c r="BO231" i="1"/>
  <c r="BO44" i="1"/>
  <c r="BO71" i="1"/>
  <c r="BO96" i="1"/>
  <c r="BO230" i="1"/>
  <c r="BO144" i="1"/>
  <c r="BO166" i="1"/>
  <c r="BO200" i="1"/>
  <c r="BO113" i="1"/>
  <c r="BO222" i="1"/>
  <c r="BO145" i="1"/>
  <c r="BO138" i="1"/>
  <c r="BO286" i="1"/>
  <c r="BO289" i="1"/>
  <c r="BO79" i="1"/>
  <c r="BO274" i="1"/>
  <c r="BO211" i="1"/>
  <c r="BO48" i="1"/>
  <c r="BO40" i="1"/>
  <c r="BO242" i="1"/>
  <c r="BO45" i="1"/>
  <c r="BO53" i="1"/>
  <c r="BO72" i="1"/>
  <c r="BO232" i="1"/>
  <c r="BO241" i="1"/>
  <c r="BO167" i="1"/>
  <c r="BO146" i="1"/>
  <c r="BO177" i="1"/>
  <c r="BO168" i="1"/>
  <c r="BO139" i="1"/>
  <c r="BO161" i="1"/>
  <c r="BO124" i="1"/>
  <c r="BO84" i="1"/>
  <c r="BO69" i="1"/>
  <c r="BO195" i="1"/>
  <c r="BO237" i="1"/>
  <c r="BO201" i="1"/>
  <c r="BO49" i="1"/>
  <c r="BO57" i="1"/>
  <c r="BO74" i="1"/>
  <c r="BO253" i="1"/>
  <c r="BO243" i="1"/>
  <c r="BO147" i="1"/>
  <c r="BO169" i="1"/>
  <c r="BO207" i="1"/>
  <c r="BO148" i="1"/>
  <c r="BO162" i="1"/>
  <c r="BO127" i="1"/>
  <c r="BO287" i="1"/>
  <c r="BO85" i="1"/>
  <c r="BO99" i="1"/>
  <c r="BO73" i="1"/>
  <c r="BO63" i="1"/>
  <c r="BO50" i="1"/>
  <c r="BO294" i="1"/>
  <c r="BO117" i="1"/>
  <c r="BO295" i="1"/>
  <c r="BO264" i="1"/>
  <c r="BO254" i="1"/>
  <c r="BO244" i="1"/>
  <c r="BO170" i="1"/>
  <c r="BO149" i="1"/>
  <c r="BO171" i="1"/>
  <c r="BO128" i="1"/>
  <c r="BO118" i="1"/>
  <c r="BO234" i="1"/>
  <c r="BO60" i="1"/>
  <c r="BO131" i="1"/>
  <c r="BO91" i="1"/>
  <c r="BO65" i="1"/>
  <c r="BO275" i="1"/>
  <c r="BO265" i="1"/>
  <c r="BO255" i="1"/>
  <c r="BO245" i="1"/>
  <c r="BO153" i="1"/>
  <c r="BO172" i="1"/>
  <c r="BO150" i="1"/>
  <c r="BO101" i="1"/>
  <c r="BO129" i="1"/>
  <c r="BO288" i="1"/>
  <c r="BO61" i="1"/>
  <c r="BO87" i="1"/>
  <c r="BO291" i="1"/>
  <c r="BO89" i="1"/>
  <c r="BO248" i="1"/>
  <c r="BO276" i="1"/>
  <c r="BO266" i="1"/>
  <c r="BO111" i="1"/>
  <c r="BO246" i="1"/>
  <c r="BO176" i="1"/>
  <c r="BO151" i="1"/>
  <c r="BO184" i="1"/>
  <c r="BO119" i="1"/>
  <c r="BO173" i="1"/>
  <c r="BO290" i="1"/>
  <c r="BO223" i="1"/>
  <c r="BO103" i="1"/>
  <c r="BO105" i="1"/>
  <c r="BO259" i="1"/>
  <c r="BO277" i="1"/>
  <c r="BO293" i="1"/>
  <c r="BO120" i="1"/>
  <c r="BO92" i="1"/>
  <c r="BO174" i="1"/>
  <c r="BO256" i="1"/>
  <c r="BO292" i="1"/>
  <c r="BO66" i="1"/>
  <c r="BO133" i="1"/>
  <c r="BO270" i="1"/>
  <c r="BO278" i="1"/>
  <c r="BO190" i="1"/>
  <c r="BO121" i="1"/>
  <c r="BO100" i="1"/>
  <c r="BO267" i="1"/>
  <c r="BO257" i="1"/>
  <c r="BO116" i="1"/>
  <c r="BO115" i="1"/>
  <c r="BO281" i="1"/>
  <c r="BO51" i="1"/>
  <c r="BO224" i="1"/>
  <c r="BO196" i="1"/>
  <c r="BO235" i="1"/>
  <c r="BO247" i="1"/>
  <c r="BO152" i="1"/>
  <c r="BO130" i="1"/>
  <c r="BO229" i="1"/>
  <c r="BP155" i="1"/>
  <c r="BO155" i="1"/>
  <c r="BN155" i="1"/>
  <c r="BM155" i="1"/>
  <c r="BL155" i="1"/>
  <c r="BK155" i="1"/>
  <c r="BJ155" i="1"/>
  <c r="BI155" i="1"/>
  <c r="BH155" i="1"/>
  <c r="BG155" i="1"/>
  <c r="BF155" i="1"/>
  <c r="BE155" i="1"/>
  <c r="BD155" i="1"/>
  <c r="BC155" i="1"/>
  <c r="BB155" i="1"/>
  <c r="BA155" i="1"/>
  <c r="AZ155" i="1"/>
  <c r="AY155" i="1"/>
  <c r="AX155" i="1"/>
  <c r="AW155" i="1"/>
  <c r="AV155" i="1"/>
  <c r="AU155" i="1"/>
  <c r="AT155" i="1"/>
  <c r="AS155" i="1"/>
  <c r="AR155" i="1"/>
  <c r="AQ155" i="1"/>
  <c r="AP155" i="1"/>
  <c r="AO155" i="1"/>
  <c r="J155" i="1"/>
  <c r="I262" i="1"/>
  <c r="O229" i="1"/>
  <c r="BP90" i="1"/>
  <c r="BO90" i="1"/>
  <c r="BN90" i="1"/>
  <c r="BM90" i="1"/>
  <c r="BL90" i="1"/>
  <c r="BK90" i="1"/>
  <c r="BJ90" i="1"/>
  <c r="BI90" i="1"/>
  <c r="BH90" i="1"/>
  <c r="BG90" i="1"/>
  <c r="BF90" i="1"/>
  <c r="BE90" i="1"/>
  <c r="BD90" i="1"/>
  <c r="BC90" i="1"/>
  <c r="BB90" i="1"/>
  <c r="BA90" i="1"/>
  <c r="AZ90" i="1"/>
  <c r="AY90" i="1"/>
  <c r="AX90" i="1"/>
  <c r="AW90" i="1"/>
  <c r="AV90" i="1"/>
  <c r="AU90" i="1"/>
  <c r="AT90" i="1"/>
  <c r="AS90" i="1"/>
  <c r="AR90" i="1"/>
  <c r="AQ90" i="1"/>
  <c r="AP90" i="1"/>
  <c r="AO90" i="1"/>
  <c r="J90" i="1"/>
  <c r="BP112" i="1"/>
  <c r="BO112" i="1"/>
  <c r="BN112" i="1"/>
  <c r="BM112" i="1"/>
  <c r="BL112" i="1"/>
  <c r="BK112" i="1"/>
  <c r="BJ112" i="1"/>
  <c r="BI112" i="1"/>
  <c r="BH112" i="1"/>
  <c r="BG112" i="1"/>
  <c r="BF112" i="1"/>
  <c r="BE112" i="1"/>
  <c r="BD112" i="1"/>
  <c r="BC112" i="1"/>
  <c r="BB112" i="1"/>
  <c r="BA112" i="1"/>
  <c r="AZ112" i="1"/>
  <c r="AY112" i="1"/>
  <c r="AX112" i="1"/>
  <c r="AW112" i="1"/>
  <c r="AV112" i="1"/>
  <c r="AU112" i="1"/>
  <c r="AT112" i="1"/>
  <c r="AS112" i="1"/>
  <c r="AR112" i="1"/>
  <c r="AQ112" i="1"/>
  <c r="AP112" i="1"/>
  <c r="AO112" i="1"/>
  <c r="J112" i="1"/>
  <c r="O112" i="1" s="1"/>
  <c r="I185" i="1"/>
  <c r="O152" i="1"/>
  <c r="O247" i="1"/>
  <c r="O235" i="1"/>
  <c r="I249" i="1"/>
  <c r="I202" i="1"/>
  <c r="O196" i="1"/>
  <c r="I163" i="1"/>
  <c r="I279" i="1"/>
  <c r="O224" i="1"/>
  <c r="BP279" i="1" l="1"/>
  <c r="BO279" i="1"/>
  <c r="BN279" i="1"/>
  <c r="BM279" i="1"/>
  <c r="BL279" i="1"/>
  <c r="BK279" i="1"/>
  <c r="BJ279" i="1"/>
  <c r="BI279" i="1"/>
  <c r="BH279" i="1"/>
  <c r="BG279" i="1"/>
  <c r="BF279" i="1"/>
  <c r="BE279" i="1"/>
  <c r="BD279" i="1"/>
  <c r="BC279" i="1"/>
  <c r="BB279" i="1"/>
  <c r="BA279" i="1"/>
  <c r="AZ279" i="1"/>
  <c r="AY279" i="1"/>
  <c r="AX279" i="1"/>
  <c r="AW279" i="1"/>
  <c r="AV279" i="1"/>
  <c r="AU279" i="1"/>
  <c r="AT279" i="1"/>
  <c r="AS279" i="1"/>
  <c r="AR279" i="1"/>
  <c r="AQ279" i="1"/>
  <c r="AP279" i="1"/>
  <c r="AO279" i="1"/>
  <c r="J279" i="1"/>
  <c r="BP163" i="1"/>
  <c r="BO163" i="1"/>
  <c r="BN163" i="1"/>
  <c r="BM163" i="1"/>
  <c r="BL163" i="1"/>
  <c r="BK163" i="1"/>
  <c r="BJ163" i="1"/>
  <c r="BI163" i="1"/>
  <c r="BH163" i="1"/>
  <c r="BG163" i="1"/>
  <c r="BF163" i="1"/>
  <c r="BE163" i="1"/>
  <c r="BD163" i="1"/>
  <c r="BC163" i="1"/>
  <c r="BB163" i="1"/>
  <c r="BA163" i="1"/>
  <c r="AZ163" i="1"/>
  <c r="AY163" i="1"/>
  <c r="AX163" i="1"/>
  <c r="AW163" i="1"/>
  <c r="AV163" i="1"/>
  <c r="AU163" i="1"/>
  <c r="AT163" i="1"/>
  <c r="AS163" i="1"/>
  <c r="AR163" i="1"/>
  <c r="AQ163" i="1"/>
  <c r="AP163" i="1"/>
  <c r="AO163" i="1"/>
  <c r="J163" i="1"/>
  <c r="BP202" i="1"/>
  <c r="BO202" i="1"/>
  <c r="BN202" i="1"/>
  <c r="BM202" i="1"/>
  <c r="BL202" i="1"/>
  <c r="BK202" i="1"/>
  <c r="BJ202" i="1"/>
  <c r="BI202" i="1"/>
  <c r="BH202" i="1"/>
  <c r="BG202" i="1"/>
  <c r="BF202" i="1"/>
  <c r="BE202" i="1"/>
  <c r="BD202" i="1"/>
  <c r="BC202" i="1"/>
  <c r="BB202" i="1"/>
  <c r="BA202" i="1"/>
  <c r="AZ202" i="1"/>
  <c r="AY202" i="1"/>
  <c r="AX202" i="1"/>
  <c r="AW202" i="1"/>
  <c r="AV202" i="1"/>
  <c r="AU202" i="1"/>
  <c r="AT202" i="1"/>
  <c r="AS202" i="1"/>
  <c r="AR202" i="1"/>
  <c r="AQ202" i="1"/>
  <c r="AP202" i="1"/>
  <c r="AO202" i="1"/>
  <c r="J202" i="1"/>
  <c r="BP249" i="1"/>
  <c r="BO249" i="1"/>
  <c r="BN249" i="1"/>
  <c r="BM249" i="1"/>
  <c r="BL249" i="1"/>
  <c r="BK249" i="1"/>
  <c r="BJ249" i="1"/>
  <c r="BI249" i="1"/>
  <c r="BH249" i="1"/>
  <c r="BG249" i="1"/>
  <c r="BF249" i="1"/>
  <c r="BE249" i="1"/>
  <c r="BD249" i="1"/>
  <c r="BC249" i="1"/>
  <c r="BB249" i="1"/>
  <c r="BA249" i="1"/>
  <c r="AZ249" i="1"/>
  <c r="AY249" i="1"/>
  <c r="AX249" i="1"/>
  <c r="AW249" i="1"/>
  <c r="AV249" i="1"/>
  <c r="AU249" i="1"/>
  <c r="AT249" i="1"/>
  <c r="AS249" i="1"/>
  <c r="AR249" i="1"/>
  <c r="AQ249" i="1"/>
  <c r="AP249" i="1"/>
  <c r="AO249" i="1"/>
  <c r="J249" i="1"/>
  <c r="BP185" i="1"/>
  <c r="BO185" i="1"/>
  <c r="BN185" i="1"/>
  <c r="BM185" i="1"/>
  <c r="BL185" i="1"/>
  <c r="BK185" i="1"/>
  <c r="BJ185" i="1"/>
  <c r="BI185" i="1"/>
  <c r="BH185" i="1"/>
  <c r="BG185" i="1"/>
  <c r="BF185" i="1"/>
  <c r="BE185" i="1"/>
  <c r="BD185" i="1"/>
  <c r="BC185" i="1"/>
  <c r="BB185" i="1"/>
  <c r="BA185" i="1"/>
  <c r="AZ185" i="1"/>
  <c r="AY185" i="1"/>
  <c r="AX185" i="1"/>
  <c r="AW185" i="1"/>
  <c r="AV185" i="1"/>
  <c r="AU185" i="1"/>
  <c r="AT185" i="1"/>
  <c r="AS185" i="1"/>
  <c r="AR185" i="1"/>
  <c r="AQ185" i="1"/>
  <c r="AP185" i="1"/>
  <c r="AO185" i="1"/>
  <c r="J185" i="1"/>
  <c r="I273" i="1"/>
  <c r="O90" i="1"/>
  <c r="BP262" i="1"/>
  <c r="BO262" i="1"/>
  <c r="BN262" i="1"/>
  <c r="BM262" i="1"/>
  <c r="BL262" i="1"/>
  <c r="BK262" i="1"/>
  <c r="BJ262" i="1"/>
  <c r="BI262" i="1"/>
  <c r="BH262" i="1"/>
  <c r="BG262" i="1"/>
  <c r="BF262" i="1"/>
  <c r="BE262" i="1"/>
  <c r="BD262" i="1"/>
  <c r="BC262" i="1"/>
  <c r="BB262" i="1"/>
  <c r="BA262" i="1"/>
  <c r="AZ262" i="1"/>
  <c r="AY262" i="1"/>
  <c r="AX262" i="1"/>
  <c r="AW262" i="1"/>
  <c r="AV262" i="1"/>
  <c r="AU262" i="1"/>
  <c r="AT262" i="1"/>
  <c r="AS262" i="1"/>
  <c r="AR262" i="1"/>
  <c r="AQ262" i="1"/>
  <c r="AP262" i="1"/>
  <c r="AO262" i="1"/>
  <c r="J262" i="1"/>
  <c r="I178" i="1"/>
  <c r="O155" i="1"/>
  <c r="AD4" i="2"/>
  <c r="BP305" i="1"/>
  <c r="BP304" i="1"/>
  <c r="BP303" i="1"/>
  <c r="BP302" i="1"/>
  <c r="BP301" i="1"/>
  <c r="BP300" i="1"/>
  <c r="BP299" i="1"/>
  <c r="BP298" i="1"/>
  <c r="BP297" i="1"/>
  <c r="BP126" i="1"/>
  <c r="BP123" i="1"/>
  <c r="BP107" i="1"/>
  <c r="BP98" i="1"/>
  <c r="BP95" i="1"/>
  <c r="BP81" i="1"/>
  <c r="BP77" i="1"/>
  <c r="BP58" i="1"/>
  <c r="BP54" i="1"/>
  <c r="BP41" i="1"/>
  <c r="BP33" i="1"/>
  <c r="BP32" i="1"/>
  <c r="BP31" i="1"/>
  <c r="BP30" i="1"/>
  <c r="BP29" i="1"/>
  <c r="BP28" i="1"/>
  <c r="BP27" i="1"/>
  <c r="BP26" i="1"/>
  <c r="BP25" i="1"/>
  <c r="BP24" i="1"/>
  <c r="BP23" i="1"/>
  <c r="BP22" i="1"/>
  <c r="BP21" i="1"/>
  <c r="BP20" i="1"/>
  <c r="BP19" i="1"/>
  <c r="BP18" i="1"/>
  <c r="BP17" i="1"/>
  <c r="BP16" i="1"/>
  <c r="BP15" i="1"/>
  <c r="BP14" i="1"/>
  <c r="BP13" i="1"/>
  <c r="BP12" i="1"/>
  <c r="BP11" i="1"/>
  <c r="BP10" i="1"/>
  <c r="BP9" i="1"/>
  <c r="BP8" i="1"/>
  <c r="BP7" i="1"/>
  <c r="BP6" i="1"/>
  <c r="BP5" i="1"/>
  <c r="BQ4" i="1"/>
  <c r="BP3" i="1"/>
  <c r="AD3" i="2" s="1"/>
  <c r="BP42" i="1"/>
  <c r="BP43" i="1"/>
  <c r="BP52" i="1"/>
  <c r="BP56" i="1"/>
  <c r="BP108" i="1"/>
  <c r="BP135" i="1"/>
  <c r="BP180" i="1"/>
  <c r="BP208" i="1"/>
  <c r="BP181" i="1"/>
  <c r="BP186" i="1"/>
  <c r="BP192" i="1"/>
  <c r="BP198" i="1"/>
  <c r="BP136" i="1"/>
  <c r="BP109" i="1"/>
  <c r="BP82" i="1"/>
  <c r="BP78" i="1"/>
  <c r="BP215" i="1"/>
  <c r="BP193" i="1"/>
  <c r="BP199" i="1"/>
  <c r="BP233" i="1"/>
  <c r="BP34" i="1"/>
  <c r="BP46" i="1"/>
  <c r="BP55" i="1"/>
  <c r="BP122" i="1"/>
  <c r="BP59" i="1"/>
  <c r="BP125" i="1"/>
  <c r="BP137" i="1"/>
  <c r="BP158" i="1"/>
  <c r="BP182" i="1"/>
  <c r="BP213" i="1"/>
  <c r="BP209" i="1"/>
  <c r="BP214" i="1"/>
  <c r="BP217" i="1"/>
  <c r="BP220" i="1"/>
  <c r="BP159" i="1"/>
  <c r="BP218" i="1"/>
  <c r="BP252" i="1"/>
  <c r="BP35" i="1"/>
  <c r="BP76" i="1"/>
  <c r="BP36" i="1"/>
  <c r="BP47" i="1"/>
  <c r="BP67" i="1"/>
  <c r="BP80" i="1"/>
  <c r="BP141" i="1"/>
  <c r="BP157" i="1"/>
  <c r="BP188" i="1"/>
  <c r="BP183" i="1"/>
  <c r="BP204" i="1"/>
  <c r="BP216" i="1"/>
  <c r="BP142" i="1"/>
  <c r="BP110" i="1"/>
  <c r="BP221" i="1"/>
  <c r="BP187" i="1"/>
  <c r="BP37" i="1"/>
  <c r="BP97" i="1"/>
  <c r="BP38" i="1"/>
  <c r="BP68" i="1"/>
  <c r="BP70" i="1"/>
  <c r="BP83" i="1"/>
  <c r="BP94" i="1"/>
  <c r="BP164" i="1"/>
  <c r="BP143" i="1"/>
  <c r="BP160" i="1"/>
  <c r="BP194" i="1"/>
  <c r="BP189" i="1"/>
  <c r="BP226" i="1"/>
  <c r="BP219" i="1"/>
  <c r="BP165" i="1"/>
  <c r="BP285" i="1"/>
  <c r="BP263" i="1"/>
  <c r="BP210" i="1"/>
  <c r="BP39" i="1"/>
  <c r="BP231" i="1"/>
  <c r="BP44" i="1"/>
  <c r="BP71" i="1"/>
  <c r="BP96" i="1"/>
  <c r="BP230" i="1"/>
  <c r="BP144" i="1"/>
  <c r="BP166" i="1"/>
  <c r="BP200" i="1"/>
  <c r="BP113" i="1"/>
  <c r="BP222" i="1"/>
  <c r="BP145" i="1"/>
  <c r="BP138" i="1"/>
  <c r="BP286" i="1"/>
  <c r="BP289" i="1"/>
  <c r="BP79" i="1"/>
  <c r="BP274" i="1"/>
  <c r="BP211" i="1"/>
  <c r="BP48" i="1"/>
  <c r="BP40" i="1"/>
  <c r="BP242" i="1"/>
  <c r="BP45" i="1"/>
  <c r="BP53" i="1"/>
  <c r="BP72" i="1"/>
  <c r="BP232" i="1"/>
  <c r="BP241" i="1"/>
  <c r="BP167" i="1"/>
  <c r="BP146" i="1"/>
  <c r="BP177" i="1"/>
  <c r="BP168" i="1"/>
  <c r="BP139" i="1"/>
  <c r="BP161" i="1"/>
  <c r="BP124" i="1"/>
  <c r="BP84" i="1"/>
  <c r="BP69" i="1"/>
  <c r="BP195" i="1"/>
  <c r="BP237" i="1"/>
  <c r="BP201" i="1"/>
  <c r="BP49" i="1"/>
  <c r="BP57" i="1"/>
  <c r="BP74" i="1"/>
  <c r="BP253" i="1"/>
  <c r="BP243" i="1"/>
  <c r="BP147" i="1"/>
  <c r="BP169" i="1"/>
  <c r="BP207" i="1"/>
  <c r="BP148" i="1"/>
  <c r="BP162" i="1"/>
  <c r="BP127" i="1"/>
  <c r="BP287" i="1"/>
  <c r="BP85" i="1"/>
  <c r="BP99" i="1"/>
  <c r="BP73" i="1"/>
  <c r="BP63" i="1"/>
  <c r="BP50" i="1"/>
  <c r="BP294" i="1"/>
  <c r="BP117" i="1"/>
  <c r="BP295" i="1"/>
  <c r="BP264" i="1"/>
  <c r="BP254" i="1"/>
  <c r="BP244" i="1"/>
  <c r="BP170" i="1"/>
  <c r="BP149" i="1"/>
  <c r="BP171" i="1"/>
  <c r="BP128" i="1"/>
  <c r="BP118" i="1"/>
  <c r="BP234" i="1"/>
  <c r="BP60" i="1"/>
  <c r="BP131" i="1"/>
  <c r="BP91" i="1"/>
  <c r="BP65" i="1"/>
  <c r="BP275" i="1"/>
  <c r="BP265" i="1"/>
  <c r="BP255" i="1"/>
  <c r="BP245" i="1"/>
  <c r="BP153" i="1"/>
  <c r="BP172" i="1"/>
  <c r="BP150" i="1"/>
  <c r="BP101" i="1"/>
  <c r="BP129" i="1"/>
  <c r="BP288" i="1"/>
  <c r="BP61" i="1"/>
  <c r="BP87" i="1"/>
  <c r="BP291" i="1"/>
  <c r="BP89" i="1"/>
  <c r="BP248" i="1"/>
  <c r="BP276" i="1"/>
  <c r="BP266" i="1"/>
  <c r="BP111" i="1"/>
  <c r="BP246" i="1"/>
  <c r="BP176" i="1"/>
  <c r="BP151" i="1"/>
  <c r="BP184" i="1"/>
  <c r="BP119" i="1"/>
  <c r="BP173" i="1"/>
  <c r="BP290" i="1"/>
  <c r="BP223" i="1"/>
  <c r="BP103" i="1"/>
  <c r="BP105" i="1"/>
  <c r="BP259" i="1"/>
  <c r="BP277" i="1"/>
  <c r="BP293" i="1"/>
  <c r="BP120" i="1"/>
  <c r="BP92" i="1"/>
  <c r="BP174" i="1"/>
  <c r="BP256" i="1"/>
  <c r="BP292" i="1"/>
  <c r="BP66" i="1"/>
  <c r="BP133" i="1"/>
  <c r="BP270" i="1"/>
  <c r="BP278" i="1"/>
  <c r="BP190" i="1"/>
  <c r="BP121" i="1"/>
  <c r="BP100" i="1"/>
  <c r="BP267" i="1"/>
  <c r="BP257" i="1"/>
  <c r="BP116" i="1"/>
  <c r="BP115" i="1"/>
  <c r="BP281" i="1"/>
  <c r="BP51" i="1"/>
  <c r="BP224" i="1"/>
  <c r="BP196" i="1"/>
  <c r="BP235" i="1"/>
  <c r="BP247" i="1"/>
  <c r="BP152" i="1"/>
  <c r="BP130" i="1"/>
  <c r="BP229" i="1"/>
  <c r="AE4" i="2" l="1"/>
  <c r="BQ305" i="1"/>
  <c r="BQ304" i="1"/>
  <c r="BQ303" i="1"/>
  <c r="BQ302" i="1"/>
  <c r="BQ301" i="1"/>
  <c r="BQ300" i="1"/>
  <c r="BQ299" i="1"/>
  <c r="BQ298" i="1"/>
  <c r="BQ297" i="1"/>
  <c r="BQ126" i="1"/>
  <c r="BQ123" i="1"/>
  <c r="BQ107" i="1"/>
  <c r="BQ98" i="1"/>
  <c r="BQ95" i="1"/>
  <c r="BQ81" i="1"/>
  <c r="BQ77" i="1"/>
  <c r="BQ58" i="1"/>
  <c r="BQ54" i="1"/>
  <c r="BQ41" i="1"/>
  <c r="BQ33" i="1"/>
  <c r="BQ32" i="1"/>
  <c r="BQ31" i="1"/>
  <c r="BQ30" i="1"/>
  <c r="BQ29" i="1"/>
  <c r="BQ28" i="1"/>
  <c r="BQ27" i="1"/>
  <c r="BQ26" i="1"/>
  <c r="BQ25" i="1"/>
  <c r="BQ24" i="1"/>
  <c r="BQ23" i="1"/>
  <c r="BQ22" i="1"/>
  <c r="BQ21" i="1"/>
  <c r="BQ20" i="1"/>
  <c r="BQ19" i="1"/>
  <c r="BQ18" i="1"/>
  <c r="BQ17" i="1"/>
  <c r="BQ16" i="1"/>
  <c r="BQ15" i="1"/>
  <c r="BQ14" i="1"/>
  <c r="BQ13" i="1"/>
  <c r="BQ12" i="1"/>
  <c r="BQ11" i="1"/>
  <c r="BQ10" i="1"/>
  <c r="BQ9" i="1"/>
  <c r="BQ8" i="1"/>
  <c r="BQ7" i="1"/>
  <c r="BQ6" i="1"/>
  <c r="BQ5" i="1"/>
  <c r="BR4" i="1"/>
  <c r="BQ3" i="1"/>
  <c r="AE3" i="2" s="1"/>
  <c r="BQ42" i="1"/>
  <c r="BQ43" i="1"/>
  <c r="BQ52" i="1"/>
  <c r="BQ56" i="1"/>
  <c r="BQ108" i="1"/>
  <c r="BQ135" i="1"/>
  <c r="BQ180" i="1"/>
  <c r="BQ208" i="1"/>
  <c r="BQ181" i="1"/>
  <c r="BQ186" i="1"/>
  <c r="BQ192" i="1"/>
  <c r="BQ198" i="1"/>
  <c r="BQ136" i="1"/>
  <c r="BQ109" i="1"/>
  <c r="BQ82" i="1"/>
  <c r="BQ78" i="1"/>
  <c r="BQ215" i="1"/>
  <c r="BQ193" i="1"/>
  <c r="BQ199" i="1"/>
  <c r="BQ233" i="1"/>
  <c r="BQ34" i="1"/>
  <c r="BQ46" i="1"/>
  <c r="BQ55" i="1"/>
  <c r="BQ122" i="1"/>
  <c r="BQ59" i="1"/>
  <c r="BQ125" i="1"/>
  <c r="BQ137" i="1"/>
  <c r="BQ158" i="1"/>
  <c r="BQ182" i="1"/>
  <c r="BQ213" i="1"/>
  <c r="BQ209" i="1"/>
  <c r="BQ214" i="1"/>
  <c r="BQ217" i="1"/>
  <c r="BQ220" i="1"/>
  <c r="BQ159" i="1"/>
  <c r="BQ218" i="1"/>
  <c r="BQ252" i="1"/>
  <c r="BQ35" i="1"/>
  <c r="BQ76" i="1"/>
  <c r="BQ36" i="1"/>
  <c r="BQ47" i="1"/>
  <c r="BQ67" i="1"/>
  <c r="BQ80" i="1"/>
  <c r="BQ141" i="1"/>
  <c r="BQ157" i="1"/>
  <c r="BQ188" i="1"/>
  <c r="BQ183" i="1"/>
  <c r="BQ204" i="1"/>
  <c r="BQ216" i="1"/>
  <c r="BQ142" i="1"/>
  <c r="BQ110" i="1"/>
  <c r="BQ221" i="1"/>
  <c r="BQ187" i="1"/>
  <c r="BQ37" i="1"/>
  <c r="BQ97" i="1"/>
  <c r="BQ38" i="1"/>
  <c r="BQ68" i="1"/>
  <c r="BQ70" i="1"/>
  <c r="BQ83" i="1"/>
  <c r="BQ94" i="1"/>
  <c r="BQ164" i="1"/>
  <c r="BQ143" i="1"/>
  <c r="BQ160" i="1"/>
  <c r="BQ194" i="1"/>
  <c r="BQ189" i="1"/>
  <c r="BQ226" i="1"/>
  <c r="BQ219" i="1"/>
  <c r="BQ165" i="1"/>
  <c r="BQ285" i="1"/>
  <c r="BQ263" i="1"/>
  <c r="BQ210" i="1"/>
  <c r="BQ39" i="1"/>
  <c r="BQ231" i="1"/>
  <c r="BQ44" i="1"/>
  <c r="BQ71" i="1"/>
  <c r="BQ96" i="1"/>
  <c r="BQ230" i="1"/>
  <c r="BQ144" i="1"/>
  <c r="BQ166" i="1"/>
  <c r="BQ200" i="1"/>
  <c r="BQ113" i="1"/>
  <c r="BQ222" i="1"/>
  <c r="BQ145" i="1"/>
  <c r="BQ138" i="1"/>
  <c r="BQ286" i="1"/>
  <c r="BQ289" i="1"/>
  <c r="BQ79" i="1"/>
  <c r="BQ274" i="1"/>
  <c r="BQ211" i="1"/>
  <c r="BQ48" i="1"/>
  <c r="BQ40" i="1"/>
  <c r="BQ242" i="1"/>
  <c r="BQ45" i="1"/>
  <c r="BQ53" i="1"/>
  <c r="BQ72" i="1"/>
  <c r="BQ232" i="1"/>
  <c r="BQ241" i="1"/>
  <c r="BQ167" i="1"/>
  <c r="BQ146" i="1"/>
  <c r="BQ177" i="1"/>
  <c r="BQ168" i="1"/>
  <c r="BQ139" i="1"/>
  <c r="BQ161" i="1"/>
  <c r="BQ124" i="1"/>
  <c r="BQ84" i="1"/>
  <c r="BQ69" i="1"/>
  <c r="BQ195" i="1"/>
  <c r="BQ237" i="1"/>
  <c r="BQ201" i="1"/>
  <c r="BQ49" i="1"/>
  <c r="BQ57" i="1"/>
  <c r="BQ74" i="1"/>
  <c r="BQ253" i="1"/>
  <c r="BQ243" i="1"/>
  <c r="BQ147" i="1"/>
  <c r="BQ169" i="1"/>
  <c r="BQ207" i="1"/>
  <c r="BQ148" i="1"/>
  <c r="BQ162" i="1"/>
  <c r="BQ127" i="1"/>
  <c r="BQ287" i="1"/>
  <c r="BQ85" i="1"/>
  <c r="BQ99" i="1"/>
  <c r="BQ73" i="1"/>
  <c r="BQ63" i="1"/>
  <c r="BQ50" i="1"/>
  <c r="BQ294" i="1"/>
  <c r="BQ117" i="1"/>
  <c r="BQ295" i="1"/>
  <c r="BQ264" i="1"/>
  <c r="BQ254" i="1"/>
  <c r="BQ244" i="1"/>
  <c r="BQ170" i="1"/>
  <c r="BQ149" i="1"/>
  <c r="BQ171" i="1"/>
  <c r="BQ128" i="1"/>
  <c r="BQ118" i="1"/>
  <c r="BQ234" i="1"/>
  <c r="BQ60" i="1"/>
  <c r="BQ131" i="1"/>
  <c r="BQ91" i="1"/>
  <c r="BQ65" i="1"/>
  <c r="BQ275" i="1"/>
  <c r="BQ265" i="1"/>
  <c r="BQ255" i="1"/>
  <c r="BQ245" i="1"/>
  <c r="BQ153" i="1"/>
  <c r="BQ172" i="1"/>
  <c r="BQ150" i="1"/>
  <c r="BQ101" i="1"/>
  <c r="BQ129" i="1"/>
  <c r="BQ288" i="1"/>
  <c r="BQ61" i="1"/>
  <c r="BQ87" i="1"/>
  <c r="BQ291" i="1"/>
  <c r="BQ89" i="1"/>
  <c r="BQ248" i="1"/>
  <c r="BQ276" i="1"/>
  <c r="BQ266" i="1"/>
  <c r="BQ111" i="1"/>
  <c r="BQ246" i="1"/>
  <c r="BQ176" i="1"/>
  <c r="BQ151" i="1"/>
  <c r="BQ184" i="1"/>
  <c r="BQ119" i="1"/>
  <c r="BQ173" i="1"/>
  <c r="BQ290" i="1"/>
  <c r="BQ223" i="1"/>
  <c r="BQ103" i="1"/>
  <c r="BQ105" i="1"/>
  <c r="BQ259" i="1"/>
  <c r="BQ277" i="1"/>
  <c r="BQ293" i="1"/>
  <c r="BQ120" i="1"/>
  <c r="BQ92" i="1"/>
  <c r="BQ174" i="1"/>
  <c r="BQ256" i="1"/>
  <c r="BQ292" i="1"/>
  <c r="BQ66" i="1"/>
  <c r="BQ133" i="1"/>
  <c r="BQ270" i="1"/>
  <c r="BQ278" i="1"/>
  <c r="BQ190" i="1"/>
  <c r="BQ121" i="1"/>
  <c r="BQ100" i="1"/>
  <c r="BQ267" i="1"/>
  <c r="BQ257" i="1"/>
  <c r="BQ116" i="1"/>
  <c r="BQ115" i="1"/>
  <c r="BQ281" i="1"/>
  <c r="BQ51" i="1"/>
  <c r="BQ224" i="1"/>
  <c r="BQ196" i="1"/>
  <c r="BQ235" i="1"/>
  <c r="BQ247" i="1"/>
  <c r="BQ152" i="1"/>
  <c r="BQ130" i="1"/>
  <c r="BQ229" i="1"/>
  <c r="BQ155" i="1"/>
  <c r="BQ90" i="1"/>
  <c r="BQ112" i="1"/>
  <c r="BQ279" i="1"/>
  <c r="BQ163" i="1"/>
  <c r="BQ202" i="1"/>
  <c r="BQ249" i="1"/>
  <c r="BQ185" i="1"/>
  <c r="BQ262" i="1"/>
  <c r="BR178" i="1"/>
  <c r="BQ178" i="1"/>
  <c r="BP178" i="1"/>
  <c r="BO178" i="1"/>
  <c r="BN178" i="1"/>
  <c r="BM178" i="1"/>
  <c r="BL178" i="1"/>
  <c r="BK178" i="1"/>
  <c r="BJ178" i="1"/>
  <c r="BI178" i="1"/>
  <c r="BH178" i="1"/>
  <c r="BG178" i="1"/>
  <c r="BF178" i="1"/>
  <c r="BE178" i="1"/>
  <c r="BD178" i="1"/>
  <c r="BC178" i="1"/>
  <c r="BB178" i="1"/>
  <c r="BA178" i="1"/>
  <c r="AZ178" i="1"/>
  <c r="AY178" i="1"/>
  <c r="AX178" i="1"/>
  <c r="AW178" i="1"/>
  <c r="AV178" i="1"/>
  <c r="AU178" i="1"/>
  <c r="AT178" i="1"/>
  <c r="AS178" i="1"/>
  <c r="AR178" i="1"/>
  <c r="AQ178" i="1"/>
  <c r="AP178" i="1"/>
  <c r="AO178" i="1"/>
  <c r="J178" i="1"/>
  <c r="O262" i="1"/>
  <c r="BR273" i="1"/>
  <c r="BQ273" i="1"/>
  <c r="BP273" i="1"/>
  <c r="BO273" i="1"/>
  <c r="BN273" i="1"/>
  <c r="BM273" i="1"/>
  <c r="BL273" i="1"/>
  <c r="BK273" i="1"/>
  <c r="BJ273" i="1"/>
  <c r="BI273" i="1"/>
  <c r="BH273" i="1"/>
  <c r="BG273" i="1"/>
  <c r="BF273" i="1"/>
  <c r="BE273" i="1"/>
  <c r="BD273" i="1"/>
  <c r="BC273" i="1"/>
  <c r="BB273" i="1"/>
  <c r="BA273" i="1"/>
  <c r="AZ273" i="1"/>
  <c r="AY273" i="1"/>
  <c r="AX273" i="1"/>
  <c r="AW273" i="1"/>
  <c r="AV273" i="1"/>
  <c r="AU273" i="1"/>
  <c r="AT273" i="1"/>
  <c r="AS273" i="1"/>
  <c r="AR273" i="1"/>
  <c r="AQ273" i="1"/>
  <c r="AP273" i="1"/>
  <c r="AO273" i="1"/>
  <c r="J273" i="1"/>
  <c r="I212" i="1"/>
  <c r="O185" i="1"/>
  <c r="I106" i="1"/>
  <c r="I102" i="1"/>
  <c r="O249" i="1"/>
  <c r="I93" i="1"/>
  <c r="I268" i="1"/>
  <c r="O202" i="1"/>
  <c r="I296" i="1"/>
  <c r="O163" i="1"/>
  <c r="I75" i="1"/>
  <c r="I175" i="1"/>
  <c r="O279" i="1"/>
  <c r="BR175" i="1" l="1"/>
  <c r="BQ175" i="1"/>
  <c r="BP175" i="1"/>
  <c r="BO175" i="1"/>
  <c r="BN175" i="1"/>
  <c r="BM175" i="1"/>
  <c r="BL175" i="1"/>
  <c r="BK175" i="1"/>
  <c r="BJ175" i="1"/>
  <c r="BI175" i="1"/>
  <c r="BH175" i="1"/>
  <c r="BG175" i="1"/>
  <c r="BF175" i="1"/>
  <c r="BE175" i="1"/>
  <c r="BD175" i="1"/>
  <c r="BC175" i="1"/>
  <c r="BB175" i="1"/>
  <c r="BA175" i="1"/>
  <c r="AZ175" i="1"/>
  <c r="AY175" i="1"/>
  <c r="AX175" i="1"/>
  <c r="AW175" i="1"/>
  <c r="AV175" i="1"/>
  <c r="AU175" i="1"/>
  <c r="AT175" i="1"/>
  <c r="AS175" i="1"/>
  <c r="AR175" i="1"/>
  <c r="AQ175" i="1"/>
  <c r="AP175" i="1"/>
  <c r="AO175" i="1"/>
  <c r="J175" i="1"/>
  <c r="BR75" i="1"/>
  <c r="BQ75" i="1"/>
  <c r="BP75" i="1"/>
  <c r="BO75" i="1"/>
  <c r="BN75" i="1"/>
  <c r="BM75" i="1"/>
  <c r="BL75" i="1"/>
  <c r="BK75" i="1"/>
  <c r="BJ75" i="1"/>
  <c r="BI75" i="1"/>
  <c r="BH75" i="1"/>
  <c r="BG75" i="1"/>
  <c r="BF75" i="1"/>
  <c r="BE75" i="1"/>
  <c r="BD75" i="1"/>
  <c r="BC75" i="1"/>
  <c r="BB75" i="1"/>
  <c r="BA75" i="1"/>
  <c r="AZ75" i="1"/>
  <c r="AY75" i="1"/>
  <c r="AX75" i="1"/>
  <c r="AW75" i="1"/>
  <c r="AV75" i="1"/>
  <c r="AU75" i="1"/>
  <c r="AT75" i="1"/>
  <c r="AS75" i="1"/>
  <c r="AR75" i="1"/>
  <c r="AQ75" i="1"/>
  <c r="AP75" i="1"/>
  <c r="AO75" i="1"/>
  <c r="J75" i="1"/>
  <c r="BR296" i="1"/>
  <c r="BQ296" i="1"/>
  <c r="BP296" i="1"/>
  <c r="BO296" i="1"/>
  <c r="BN296" i="1"/>
  <c r="BM296" i="1"/>
  <c r="BL296" i="1"/>
  <c r="BK296" i="1"/>
  <c r="BJ296" i="1"/>
  <c r="BI296" i="1"/>
  <c r="BH296" i="1"/>
  <c r="BG296" i="1"/>
  <c r="BF296" i="1"/>
  <c r="BE296" i="1"/>
  <c r="BD296" i="1"/>
  <c r="BC296" i="1"/>
  <c r="BB296" i="1"/>
  <c r="BA296" i="1"/>
  <c r="AZ296" i="1"/>
  <c r="AY296" i="1"/>
  <c r="AX296" i="1"/>
  <c r="AW296" i="1"/>
  <c r="AV296" i="1"/>
  <c r="AU296" i="1"/>
  <c r="AT296" i="1"/>
  <c r="AS296" i="1"/>
  <c r="AR296" i="1"/>
  <c r="AQ296" i="1"/>
  <c r="AP296" i="1"/>
  <c r="AO296" i="1"/>
  <c r="J296" i="1"/>
  <c r="O296" i="1" s="1"/>
  <c r="BR268" i="1"/>
  <c r="BQ268" i="1"/>
  <c r="BP268" i="1"/>
  <c r="BO268" i="1"/>
  <c r="BN268" i="1"/>
  <c r="BM268" i="1"/>
  <c r="BL268" i="1"/>
  <c r="BK268" i="1"/>
  <c r="BJ268" i="1"/>
  <c r="BI268" i="1"/>
  <c r="BH268" i="1"/>
  <c r="BG268" i="1"/>
  <c r="BF268" i="1"/>
  <c r="BE268" i="1"/>
  <c r="BD268" i="1"/>
  <c r="BC268" i="1"/>
  <c r="BB268" i="1"/>
  <c r="BA268" i="1"/>
  <c r="AZ268" i="1"/>
  <c r="AY268" i="1"/>
  <c r="AX268" i="1"/>
  <c r="AW268" i="1"/>
  <c r="AV268" i="1"/>
  <c r="AU268" i="1"/>
  <c r="AT268" i="1"/>
  <c r="AS268" i="1"/>
  <c r="AR268" i="1"/>
  <c r="AQ268" i="1"/>
  <c r="AP268" i="1"/>
  <c r="AO268" i="1"/>
  <c r="J268" i="1"/>
  <c r="BR93" i="1"/>
  <c r="BQ93" i="1"/>
  <c r="BP93" i="1"/>
  <c r="BO93" i="1"/>
  <c r="BN93" i="1"/>
  <c r="BM93" i="1"/>
  <c r="BL93" i="1"/>
  <c r="BK93" i="1"/>
  <c r="BJ93" i="1"/>
  <c r="BI93" i="1"/>
  <c r="BH93" i="1"/>
  <c r="BG93" i="1"/>
  <c r="BF93" i="1"/>
  <c r="BE93" i="1"/>
  <c r="BD93" i="1"/>
  <c r="BC93" i="1"/>
  <c r="BB93" i="1"/>
  <c r="BA93" i="1"/>
  <c r="AZ93" i="1"/>
  <c r="AY93" i="1"/>
  <c r="AX93" i="1"/>
  <c r="AW93" i="1"/>
  <c r="AV93" i="1"/>
  <c r="AU93" i="1"/>
  <c r="AT93" i="1"/>
  <c r="AS93" i="1"/>
  <c r="AR93" i="1"/>
  <c r="AQ93" i="1"/>
  <c r="AP93" i="1"/>
  <c r="AO93" i="1"/>
  <c r="J93" i="1"/>
  <c r="O93" i="1" s="1"/>
  <c r="BR102" i="1"/>
  <c r="BQ102" i="1"/>
  <c r="BP102" i="1"/>
  <c r="BO102" i="1"/>
  <c r="BN102" i="1"/>
  <c r="BM102" i="1"/>
  <c r="BL102" i="1"/>
  <c r="BK102" i="1"/>
  <c r="BJ102" i="1"/>
  <c r="BI102" i="1"/>
  <c r="BH102" i="1"/>
  <c r="BG102" i="1"/>
  <c r="BF102" i="1"/>
  <c r="BE102" i="1"/>
  <c r="BD102" i="1"/>
  <c r="BC102" i="1"/>
  <c r="BB102" i="1"/>
  <c r="BA102" i="1"/>
  <c r="AZ102" i="1"/>
  <c r="AY102" i="1"/>
  <c r="AX102" i="1"/>
  <c r="AW102" i="1"/>
  <c r="AV102" i="1"/>
  <c r="AU102" i="1"/>
  <c r="AT102" i="1"/>
  <c r="AS102" i="1"/>
  <c r="AR102" i="1"/>
  <c r="AQ102" i="1"/>
  <c r="AP102" i="1"/>
  <c r="AO102" i="1"/>
  <c r="J102" i="1"/>
  <c r="O102" i="1" s="1"/>
  <c r="BR106" i="1"/>
  <c r="BQ106" i="1"/>
  <c r="BP106" i="1"/>
  <c r="BO106" i="1"/>
  <c r="BN106" i="1"/>
  <c r="BM106" i="1"/>
  <c r="BL106" i="1"/>
  <c r="BK106" i="1"/>
  <c r="BJ106" i="1"/>
  <c r="BI106" i="1"/>
  <c r="BH106" i="1"/>
  <c r="BG106" i="1"/>
  <c r="BF106" i="1"/>
  <c r="BE106" i="1"/>
  <c r="BD106" i="1"/>
  <c r="BC106" i="1"/>
  <c r="BB106" i="1"/>
  <c r="BA106" i="1"/>
  <c r="AZ106" i="1"/>
  <c r="AY106" i="1"/>
  <c r="AX106" i="1"/>
  <c r="AW106" i="1"/>
  <c r="AV106" i="1"/>
  <c r="AU106" i="1"/>
  <c r="AT106" i="1"/>
  <c r="AS106" i="1"/>
  <c r="AR106" i="1"/>
  <c r="AQ106" i="1"/>
  <c r="AP106" i="1"/>
  <c r="AO106" i="1"/>
  <c r="J106" i="1"/>
  <c r="BR212" i="1"/>
  <c r="BQ212" i="1"/>
  <c r="BP212" i="1"/>
  <c r="BO212" i="1"/>
  <c r="BN212" i="1"/>
  <c r="BM212" i="1"/>
  <c r="BL212" i="1"/>
  <c r="BK212" i="1"/>
  <c r="BJ212" i="1"/>
  <c r="BI212" i="1"/>
  <c r="BH212" i="1"/>
  <c r="BG212" i="1"/>
  <c r="BF212" i="1"/>
  <c r="BE212" i="1"/>
  <c r="BD212" i="1"/>
  <c r="BC212" i="1"/>
  <c r="BB212" i="1"/>
  <c r="BA212" i="1"/>
  <c r="AZ212" i="1"/>
  <c r="AY212" i="1"/>
  <c r="AX212" i="1"/>
  <c r="AW212" i="1"/>
  <c r="AV212" i="1"/>
  <c r="AU212" i="1"/>
  <c r="AT212" i="1"/>
  <c r="AS212" i="1"/>
  <c r="AR212" i="1"/>
  <c r="AQ212" i="1"/>
  <c r="AP212" i="1"/>
  <c r="AO212" i="1"/>
  <c r="J212" i="1"/>
  <c r="I284" i="1"/>
  <c r="O273" i="1"/>
  <c r="I206" i="1"/>
  <c r="O178" i="1"/>
  <c r="AF4" i="2"/>
  <c r="BR305" i="1"/>
  <c r="BR304" i="1"/>
  <c r="BR303" i="1"/>
  <c r="BR302" i="1"/>
  <c r="BR301" i="1"/>
  <c r="BR300" i="1"/>
  <c r="BR299" i="1"/>
  <c r="BR298" i="1"/>
  <c r="BR297" i="1"/>
  <c r="BR126" i="1"/>
  <c r="BR123" i="1"/>
  <c r="BR107" i="1"/>
  <c r="BR98" i="1"/>
  <c r="BR95" i="1"/>
  <c r="BR81" i="1"/>
  <c r="BR77" i="1"/>
  <c r="BR58" i="1"/>
  <c r="BR54" i="1"/>
  <c r="BR41" i="1"/>
  <c r="BR33" i="1"/>
  <c r="BR32" i="1"/>
  <c r="BR31" i="1"/>
  <c r="BR30" i="1"/>
  <c r="BR29" i="1"/>
  <c r="BR28" i="1"/>
  <c r="BR27" i="1"/>
  <c r="BR26" i="1"/>
  <c r="BR25" i="1"/>
  <c r="BR24" i="1"/>
  <c r="BR23" i="1"/>
  <c r="BR22" i="1"/>
  <c r="BR21" i="1"/>
  <c r="BR20" i="1"/>
  <c r="BR19" i="1"/>
  <c r="BR18" i="1"/>
  <c r="BR17" i="1"/>
  <c r="BR16" i="1"/>
  <c r="BR15" i="1"/>
  <c r="BR14" i="1"/>
  <c r="BR13" i="1"/>
  <c r="BR12" i="1"/>
  <c r="BR11" i="1"/>
  <c r="BR10" i="1"/>
  <c r="BR9" i="1"/>
  <c r="BR8" i="1"/>
  <c r="BR7" i="1"/>
  <c r="BR6" i="1"/>
  <c r="BR5" i="1"/>
  <c r="BS4" i="1"/>
  <c r="BR3" i="1"/>
  <c r="AF3" i="2" s="1"/>
  <c r="BR42" i="1"/>
  <c r="BR43" i="1"/>
  <c r="BR52" i="1"/>
  <c r="BR56" i="1"/>
  <c r="BR108" i="1"/>
  <c r="BR135" i="1"/>
  <c r="BR180" i="1"/>
  <c r="BR208" i="1"/>
  <c r="BR181" i="1"/>
  <c r="BR186" i="1"/>
  <c r="BR192" i="1"/>
  <c r="BR198" i="1"/>
  <c r="BR136" i="1"/>
  <c r="BR109" i="1"/>
  <c r="BR82" i="1"/>
  <c r="BR78" i="1"/>
  <c r="BR215" i="1"/>
  <c r="BR193" i="1"/>
  <c r="BR199" i="1"/>
  <c r="BR233" i="1"/>
  <c r="BR34" i="1"/>
  <c r="BR46" i="1"/>
  <c r="BR55" i="1"/>
  <c r="BR122" i="1"/>
  <c r="BR59" i="1"/>
  <c r="BR125" i="1"/>
  <c r="BR137" i="1"/>
  <c r="BR158" i="1"/>
  <c r="BR182" i="1"/>
  <c r="BR213" i="1"/>
  <c r="BR209" i="1"/>
  <c r="BR214" i="1"/>
  <c r="BR217" i="1"/>
  <c r="BR220" i="1"/>
  <c r="BR159" i="1"/>
  <c r="BR218" i="1"/>
  <c r="BR252" i="1"/>
  <c r="BR35" i="1"/>
  <c r="BR76" i="1"/>
  <c r="BR36" i="1"/>
  <c r="BR47" i="1"/>
  <c r="BR67" i="1"/>
  <c r="BR80" i="1"/>
  <c r="BR141" i="1"/>
  <c r="BR157" i="1"/>
  <c r="BR188" i="1"/>
  <c r="BR183" i="1"/>
  <c r="BR204" i="1"/>
  <c r="BR216" i="1"/>
  <c r="BR142" i="1"/>
  <c r="BR110" i="1"/>
  <c r="BR221" i="1"/>
  <c r="BR187" i="1"/>
  <c r="BR37" i="1"/>
  <c r="BR97" i="1"/>
  <c r="BR38" i="1"/>
  <c r="BR68" i="1"/>
  <c r="BR70" i="1"/>
  <c r="BR83" i="1"/>
  <c r="BR94" i="1"/>
  <c r="BR164" i="1"/>
  <c r="BR143" i="1"/>
  <c r="BR160" i="1"/>
  <c r="BR194" i="1"/>
  <c r="BR189" i="1"/>
  <c r="BR226" i="1"/>
  <c r="BR219" i="1"/>
  <c r="BR165" i="1"/>
  <c r="BR285" i="1"/>
  <c r="BR263" i="1"/>
  <c r="BR210" i="1"/>
  <c r="BR39" i="1"/>
  <c r="BR231" i="1"/>
  <c r="BR44" i="1"/>
  <c r="BR71" i="1"/>
  <c r="BR96" i="1"/>
  <c r="BR230" i="1"/>
  <c r="BR144" i="1"/>
  <c r="BR166" i="1"/>
  <c r="BR200" i="1"/>
  <c r="BR113" i="1"/>
  <c r="BR222" i="1"/>
  <c r="BR145" i="1"/>
  <c r="BR138" i="1"/>
  <c r="BR286" i="1"/>
  <c r="BR289" i="1"/>
  <c r="BR79" i="1"/>
  <c r="BR274" i="1"/>
  <c r="BR211" i="1"/>
  <c r="BR48" i="1"/>
  <c r="BR40" i="1"/>
  <c r="BR242" i="1"/>
  <c r="BR45" i="1"/>
  <c r="BR53" i="1"/>
  <c r="BR72" i="1"/>
  <c r="BR232" i="1"/>
  <c r="BR241" i="1"/>
  <c r="BR167" i="1"/>
  <c r="BR146" i="1"/>
  <c r="BR177" i="1"/>
  <c r="BR168" i="1"/>
  <c r="BR139" i="1"/>
  <c r="BR161" i="1"/>
  <c r="BR124" i="1"/>
  <c r="BR84" i="1"/>
  <c r="BR69" i="1"/>
  <c r="BR195" i="1"/>
  <c r="BR237" i="1"/>
  <c r="BR201" i="1"/>
  <c r="BR49" i="1"/>
  <c r="BR57" i="1"/>
  <c r="BR74" i="1"/>
  <c r="BR253" i="1"/>
  <c r="BR243" i="1"/>
  <c r="BR147" i="1"/>
  <c r="BR169" i="1"/>
  <c r="BR207" i="1"/>
  <c r="BR148" i="1"/>
  <c r="BR162" i="1"/>
  <c r="BR127" i="1"/>
  <c r="BR287" i="1"/>
  <c r="BR85" i="1"/>
  <c r="BR99" i="1"/>
  <c r="BR73" i="1"/>
  <c r="BR63" i="1"/>
  <c r="BR50" i="1"/>
  <c r="BR294" i="1"/>
  <c r="BR117" i="1"/>
  <c r="BR295" i="1"/>
  <c r="BR264" i="1"/>
  <c r="BR254" i="1"/>
  <c r="BR244" i="1"/>
  <c r="BR170" i="1"/>
  <c r="BR149" i="1"/>
  <c r="BR171" i="1"/>
  <c r="BR128" i="1"/>
  <c r="BR118" i="1"/>
  <c r="BR234" i="1"/>
  <c r="BR60" i="1"/>
  <c r="BR131" i="1"/>
  <c r="BR91" i="1"/>
  <c r="BR65" i="1"/>
  <c r="BR275" i="1"/>
  <c r="BR265" i="1"/>
  <c r="BR255" i="1"/>
  <c r="BR245" i="1"/>
  <c r="BR153" i="1"/>
  <c r="BR172" i="1"/>
  <c r="BR150" i="1"/>
  <c r="BR101" i="1"/>
  <c r="BR129" i="1"/>
  <c r="BR288" i="1"/>
  <c r="BR61" i="1"/>
  <c r="BR87" i="1"/>
  <c r="BR291" i="1"/>
  <c r="BR89" i="1"/>
  <c r="BR248" i="1"/>
  <c r="BR276" i="1"/>
  <c r="BR266" i="1"/>
  <c r="BR111" i="1"/>
  <c r="BR246" i="1"/>
  <c r="BR176" i="1"/>
  <c r="BR151" i="1"/>
  <c r="BR184" i="1"/>
  <c r="BR119" i="1"/>
  <c r="BR173" i="1"/>
  <c r="BR290" i="1"/>
  <c r="BR223" i="1"/>
  <c r="BR103" i="1"/>
  <c r="BR105" i="1"/>
  <c r="BR259" i="1"/>
  <c r="BR277" i="1"/>
  <c r="BR293" i="1"/>
  <c r="BR120" i="1"/>
  <c r="BR92" i="1"/>
  <c r="BR174" i="1"/>
  <c r="BR256" i="1"/>
  <c r="BR292" i="1"/>
  <c r="BR66" i="1"/>
  <c r="BR133" i="1"/>
  <c r="BR270" i="1"/>
  <c r="BR278" i="1"/>
  <c r="BR190" i="1"/>
  <c r="BR121" i="1"/>
  <c r="BR100" i="1"/>
  <c r="BR267" i="1"/>
  <c r="BR257" i="1"/>
  <c r="BR116" i="1"/>
  <c r="BR115" i="1"/>
  <c r="BR281" i="1"/>
  <c r="BR51" i="1"/>
  <c r="BR224" i="1"/>
  <c r="BR196" i="1"/>
  <c r="BR235" i="1"/>
  <c r="BR247" i="1"/>
  <c r="BR152" i="1"/>
  <c r="BR130" i="1"/>
  <c r="BR229" i="1"/>
  <c r="BR155" i="1"/>
  <c r="BR90" i="1"/>
  <c r="BR112" i="1"/>
  <c r="BR279" i="1"/>
  <c r="BR163" i="1"/>
  <c r="BR202" i="1"/>
  <c r="BR249" i="1"/>
  <c r="BR185" i="1"/>
  <c r="BR262" i="1"/>
  <c r="AG4" i="2" l="1"/>
  <c r="BS305" i="1"/>
  <c r="BS304" i="1"/>
  <c r="BS303" i="1"/>
  <c r="BS302" i="1"/>
  <c r="BS301" i="1"/>
  <c r="BS300" i="1"/>
  <c r="BS299" i="1"/>
  <c r="BS298" i="1"/>
  <c r="BS297" i="1"/>
  <c r="BS126" i="1"/>
  <c r="BS123" i="1"/>
  <c r="BS107" i="1"/>
  <c r="BS98" i="1"/>
  <c r="BS95" i="1"/>
  <c r="BS81" i="1"/>
  <c r="BS77" i="1"/>
  <c r="BS58" i="1"/>
  <c r="BS54" i="1"/>
  <c r="BS41" i="1"/>
  <c r="BS33" i="1"/>
  <c r="BS32" i="1"/>
  <c r="BS31" i="1"/>
  <c r="BS30" i="1"/>
  <c r="BS29" i="1"/>
  <c r="BS28" i="1"/>
  <c r="BS27" i="1"/>
  <c r="BS26" i="1"/>
  <c r="BS25" i="1"/>
  <c r="BS24" i="1"/>
  <c r="BS23" i="1"/>
  <c r="BS22" i="1"/>
  <c r="BS21" i="1"/>
  <c r="BS20" i="1"/>
  <c r="BS19" i="1"/>
  <c r="BS18" i="1"/>
  <c r="BS17" i="1"/>
  <c r="BS16" i="1"/>
  <c r="BS15" i="1"/>
  <c r="BS14" i="1"/>
  <c r="BS13" i="1"/>
  <c r="BS12" i="1"/>
  <c r="BS11" i="1"/>
  <c r="BS10" i="1"/>
  <c r="BS9" i="1"/>
  <c r="BS8" i="1"/>
  <c r="BS7" i="1"/>
  <c r="BS6" i="1"/>
  <c r="BS5" i="1"/>
  <c r="BT4" i="1"/>
  <c r="BS3" i="1"/>
  <c r="AG3" i="2" s="1"/>
  <c r="BS42" i="1"/>
  <c r="BS43" i="1"/>
  <c r="BS52" i="1"/>
  <c r="BS56" i="1"/>
  <c r="BS108" i="1"/>
  <c r="BS135" i="1"/>
  <c r="BS180" i="1"/>
  <c r="BS208" i="1"/>
  <c r="BS181" i="1"/>
  <c r="BS186" i="1"/>
  <c r="BS192" i="1"/>
  <c r="BS198" i="1"/>
  <c r="BS136" i="1"/>
  <c r="BS109" i="1"/>
  <c r="BS82" i="1"/>
  <c r="BS78" i="1"/>
  <c r="BS215" i="1"/>
  <c r="BS193" i="1"/>
  <c r="BS199" i="1"/>
  <c r="BS233" i="1"/>
  <c r="BS34" i="1"/>
  <c r="BS46" i="1"/>
  <c r="BS55" i="1"/>
  <c r="BS122" i="1"/>
  <c r="BS59" i="1"/>
  <c r="BS125" i="1"/>
  <c r="BS137" i="1"/>
  <c r="BS158" i="1"/>
  <c r="BS182" i="1"/>
  <c r="BS213" i="1"/>
  <c r="BS209" i="1"/>
  <c r="BS214" i="1"/>
  <c r="BS217" i="1"/>
  <c r="BS220" i="1"/>
  <c r="BS159" i="1"/>
  <c r="BS218" i="1"/>
  <c r="BS252" i="1"/>
  <c r="BS35" i="1"/>
  <c r="BS76" i="1"/>
  <c r="BS36" i="1"/>
  <c r="BS47" i="1"/>
  <c r="BS67" i="1"/>
  <c r="BS80" i="1"/>
  <c r="BS141" i="1"/>
  <c r="BS157" i="1"/>
  <c r="BS188" i="1"/>
  <c r="BS183" i="1"/>
  <c r="BS204" i="1"/>
  <c r="BS216" i="1"/>
  <c r="BS142" i="1"/>
  <c r="BS110" i="1"/>
  <c r="BS221" i="1"/>
  <c r="BS187" i="1"/>
  <c r="BS37" i="1"/>
  <c r="BS97" i="1"/>
  <c r="BS38" i="1"/>
  <c r="BS68" i="1"/>
  <c r="BS70" i="1"/>
  <c r="BS83" i="1"/>
  <c r="BS94" i="1"/>
  <c r="BS164" i="1"/>
  <c r="BS143" i="1"/>
  <c r="BS160" i="1"/>
  <c r="BS194" i="1"/>
  <c r="BS189" i="1"/>
  <c r="BS226" i="1"/>
  <c r="BS219" i="1"/>
  <c r="BS165" i="1"/>
  <c r="BS285" i="1"/>
  <c r="BS263" i="1"/>
  <c r="BS210" i="1"/>
  <c r="BS39" i="1"/>
  <c r="BS231" i="1"/>
  <c r="BS44" i="1"/>
  <c r="BS71" i="1"/>
  <c r="BS96" i="1"/>
  <c r="BS230" i="1"/>
  <c r="BS144" i="1"/>
  <c r="BS166" i="1"/>
  <c r="BS200" i="1"/>
  <c r="BS113" i="1"/>
  <c r="BS222" i="1"/>
  <c r="BS145" i="1"/>
  <c r="BS138" i="1"/>
  <c r="BS286" i="1"/>
  <c r="BS289" i="1"/>
  <c r="BS79" i="1"/>
  <c r="BS274" i="1"/>
  <c r="BS211" i="1"/>
  <c r="BS48" i="1"/>
  <c r="BS40" i="1"/>
  <c r="BS242" i="1"/>
  <c r="BS45" i="1"/>
  <c r="BS53" i="1"/>
  <c r="BS72" i="1"/>
  <c r="BS232" i="1"/>
  <c r="BS241" i="1"/>
  <c r="BS167" i="1"/>
  <c r="BS146" i="1"/>
  <c r="BS177" i="1"/>
  <c r="BS168" i="1"/>
  <c r="BS139" i="1"/>
  <c r="BS161" i="1"/>
  <c r="BS124" i="1"/>
  <c r="BS84" i="1"/>
  <c r="BS69" i="1"/>
  <c r="BS195" i="1"/>
  <c r="BS237" i="1"/>
  <c r="BS201" i="1"/>
  <c r="BS49" i="1"/>
  <c r="BS57" i="1"/>
  <c r="BS74" i="1"/>
  <c r="BS253" i="1"/>
  <c r="BS243" i="1"/>
  <c r="BS147" i="1"/>
  <c r="BS169" i="1"/>
  <c r="BS207" i="1"/>
  <c r="BS148" i="1"/>
  <c r="BS162" i="1"/>
  <c r="BS127" i="1"/>
  <c r="BS287" i="1"/>
  <c r="BS85" i="1"/>
  <c r="BS99" i="1"/>
  <c r="BS73" i="1"/>
  <c r="BS63" i="1"/>
  <c r="BS50" i="1"/>
  <c r="BS294" i="1"/>
  <c r="BS117" i="1"/>
  <c r="BS295" i="1"/>
  <c r="BS264" i="1"/>
  <c r="BS254" i="1"/>
  <c r="BS244" i="1"/>
  <c r="BS170" i="1"/>
  <c r="BS149" i="1"/>
  <c r="BS171" i="1"/>
  <c r="BS128" i="1"/>
  <c r="BS118" i="1"/>
  <c r="BS234" i="1"/>
  <c r="BS60" i="1"/>
  <c r="BS131" i="1"/>
  <c r="BS91" i="1"/>
  <c r="BS65" i="1"/>
  <c r="BS275" i="1"/>
  <c r="BS265" i="1"/>
  <c r="BS255" i="1"/>
  <c r="BS245" i="1"/>
  <c r="BS153" i="1"/>
  <c r="BS172" i="1"/>
  <c r="BS150" i="1"/>
  <c r="BS101" i="1"/>
  <c r="BS129" i="1"/>
  <c r="BS288" i="1"/>
  <c r="BS61" i="1"/>
  <c r="BS87" i="1"/>
  <c r="BS291" i="1"/>
  <c r="BS89" i="1"/>
  <c r="BS248" i="1"/>
  <c r="BS276" i="1"/>
  <c r="BS266" i="1"/>
  <c r="BS111" i="1"/>
  <c r="BS246" i="1"/>
  <c r="BS176" i="1"/>
  <c r="BS151" i="1"/>
  <c r="BS184" i="1"/>
  <c r="BS119" i="1"/>
  <c r="BS173" i="1"/>
  <c r="BS290" i="1"/>
  <c r="BS223" i="1"/>
  <c r="BS103" i="1"/>
  <c r="BS105" i="1"/>
  <c r="BS259" i="1"/>
  <c r="BS277" i="1"/>
  <c r="BS293" i="1"/>
  <c r="BS120" i="1"/>
  <c r="BS92" i="1"/>
  <c r="BS174" i="1"/>
  <c r="BS256" i="1"/>
  <c r="BS292" i="1"/>
  <c r="BS66" i="1"/>
  <c r="BS133" i="1"/>
  <c r="BS270" i="1"/>
  <c r="BS278" i="1"/>
  <c r="BS190" i="1"/>
  <c r="BS121" i="1"/>
  <c r="BS100" i="1"/>
  <c r="BS267" i="1"/>
  <c r="BS257" i="1"/>
  <c r="BS116" i="1"/>
  <c r="BS115" i="1"/>
  <c r="BS281" i="1"/>
  <c r="BS51" i="1"/>
  <c r="BS224" i="1"/>
  <c r="BS196" i="1"/>
  <c r="BS235" i="1"/>
  <c r="BS247" i="1"/>
  <c r="BS152" i="1"/>
  <c r="BS130" i="1"/>
  <c r="BS229" i="1"/>
  <c r="BS155" i="1"/>
  <c r="BS90" i="1"/>
  <c r="BS112" i="1"/>
  <c r="BS279" i="1"/>
  <c r="BS163" i="1"/>
  <c r="BS202" i="1"/>
  <c r="BS249" i="1"/>
  <c r="BS185" i="1"/>
  <c r="BS262" i="1"/>
  <c r="BS178" i="1"/>
  <c r="BS273" i="1"/>
  <c r="BS175" i="1"/>
  <c r="BS75" i="1"/>
  <c r="BS296" i="1"/>
  <c r="BS268" i="1"/>
  <c r="BS93" i="1"/>
  <c r="BS102" i="1"/>
  <c r="BS106" i="1"/>
  <c r="BS212" i="1"/>
  <c r="BT206" i="1"/>
  <c r="BS206" i="1"/>
  <c r="BR206" i="1"/>
  <c r="BQ206" i="1"/>
  <c r="BP206" i="1"/>
  <c r="BO206" i="1"/>
  <c r="BN206" i="1"/>
  <c r="BM206" i="1"/>
  <c r="BL206" i="1"/>
  <c r="BK206" i="1"/>
  <c r="BJ206" i="1"/>
  <c r="BI206" i="1"/>
  <c r="BH206" i="1"/>
  <c r="BG206" i="1"/>
  <c r="BF206" i="1"/>
  <c r="BE206" i="1"/>
  <c r="BD206" i="1"/>
  <c r="BC206" i="1"/>
  <c r="BB206" i="1"/>
  <c r="BA206" i="1"/>
  <c r="AZ206" i="1"/>
  <c r="AY206" i="1"/>
  <c r="AX206" i="1"/>
  <c r="AW206" i="1"/>
  <c r="AV206" i="1"/>
  <c r="AU206" i="1"/>
  <c r="AT206" i="1"/>
  <c r="AS206" i="1"/>
  <c r="AR206" i="1"/>
  <c r="AQ206" i="1"/>
  <c r="AP206" i="1"/>
  <c r="AO206" i="1"/>
  <c r="J206" i="1"/>
  <c r="BT284" i="1"/>
  <c r="BS284" i="1"/>
  <c r="BR284" i="1"/>
  <c r="BQ284" i="1"/>
  <c r="BP284" i="1"/>
  <c r="BO284" i="1"/>
  <c r="BN284" i="1"/>
  <c r="BM284" i="1"/>
  <c r="BL284" i="1"/>
  <c r="BK284" i="1"/>
  <c r="BJ284" i="1"/>
  <c r="BI284" i="1"/>
  <c r="BH284" i="1"/>
  <c r="BG284" i="1"/>
  <c r="BF284" i="1"/>
  <c r="BE284" i="1"/>
  <c r="BD284" i="1"/>
  <c r="BC284" i="1"/>
  <c r="BB284" i="1"/>
  <c r="BA284" i="1"/>
  <c r="AZ284" i="1"/>
  <c r="AY284" i="1"/>
  <c r="AX284" i="1"/>
  <c r="AW284" i="1"/>
  <c r="AV284" i="1"/>
  <c r="AU284" i="1"/>
  <c r="AT284" i="1"/>
  <c r="AS284" i="1"/>
  <c r="AR284" i="1"/>
  <c r="AQ284" i="1"/>
  <c r="AP284" i="1"/>
  <c r="AO284" i="1"/>
  <c r="J284" i="1"/>
  <c r="O212" i="1"/>
  <c r="I134" i="1"/>
  <c r="O106" i="1"/>
  <c r="I269" i="1"/>
  <c r="I62" i="1"/>
  <c r="O268" i="1"/>
  <c r="I86" i="1"/>
  <c r="O75" i="1"/>
  <c r="I191" i="1"/>
  <c r="O175" i="1"/>
  <c r="BT191" i="1" l="1"/>
  <c r="BS191" i="1"/>
  <c r="BR191" i="1"/>
  <c r="BQ191" i="1"/>
  <c r="BP191" i="1"/>
  <c r="BO191" i="1"/>
  <c r="BN191" i="1"/>
  <c r="BM191" i="1"/>
  <c r="BL191" i="1"/>
  <c r="BK191" i="1"/>
  <c r="BJ191" i="1"/>
  <c r="BI191" i="1"/>
  <c r="BH191" i="1"/>
  <c r="BG191" i="1"/>
  <c r="BF191" i="1"/>
  <c r="BE191" i="1"/>
  <c r="BD191" i="1"/>
  <c r="BC191" i="1"/>
  <c r="BB191" i="1"/>
  <c r="BA191" i="1"/>
  <c r="AZ191" i="1"/>
  <c r="AY191" i="1"/>
  <c r="AX191" i="1"/>
  <c r="AW191" i="1"/>
  <c r="AV191" i="1"/>
  <c r="AU191" i="1"/>
  <c r="AT191" i="1"/>
  <c r="AS191" i="1"/>
  <c r="AR191" i="1"/>
  <c r="AQ191" i="1"/>
  <c r="AP191" i="1"/>
  <c r="AO191" i="1"/>
  <c r="J191" i="1"/>
  <c r="BT86" i="1"/>
  <c r="BS86" i="1"/>
  <c r="BR86" i="1"/>
  <c r="BQ86" i="1"/>
  <c r="BP86" i="1"/>
  <c r="BO86" i="1"/>
  <c r="BN86" i="1"/>
  <c r="BM86" i="1"/>
  <c r="BL86" i="1"/>
  <c r="BK86" i="1"/>
  <c r="BJ86" i="1"/>
  <c r="BI86" i="1"/>
  <c r="BH86" i="1"/>
  <c r="BG86" i="1"/>
  <c r="BF86" i="1"/>
  <c r="BE86" i="1"/>
  <c r="BD86" i="1"/>
  <c r="BC86" i="1"/>
  <c r="BB86" i="1"/>
  <c r="BA86" i="1"/>
  <c r="AZ86" i="1"/>
  <c r="AY86" i="1"/>
  <c r="AX86" i="1"/>
  <c r="AW86" i="1"/>
  <c r="AV86" i="1"/>
  <c r="AU86" i="1"/>
  <c r="AT86" i="1"/>
  <c r="AS86" i="1"/>
  <c r="AR86" i="1"/>
  <c r="AQ86" i="1"/>
  <c r="AP86" i="1"/>
  <c r="AO86" i="1"/>
  <c r="J86" i="1"/>
  <c r="BT62" i="1"/>
  <c r="BS62" i="1"/>
  <c r="BR62" i="1"/>
  <c r="BQ62" i="1"/>
  <c r="BP62" i="1"/>
  <c r="BO62" i="1"/>
  <c r="BN62" i="1"/>
  <c r="BM62" i="1"/>
  <c r="BL62" i="1"/>
  <c r="BK62" i="1"/>
  <c r="BJ62" i="1"/>
  <c r="BI62" i="1"/>
  <c r="BH62" i="1"/>
  <c r="BG62" i="1"/>
  <c r="BF62" i="1"/>
  <c r="BE62" i="1"/>
  <c r="BD62" i="1"/>
  <c r="BC62" i="1"/>
  <c r="BB62" i="1"/>
  <c r="BA62" i="1"/>
  <c r="AZ62" i="1"/>
  <c r="AY62" i="1"/>
  <c r="AX62" i="1"/>
  <c r="AW62" i="1"/>
  <c r="AV62" i="1"/>
  <c r="AU62" i="1"/>
  <c r="AT62" i="1"/>
  <c r="AS62" i="1"/>
  <c r="AR62" i="1"/>
  <c r="AQ62" i="1"/>
  <c r="AP62" i="1"/>
  <c r="AO62" i="1"/>
  <c r="J62" i="1"/>
  <c r="BT269" i="1"/>
  <c r="BS269" i="1"/>
  <c r="BR269" i="1"/>
  <c r="BQ269" i="1"/>
  <c r="BP269" i="1"/>
  <c r="BO269" i="1"/>
  <c r="BN269" i="1"/>
  <c r="BM269" i="1"/>
  <c r="BL269" i="1"/>
  <c r="BK269" i="1"/>
  <c r="BJ269" i="1"/>
  <c r="BI269" i="1"/>
  <c r="BH269" i="1"/>
  <c r="BG269" i="1"/>
  <c r="BF269" i="1"/>
  <c r="BE269" i="1"/>
  <c r="BD269" i="1"/>
  <c r="BC269" i="1"/>
  <c r="BB269" i="1"/>
  <c r="BA269" i="1"/>
  <c r="AZ269" i="1"/>
  <c r="AY269" i="1"/>
  <c r="AX269" i="1"/>
  <c r="AW269" i="1"/>
  <c r="AV269" i="1"/>
  <c r="AU269" i="1"/>
  <c r="AT269" i="1"/>
  <c r="AS269" i="1"/>
  <c r="AR269" i="1"/>
  <c r="AQ269" i="1"/>
  <c r="AP269" i="1"/>
  <c r="AO269" i="1"/>
  <c r="J269" i="1"/>
  <c r="O269" i="1" s="1"/>
  <c r="BT134" i="1"/>
  <c r="BS134" i="1"/>
  <c r="BR134" i="1"/>
  <c r="BQ134" i="1"/>
  <c r="BP134" i="1"/>
  <c r="BO134" i="1"/>
  <c r="BN134" i="1"/>
  <c r="BM134" i="1"/>
  <c r="BL134" i="1"/>
  <c r="BK134" i="1"/>
  <c r="BJ134" i="1"/>
  <c r="BI134" i="1"/>
  <c r="BH134" i="1"/>
  <c r="BG134" i="1"/>
  <c r="BF134" i="1"/>
  <c r="BE134" i="1"/>
  <c r="BD134" i="1"/>
  <c r="BC134" i="1"/>
  <c r="BB134" i="1"/>
  <c r="BA134" i="1"/>
  <c r="AZ134" i="1"/>
  <c r="AY134" i="1"/>
  <c r="AX134" i="1"/>
  <c r="AW134" i="1"/>
  <c r="AV134" i="1"/>
  <c r="AU134" i="1"/>
  <c r="AT134" i="1"/>
  <c r="AS134" i="1"/>
  <c r="AR134" i="1"/>
  <c r="AQ134" i="1"/>
  <c r="AP134" i="1"/>
  <c r="AO134" i="1"/>
  <c r="J134" i="1"/>
  <c r="O284" i="1"/>
  <c r="I228" i="1"/>
  <c r="O206" i="1"/>
  <c r="AH4" i="2"/>
  <c r="BT305" i="1"/>
  <c r="BT304" i="1"/>
  <c r="BT303" i="1"/>
  <c r="BT302" i="1"/>
  <c r="BT301" i="1"/>
  <c r="BT300" i="1"/>
  <c r="BT299" i="1"/>
  <c r="BT298" i="1"/>
  <c r="BT297" i="1"/>
  <c r="BT126" i="1"/>
  <c r="BT123" i="1"/>
  <c r="BT107" i="1"/>
  <c r="BT98" i="1"/>
  <c r="BT95" i="1"/>
  <c r="BT81" i="1"/>
  <c r="BT77" i="1"/>
  <c r="BT58" i="1"/>
  <c r="BT54" i="1"/>
  <c r="BT41" i="1"/>
  <c r="BT33" i="1"/>
  <c r="BT32" i="1"/>
  <c r="BT31" i="1"/>
  <c r="BT30" i="1"/>
  <c r="BT29" i="1"/>
  <c r="BT28" i="1"/>
  <c r="BT27" i="1"/>
  <c r="BT26" i="1"/>
  <c r="BT25" i="1"/>
  <c r="BT24" i="1"/>
  <c r="BT23" i="1"/>
  <c r="BT22" i="1"/>
  <c r="BT21" i="1"/>
  <c r="BT20" i="1"/>
  <c r="BT19" i="1"/>
  <c r="BT18" i="1"/>
  <c r="BT17" i="1"/>
  <c r="BT16" i="1"/>
  <c r="BT15" i="1"/>
  <c r="BT14" i="1"/>
  <c r="BT13" i="1"/>
  <c r="BT12" i="1"/>
  <c r="BT11" i="1"/>
  <c r="BT10" i="1"/>
  <c r="BT9" i="1"/>
  <c r="BT8" i="1"/>
  <c r="BT7" i="1"/>
  <c r="BT6" i="1"/>
  <c r="BT5" i="1"/>
  <c r="BU4" i="1"/>
  <c r="BT3" i="1"/>
  <c r="AH3" i="2" s="1"/>
  <c r="BT42" i="1"/>
  <c r="BT43" i="1"/>
  <c r="BT52" i="1"/>
  <c r="BT56" i="1"/>
  <c r="BT108" i="1"/>
  <c r="BT135" i="1"/>
  <c r="BT180" i="1"/>
  <c r="BT208" i="1"/>
  <c r="BT181" i="1"/>
  <c r="BT186" i="1"/>
  <c r="BT192" i="1"/>
  <c r="BT198" i="1"/>
  <c r="BT136" i="1"/>
  <c r="BT109" i="1"/>
  <c r="BT82" i="1"/>
  <c r="BT78" i="1"/>
  <c r="BT215" i="1"/>
  <c r="BT193" i="1"/>
  <c r="BT199" i="1"/>
  <c r="BT233" i="1"/>
  <c r="BT34" i="1"/>
  <c r="BT46" i="1"/>
  <c r="BT55" i="1"/>
  <c r="BT122" i="1"/>
  <c r="BT59" i="1"/>
  <c r="BT125" i="1"/>
  <c r="BT137" i="1"/>
  <c r="BT158" i="1"/>
  <c r="BT182" i="1"/>
  <c r="BT213" i="1"/>
  <c r="BT209" i="1"/>
  <c r="BT214" i="1"/>
  <c r="BT217" i="1"/>
  <c r="BT220" i="1"/>
  <c r="BT159" i="1"/>
  <c r="BT218" i="1"/>
  <c r="BT252" i="1"/>
  <c r="BT35" i="1"/>
  <c r="BT76" i="1"/>
  <c r="BT36" i="1"/>
  <c r="BT47" i="1"/>
  <c r="BT67" i="1"/>
  <c r="BT80" i="1"/>
  <c r="BT141" i="1"/>
  <c r="BT157" i="1"/>
  <c r="BT188" i="1"/>
  <c r="BT183" i="1"/>
  <c r="BT204" i="1"/>
  <c r="BT216" i="1"/>
  <c r="BT142" i="1"/>
  <c r="BT110" i="1"/>
  <c r="BT221" i="1"/>
  <c r="BT187" i="1"/>
  <c r="BT37" i="1"/>
  <c r="BT97" i="1"/>
  <c r="BT38" i="1"/>
  <c r="BT68" i="1"/>
  <c r="BT70" i="1"/>
  <c r="BT83" i="1"/>
  <c r="BT94" i="1"/>
  <c r="BT164" i="1"/>
  <c r="BT143" i="1"/>
  <c r="BT160" i="1"/>
  <c r="BT194" i="1"/>
  <c r="BT189" i="1"/>
  <c r="BT226" i="1"/>
  <c r="BT219" i="1"/>
  <c r="BT165" i="1"/>
  <c r="BT285" i="1"/>
  <c r="BT263" i="1"/>
  <c r="BT210" i="1"/>
  <c r="BT39" i="1"/>
  <c r="BT231" i="1"/>
  <c r="BT44" i="1"/>
  <c r="BT71" i="1"/>
  <c r="BT96" i="1"/>
  <c r="BT230" i="1"/>
  <c r="BT144" i="1"/>
  <c r="BT166" i="1"/>
  <c r="BT200" i="1"/>
  <c r="BT113" i="1"/>
  <c r="BT222" i="1"/>
  <c r="BT145" i="1"/>
  <c r="BT138" i="1"/>
  <c r="BT286" i="1"/>
  <c r="BT289" i="1"/>
  <c r="BT79" i="1"/>
  <c r="BT274" i="1"/>
  <c r="BT211" i="1"/>
  <c r="BT48" i="1"/>
  <c r="BT40" i="1"/>
  <c r="BT242" i="1"/>
  <c r="BT45" i="1"/>
  <c r="BT53" i="1"/>
  <c r="BT72" i="1"/>
  <c r="BT232" i="1"/>
  <c r="BT241" i="1"/>
  <c r="BT167" i="1"/>
  <c r="BT146" i="1"/>
  <c r="BT177" i="1"/>
  <c r="BT168" i="1"/>
  <c r="BT139" i="1"/>
  <c r="BT161" i="1"/>
  <c r="BT124" i="1"/>
  <c r="BT84" i="1"/>
  <c r="BT69" i="1"/>
  <c r="BT195" i="1"/>
  <c r="BT237" i="1"/>
  <c r="BT201" i="1"/>
  <c r="BT49" i="1"/>
  <c r="BT57" i="1"/>
  <c r="BT74" i="1"/>
  <c r="BT253" i="1"/>
  <c r="BT243" i="1"/>
  <c r="BT147" i="1"/>
  <c r="BT169" i="1"/>
  <c r="BT207" i="1"/>
  <c r="BT148" i="1"/>
  <c r="BT162" i="1"/>
  <c r="BT127" i="1"/>
  <c r="BT287" i="1"/>
  <c r="BT85" i="1"/>
  <c r="BT99" i="1"/>
  <c r="BT73" i="1"/>
  <c r="BT63" i="1"/>
  <c r="BT50" i="1"/>
  <c r="BT294" i="1"/>
  <c r="BT117" i="1"/>
  <c r="BT295" i="1"/>
  <c r="BT264" i="1"/>
  <c r="BT254" i="1"/>
  <c r="BT244" i="1"/>
  <c r="BT170" i="1"/>
  <c r="BT149" i="1"/>
  <c r="BT171" i="1"/>
  <c r="BT128" i="1"/>
  <c r="BT118" i="1"/>
  <c r="BT234" i="1"/>
  <c r="BT60" i="1"/>
  <c r="BT131" i="1"/>
  <c r="BT91" i="1"/>
  <c r="BT65" i="1"/>
  <c r="BT275" i="1"/>
  <c r="BT265" i="1"/>
  <c r="BT255" i="1"/>
  <c r="BT245" i="1"/>
  <c r="BT153" i="1"/>
  <c r="BT172" i="1"/>
  <c r="BT150" i="1"/>
  <c r="BT101" i="1"/>
  <c r="BT129" i="1"/>
  <c r="BT288" i="1"/>
  <c r="BT61" i="1"/>
  <c r="BT87" i="1"/>
  <c r="BT291" i="1"/>
  <c r="BT89" i="1"/>
  <c r="BT248" i="1"/>
  <c r="BT276" i="1"/>
  <c r="BT266" i="1"/>
  <c r="BT111" i="1"/>
  <c r="BT246" i="1"/>
  <c r="BT176" i="1"/>
  <c r="BT151" i="1"/>
  <c r="BT184" i="1"/>
  <c r="BT119" i="1"/>
  <c r="BT173" i="1"/>
  <c r="BT290" i="1"/>
  <c r="BT223" i="1"/>
  <c r="BT103" i="1"/>
  <c r="BT105" i="1"/>
  <c r="BT259" i="1"/>
  <c r="BT277" i="1"/>
  <c r="BT293" i="1"/>
  <c r="BT120" i="1"/>
  <c r="BT92" i="1"/>
  <c r="BT174" i="1"/>
  <c r="BT256" i="1"/>
  <c r="BT292" i="1"/>
  <c r="BT66" i="1"/>
  <c r="BT133" i="1"/>
  <c r="BT270" i="1"/>
  <c r="BT278" i="1"/>
  <c r="BT190" i="1"/>
  <c r="BT121" i="1"/>
  <c r="BT100" i="1"/>
  <c r="BT267" i="1"/>
  <c r="BT257" i="1"/>
  <c r="BT116" i="1"/>
  <c r="BT115" i="1"/>
  <c r="BT281" i="1"/>
  <c r="BT51" i="1"/>
  <c r="BT224" i="1"/>
  <c r="BT196" i="1"/>
  <c r="BT235" i="1"/>
  <c r="BT247" i="1"/>
  <c r="BT152" i="1"/>
  <c r="BT130" i="1"/>
  <c r="BT229" i="1"/>
  <c r="BT155" i="1"/>
  <c r="BT90" i="1"/>
  <c r="BT112" i="1"/>
  <c r="BT279" i="1"/>
  <c r="BT163" i="1"/>
  <c r="BT202" i="1"/>
  <c r="BT249" i="1"/>
  <c r="BT185" i="1"/>
  <c r="BT262" i="1"/>
  <c r="BT178" i="1"/>
  <c r="BT273" i="1"/>
  <c r="BT175" i="1"/>
  <c r="BT75" i="1"/>
  <c r="BT296" i="1"/>
  <c r="BT268" i="1"/>
  <c r="BT93" i="1"/>
  <c r="BT102" i="1"/>
  <c r="BT106" i="1"/>
  <c r="BT212" i="1"/>
  <c r="AI4" i="2" l="1"/>
  <c r="BU305" i="1"/>
  <c r="BU304" i="1"/>
  <c r="BU303" i="1"/>
  <c r="BU302" i="1"/>
  <c r="BU301" i="1"/>
  <c r="BU300" i="1"/>
  <c r="BU299" i="1"/>
  <c r="BU298" i="1"/>
  <c r="BU297" i="1"/>
  <c r="BU126" i="1"/>
  <c r="BU123" i="1"/>
  <c r="BU107" i="1"/>
  <c r="BU98" i="1"/>
  <c r="BU95" i="1"/>
  <c r="BU81" i="1"/>
  <c r="BU77" i="1"/>
  <c r="BU58" i="1"/>
  <c r="BU54" i="1"/>
  <c r="BU41" i="1"/>
  <c r="BU33" i="1"/>
  <c r="BU32" i="1"/>
  <c r="BU31" i="1"/>
  <c r="BU30" i="1"/>
  <c r="BU29" i="1"/>
  <c r="BU28" i="1"/>
  <c r="BU27" i="1"/>
  <c r="BU26" i="1"/>
  <c r="BU25" i="1"/>
  <c r="BU24" i="1"/>
  <c r="BU23" i="1"/>
  <c r="BU22" i="1"/>
  <c r="BU21" i="1"/>
  <c r="BU20" i="1"/>
  <c r="BU19" i="1"/>
  <c r="BU18" i="1"/>
  <c r="BU17" i="1"/>
  <c r="BU16" i="1"/>
  <c r="BU15" i="1"/>
  <c r="BU14" i="1"/>
  <c r="BU13" i="1"/>
  <c r="BU12" i="1"/>
  <c r="BU11" i="1"/>
  <c r="BU10" i="1"/>
  <c r="BU9" i="1"/>
  <c r="BU8" i="1"/>
  <c r="BU7" i="1"/>
  <c r="BU6" i="1"/>
  <c r="BU5" i="1"/>
  <c r="BV4" i="1"/>
  <c r="BU3" i="1"/>
  <c r="AI3" i="2" s="1"/>
  <c r="BU42" i="1"/>
  <c r="BU43" i="1"/>
  <c r="BU52" i="1"/>
  <c r="BU56" i="1"/>
  <c r="BU108" i="1"/>
  <c r="BU135" i="1"/>
  <c r="BU180" i="1"/>
  <c r="BU208" i="1"/>
  <c r="BU181" i="1"/>
  <c r="BU186" i="1"/>
  <c r="BU192" i="1"/>
  <c r="BU198" i="1"/>
  <c r="BU136" i="1"/>
  <c r="BU109" i="1"/>
  <c r="BU82" i="1"/>
  <c r="BU78" i="1"/>
  <c r="BU215" i="1"/>
  <c r="BU193" i="1"/>
  <c r="BU199" i="1"/>
  <c r="BU233" i="1"/>
  <c r="BU34" i="1"/>
  <c r="BU46" i="1"/>
  <c r="BU55" i="1"/>
  <c r="BU122" i="1"/>
  <c r="BU59" i="1"/>
  <c r="BU125" i="1"/>
  <c r="BU137" i="1"/>
  <c r="BU158" i="1"/>
  <c r="BU182" i="1"/>
  <c r="BU213" i="1"/>
  <c r="BU209" i="1"/>
  <c r="BU214" i="1"/>
  <c r="BU217" i="1"/>
  <c r="BU220" i="1"/>
  <c r="BU159" i="1"/>
  <c r="BU218" i="1"/>
  <c r="BU252" i="1"/>
  <c r="BU35" i="1"/>
  <c r="BU76" i="1"/>
  <c r="BU36" i="1"/>
  <c r="BU47" i="1"/>
  <c r="BU67" i="1"/>
  <c r="BU80" i="1"/>
  <c r="BU141" i="1"/>
  <c r="BU157" i="1"/>
  <c r="BU188" i="1"/>
  <c r="BU183" i="1"/>
  <c r="BU204" i="1"/>
  <c r="BU216" i="1"/>
  <c r="BU142" i="1"/>
  <c r="BU110" i="1"/>
  <c r="BU221" i="1"/>
  <c r="BU187" i="1"/>
  <c r="BU37" i="1"/>
  <c r="BU97" i="1"/>
  <c r="BU38" i="1"/>
  <c r="BU68" i="1"/>
  <c r="BU70" i="1"/>
  <c r="BU83" i="1"/>
  <c r="BU94" i="1"/>
  <c r="BU164" i="1"/>
  <c r="BU143" i="1"/>
  <c r="BU160" i="1"/>
  <c r="BU194" i="1"/>
  <c r="BU189" i="1"/>
  <c r="BU226" i="1"/>
  <c r="BU219" i="1"/>
  <c r="BU165" i="1"/>
  <c r="BU285" i="1"/>
  <c r="BU263" i="1"/>
  <c r="BU210" i="1"/>
  <c r="BU39" i="1"/>
  <c r="BU231" i="1"/>
  <c r="BU44" i="1"/>
  <c r="BU71" i="1"/>
  <c r="BU96" i="1"/>
  <c r="BU230" i="1"/>
  <c r="BU144" i="1"/>
  <c r="BU166" i="1"/>
  <c r="BU200" i="1"/>
  <c r="BU113" i="1"/>
  <c r="BU222" i="1"/>
  <c r="BU145" i="1"/>
  <c r="BU138" i="1"/>
  <c r="BU286" i="1"/>
  <c r="BU289" i="1"/>
  <c r="BU79" i="1"/>
  <c r="BU274" i="1"/>
  <c r="BU211" i="1"/>
  <c r="BU48" i="1"/>
  <c r="BU40" i="1"/>
  <c r="BU242" i="1"/>
  <c r="BU45" i="1"/>
  <c r="BU53" i="1"/>
  <c r="BU72" i="1"/>
  <c r="BU232" i="1"/>
  <c r="BU241" i="1"/>
  <c r="BU167" i="1"/>
  <c r="BU146" i="1"/>
  <c r="BU177" i="1"/>
  <c r="BU168" i="1"/>
  <c r="BU139" i="1"/>
  <c r="BU161" i="1"/>
  <c r="BU124" i="1"/>
  <c r="BU84" i="1"/>
  <c r="BU69" i="1"/>
  <c r="BU195" i="1"/>
  <c r="BU237" i="1"/>
  <c r="BU201" i="1"/>
  <c r="BU49" i="1"/>
  <c r="BU57" i="1"/>
  <c r="BU74" i="1"/>
  <c r="BU253" i="1"/>
  <c r="BU243" i="1"/>
  <c r="BU147" i="1"/>
  <c r="BU169" i="1"/>
  <c r="BU207" i="1"/>
  <c r="BU148" i="1"/>
  <c r="BU162" i="1"/>
  <c r="BU127" i="1"/>
  <c r="BU287" i="1"/>
  <c r="BU85" i="1"/>
  <c r="BU99" i="1"/>
  <c r="BU73" i="1"/>
  <c r="BU63" i="1"/>
  <c r="BU50" i="1"/>
  <c r="BU294" i="1"/>
  <c r="BU117" i="1"/>
  <c r="BU295" i="1"/>
  <c r="BU264" i="1"/>
  <c r="BU254" i="1"/>
  <c r="BU244" i="1"/>
  <c r="BU170" i="1"/>
  <c r="BU149" i="1"/>
  <c r="BU171" i="1"/>
  <c r="BU128" i="1"/>
  <c r="BU118" i="1"/>
  <c r="BU234" i="1"/>
  <c r="BU60" i="1"/>
  <c r="BU131" i="1"/>
  <c r="BU91" i="1"/>
  <c r="BU65" i="1"/>
  <c r="BU275" i="1"/>
  <c r="BU265" i="1"/>
  <c r="BU255" i="1"/>
  <c r="BU245" i="1"/>
  <c r="BU153" i="1"/>
  <c r="BU172" i="1"/>
  <c r="BU150" i="1"/>
  <c r="BU101" i="1"/>
  <c r="BU129" i="1"/>
  <c r="BU288" i="1"/>
  <c r="BU61" i="1"/>
  <c r="BU87" i="1"/>
  <c r="BU291" i="1"/>
  <c r="BU89" i="1"/>
  <c r="BU248" i="1"/>
  <c r="BU276" i="1"/>
  <c r="BU266" i="1"/>
  <c r="BU111" i="1"/>
  <c r="BU246" i="1"/>
  <c r="BU176" i="1"/>
  <c r="BU151" i="1"/>
  <c r="BU184" i="1"/>
  <c r="BU119" i="1"/>
  <c r="BU173" i="1"/>
  <c r="BU290" i="1"/>
  <c r="BU223" i="1"/>
  <c r="BU103" i="1"/>
  <c r="BU105" i="1"/>
  <c r="BU259" i="1"/>
  <c r="BU277" i="1"/>
  <c r="BU293" i="1"/>
  <c r="BU120" i="1"/>
  <c r="BU92" i="1"/>
  <c r="BU174" i="1"/>
  <c r="BU256" i="1"/>
  <c r="BU292" i="1"/>
  <c r="BU66" i="1"/>
  <c r="BU133" i="1"/>
  <c r="BU270" i="1"/>
  <c r="BU278" i="1"/>
  <c r="BU190" i="1"/>
  <c r="BU121" i="1"/>
  <c r="BU100" i="1"/>
  <c r="BU267" i="1"/>
  <c r="BU257" i="1"/>
  <c r="BU116" i="1"/>
  <c r="BU115" i="1"/>
  <c r="BU281" i="1"/>
  <c r="BU51" i="1"/>
  <c r="BU224" i="1"/>
  <c r="BU196" i="1"/>
  <c r="BU235" i="1"/>
  <c r="BU247" i="1"/>
  <c r="BU152" i="1"/>
  <c r="BU130" i="1"/>
  <c r="BU229" i="1"/>
  <c r="BU155" i="1"/>
  <c r="BU90" i="1"/>
  <c r="BU112" i="1"/>
  <c r="BU279" i="1"/>
  <c r="BU163" i="1"/>
  <c r="BU202" i="1"/>
  <c r="BU249" i="1"/>
  <c r="BU185" i="1"/>
  <c r="BU262" i="1"/>
  <c r="BU178" i="1"/>
  <c r="BU273" i="1"/>
  <c r="BU175" i="1"/>
  <c r="BU75" i="1"/>
  <c r="BU296" i="1"/>
  <c r="BU268" i="1"/>
  <c r="BU93" i="1"/>
  <c r="BU102" i="1"/>
  <c r="BU106" i="1"/>
  <c r="BU212" i="1"/>
  <c r="BU206" i="1"/>
  <c r="BU284" i="1"/>
  <c r="BU191" i="1"/>
  <c r="BU86" i="1"/>
  <c r="BU62" i="1"/>
  <c r="BU269" i="1"/>
  <c r="BU134" i="1"/>
  <c r="BV228" i="1"/>
  <c r="BU228" i="1"/>
  <c r="BT228" i="1"/>
  <c r="BS228" i="1"/>
  <c r="BR228" i="1"/>
  <c r="BQ228" i="1"/>
  <c r="BP228" i="1"/>
  <c r="BO228" i="1"/>
  <c r="BN228" i="1"/>
  <c r="BM228" i="1"/>
  <c r="BL228" i="1"/>
  <c r="BK228" i="1"/>
  <c r="BJ228" i="1"/>
  <c r="BI228" i="1"/>
  <c r="BH228" i="1"/>
  <c r="BG228" i="1"/>
  <c r="BF228" i="1"/>
  <c r="BE228" i="1"/>
  <c r="BD228" i="1"/>
  <c r="BC228" i="1"/>
  <c r="BB228" i="1"/>
  <c r="BA228" i="1"/>
  <c r="AZ228" i="1"/>
  <c r="AY228" i="1"/>
  <c r="AX228" i="1"/>
  <c r="AW228" i="1"/>
  <c r="AV228" i="1"/>
  <c r="AU228" i="1"/>
  <c r="AT228" i="1"/>
  <c r="AS228" i="1"/>
  <c r="AR228" i="1"/>
  <c r="AQ228" i="1"/>
  <c r="AP228" i="1"/>
  <c r="AO228" i="1"/>
  <c r="J228" i="1"/>
  <c r="I156" i="1"/>
  <c r="O134" i="1"/>
  <c r="I140" i="1"/>
  <c r="I225" i="1"/>
  <c r="O62" i="1"/>
  <c r="O86" i="1"/>
  <c r="I236" i="1"/>
  <c r="I280" i="1"/>
  <c r="O191" i="1"/>
  <c r="BV280" i="1" l="1"/>
  <c r="BU280" i="1"/>
  <c r="BT280" i="1"/>
  <c r="BS280" i="1"/>
  <c r="BR280" i="1"/>
  <c r="BQ280" i="1"/>
  <c r="BP280" i="1"/>
  <c r="BO280" i="1"/>
  <c r="BN280" i="1"/>
  <c r="BM280" i="1"/>
  <c r="BL280" i="1"/>
  <c r="BK280" i="1"/>
  <c r="BJ280" i="1"/>
  <c r="BI280" i="1"/>
  <c r="BH280" i="1"/>
  <c r="BG280" i="1"/>
  <c r="BF280" i="1"/>
  <c r="BE280" i="1"/>
  <c r="BD280" i="1"/>
  <c r="BC280" i="1"/>
  <c r="BB280" i="1"/>
  <c r="BA280" i="1"/>
  <c r="AZ280" i="1"/>
  <c r="AY280" i="1"/>
  <c r="AX280" i="1"/>
  <c r="AW280" i="1"/>
  <c r="AV280" i="1"/>
  <c r="AU280" i="1"/>
  <c r="AT280" i="1"/>
  <c r="AS280" i="1"/>
  <c r="AR280" i="1"/>
  <c r="AQ280" i="1"/>
  <c r="AP280" i="1"/>
  <c r="AO280" i="1"/>
  <c r="J280" i="1"/>
  <c r="BV236" i="1"/>
  <c r="BU236" i="1"/>
  <c r="BT236" i="1"/>
  <c r="BS236" i="1"/>
  <c r="BR236" i="1"/>
  <c r="BQ236" i="1"/>
  <c r="BP236" i="1"/>
  <c r="BO236" i="1"/>
  <c r="BN236" i="1"/>
  <c r="BM236" i="1"/>
  <c r="BL236" i="1"/>
  <c r="BK236" i="1"/>
  <c r="BJ236" i="1"/>
  <c r="BI236" i="1"/>
  <c r="BH236" i="1"/>
  <c r="BG236" i="1"/>
  <c r="BF236" i="1"/>
  <c r="BE236" i="1"/>
  <c r="BD236" i="1"/>
  <c r="BC236" i="1"/>
  <c r="BB236" i="1"/>
  <c r="BA236" i="1"/>
  <c r="AZ236" i="1"/>
  <c r="AY236" i="1"/>
  <c r="AX236" i="1"/>
  <c r="AW236" i="1"/>
  <c r="AV236" i="1"/>
  <c r="AU236" i="1"/>
  <c r="AT236" i="1"/>
  <c r="AS236" i="1"/>
  <c r="AR236" i="1"/>
  <c r="AQ236" i="1"/>
  <c r="AP236" i="1"/>
  <c r="AO236" i="1"/>
  <c r="J236" i="1"/>
  <c r="BV225" i="1"/>
  <c r="BU225" i="1"/>
  <c r="BT225" i="1"/>
  <c r="BS225" i="1"/>
  <c r="BR225" i="1"/>
  <c r="BQ225" i="1"/>
  <c r="BP225" i="1"/>
  <c r="BO225" i="1"/>
  <c r="BN225" i="1"/>
  <c r="BM225" i="1"/>
  <c r="BL225" i="1"/>
  <c r="BK225" i="1"/>
  <c r="BJ225" i="1"/>
  <c r="BI225" i="1"/>
  <c r="BH225" i="1"/>
  <c r="BG225" i="1"/>
  <c r="BF225" i="1"/>
  <c r="BE225" i="1"/>
  <c r="BD225" i="1"/>
  <c r="BC225" i="1"/>
  <c r="BB225" i="1"/>
  <c r="BA225" i="1"/>
  <c r="AZ225" i="1"/>
  <c r="AY225" i="1"/>
  <c r="AX225" i="1"/>
  <c r="AW225" i="1"/>
  <c r="AV225" i="1"/>
  <c r="AU225" i="1"/>
  <c r="AT225" i="1"/>
  <c r="AS225" i="1"/>
  <c r="AR225" i="1"/>
  <c r="AQ225" i="1"/>
  <c r="AP225" i="1"/>
  <c r="AO225" i="1"/>
  <c r="J225" i="1"/>
  <c r="BV140" i="1"/>
  <c r="BU140" i="1"/>
  <c r="BT140" i="1"/>
  <c r="BS140" i="1"/>
  <c r="BR140" i="1"/>
  <c r="BQ140" i="1"/>
  <c r="BP140" i="1"/>
  <c r="BO140" i="1"/>
  <c r="BN140" i="1"/>
  <c r="BM140" i="1"/>
  <c r="BL140" i="1"/>
  <c r="BK140" i="1"/>
  <c r="BJ140" i="1"/>
  <c r="BI140" i="1"/>
  <c r="BH140" i="1"/>
  <c r="BG140" i="1"/>
  <c r="BF140" i="1"/>
  <c r="BE140" i="1"/>
  <c r="BD140" i="1"/>
  <c r="BC140" i="1"/>
  <c r="BB140" i="1"/>
  <c r="BA140" i="1"/>
  <c r="AZ140" i="1"/>
  <c r="AY140" i="1"/>
  <c r="AX140" i="1"/>
  <c r="AW140" i="1"/>
  <c r="AV140" i="1"/>
  <c r="AU140" i="1"/>
  <c r="AT140" i="1"/>
  <c r="AS140" i="1"/>
  <c r="AR140" i="1"/>
  <c r="AQ140" i="1"/>
  <c r="AP140" i="1"/>
  <c r="AO140" i="1"/>
  <c r="J140" i="1"/>
  <c r="O140" i="1" s="1"/>
  <c r="BV156" i="1"/>
  <c r="BU156" i="1"/>
  <c r="BT156" i="1"/>
  <c r="BS156" i="1"/>
  <c r="BR156" i="1"/>
  <c r="BQ156" i="1"/>
  <c r="BP156" i="1"/>
  <c r="BO156" i="1"/>
  <c r="BN156" i="1"/>
  <c r="BM156" i="1"/>
  <c r="BL156" i="1"/>
  <c r="BK156" i="1"/>
  <c r="BJ156" i="1"/>
  <c r="BI156" i="1"/>
  <c r="BH156" i="1"/>
  <c r="BG156" i="1"/>
  <c r="BF156" i="1"/>
  <c r="BE156" i="1"/>
  <c r="BD156" i="1"/>
  <c r="BC156" i="1"/>
  <c r="BB156" i="1"/>
  <c r="BA156" i="1"/>
  <c r="AZ156" i="1"/>
  <c r="AY156" i="1"/>
  <c r="AX156" i="1"/>
  <c r="AW156" i="1"/>
  <c r="AV156" i="1"/>
  <c r="AU156" i="1"/>
  <c r="AT156" i="1"/>
  <c r="AS156" i="1"/>
  <c r="AR156" i="1"/>
  <c r="AQ156" i="1"/>
  <c r="AP156" i="1"/>
  <c r="AO156" i="1"/>
  <c r="J156" i="1"/>
  <c r="I239" i="1"/>
  <c r="O228" i="1"/>
  <c r="AJ4" i="2"/>
  <c r="BV305" i="1"/>
  <c r="BV304" i="1"/>
  <c r="BV303" i="1"/>
  <c r="BV302" i="1"/>
  <c r="BV301" i="1"/>
  <c r="BV300" i="1"/>
  <c r="BV299" i="1"/>
  <c r="BV298" i="1"/>
  <c r="BV297" i="1"/>
  <c r="BV126" i="1"/>
  <c r="BV123" i="1"/>
  <c r="BV107" i="1"/>
  <c r="BV98" i="1"/>
  <c r="BV95" i="1"/>
  <c r="BV81" i="1"/>
  <c r="BV77" i="1"/>
  <c r="BV58" i="1"/>
  <c r="BV54" i="1"/>
  <c r="BV41" i="1"/>
  <c r="BV33" i="1"/>
  <c r="BV32" i="1"/>
  <c r="BV31" i="1"/>
  <c r="BV30" i="1"/>
  <c r="BV29" i="1"/>
  <c r="BV28" i="1"/>
  <c r="BV27" i="1"/>
  <c r="BV26" i="1"/>
  <c r="BV25" i="1"/>
  <c r="BV24" i="1"/>
  <c r="BV23" i="1"/>
  <c r="BV22" i="1"/>
  <c r="BV21" i="1"/>
  <c r="BV20" i="1"/>
  <c r="BV19" i="1"/>
  <c r="BV18" i="1"/>
  <c r="BV17" i="1"/>
  <c r="BV16" i="1"/>
  <c r="BV15" i="1"/>
  <c r="BV14" i="1"/>
  <c r="BV13" i="1"/>
  <c r="BV12" i="1"/>
  <c r="BV11" i="1"/>
  <c r="BV10" i="1"/>
  <c r="BV9" i="1"/>
  <c r="BV8" i="1"/>
  <c r="BV7" i="1"/>
  <c r="BV6" i="1"/>
  <c r="BV5" i="1"/>
  <c r="BW4" i="1"/>
  <c r="BV3" i="1"/>
  <c r="AJ3" i="2" s="1"/>
  <c r="BV42" i="1"/>
  <c r="BV43" i="1"/>
  <c r="BV52" i="1"/>
  <c r="BV56" i="1"/>
  <c r="BV108" i="1"/>
  <c r="BV135" i="1"/>
  <c r="BV180" i="1"/>
  <c r="BV208" i="1"/>
  <c r="BV181" i="1"/>
  <c r="BV186" i="1"/>
  <c r="BV192" i="1"/>
  <c r="BV198" i="1"/>
  <c r="BV136" i="1"/>
  <c r="BV109" i="1"/>
  <c r="BV82" i="1"/>
  <c r="BV78" i="1"/>
  <c r="BV215" i="1"/>
  <c r="BV193" i="1"/>
  <c r="BV199" i="1"/>
  <c r="BV233" i="1"/>
  <c r="BV34" i="1"/>
  <c r="BV46" i="1"/>
  <c r="BV55" i="1"/>
  <c r="BV122" i="1"/>
  <c r="BV59" i="1"/>
  <c r="BV125" i="1"/>
  <c r="BV137" i="1"/>
  <c r="BV158" i="1"/>
  <c r="BV182" i="1"/>
  <c r="BV213" i="1"/>
  <c r="BV209" i="1"/>
  <c r="BV214" i="1"/>
  <c r="BV217" i="1"/>
  <c r="BV220" i="1"/>
  <c r="BV159" i="1"/>
  <c r="BV218" i="1"/>
  <c r="BV252" i="1"/>
  <c r="BV35" i="1"/>
  <c r="BV76" i="1"/>
  <c r="BV36" i="1"/>
  <c r="BV47" i="1"/>
  <c r="BV67" i="1"/>
  <c r="BV80" i="1"/>
  <c r="BV141" i="1"/>
  <c r="BV157" i="1"/>
  <c r="BV188" i="1"/>
  <c r="BV183" i="1"/>
  <c r="BV204" i="1"/>
  <c r="BV216" i="1"/>
  <c r="BV142" i="1"/>
  <c r="BV110" i="1"/>
  <c r="BV221" i="1"/>
  <c r="BV187" i="1"/>
  <c r="BV37" i="1"/>
  <c r="BV97" i="1"/>
  <c r="BV38" i="1"/>
  <c r="BV68" i="1"/>
  <c r="BV70" i="1"/>
  <c r="BV83" i="1"/>
  <c r="BV94" i="1"/>
  <c r="BV164" i="1"/>
  <c r="BV143" i="1"/>
  <c r="BV160" i="1"/>
  <c r="BV194" i="1"/>
  <c r="BV189" i="1"/>
  <c r="BV226" i="1"/>
  <c r="BV219" i="1"/>
  <c r="BV165" i="1"/>
  <c r="BV285" i="1"/>
  <c r="BV263" i="1"/>
  <c r="BV210" i="1"/>
  <c r="BV39" i="1"/>
  <c r="BV231" i="1"/>
  <c r="BV44" i="1"/>
  <c r="BV71" i="1"/>
  <c r="BV96" i="1"/>
  <c r="BV230" i="1"/>
  <c r="BV144" i="1"/>
  <c r="BV166" i="1"/>
  <c r="BV200" i="1"/>
  <c r="BV113" i="1"/>
  <c r="BV222" i="1"/>
  <c r="BV145" i="1"/>
  <c r="BV138" i="1"/>
  <c r="BV286" i="1"/>
  <c r="BV289" i="1"/>
  <c r="BV79" i="1"/>
  <c r="BV274" i="1"/>
  <c r="BV211" i="1"/>
  <c r="BV48" i="1"/>
  <c r="BV40" i="1"/>
  <c r="BV242" i="1"/>
  <c r="BV45" i="1"/>
  <c r="BV53" i="1"/>
  <c r="BV72" i="1"/>
  <c r="BV232" i="1"/>
  <c r="BV241" i="1"/>
  <c r="BV167" i="1"/>
  <c r="BV146" i="1"/>
  <c r="BV177" i="1"/>
  <c r="BV168" i="1"/>
  <c r="BV139" i="1"/>
  <c r="BV161" i="1"/>
  <c r="BV124" i="1"/>
  <c r="BV84" i="1"/>
  <c r="BV69" i="1"/>
  <c r="BV195" i="1"/>
  <c r="BV237" i="1"/>
  <c r="BV201" i="1"/>
  <c r="BV49" i="1"/>
  <c r="BV57" i="1"/>
  <c r="BV74" i="1"/>
  <c r="BV253" i="1"/>
  <c r="BV243" i="1"/>
  <c r="BV147" i="1"/>
  <c r="BV169" i="1"/>
  <c r="BV207" i="1"/>
  <c r="BV148" i="1"/>
  <c r="BV162" i="1"/>
  <c r="BV127" i="1"/>
  <c r="BV287" i="1"/>
  <c r="BV85" i="1"/>
  <c r="BV99" i="1"/>
  <c r="BV73" i="1"/>
  <c r="BV63" i="1"/>
  <c r="BV50" i="1"/>
  <c r="BV294" i="1"/>
  <c r="BV117" i="1"/>
  <c r="BV295" i="1"/>
  <c r="BV264" i="1"/>
  <c r="BV254" i="1"/>
  <c r="BV244" i="1"/>
  <c r="BV170" i="1"/>
  <c r="BV149" i="1"/>
  <c r="BV171" i="1"/>
  <c r="BV128" i="1"/>
  <c r="BV118" i="1"/>
  <c r="BV234" i="1"/>
  <c r="BV60" i="1"/>
  <c r="BV131" i="1"/>
  <c r="BV91" i="1"/>
  <c r="BV65" i="1"/>
  <c r="BV275" i="1"/>
  <c r="BV265" i="1"/>
  <c r="BV255" i="1"/>
  <c r="BV245" i="1"/>
  <c r="BV153" i="1"/>
  <c r="BV172" i="1"/>
  <c r="BV150" i="1"/>
  <c r="BV101" i="1"/>
  <c r="BV129" i="1"/>
  <c r="BV288" i="1"/>
  <c r="BV61" i="1"/>
  <c r="BV87" i="1"/>
  <c r="BV291" i="1"/>
  <c r="BV89" i="1"/>
  <c r="BV248" i="1"/>
  <c r="BV276" i="1"/>
  <c r="BV266" i="1"/>
  <c r="BV111" i="1"/>
  <c r="BV246" i="1"/>
  <c r="BV176" i="1"/>
  <c r="BV151" i="1"/>
  <c r="BV184" i="1"/>
  <c r="BV119" i="1"/>
  <c r="BV173" i="1"/>
  <c r="BV290" i="1"/>
  <c r="BV223" i="1"/>
  <c r="BV103" i="1"/>
  <c r="BV105" i="1"/>
  <c r="BV259" i="1"/>
  <c r="BV277" i="1"/>
  <c r="BV293" i="1"/>
  <c r="BV120" i="1"/>
  <c r="BV92" i="1"/>
  <c r="BV174" i="1"/>
  <c r="BV256" i="1"/>
  <c r="BV292" i="1"/>
  <c r="BV66" i="1"/>
  <c r="BV133" i="1"/>
  <c r="BV270" i="1"/>
  <c r="BV278" i="1"/>
  <c r="BV190" i="1"/>
  <c r="BV121" i="1"/>
  <c r="BV100" i="1"/>
  <c r="BV267" i="1"/>
  <c r="BV257" i="1"/>
  <c r="BV116" i="1"/>
  <c r="BV115" i="1"/>
  <c r="BV281" i="1"/>
  <c r="BV51" i="1"/>
  <c r="BV224" i="1"/>
  <c r="BV196" i="1"/>
  <c r="BV235" i="1"/>
  <c r="BV247" i="1"/>
  <c r="BV152" i="1"/>
  <c r="BV130" i="1"/>
  <c r="BV229" i="1"/>
  <c r="BV155" i="1"/>
  <c r="BV90" i="1"/>
  <c r="BV112" i="1"/>
  <c r="BV279" i="1"/>
  <c r="BV163" i="1"/>
  <c r="BV202" i="1"/>
  <c r="BV249" i="1"/>
  <c r="BV185" i="1"/>
  <c r="BV262" i="1"/>
  <c r="BV178" i="1"/>
  <c r="BV273" i="1"/>
  <c r="BV175" i="1"/>
  <c r="BV75" i="1"/>
  <c r="BV296" i="1"/>
  <c r="BV268" i="1"/>
  <c r="BV93" i="1"/>
  <c r="BV102" i="1"/>
  <c r="BV106" i="1"/>
  <c r="BV212" i="1"/>
  <c r="BV206" i="1"/>
  <c r="BV284" i="1"/>
  <c r="BV191" i="1"/>
  <c r="BV86" i="1"/>
  <c r="BV62" i="1"/>
  <c r="BV269" i="1"/>
  <c r="BV134" i="1"/>
  <c r="AK4" i="2" l="1"/>
  <c r="BW305" i="1"/>
  <c r="BW304" i="1"/>
  <c r="BW303" i="1"/>
  <c r="BW302" i="1"/>
  <c r="BW301" i="1"/>
  <c r="BW300" i="1"/>
  <c r="BW299" i="1"/>
  <c r="BW298" i="1"/>
  <c r="BW297" i="1"/>
  <c r="BW126" i="1"/>
  <c r="BW123" i="1"/>
  <c r="BW107" i="1"/>
  <c r="BW98" i="1"/>
  <c r="BW95" i="1"/>
  <c r="BW81" i="1"/>
  <c r="BW77" i="1"/>
  <c r="BW58" i="1"/>
  <c r="BW54" i="1"/>
  <c r="BW41" i="1"/>
  <c r="BW33" i="1"/>
  <c r="BW32" i="1"/>
  <c r="BW31" i="1"/>
  <c r="BW30" i="1"/>
  <c r="BW29" i="1"/>
  <c r="BW28" i="1"/>
  <c r="BW27" i="1"/>
  <c r="BW26" i="1"/>
  <c r="BW25" i="1"/>
  <c r="BW24" i="1"/>
  <c r="BW23" i="1"/>
  <c r="BW22" i="1"/>
  <c r="BW21" i="1"/>
  <c r="BW20" i="1"/>
  <c r="BW19" i="1"/>
  <c r="BW18" i="1"/>
  <c r="BW17" i="1"/>
  <c r="BW16" i="1"/>
  <c r="BW15" i="1"/>
  <c r="BW14" i="1"/>
  <c r="BW13" i="1"/>
  <c r="BW12" i="1"/>
  <c r="BW11" i="1"/>
  <c r="BW10" i="1"/>
  <c r="BW9" i="1"/>
  <c r="BW8" i="1"/>
  <c r="BW7" i="1"/>
  <c r="BW6" i="1"/>
  <c r="BW5" i="1"/>
  <c r="BX4" i="1"/>
  <c r="BW3" i="1"/>
  <c r="AK3" i="2" s="1"/>
  <c r="BW42" i="1"/>
  <c r="BW43" i="1"/>
  <c r="BW52" i="1"/>
  <c r="BW56" i="1"/>
  <c r="BW108" i="1"/>
  <c r="BW135" i="1"/>
  <c r="BW180" i="1"/>
  <c r="BW208" i="1"/>
  <c r="BW181" i="1"/>
  <c r="BW186" i="1"/>
  <c r="BW192" i="1"/>
  <c r="BW198" i="1"/>
  <c r="BW136" i="1"/>
  <c r="BW109" i="1"/>
  <c r="BW82" i="1"/>
  <c r="BW78" i="1"/>
  <c r="BW215" i="1"/>
  <c r="BW193" i="1"/>
  <c r="BW199" i="1"/>
  <c r="BW233" i="1"/>
  <c r="BW34" i="1"/>
  <c r="BW46" i="1"/>
  <c r="BW55" i="1"/>
  <c r="BW122" i="1"/>
  <c r="BW59" i="1"/>
  <c r="BW125" i="1"/>
  <c r="BW137" i="1"/>
  <c r="BW158" i="1"/>
  <c r="BW182" i="1"/>
  <c r="BW213" i="1"/>
  <c r="BW209" i="1"/>
  <c r="BW214" i="1"/>
  <c r="BW217" i="1"/>
  <c r="BW220" i="1"/>
  <c r="BW159" i="1"/>
  <c r="BW218" i="1"/>
  <c r="BW252" i="1"/>
  <c r="BW35" i="1"/>
  <c r="BW76" i="1"/>
  <c r="BW36" i="1"/>
  <c r="BW47" i="1"/>
  <c r="BW67" i="1"/>
  <c r="BW80" i="1"/>
  <c r="BW141" i="1"/>
  <c r="BW157" i="1"/>
  <c r="BW188" i="1"/>
  <c r="BW183" i="1"/>
  <c r="BW204" i="1"/>
  <c r="BW216" i="1"/>
  <c r="BW142" i="1"/>
  <c r="BW110" i="1"/>
  <c r="BW221" i="1"/>
  <c r="BW187" i="1"/>
  <c r="BW37" i="1"/>
  <c r="BW97" i="1"/>
  <c r="BW38" i="1"/>
  <c r="BW68" i="1"/>
  <c r="BW70" i="1"/>
  <c r="BW83" i="1"/>
  <c r="BW94" i="1"/>
  <c r="BW164" i="1"/>
  <c r="BW143" i="1"/>
  <c r="BW160" i="1"/>
  <c r="BW194" i="1"/>
  <c r="BW189" i="1"/>
  <c r="BW226" i="1"/>
  <c r="BW219" i="1"/>
  <c r="BW165" i="1"/>
  <c r="BW285" i="1"/>
  <c r="BW263" i="1"/>
  <c r="BW210" i="1"/>
  <c r="BW39" i="1"/>
  <c r="BW231" i="1"/>
  <c r="BW44" i="1"/>
  <c r="BW71" i="1"/>
  <c r="BW96" i="1"/>
  <c r="BW230" i="1"/>
  <c r="BW144" i="1"/>
  <c r="BW166" i="1"/>
  <c r="BW200" i="1"/>
  <c r="BW113" i="1"/>
  <c r="BW222" i="1"/>
  <c r="BW145" i="1"/>
  <c r="BW138" i="1"/>
  <c r="BW286" i="1"/>
  <c r="BW289" i="1"/>
  <c r="BW79" i="1"/>
  <c r="BW274" i="1"/>
  <c r="BW211" i="1"/>
  <c r="BW48" i="1"/>
  <c r="BW40" i="1"/>
  <c r="BW242" i="1"/>
  <c r="BW45" i="1"/>
  <c r="BW53" i="1"/>
  <c r="BW72" i="1"/>
  <c r="BW232" i="1"/>
  <c r="BW241" i="1"/>
  <c r="BW167" i="1"/>
  <c r="BW146" i="1"/>
  <c r="BW177" i="1"/>
  <c r="BW168" i="1"/>
  <c r="BW139" i="1"/>
  <c r="BW161" i="1"/>
  <c r="BW124" i="1"/>
  <c r="BW84" i="1"/>
  <c r="BW69" i="1"/>
  <c r="BW195" i="1"/>
  <c r="BW237" i="1"/>
  <c r="BW201" i="1"/>
  <c r="BW49" i="1"/>
  <c r="BW57" i="1"/>
  <c r="BW74" i="1"/>
  <c r="BW253" i="1"/>
  <c r="BW243" i="1"/>
  <c r="BW147" i="1"/>
  <c r="BW169" i="1"/>
  <c r="BW207" i="1"/>
  <c r="BW148" i="1"/>
  <c r="BW162" i="1"/>
  <c r="BW127" i="1"/>
  <c r="BW287" i="1"/>
  <c r="BW85" i="1"/>
  <c r="BW99" i="1"/>
  <c r="BW73" i="1"/>
  <c r="BW63" i="1"/>
  <c r="BW50" i="1"/>
  <c r="BW294" i="1"/>
  <c r="BW117" i="1"/>
  <c r="BW295" i="1"/>
  <c r="BW264" i="1"/>
  <c r="BW254" i="1"/>
  <c r="BW244" i="1"/>
  <c r="BW170" i="1"/>
  <c r="BW149" i="1"/>
  <c r="BW171" i="1"/>
  <c r="BW128" i="1"/>
  <c r="BW118" i="1"/>
  <c r="BW234" i="1"/>
  <c r="BW60" i="1"/>
  <c r="BW131" i="1"/>
  <c r="BW91" i="1"/>
  <c r="BW65" i="1"/>
  <c r="BW275" i="1"/>
  <c r="BW265" i="1"/>
  <c r="BW255" i="1"/>
  <c r="BW245" i="1"/>
  <c r="BW153" i="1"/>
  <c r="BW172" i="1"/>
  <c r="BW150" i="1"/>
  <c r="BW101" i="1"/>
  <c r="BW129" i="1"/>
  <c r="BW288" i="1"/>
  <c r="BW61" i="1"/>
  <c r="BW87" i="1"/>
  <c r="BW291" i="1"/>
  <c r="BW89" i="1"/>
  <c r="BW248" i="1"/>
  <c r="BW276" i="1"/>
  <c r="BW266" i="1"/>
  <c r="BW111" i="1"/>
  <c r="BW246" i="1"/>
  <c r="BW176" i="1"/>
  <c r="BW151" i="1"/>
  <c r="BW184" i="1"/>
  <c r="BW119" i="1"/>
  <c r="BW173" i="1"/>
  <c r="BW290" i="1"/>
  <c r="BW223" i="1"/>
  <c r="BW103" i="1"/>
  <c r="BW105" i="1"/>
  <c r="BW259" i="1"/>
  <c r="BW277" i="1"/>
  <c r="BW293" i="1"/>
  <c r="BW120" i="1"/>
  <c r="BW92" i="1"/>
  <c r="BW174" i="1"/>
  <c r="BW256" i="1"/>
  <c r="BW292" i="1"/>
  <c r="BW66" i="1"/>
  <c r="BW133" i="1"/>
  <c r="BW270" i="1"/>
  <c r="BW278" i="1"/>
  <c r="BW190" i="1"/>
  <c r="BW121" i="1"/>
  <c r="BW100" i="1"/>
  <c r="BW267" i="1"/>
  <c r="BW257" i="1"/>
  <c r="BW116" i="1"/>
  <c r="BW115" i="1"/>
  <c r="BW281" i="1"/>
  <c r="BW51" i="1"/>
  <c r="BW224" i="1"/>
  <c r="BW196" i="1"/>
  <c r="BW235" i="1"/>
  <c r="BW247" i="1"/>
  <c r="BW152" i="1"/>
  <c r="BW130" i="1"/>
  <c r="BW229" i="1"/>
  <c r="BW155" i="1"/>
  <c r="BW90" i="1"/>
  <c r="BW112" i="1"/>
  <c r="BW279" i="1"/>
  <c r="BW163" i="1"/>
  <c r="BW202" i="1"/>
  <c r="BW249" i="1"/>
  <c r="BW185" i="1"/>
  <c r="BW262" i="1"/>
  <c r="BW178" i="1"/>
  <c r="BW273" i="1"/>
  <c r="BW175" i="1"/>
  <c r="BW75" i="1"/>
  <c r="BW296" i="1"/>
  <c r="BW268" i="1"/>
  <c r="BW93" i="1"/>
  <c r="BW102" i="1"/>
  <c r="BW106" i="1"/>
  <c r="BW212" i="1"/>
  <c r="BW206" i="1"/>
  <c r="BW284" i="1"/>
  <c r="BW191" i="1"/>
  <c r="BW86" i="1"/>
  <c r="BW62" i="1"/>
  <c r="BW269" i="1"/>
  <c r="BW134" i="1"/>
  <c r="BW228" i="1"/>
  <c r="BW280" i="1"/>
  <c r="BW236" i="1"/>
  <c r="BW225" i="1"/>
  <c r="BW140" i="1"/>
  <c r="BW156" i="1"/>
  <c r="BX239" i="1"/>
  <c r="BW239" i="1"/>
  <c r="BV239" i="1"/>
  <c r="BU239" i="1"/>
  <c r="BT239" i="1"/>
  <c r="BS239" i="1"/>
  <c r="BR239" i="1"/>
  <c r="BQ239" i="1"/>
  <c r="BP239" i="1"/>
  <c r="BO239" i="1"/>
  <c r="BN239" i="1"/>
  <c r="BM239" i="1"/>
  <c r="BL239" i="1"/>
  <c r="BK239" i="1"/>
  <c r="BJ239" i="1"/>
  <c r="BI239" i="1"/>
  <c r="BH239" i="1"/>
  <c r="BG239" i="1"/>
  <c r="BF239" i="1"/>
  <c r="BE239" i="1"/>
  <c r="BD239" i="1"/>
  <c r="BC239" i="1"/>
  <c r="BB239" i="1"/>
  <c r="BA239" i="1"/>
  <c r="AZ239" i="1"/>
  <c r="AY239" i="1"/>
  <c r="AX239" i="1"/>
  <c r="AW239" i="1"/>
  <c r="AV239" i="1"/>
  <c r="AU239" i="1"/>
  <c r="AT239" i="1"/>
  <c r="AS239" i="1"/>
  <c r="AR239" i="1"/>
  <c r="AQ239" i="1"/>
  <c r="AP239" i="1"/>
  <c r="AO239" i="1"/>
  <c r="J239" i="1"/>
  <c r="I240" i="1"/>
  <c r="O156" i="1"/>
  <c r="I197" i="1"/>
  <c r="I258" i="1"/>
  <c r="O225" i="1"/>
  <c r="I203" i="1"/>
  <c r="O236" i="1"/>
  <c r="I179" i="1"/>
  <c r="O280" i="1"/>
  <c r="BX179" i="1" l="1"/>
  <c r="BW179" i="1"/>
  <c r="BV179" i="1"/>
  <c r="BU179" i="1"/>
  <c r="BT179" i="1"/>
  <c r="BS179" i="1"/>
  <c r="BR179" i="1"/>
  <c r="BQ179" i="1"/>
  <c r="BP179" i="1"/>
  <c r="BO179" i="1"/>
  <c r="BN179" i="1"/>
  <c r="BM179" i="1"/>
  <c r="BL179" i="1"/>
  <c r="BK179" i="1"/>
  <c r="BJ179" i="1"/>
  <c r="BI179" i="1"/>
  <c r="BH179" i="1"/>
  <c r="BG179" i="1"/>
  <c r="BF179" i="1"/>
  <c r="BE179" i="1"/>
  <c r="BD179" i="1"/>
  <c r="BC179" i="1"/>
  <c r="BB179" i="1"/>
  <c r="BA179" i="1"/>
  <c r="AZ179" i="1"/>
  <c r="AY179" i="1"/>
  <c r="AX179" i="1"/>
  <c r="AW179" i="1"/>
  <c r="AV179" i="1"/>
  <c r="AU179" i="1"/>
  <c r="AT179" i="1"/>
  <c r="AS179" i="1"/>
  <c r="AR179" i="1"/>
  <c r="AQ179" i="1"/>
  <c r="AP179" i="1"/>
  <c r="AO179" i="1"/>
  <c r="J179" i="1"/>
  <c r="BX203" i="1"/>
  <c r="BW203" i="1"/>
  <c r="BV203" i="1"/>
  <c r="BU203" i="1"/>
  <c r="BT203" i="1"/>
  <c r="BS203" i="1"/>
  <c r="BR203" i="1"/>
  <c r="BQ203" i="1"/>
  <c r="BP203" i="1"/>
  <c r="BO203" i="1"/>
  <c r="BN203" i="1"/>
  <c r="BM203" i="1"/>
  <c r="BL203" i="1"/>
  <c r="BK203" i="1"/>
  <c r="BJ203" i="1"/>
  <c r="BI203" i="1"/>
  <c r="BH203" i="1"/>
  <c r="BG203" i="1"/>
  <c r="BF203" i="1"/>
  <c r="BE203" i="1"/>
  <c r="BD203" i="1"/>
  <c r="BC203" i="1"/>
  <c r="BB203" i="1"/>
  <c r="BA203" i="1"/>
  <c r="AZ203" i="1"/>
  <c r="AY203" i="1"/>
  <c r="AX203" i="1"/>
  <c r="AW203" i="1"/>
  <c r="AV203" i="1"/>
  <c r="AU203" i="1"/>
  <c r="AT203" i="1"/>
  <c r="AS203" i="1"/>
  <c r="AR203" i="1"/>
  <c r="AQ203" i="1"/>
  <c r="AP203" i="1"/>
  <c r="AO203" i="1"/>
  <c r="J203" i="1"/>
  <c r="BX258" i="1"/>
  <c r="BW258" i="1"/>
  <c r="BV258" i="1"/>
  <c r="BU258" i="1"/>
  <c r="BT258" i="1"/>
  <c r="BS258" i="1"/>
  <c r="BR258" i="1"/>
  <c r="BQ258" i="1"/>
  <c r="BP258" i="1"/>
  <c r="BO258" i="1"/>
  <c r="BN258" i="1"/>
  <c r="BM258" i="1"/>
  <c r="BL258" i="1"/>
  <c r="BK258" i="1"/>
  <c r="BJ258" i="1"/>
  <c r="BI258" i="1"/>
  <c r="BH258" i="1"/>
  <c r="BG258" i="1"/>
  <c r="BF258" i="1"/>
  <c r="BE258" i="1"/>
  <c r="BD258" i="1"/>
  <c r="BC258" i="1"/>
  <c r="BB258" i="1"/>
  <c r="BA258" i="1"/>
  <c r="AZ258" i="1"/>
  <c r="AY258" i="1"/>
  <c r="AX258" i="1"/>
  <c r="AW258" i="1"/>
  <c r="AV258" i="1"/>
  <c r="AU258" i="1"/>
  <c r="AT258" i="1"/>
  <c r="AS258" i="1"/>
  <c r="AR258" i="1"/>
  <c r="AQ258" i="1"/>
  <c r="AP258" i="1"/>
  <c r="AO258" i="1"/>
  <c r="J258" i="1"/>
  <c r="O258" i="1" s="1"/>
  <c r="BX197" i="1"/>
  <c r="BW197" i="1"/>
  <c r="BV197" i="1"/>
  <c r="BU197" i="1"/>
  <c r="BT197" i="1"/>
  <c r="BS197" i="1"/>
  <c r="BR197" i="1"/>
  <c r="BQ197" i="1"/>
  <c r="BP197" i="1"/>
  <c r="BO197" i="1"/>
  <c r="BN197" i="1"/>
  <c r="BM197" i="1"/>
  <c r="BL197" i="1"/>
  <c r="BK197" i="1"/>
  <c r="BJ197" i="1"/>
  <c r="BI197" i="1"/>
  <c r="BH197" i="1"/>
  <c r="BG197" i="1"/>
  <c r="BF197" i="1"/>
  <c r="BE197" i="1"/>
  <c r="BD197" i="1"/>
  <c r="BC197" i="1"/>
  <c r="BB197" i="1"/>
  <c r="BA197" i="1"/>
  <c r="AZ197" i="1"/>
  <c r="AY197" i="1"/>
  <c r="AX197" i="1"/>
  <c r="AW197" i="1"/>
  <c r="AV197" i="1"/>
  <c r="AU197" i="1"/>
  <c r="AT197" i="1"/>
  <c r="AS197" i="1"/>
  <c r="AR197" i="1"/>
  <c r="AQ197" i="1"/>
  <c r="AP197" i="1"/>
  <c r="AO197" i="1"/>
  <c r="J197" i="1"/>
  <c r="BX240" i="1"/>
  <c r="BW240" i="1"/>
  <c r="BV240" i="1"/>
  <c r="BU240" i="1"/>
  <c r="BT240" i="1"/>
  <c r="BS240" i="1"/>
  <c r="BR240" i="1"/>
  <c r="BQ240" i="1"/>
  <c r="BP240" i="1"/>
  <c r="BO240" i="1"/>
  <c r="BN240" i="1"/>
  <c r="BM240" i="1"/>
  <c r="BL240" i="1"/>
  <c r="BK240" i="1"/>
  <c r="BJ240" i="1"/>
  <c r="BI240" i="1"/>
  <c r="BH240" i="1"/>
  <c r="BG240" i="1"/>
  <c r="BF240" i="1"/>
  <c r="BE240" i="1"/>
  <c r="BD240" i="1"/>
  <c r="BC240" i="1"/>
  <c r="BB240" i="1"/>
  <c r="BA240" i="1"/>
  <c r="AZ240" i="1"/>
  <c r="AY240" i="1"/>
  <c r="AX240" i="1"/>
  <c r="AW240" i="1"/>
  <c r="AV240" i="1"/>
  <c r="AU240" i="1"/>
  <c r="AT240" i="1"/>
  <c r="AS240" i="1"/>
  <c r="AR240" i="1"/>
  <c r="AQ240" i="1"/>
  <c r="AP240" i="1"/>
  <c r="AO240" i="1"/>
  <c r="J240" i="1"/>
  <c r="I250" i="1"/>
  <c r="O239" i="1"/>
  <c r="AL4" i="2"/>
  <c r="BX305" i="1"/>
  <c r="BX304" i="1"/>
  <c r="BX303" i="1"/>
  <c r="BX302" i="1"/>
  <c r="BX301" i="1"/>
  <c r="BX300" i="1"/>
  <c r="BX299" i="1"/>
  <c r="BX298" i="1"/>
  <c r="BX297" i="1"/>
  <c r="BX126" i="1"/>
  <c r="BX123" i="1"/>
  <c r="BX107" i="1"/>
  <c r="BX98" i="1"/>
  <c r="BX95" i="1"/>
  <c r="BX81" i="1"/>
  <c r="BX77" i="1"/>
  <c r="BX58" i="1"/>
  <c r="BX54" i="1"/>
  <c r="BX41" i="1"/>
  <c r="BX33" i="1"/>
  <c r="BX32" i="1"/>
  <c r="BX31" i="1"/>
  <c r="BX30" i="1"/>
  <c r="BX29" i="1"/>
  <c r="BX28" i="1"/>
  <c r="BX27" i="1"/>
  <c r="BX26" i="1"/>
  <c r="BX25" i="1"/>
  <c r="BX24" i="1"/>
  <c r="BX23" i="1"/>
  <c r="BX22" i="1"/>
  <c r="BX21" i="1"/>
  <c r="BX20" i="1"/>
  <c r="BX19" i="1"/>
  <c r="BX18" i="1"/>
  <c r="BX17" i="1"/>
  <c r="BX16" i="1"/>
  <c r="BX15" i="1"/>
  <c r="BX14" i="1"/>
  <c r="BX13" i="1"/>
  <c r="BX12" i="1"/>
  <c r="BX11" i="1"/>
  <c r="BX10" i="1"/>
  <c r="BX9" i="1"/>
  <c r="BX8" i="1"/>
  <c r="BX7" i="1"/>
  <c r="BX6" i="1"/>
  <c r="BX5" i="1"/>
  <c r="BY4" i="1"/>
  <c r="BX3" i="1"/>
  <c r="AL3" i="2" s="1"/>
  <c r="BX42" i="1"/>
  <c r="BX43" i="1"/>
  <c r="BX52" i="1"/>
  <c r="BX56" i="1"/>
  <c r="BX108" i="1"/>
  <c r="BX135" i="1"/>
  <c r="BX180" i="1"/>
  <c r="BX208" i="1"/>
  <c r="BX181" i="1"/>
  <c r="BX186" i="1"/>
  <c r="BX192" i="1"/>
  <c r="BX198" i="1"/>
  <c r="BX136" i="1"/>
  <c r="BX109" i="1"/>
  <c r="BX82" i="1"/>
  <c r="BX78" i="1"/>
  <c r="BX215" i="1"/>
  <c r="BX193" i="1"/>
  <c r="BX199" i="1"/>
  <c r="BX233" i="1"/>
  <c r="BX34" i="1"/>
  <c r="BX46" i="1"/>
  <c r="BX55" i="1"/>
  <c r="BX122" i="1"/>
  <c r="BX59" i="1"/>
  <c r="BX125" i="1"/>
  <c r="BX137" i="1"/>
  <c r="BX158" i="1"/>
  <c r="BX182" i="1"/>
  <c r="BX213" i="1"/>
  <c r="BX209" i="1"/>
  <c r="BX214" i="1"/>
  <c r="BX217" i="1"/>
  <c r="BX220" i="1"/>
  <c r="BX159" i="1"/>
  <c r="BX218" i="1"/>
  <c r="BX252" i="1"/>
  <c r="BX35" i="1"/>
  <c r="BX76" i="1"/>
  <c r="BX36" i="1"/>
  <c r="BX47" i="1"/>
  <c r="BX67" i="1"/>
  <c r="BX80" i="1"/>
  <c r="BX141" i="1"/>
  <c r="BX157" i="1"/>
  <c r="BX188" i="1"/>
  <c r="BX183" i="1"/>
  <c r="BX204" i="1"/>
  <c r="BX216" i="1"/>
  <c r="BX142" i="1"/>
  <c r="BX110" i="1"/>
  <c r="BX221" i="1"/>
  <c r="BX187" i="1"/>
  <c r="BX37" i="1"/>
  <c r="BX97" i="1"/>
  <c r="BX38" i="1"/>
  <c r="BX68" i="1"/>
  <c r="BX70" i="1"/>
  <c r="BX83" i="1"/>
  <c r="BX94" i="1"/>
  <c r="BX164" i="1"/>
  <c r="BX143" i="1"/>
  <c r="BX160" i="1"/>
  <c r="BX194" i="1"/>
  <c r="BX189" i="1"/>
  <c r="BX226" i="1"/>
  <c r="BX219" i="1"/>
  <c r="BX165" i="1"/>
  <c r="BX285" i="1"/>
  <c r="BX263" i="1"/>
  <c r="BX210" i="1"/>
  <c r="BX39" i="1"/>
  <c r="BX231" i="1"/>
  <c r="BX44" i="1"/>
  <c r="BX71" i="1"/>
  <c r="BX96" i="1"/>
  <c r="BX230" i="1"/>
  <c r="BX144" i="1"/>
  <c r="BX166" i="1"/>
  <c r="BX200" i="1"/>
  <c r="BX113" i="1"/>
  <c r="BX222" i="1"/>
  <c r="BX145" i="1"/>
  <c r="BX138" i="1"/>
  <c r="BX286" i="1"/>
  <c r="BX289" i="1"/>
  <c r="BX79" i="1"/>
  <c r="BX274" i="1"/>
  <c r="BX211" i="1"/>
  <c r="BX48" i="1"/>
  <c r="BX40" i="1"/>
  <c r="BX242" i="1"/>
  <c r="BX45" i="1"/>
  <c r="BX53" i="1"/>
  <c r="BX72" i="1"/>
  <c r="BX232" i="1"/>
  <c r="BX241" i="1"/>
  <c r="BX167" i="1"/>
  <c r="BX146" i="1"/>
  <c r="BX177" i="1"/>
  <c r="BX168" i="1"/>
  <c r="BX139" i="1"/>
  <c r="BX161" i="1"/>
  <c r="BX124" i="1"/>
  <c r="BX84" i="1"/>
  <c r="BX69" i="1"/>
  <c r="BX195" i="1"/>
  <c r="BX237" i="1"/>
  <c r="BX201" i="1"/>
  <c r="BX49" i="1"/>
  <c r="BX57" i="1"/>
  <c r="BX74" i="1"/>
  <c r="BX253" i="1"/>
  <c r="BX243" i="1"/>
  <c r="BX147" i="1"/>
  <c r="BX169" i="1"/>
  <c r="BX207" i="1"/>
  <c r="BX148" i="1"/>
  <c r="BX162" i="1"/>
  <c r="BX127" i="1"/>
  <c r="BX287" i="1"/>
  <c r="BX85" i="1"/>
  <c r="BX99" i="1"/>
  <c r="BX73" i="1"/>
  <c r="BX63" i="1"/>
  <c r="BX50" i="1"/>
  <c r="BX294" i="1"/>
  <c r="BX117" i="1"/>
  <c r="BX295" i="1"/>
  <c r="BX264" i="1"/>
  <c r="BX254" i="1"/>
  <c r="BX244" i="1"/>
  <c r="BX170" i="1"/>
  <c r="BX149" i="1"/>
  <c r="BX171" i="1"/>
  <c r="BX128" i="1"/>
  <c r="BX118" i="1"/>
  <c r="BX234" i="1"/>
  <c r="BX60" i="1"/>
  <c r="BX131" i="1"/>
  <c r="BX91" i="1"/>
  <c r="BX65" i="1"/>
  <c r="BX275" i="1"/>
  <c r="BX265" i="1"/>
  <c r="BX255" i="1"/>
  <c r="BX245" i="1"/>
  <c r="BX153" i="1"/>
  <c r="BX172" i="1"/>
  <c r="BX150" i="1"/>
  <c r="BX101" i="1"/>
  <c r="BX129" i="1"/>
  <c r="BX288" i="1"/>
  <c r="BX61" i="1"/>
  <c r="BX87" i="1"/>
  <c r="BX291" i="1"/>
  <c r="BX89" i="1"/>
  <c r="BX248" i="1"/>
  <c r="BX276" i="1"/>
  <c r="BX266" i="1"/>
  <c r="BX111" i="1"/>
  <c r="BX246" i="1"/>
  <c r="BX176" i="1"/>
  <c r="BX151" i="1"/>
  <c r="BX184" i="1"/>
  <c r="BX119" i="1"/>
  <c r="BX173" i="1"/>
  <c r="BX290" i="1"/>
  <c r="BX223" i="1"/>
  <c r="BX103" i="1"/>
  <c r="BX105" i="1"/>
  <c r="BX259" i="1"/>
  <c r="BX277" i="1"/>
  <c r="BX293" i="1"/>
  <c r="BX120" i="1"/>
  <c r="BX92" i="1"/>
  <c r="BX174" i="1"/>
  <c r="BX256" i="1"/>
  <c r="BX292" i="1"/>
  <c r="BX66" i="1"/>
  <c r="BX133" i="1"/>
  <c r="BX270" i="1"/>
  <c r="BX278" i="1"/>
  <c r="BX190" i="1"/>
  <c r="BX121" i="1"/>
  <c r="BX100" i="1"/>
  <c r="BX267" i="1"/>
  <c r="BX257" i="1"/>
  <c r="BX116" i="1"/>
  <c r="BX115" i="1"/>
  <c r="BX281" i="1"/>
  <c r="BX51" i="1"/>
  <c r="BX224" i="1"/>
  <c r="BX196" i="1"/>
  <c r="BX235" i="1"/>
  <c r="BX247" i="1"/>
  <c r="BX152" i="1"/>
  <c r="BX130" i="1"/>
  <c r="BX229" i="1"/>
  <c r="BX155" i="1"/>
  <c r="BX90" i="1"/>
  <c r="BX112" i="1"/>
  <c r="BX279" i="1"/>
  <c r="BX163" i="1"/>
  <c r="BX202" i="1"/>
  <c r="BX249" i="1"/>
  <c r="BX185" i="1"/>
  <c r="BX262" i="1"/>
  <c r="BX178" i="1"/>
  <c r="BX273" i="1"/>
  <c r="BX175" i="1"/>
  <c r="BX75" i="1"/>
  <c r="BX296" i="1"/>
  <c r="BX268" i="1"/>
  <c r="BX93" i="1"/>
  <c r="BX102" i="1"/>
  <c r="BX106" i="1"/>
  <c r="BX212" i="1"/>
  <c r="BX206" i="1"/>
  <c r="BX284" i="1"/>
  <c r="BX191" i="1"/>
  <c r="BX86" i="1"/>
  <c r="BX62" i="1"/>
  <c r="BX269" i="1"/>
  <c r="BX134" i="1"/>
  <c r="BX228" i="1"/>
  <c r="BX280" i="1"/>
  <c r="BX236" i="1"/>
  <c r="BX225" i="1"/>
  <c r="BX140" i="1"/>
  <c r="BX156" i="1"/>
  <c r="AM4" i="2" l="1"/>
  <c r="BY305" i="1"/>
  <c r="BY304" i="1"/>
  <c r="BY303" i="1"/>
  <c r="BY302" i="1"/>
  <c r="BY301" i="1"/>
  <c r="BY300" i="1"/>
  <c r="BY299" i="1"/>
  <c r="BY298" i="1"/>
  <c r="BY297" i="1"/>
  <c r="BY126" i="1"/>
  <c r="BY123" i="1"/>
  <c r="BY107" i="1"/>
  <c r="BY98" i="1"/>
  <c r="BY95" i="1"/>
  <c r="BY81" i="1"/>
  <c r="BY77" i="1"/>
  <c r="BY58" i="1"/>
  <c r="BY54" i="1"/>
  <c r="BY41" i="1"/>
  <c r="BY33" i="1"/>
  <c r="BY32" i="1"/>
  <c r="BY31" i="1"/>
  <c r="BY30" i="1"/>
  <c r="BY29" i="1"/>
  <c r="BY28" i="1"/>
  <c r="BY27" i="1"/>
  <c r="BY26" i="1"/>
  <c r="BY25" i="1"/>
  <c r="BY24" i="1"/>
  <c r="BY23" i="1"/>
  <c r="BY22" i="1"/>
  <c r="BY21" i="1"/>
  <c r="BY20" i="1"/>
  <c r="BY19" i="1"/>
  <c r="BY18" i="1"/>
  <c r="BY17" i="1"/>
  <c r="BY16" i="1"/>
  <c r="BY15" i="1"/>
  <c r="BY14" i="1"/>
  <c r="BY13" i="1"/>
  <c r="BY12" i="1"/>
  <c r="BY11" i="1"/>
  <c r="BY10" i="1"/>
  <c r="BY9" i="1"/>
  <c r="BY8" i="1"/>
  <c r="BY7" i="1"/>
  <c r="BY6" i="1"/>
  <c r="BY5" i="1"/>
  <c r="BZ4" i="1"/>
  <c r="BY3" i="1"/>
  <c r="AM3" i="2" s="1"/>
  <c r="BY42" i="1"/>
  <c r="BY43" i="1"/>
  <c r="BY52" i="1"/>
  <c r="BY56" i="1"/>
  <c r="BY108" i="1"/>
  <c r="BY135" i="1"/>
  <c r="BY180" i="1"/>
  <c r="BY208" i="1"/>
  <c r="BY181" i="1"/>
  <c r="BY186" i="1"/>
  <c r="BY192" i="1"/>
  <c r="BY198" i="1"/>
  <c r="BY136" i="1"/>
  <c r="BY109" i="1"/>
  <c r="BY82" i="1"/>
  <c r="BY78" i="1"/>
  <c r="BY215" i="1"/>
  <c r="BY193" i="1"/>
  <c r="BY199" i="1"/>
  <c r="BY233" i="1"/>
  <c r="BY34" i="1"/>
  <c r="BY46" i="1"/>
  <c r="BY55" i="1"/>
  <c r="BY122" i="1"/>
  <c r="BY59" i="1"/>
  <c r="BY125" i="1"/>
  <c r="BY137" i="1"/>
  <c r="BY158" i="1"/>
  <c r="BY182" i="1"/>
  <c r="BY213" i="1"/>
  <c r="BY209" i="1"/>
  <c r="BY214" i="1"/>
  <c r="BY217" i="1"/>
  <c r="BY220" i="1"/>
  <c r="BY159" i="1"/>
  <c r="BY218" i="1"/>
  <c r="BY252" i="1"/>
  <c r="BY35" i="1"/>
  <c r="BY76" i="1"/>
  <c r="BY36" i="1"/>
  <c r="BY47" i="1"/>
  <c r="BY67" i="1"/>
  <c r="BY80" i="1"/>
  <c r="BY141" i="1"/>
  <c r="BY157" i="1"/>
  <c r="BY188" i="1"/>
  <c r="BY183" i="1"/>
  <c r="BY204" i="1"/>
  <c r="BY216" i="1"/>
  <c r="BY142" i="1"/>
  <c r="BY110" i="1"/>
  <c r="BY221" i="1"/>
  <c r="BY187" i="1"/>
  <c r="BY37" i="1"/>
  <c r="BY97" i="1"/>
  <c r="BY38" i="1"/>
  <c r="BY68" i="1"/>
  <c r="BY70" i="1"/>
  <c r="BY83" i="1"/>
  <c r="BY94" i="1"/>
  <c r="BY164" i="1"/>
  <c r="BY143" i="1"/>
  <c r="BY160" i="1"/>
  <c r="BY194" i="1"/>
  <c r="BY189" i="1"/>
  <c r="BY226" i="1"/>
  <c r="BY219" i="1"/>
  <c r="BY165" i="1"/>
  <c r="BY285" i="1"/>
  <c r="BY263" i="1"/>
  <c r="BY210" i="1"/>
  <c r="BY39" i="1"/>
  <c r="BY231" i="1"/>
  <c r="BY44" i="1"/>
  <c r="BY71" i="1"/>
  <c r="BY96" i="1"/>
  <c r="BY230" i="1"/>
  <c r="BY144" i="1"/>
  <c r="BY166" i="1"/>
  <c r="BY200" i="1"/>
  <c r="BY113" i="1"/>
  <c r="BY222" i="1"/>
  <c r="BY145" i="1"/>
  <c r="BY138" i="1"/>
  <c r="BY286" i="1"/>
  <c r="BY289" i="1"/>
  <c r="BY79" i="1"/>
  <c r="BY274" i="1"/>
  <c r="BY211" i="1"/>
  <c r="BY48" i="1"/>
  <c r="BY40" i="1"/>
  <c r="BY242" i="1"/>
  <c r="BY45" i="1"/>
  <c r="BY53" i="1"/>
  <c r="BY72" i="1"/>
  <c r="BY232" i="1"/>
  <c r="BY241" i="1"/>
  <c r="BY167" i="1"/>
  <c r="BY146" i="1"/>
  <c r="BY177" i="1"/>
  <c r="BY168" i="1"/>
  <c r="BY139" i="1"/>
  <c r="BY161" i="1"/>
  <c r="BY124" i="1"/>
  <c r="BY84" i="1"/>
  <c r="BY69" i="1"/>
  <c r="BY195" i="1"/>
  <c r="BY237" i="1"/>
  <c r="BY201" i="1"/>
  <c r="BY49" i="1"/>
  <c r="BY57" i="1"/>
  <c r="BY74" i="1"/>
  <c r="BY253" i="1"/>
  <c r="BY243" i="1"/>
  <c r="BY147" i="1"/>
  <c r="BY169" i="1"/>
  <c r="BY207" i="1"/>
  <c r="BY148" i="1"/>
  <c r="BY162" i="1"/>
  <c r="BY127" i="1"/>
  <c r="BY287" i="1"/>
  <c r="BY85" i="1"/>
  <c r="BY99" i="1"/>
  <c r="BY73" i="1"/>
  <c r="BY63" i="1"/>
  <c r="BY50" i="1"/>
  <c r="BY294" i="1"/>
  <c r="BY117" i="1"/>
  <c r="BY295" i="1"/>
  <c r="BY264" i="1"/>
  <c r="BY254" i="1"/>
  <c r="BY244" i="1"/>
  <c r="BY170" i="1"/>
  <c r="BY149" i="1"/>
  <c r="BY171" i="1"/>
  <c r="BY128" i="1"/>
  <c r="BY118" i="1"/>
  <c r="BY234" i="1"/>
  <c r="BY60" i="1"/>
  <c r="BY131" i="1"/>
  <c r="BY91" i="1"/>
  <c r="BY65" i="1"/>
  <c r="BY275" i="1"/>
  <c r="BY265" i="1"/>
  <c r="BY255" i="1"/>
  <c r="BY245" i="1"/>
  <c r="BY153" i="1"/>
  <c r="BY172" i="1"/>
  <c r="BY150" i="1"/>
  <c r="BY101" i="1"/>
  <c r="BY129" i="1"/>
  <c r="BY288" i="1"/>
  <c r="BY61" i="1"/>
  <c r="BY87" i="1"/>
  <c r="BY291" i="1"/>
  <c r="BY89" i="1"/>
  <c r="BY248" i="1"/>
  <c r="BY276" i="1"/>
  <c r="BY266" i="1"/>
  <c r="BY111" i="1"/>
  <c r="BY246" i="1"/>
  <c r="BY176" i="1"/>
  <c r="BY151" i="1"/>
  <c r="BY184" i="1"/>
  <c r="BY119" i="1"/>
  <c r="BY173" i="1"/>
  <c r="BY290" i="1"/>
  <c r="BY223" i="1"/>
  <c r="BY103" i="1"/>
  <c r="BY105" i="1"/>
  <c r="BY259" i="1"/>
  <c r="BY277" i="1"/>
  <c r="BY293" i="1"/>
  <c r="BY120" i="1"/>
  <c r="BY92" i="1"/>
  <c r="BY174" i="1"/>
  <c r="BY256" i="1"/>
  <c r="BY292" i="1"/>
  <c r="BY66" i="1"/>
  <c r="BY133" i="1"/>
  <c r="BY270" i="1"/>
  <c r="BY278" i="1"/>
  <c r="BY190" i="1"/>
  <c r="BY121" i="1"/>
  <c r="BY100" i="1"/>
  <c r="BY267" i="1"/>
  <c r="BY257" i="1"/>
  <c r="BY116" i="1"/>
  <c r="BY115" i="1"/>
  <c r="BY281" i="1"/>
  <c r="BY51" i="1"/>
  <c r="BY224" i="1"/>
  <c r="BY196" i="1"/>
  <c r="BY235" i="1"/>
  <c r="BY247" i="1"/>
  <c r="BY152" i="1"/>
  <c r="BY130" i="1"/>
  <c r="BY229" i="1"/>
  <c r="BY155" i="1"/>
  <c r="BY90" i="1"/>
  <c r="BY112" i="1"/>
  <c r="BY279" i="1"/>
  <c r="BY163" i="1"/>
  <c r="BY202" i="1"/>
  <c r="BY249" i="1"/>
  <c r="BY185" i="1"/>
  <c r="BY262" i="1"/>
  <c r="BY178" i="1"/>
  <c r="BY273" i="1"/>
  <c r="BY175" i="1"/>
  <c r="BY75" i="1"/>
  <c r="BY296" i="1"/>
  <c r="BY268" i="1"/>
  <c r="BY93" i="1"/>
  <c r="BY102" i="1"/>
  <c r="BY106" i="1"/>
  <c r="BY212" i="1"/>
  <c r="BY206" i="1"/>
  <c r="BY284" i="1"/>
  <c r="BY191" i="1"/>
  <c r="BY86" i="1"/>
  <c r="BY62" i="1"/>
  <c r="BY269" i="1"/>
  <c r="BY134" i="1"/>
  <c r="BY228" i="1"/>
  <c r="BY280" i="1"/>
  <c r="BY236" i="1"/>
  <c r="BY225" i="1"/>
  <c r="BY140" i="1"/>
  <c r="BY156" i="1"/>
  <c r="BY239" i="1"/>
  <c r="BY179" i="1"/>
  <c r="BY203" i="1"/>
  <c r="BY258" i="1"/>
  <c r="BY197" i="1"/>
  <c r="BY240" i="1"/>
  <c r="BZ250" i="1"/>
  <c r="BY250" i="1"/>
  <c r="BX250" i="1"/>
  <c r="BW250" i="1"/>
  <c r="BV250" i="1"/>
  <c r="BU250" i="1"/>
  <c r="BT250" i="1"/>
  <c r="BS250" i="1"/>
  <c r="BR250" i="1"/>
  <c r="BQ250" i="1"/>
  <c r="BP250" i="1"/>
  <c r="BO250" i="1"/>
  <c r="BN250" i="1"/>
  <c r="BM250" i="1"/>
  <c r="BL250" i="1"/>
  <c r="BK250" i="1"/>
  <c r="BJ250" i="1"/>
  <c r="BI250" i="1"/>
  <c r="BH250" i="1"/>
  <c r="BG250" i="1"/>
  <c r="BF250" i="1"/>
  <c r="BE250" i="1"/>
  <c r="BD250" i="1"/>
  <c r="BC250" i="1"/>
  <c r="BB250" i="1"/>
  <c r="BA250" i="1"/>
  <c r="AZ250" i="1"/>
  <c r="AY250" i="1"/>
  <c r="AX250" i="1"/>
  <c r="AW250" i="1"/>
  <c r="AV250" i="1"/>
  <c r="AU250" i="1"/>
  <c r="AT250" i="1"/>
  <c r="AS250" i="1"/>
  <c r="AR250" i="1"/>
  <c r="AQ250" i="1"/>
  <c r="AP250" i="1"/>
  <c r="AO250" i="1"/>
  <c r="J250" i="1"/>
  <c r="I251" i="1"/>
  <c r="O240" i="1"/>
  <c r="I88" i="1"/>
  <c r="O197" i="1"/>
  <c r="I114" i="1"/>
  <c r="O203" i="1"/>
  <c r="I205" i="1"/>
  <c r="O179" i="1"/>
  <c r="BZ205" i="1" l="1"/>
  <c r="BY205" i="1"/>
  <c r="BX205" i="1"/>
  <c r="BW205" i="1"/>
  <c r="BV205" i="1"/>
  <c r="BU205" i="1"/>
  <c r="BT205" i="1"/>
  <c r="BS205" i="1"/>
  <c r="BR205" i="1"/>
  <c r="BQ205" i="1"/>
  <c r="BP205" i="1"/>
  <c r="BO205" i="1"/>
  <c r="BN205" i="1"/>
  <c r="BM205" i="1"/>
  <c r="BL205" i="1"/>
  <c r="BK205" i="1"/>
  <c r="BJ205" i="1"/>
  <c r="BI205" i="1"/>
  <c r="BH205" i="1"/>
  <c r="BG205" i="1"/>
  <c r="BF205" i="1"/>
  <c r="BE205" i="1"/>
  <c r="BD205" i="1"/>
  <c r="BC205" i="1"/>
  <c r="BB205" i="1"/>
  <c r="BA205" i="1"/>
  <c r="AZ205" i="1"/>
  <c r="AY205" i="1"/>
  <c r="AX205" i="1"/>
  <c r="AW205" i="1"/>
  <c r="AV205" i="1"/>
  <c r="AU205" i="1"/>
  <c r="AT205" i="1"/>
  <c r="AS205" i="1"/>
  <c r="AR205" i="1"/>
  <c r="AQ205" i="1"/>
  <c r="AP205" i="1"/>
  <c r="AO205" i="1"/>
  <c r="J205" i="1"/>
  <c r="O205" i="1" s="1"/>
  <c r="BZ114" i="1"/>
  <c r="BY114" i="1"/>
  <c r="BX114" i="1"/>
  <c r="BW114" i="1"/>
  <c r="BV114" i="1"/>
  <c r="BU114" i="1"/>
  <c r="BT114" i="1"/>
  <c r="BS114" i="1"/>
  <c r="BR114" i="1"/>
  <c r="BQ114" i="1"/>
  <c r="BP114" i="1"/>
  <c r="BO114" i="1"/>
  <c r="BN114" i="1"/>
  <c r="BM114" i="1"/>
  <c r="BL114" i="1"/>
  <c r="BK114" i="1"/>
  <c r="BJ114" i="1"/>
  <c r="BI114" i="1"/>
  <c r="BH114" i="1"/>
  <c r="BG114" i="1"/>
  <c r="BF114" i="1"/>
  <c r="BE114" i="1"/>
  <c r="BD114" i="1"/>
  <c r="BC114" i="1"/>
  <c r="BB114" i="1"/>
  <c r="BA114" i="1"/>
  <c r="AZ114" i="1"/>
  <c r="AY114" i="1"/>
  <c r="AX114" i="1"/>
  <c r="AW114" i="1"/>
  <c r="AV114" i="1"/>
  <c r="AU114" i="1"/>
  <c r="AT114" i="1"/>
  <c r="AS114" i="1"/>
  <c r="AR114" i="1"/>
  <c r="AQ114" i="1"/>
  <c r="AP114" i="1"/>
  <c r="AO114" i="1"/>
  <c r="J114" i="1"/>
  <c r="BZ88" i="1"/>
  <c r="BY88" i="1"/>
  <c r="BX88" i="1"/>
  <c r="BW88" i="1"/>
  <c r="BV88" i="1"/>
  <c r="BU88" i="1"/>
  <c r="BT88" i="1"/>
  <c r="BS88" i="1"/>
  <c r="BR88" i="1"/>
  <c r="BQ88" i="1"/>
  <c r="BP88" i="1"/>
  <c r="BO88" i="1"/>
  <c r="BN88" i="1"/>
  <c r="BM88" i="1"/>
  <c r="BL88" i="1"/>
  <c r="BK88" i="1"/>
  <c r="BJ88" i="1"/>
  <c r="BI88" i="1"/>
  <c r="BH88" i="1"/>
  <c r="BG88" i="1"/>
  <c r="BF88" i="1"/>
  <c r="BE88" i="1"/>
  <c r="BD88" i="1"/>
  <c r="BC88" i="1"/>
  <c r="BB88" i="1"/>
  <c r="BA88" i="1"/>
  <c r="AZ88" i="1"/>
  <c r="AY88" i="1"/>
  <c r="AX88" i="1"/>
  <c r="AW88" i="1"/>
  <c r="AV88" i="1"/>
  <c r="AU88" i="1"/>
  <c r="AT88" i="1"/>
  <c r="AS88" i="1"/>
  <c r="AR88" i="1"/>
  <c r="AQ88" i="1"/>
  <c r="AP88" i="1"/>
  <c r="AO88" i="1"/>
  <c r="J88" i="1"/>
  <c r="BZ251" i="1"/>
  <c r="BY251" i="1"/>
  <c r="BX251" i="1"/>
  <c r="BW251" i="1"/>
  <c r="BV251" i="1"/>
  <c r="BU251" i="1"/>
  <c r="BT251" i="1"/>
  <c r="BS251" i="1"/>
  <c r="BR251" i="1"/>
  <c r="BQ251" i="1"/>
  <c r="BP251" i="1"/>
  <c r="BO251" i="1"/>
  <c r="BN251" i="1"/>
  <c r="BM251" i="1"/>
  <c r="BL251" i="1"/>
  <c r="BK251" i="1"/>
  <c r="BJ251" i="1"/>
  <c r="BI251" i="1"/>
  <c r="BH251" i="1"/>
  <c r="BG251" i="1"/>
  <c r="BF251" i="1"/>
  <c r="BE251" i="1"/>
  <c r="BD251" i="1"/>
  <c r="BC251" i="1"/>
  <c r="BB251" i="1"/>
  <c r="BA251" i="1"/>
  <c r="AZ251" i="1"/>
  <c r="AY251" i="1"/>
  <c r="AX251" i="1"/>
  <c r="AW251" i="1"/>
  <c r="AV251" i="1"/>
  <c r="AU251" i="1"/>
  <c r="AT251" i="1"/>
  <c r="AS251" i="1"/>
  <c r="AR251" i="1"/>
  <c r="AQ251" i="1"/>
  <c r="AP251" i="1"/>
  <c r="AO251" i="1"/>
  <c r="J251" i="1"/>
  <c r="I261" i="1"/>
  <c r="O250" i="1"/>
  <c r="AN4" i="2"/>
  <c r="BZ305" i="1"/>
  <c r="BZ304" i="1"/>
  <c r="BZ303" i="1"/>
  <c r="BZ302" i="1"/>
  <c r="BZ301" i="1"/>
  <c r="BZ300" i="1"/>
  <c r="BZ299" i="1"/>
  <c r="BZ298" i="1"/>
  <c r="BZ297" i="1"/>
  <c r="BZ126" i="1"/>
  <c r="BZ123" i="1"/>
  <c r="BZ107" i="1"/>
  <c r="BZ98" i="1"/>
  <c r="BZ95" i="1"/>
  <c r="BZ81" i="1"/>
  <c r="BZ77" i="1"/>
  <c r="BZ58" i="1"/>
  <c r="BZ54" i="1"/>
  <c r="BZ41" i="1"/>
  <c r="BZ33" i="1"/>
  <c r="BZ32" i="1"/>
  <c r="BZ31" i="1"/>
  <c r="BZ30" i="1"/>
  <c r="BZ29" i="1"/>
  <c r="BZ28" i="1"/>
  <c r="BZ27" i="1"/>
  <c r="BZ26" i="1"/>
  <c r="BZ25" i="1"/>
  <c r="BZ24" i="1"/>
  <c r="BZ23" i="1"/>
  <c r="BZ22" i="1"/>
  <c r="BZ21" i="1"/>
  <c r="BZ20" i="1"/>
  <c r="BZ19" i="1"/>
  <c r="BZ18" i="1"/>
  <c r="BZ17" i="1"/>
  <c r="BZ16" i="1"/>
  <c r="BZ15" i="1"/>
  <c r="BZ14" i="1"/>
  <c r="BZ13" i="1"/>
  <c r="BZ12" i="1"/>
  <c r="BZ11" i="1"/>
  <c r="BZ10" i="1"/>
  <c r="BZ9" i="1"/>
  <c r="BZ8" i="1"/>
  <c r="BZ7" i="1"/>
  <c r="BZ6" i="1"/>
  <c r="BZ5" i="1"/>
  <c r="CA4" i="1"/>
  <c r="BZ3" i="1"/>
  <c r="AN3" i="2" s="1"/>
  <c r="BZ42" i="1"/>
  <c r="BZ43" i="1"/>
  <c r="BZ52" i="1"/>
  <c r="BZ56" i="1"/>
  <c r="BZ108" i="1"/>
  <c r="BZ135" i="1"/>
  <c r="BZ180" i="1"/>
  <c r="BZ208" i="1"/>
  <c r="BZ181" i="1"/>
  <c r="BZ186" i="1"/>
  <c r="BZ192" i="1"/>
  <c r="BZ198" i="1"/>
  <c r="BZ136" i="1"/>
  <c r="BZ109" i="1"/>
  <c r="BZ82" i="1"/>
  <c r="BZ78" i="1"/>
  <c r="BZ215" i="1"/>
  <c r="BZ193" i="1"/>
  <c r="BZ199" i="1"/>
  <c r="BZ233" i="1"/>
  <c r="BZ34" i="1"/>
  <c r="BZ46" i="1"/>
  <c r="BZ55" i="1"/>
  <c r="BZ122" i="1"/>
  <c r="BZ59" i="1"/>
  <c r="BZ125" i="1"/>
  <c r="BZ137" i="1"/>
  <c r="BZ158" i="1"/>
  <c r="BZ182" i="1"/>
  <c r="BZ213" i="1"/>
  <c r="BZ209" i="1"/>
  <c r="BZ214" i="1"/>
  <c r="BZ217" i="1"/>
  <c r="BZ220" i="1"/>
  <c r="BZ159" i="1"/>
  <c r="BZ218" i="1"/>
  <c r="BZ252" i="1"/>
  <c r="BZ35" i="1"/>
  <c r="BZ76" i="1"/>
  <c r="BZ36" i="1"/>
  <c r="BZ47" i="1"/>
  <c r="BZ67" i="1"/>
  <c r="BZ80" i="1"/>
  <c r="BZ141" i="1"/>
  <c r="BZ157" i="1"/>
  <c r="BZ188" i="1"/>
  <c r="BZ183" i="1"/>
  <c r="BZ204" i="1"/>
  <c r="BZ216" i="1"/>
  <c r="BZ142" i="1"/>
  <c r="BZ110" i="1"/>
  <c r="BZ221" i="1"/>
  <c r="BZ187" i="1"/>
  <c r="BZ37" i="1"/>
  <c r="BZ97" i="1"/>
  <c r="BZ38" i="1"/>
  <c r="BZ68" i="1"/>
  <c r="BZ70" i="1"/>
  <c r="BZ83" i="1"/>
  <c r="BZ94" i="1"/>
  <c r="BZ164" i="1"/>
  <c r="BZ143" i="1"/>
  <c r="BZ160" i="1"/>
  <c r="BZ194" i="1"/>
  <c r="BZ189" i="1"/>
  <c r="BZ226" i="1"/>
  <c r="BZ219" i="1"/>
  <c r="BZ165" i="1"/>
  <c r="BZ285" i="1"/>
  <c r="BZ263" i="1"/>
  <c r="BZ210" i="1"/>
  <c r="BZ39" i="1"/>
  <c r="BZ231" i="1"/>
  <c r="BZ44" i="1"/>
  <c r="BZ71" i="1"/>
  <c r="BZ96" i="1"/>
  <c r="BZ230" i="1"/>
  <c r="BZ144" i="1"/>
  <c r="BZ166" i="1"/>
  <c r="BZ200" i="1"/>
  <c r="BZ113" i="1"/>
  <c r="BZ222" i="1"/>
  <c r="BZ145" i="1"/>
  <c r="BZ138" i="1"/>
  <c r="BZ286" i="1"/>
  <c r="BZ289" i="1"/>
  <c r="BZ79" i="1"/>
  <c r="BZ274" i="1"/>
  <c r="BZ211" i="1"/>
  <c r="BZ48" i="1"/>
  <c r="BZ40" i="1"/>
  <c r="BZ242" i="1"/>
  <c r="BZ45" i="1"/>
  <c r="BZ53" i="1"/>
  <c r="BZ72" i="1"/>
  <c r="BZ232" i="1"/>
  <c r="BZ241" i="1"/>
  <c r="BZ167" i="1"/>
  <c r="BZ146" i="1"/>
  <c r="BZ177" i="1"/>
  <c r="BZ168" i="1"/>
  <c r="BZ139" i="1"/>
  <c r="BZ161" i="1"/>
  <c r="BZ124" i="1"/>
  <c r="BZ84" i="1"/>
  <c r="BZ69" i="1"/>
  <c r="BZ195" i="1"/>
  <c r="BZ237" i="1"/>
  <c r="BZ201" i="1"/>
  <c r="BZ49" i="1"/>
  <c r="BZ57" i="1"/>
  <c r="BZ74" i="1"/>
  <c r="BZ253" i="1"/>
  <c r="BZ243" i="1"/>
  <c r="BZ147" i="1"/>
  <c r="BZ169" i="1"/>
  <c r="BZ207" i="1"/>
  <c r="BZ148" i="1"/>
  <c r="BZ162" i="1"/>
  <c r="BZ127" i="1"/>
  <c r="BZ287" i="1"/>
  <c r="BZ85" i="1"/>
  <c r="BZ99" i="1"/>
  <c r="BZ73" i="1"/>
  <c r="BZ63" i="1"/>
  <c r="BZ50" i="1"/>
  <c r="BZ294" i="1"/>
  <c r="BZ117" i="1"/>
  <c r="BZ295" i="1"/>
  <c r="BZ264" i="1"/>
  <c r="BZ254" i="1"/>
  <c r="BZ244" i="1"/>
  <c r="BZ170" i="1"/>
  <c r="BZ149" i="1"/>
  <c r="BZ171" i="1"/>
  <c r="BZ128" i="1"/>
  <c r="BZ118" i="1"/>
  <c r="BZ234" i="1"/>
  <c r="BZ60" i="1"/>
  <c r="BZ131" i="1"/>
  <c r="BZ91" i="1"/>
  <c r="BZ65" i="1"/>
  <c r="BZ275" i="1"/>
  <c r="BZ265" i="1"/>
  <c r="BZ255" i="1"/>
  <c r="BZ245" i="1"/>
  <c r="BZ153" i="1"/>
  <c r="BZ172" i="1"/>
  <c r="BZ150" i="1"/>
  <c r="BZ101" i="1"/>
  <c r="BZ129" i="1"/>
  <c r="BZ288" i="1"/>
  <c r="BZ61" i="1"/>
  <c r="BZ87" i="1"/>
  <c r="BZ291" i="1"/>
  <c r="BZ89" i="1"/>
  <c r="BZ248" i="1"/>
  <c r="BZ276" i="1"/>
  <c r="BZ266" i="1"/>
  <c r="BZ111" i="1"/>
  <c r="BZ246" i="1"/>
  <c r="BZ176" i="1"/>
  <c r="BZ151" i="1"/>
  <c r="BZ184" i="1"/>
  <c r="BZ119" i="1"/>
  <c r="BZ173" i="1"/>
  <c r="BZ290" i="1"/>
  <c r="BZ223" i="1"/>
  <c r="BZ103" i="1"/>
  <c r="BZ105" i="1"/>
  <c r="BZ259" i="1"/>
  <c r="BZ277" i="1"/>
  <c r="BZ293" i="1"/>
  <c r="BZ120" i="1"/>
  <c r="BZ92" i="1"/>
  <c r="BZ174" i="1"/>
  <c r="BZ256" i="1"/>
  <c r="BZ292" i="1"/>
  <c r="BZ66" i="1"/>
  <c r="BZ133" i="1"/>
  <c r="BZ270" i="1"/>
  <c r="BZ278" i="1"/>
  <c r="BZ190" i="1"/>
  <c r="BZ121" i="1"/>
  <c r="BZ100" i="1"/>
  <c r="BZ267" i="1"/>
  <c r="BZ257" i="1"/>
  <c r="BZ116" i="1"/>
  <c r="BZ115" i="1"/>
  <c r="BZ281" i="1"/>
  <c r="BZ51" i="1"/>
  <c r="BZ224" i="1"/>
  <c r="BZ196" i="1"/>
  <c r="BZ235" i="1"/>
  <c r="BZ247" i="1"/>
  <c r="BZ152" i="1"/>
  <c r="BZ130" i="1"/>
  <c r="BZ229" i="1"/>
  <c r="BZ155" i="1"/>
  <c r="BZ90" i="1"/>
  <c r="BZ112" i="1"/>
  <c r="BZ279" i="1"/>
  <c r="BZ163" i="1"/>
  <c r="BZ202" i="1"/>
  <c r="BZ249" i="1"/>
  <c r="BZ185" i="1"/>
  <c r="BZ262" i="1"/>
  <c r="BZ178" i="1"/>
  <c r="BZ273" i="1"/>
  <c r="BZ175" i="1"/>
  <c r="BZ75" i="1"/>
  <c r="BZ296" i="1"/>
  <c r="BZ268" i="1"/>
  <c r="BZ93" i="1"/>
  <c r="BZ102" i="1"/>
  <c r="BZ106" i="1"/>
  <c r="BZ212" i="1"/>
  <c r="BZ206" i="1"/>
  <c r="BZ284" i="1"/>
  <c r="BZ191" i="1"/>
  <c r="BZ86" i="1"/>
  <c r="BZ62" i="1"/>
  <c r="BZ269" i="1"/>
  <c r="BZ134" i="1"/>
  <c r="BZ228" i="1"/>
  <c r="BZ280" i="1"/>
  <c r="BZ236" i="1"/>
  <c r="BZ225" i="1"/>
  <c r="BZ140" i="1"/>
  <c r="BZ156" i="1"/>
  <c r="BZ239" i="1"/>
  <c r="BZ179" i="1"/>
  <c r="BZ203" i="1"/>
  <c r="BZ258" i="1"/>
  <c r="BZ197" i="1"/>
  <c r="BZ240" i="1"/>
  <c r="AO4" i="2" l="1"/>
  <c r="CA305" i="1"/>
  <c r="CA304" i="1"/>
  <c r="CA303" i="1"/>
  <c r="CA302" i="1"/>
  <c r="CA301" i="1"/>
  <c r="CA300" i="1"/>
  <c r="CA299" i="1"/>
  <c r="CA298" i="1"/>
  <c r="CA297" i="1"/>
  <c r="CA126" i="1"/>
  <c r="CA123" i="1"/>
  <c r="CA107" i="1"/>
  <c r="CA98" i="1"/>
  <c r="CA95" i="1"/>
  <c r="CA81" i="1"/>
  <c r="CA77" i="1"/>
  <c r="CA58" i="1"/>
  <c r="CA54" i="1"/>
  <c r="CA41" i="1"/>
  <c r="CA33" i="1"/>
  <c r="CA32" i="1"/>
  <c r="CA31" i="1"/>
  <c r="CA30" i="1"/>
  <c r="CA29" i="1"/>
  <c r="CA28" i="1"/>
  <c r="CA27" i="1"/>
  <c r="CA26" i="1"/>
  <c r="CA25" i="1"/>
  <c r="CA24" i="1"/>
  <c r="CA23" i="1"/>
  <c r="CA22" i="1"/>
  <c r="CA21" i="1"/>
  <c r="CA20" i="1"/>
  <c r="CA19" i="1"/>
  <c r="CA18" i="1"/>
  <c r="CA17" i="1"/>
  <c r="CA16" i="1"/>
  <c r="CA15" i="1"/>
  <c r="CA14" i="1"/>
  <c r="CA13" i="1"/>
  <c r="CA12" i="1"/>
  <c r="CA11" i="1"/>
  <c r="CA10" i="1"/>
  <c r="CA9" i="1"/>
  <c r="CA8" i="1"/>
  <c r="CA7" i="1"/>
  <c r="CA6" i="1"/>
  <c r="CA5" i="1"/>
  <c r="CB4" i="1"/>
  <c r="CA3" i="1"/>
  <c r="AO3" i="2" s="1"/>
  <c r="CA42" i="1"/>
  <c r="CA43" i="1"/>
  <c r="CA52" i="1"/>
  <c r="CA56" i="1"/>
  <c r="CA108" i="1"/>
  <c r="CA135" i="1"/>
  <c r="CA180" i="1"/>
  <c r="CA208" i="1"/>
  <c r="CA181" i="1"/>
  <c r="CA186" i="1"/>
  <c r="CA192" i="1"/>
  <c r="CA198" i="1"/>
  <c r="CA136" i="1"/>
  <c r="CA109" i="1"/>
  <c r="CA82" i="1"/>
  <c r="CA78" i="1"/>
  <c r="CA215" i="1"/>
  <c r="CA193" i="1"/>
  <c r="CA199" i="1"/>
  <c r="CA233" i="1"/>
  <c r="CA34" i="1"/>
  <c r="CA46" i="1"/>
  <c r="CA55" i="1"/>
  <c r="CA122" i="1"/>
  <c r="CA59" i="1"/>
  <c r="CA125" i="1"/>
  <c r="CA137" i="1"/>
  <c r="CA158" i="1"/>
  <c r="CA182" i="1"/>
  <c r="CA213" i="1"/>
  <c r="CA209" i="1"/>
  <c r="CA214" i="1"/>
  <c r="CA217" i="1"/>
  <c r="CA220" i="1"/>
  <c r="CA159" i="1"/>
  <c r="CA218" i="1"/>
  <c r="CA252" i="1"/>
  <c r="CA35" i="1"/>
  <c r="CA76" i="1"/>
  <c r="CA36" i="1"/>
  <c r="CA47" i="1"/>
  <c r="CA67" i="1"/>
  <c r="CA80" i="1"/>
  <c r="CA141" i="1"/>
  <c r="CA157" i="1"/>
  <c r="CA188" i="1"/>
  <c r="CA183" i="1"/>
  <c r="CA204" i="1"/>
  <c r="CA216" i="1"/>
  <c r="CA142" i="1"/>
  <c r="CA110" i="1"/>
  <c r="CA221" i="1"/>
  <c r="CA187" i="1"/>
  <c r="CA37" i="1"/>
  <c r="CA97" i="1"/>
  <c r="CA38" i="1"/>
  <c r="CA68" i="1"/>
  <c r="CA70" i="1"/>
  <c r="CA83" i="1"/>
  <c r="CA94" i="1"/>
  <c r="CA164" i="1"/>
  <c r="CA143" i="1"/>
  <c r="CA160" i="1"/>
  <c r="CA194" i="1"/>
  <c r="CA189" i="1"/>
  <c r="CA226" i="1"/>
  <c r="CA219" i="1"/>
  <c r="CA165" i="1"/>
  <c r="CA285" i="1"/>
  <c r="CA263" i="1"/>
  <c r="CA210" i="1"/>
  <c r="CA39" i="1"/>
  <c r="CA231" i="1"/>
  <c r="CA44" i="1"/>
  <c r="CA71" i="1"/>
  <c r="CA96" i="1"/>
  <c r="CA230" i="1"/>
  <c r="CA144" i="1"/>
  <c r="CA166" i="1"/>
  <c r="CA200" i="1"/>
  <c r="CA113" i="1"/>
  <c r="CA222" i="1"/>
  <c r="CA145" i="1"/>
  <c r="CA138" i="1"/>
  <c r="CA286" i="1"/>
  <c r="CA289" i="1"/>
  <c r="CA79" i="1"/>
  <c r="CA274" i="1"/>
  <c r="CA211" i="1"/>
  <c r="CA48" i="1"/>
  <c r="CA40" i="1"/>
  <c r="CA242" i="1"/>
  <c r="CA45" i="1"/>
  <c r="CA53" i="1"/>
  <c r="CA72" i="1"/>
  <c r="CA232" i="1"/>
  <c r="CA241" i="1"/>
  <c r="CA167" i="1"/>
  <c r="CA146" i="1"/>
  <c r="CA177" i="1"/>
  <c r="CA168" i="1"/>
  <c r="CA139" i="1"/>
  <c r="CA161" i="1"/>
  <c r="CA124" i="1"/>
  <c r="CA84" i="1"/>
  <c r="CA69" i="1"/>
  <c r="CA195" i="1"/>
  <c r="CA237" i="1"/>
  <c r="CA201" i="1"/>
  <c r="CA49" i="1"/>
  <c r="CA57" i="1"/>
  <c r="CA74" i="1"/>
  <c r="CA253" i="1"/>
  <c r="CA243" i="1"/>
  <c r="CA147" i="1"/>
  <c r="CA169" i="1"/>
  <c r="CA207" i="1"/>
  <c r="CA148" i="1"/>
  <c r="CA162" i="1"/>
  <c r="CA127" i="1"/>
  <c r="CA287" i="1"/>
  <c r="CA85" i="1"/>
  <c r="CA99" i="1"/>
  <c r="CA73" i="1"/>
  <c r="CA63" i="1"/>
  <c r="CA50" i="1"/>
  <c r="CA294" i="1"/>
  <c r="CA117" i="1"/>
  <c r="CA295" i="1"/>
  <c r="CA264" i="1"/>
  <c r="CA254" i="1"/>
  <c r="CA244" i="1"/>
  <c r="CA170" i="1"/>
  <c r="CA149" i="1"/>
  <c r="CA171" i="1"/>
  <c r="CA128" i="1"/>
  <c r="CA118" i="1"/>
  <c r="CA234" i="1"/>
  <c r="CA60" i="1"/>
  <c r="CA131" i="1"/>
  <c r="CA91" i="1"/>
  <c r="CA65" i="1"/>
  <c r="CA275" i="1"/>
  <c r="CA265" i="1"/>
  <c r="CA255" i="1"/>
  <c r="CA245" i="1"/>
  <c r="CA153" i="1"/>
  <c r="CA172" i="1"/>
  <c r="CA150" i="1"/>
  <c r="CA101" i="1"/>
  <c r="CA129" i="1"/>
  <c r="CA288" i="1"/>
  <c r="CA61" i="1"/>
  <c r="CA87" i="1"/>
  <c r="CA291" i="1"/>
  <c r="CA89" i="1"/>
  <c r="CA248" i="1"/>
  <c r="CA276" i="1"/>
  <c r="CA266" i="1"/>
  <c r="CA111" i="1"/>
  <c r="CA246" i="1"/>
  <c r="CA176" i="1"/>
  <c r="CA151" i="1"/>
  <c r="CA184" i="1"/>
  <c r="CA119" i="1"/>
  <c r="CA173" i="1"/>
  <c r="CA290" i="1"/>
  <c r="CA223" i="1"/>
  <c r="CA103" i="1"/>
  <c r="CA105" i="1"/>
  <c r="CA259" i="1"/>
  <c r="CA277" i="1"/>
  <c r="CA293" i="1"/>
  <c r="CA120" i="1"/>
  <c r="CA92" i="1"/>
  <c r="CA174" i="1"/>
  <c r="CA256" i="1"/>
  <c r="CA292" i="1"/>
  <c r="CA66" i="1"/>
  <c r="CA133" i="1"/>
  <c r="CA270" i="1"/>
  <c r="CA278" i="1"/>
  <c r="CA190" i="1"/>
  <c r="CA121" i="1"/>
  <c r="CA100" i="1"/>
  <c r="CA267" i="1"/>
  <c r="CA257" i="1"/>
  <c r="CA116" i="1"/>
  <c r="CA115" i="1"/>
  <c r="CA281" i="1"/>
  <c r="CA51" i="1"/>
  <c r="CA224" i="1"/>
  <c r="CA196" i="1"/>
  <c r="CA235" i="1"/>
  <c r="CA247" i="1"/>
  <c r="CA152" i="1"/>
  <c r="CA130" i="1"/>
  <c r="CA229" i="1"/>
  <c r="CA155" i="1"/>
  <c r="CA90" i="1"/>
  <c r="CA112" i="1"/>
  <c r="CA279" i="1"/>
  <c r="CA163" i="1"/>
  <c r="CA202" i="1"/>
  <c r="CA249" i="1"/>
  <c r="CA185" i="1"/>
  <c r="CA262" i="1"/>
  <c r="CA178" i="1"/>
  <c r="CA273" i="1"/>
  <c r="CA175" i="1"/>
  <c r="CA75" i="1"/>
  <c r="CA296" i="1"/>
  <c r="CA268" i="1"/>
  <c r="CA93" i="1"/>
  <c r="CA102" i="1"/>
  <c r="CA106" i="1"/>
  <c r="CA212" i="1"/>
  <c r="CA206" i="1"/>
  <c r="CA284" i="1"/>
  <c r="CA191" i="1"/>
  <c r="CA86" i="1"/>
  <c r="CA62" i="1"/>
  <c r="CA269" i="1"/>
  <c r="CA134" i="1"/>
  <c r="CA228" i="1"/>
  <c r="CA280" i="1"/>
  <c r="CA236" i="1"/>
  <c r="CA225" i="1"/>
  <c r="CA140" i="1"/>
  <c r="CA156" i="1"/>
  <c r="CA239" i="1"/>
  <c r="CA179" i="1"/>
  <c r="CA203" i="1"/>
  <c r="CA258" i="1"/>
  <c r="CA197" i="1"/>
  <c r="CA240" i="1"/>
  <c r="CA250" i="1"/>
  <c r="CA205" i="1"/>
  <c r="CA114" i="1"/>
  <c r="CA88" i="1"/>
  <c r="CA251" i="1"/>
  <c r="CB261" i="1"/>
  <c r="CA261" i="1"/>
  <c r="BZ261" i="1"/>
  <c r="BY261" i="1"/>
  <c r="BX261" i="1"/>
  <c r="BW261" i="1"/>
  <c r="BV261" i="1"/>
  <c r="BU261" i="1"/>
  <c r="BT261" i="1"/>
  <c r="BS261" i="1"/>
  <c r="BR261" i="1"/>
  <c r="BQ261" i="1"/>
  <c r="BP261" i="1"/>
  <c r="BO261" i="1"/>
  <c r="BN261" i="1"/>
  <c r="BM261" i="1"/>
  <c r="BL261" i="1"/>
  <c r="BK261" i="1"/>
  <c r="BJ261" i="1"/>
  <c r="BI261" i="1"/>
  <c r="BH261" i="1"/>
  <c r="BG261" i="1"/>
  <c r="BF261" i="1"/>
  <c r="BE261" i="1"/>
  <c r="BD261" i="1"/>
  <c r="BC261" i="1"/>
  <c r="BB261" i="1"/>
  <c r="BA261" i="1"/>
  <c r="AZ261" i="1"/>
  <c r="AY261" i="1"/>
  <c r="AX261" i="1"/>
  <c r="AW261" i="1"/>
  <c r="AV261" i="1"/>
  <c r="AU261" i="1"/>
  <c r="AT261" i="1"/>
  <c r="AS261" i="1"/>
  <c r="AR261" i="1"/>
  <c r="AQ261" i="1"/>
  <c r="AP261" i="1"/>
  <c r="AO261" i="1"/>
  <c r="J261" i="1"/>
  <c r="I238" i="1"/>
  <c r="O251" i="1"/>
  <c r="I271" i="1"/>
  <c r="O88" i="1"/>
  <c r="I227" i="1"/>
  <c r="O114" i="1"/>
  <c r="CB227" i="1" l="1"/>
  <c r="CA227" i="1"/>
  <c r="BZ227" i="1"/>
  <c r="BY227" i="1"/>
  <c r="BX227" i="1"/>
  <c r="BW227" i="1"/>
  <c r="BV227" i="1"/>
  <c r="BU227" i="1"/>
  <c r="BT227" i="1"/>
  <c r="BS227" i="1"/>
  <c r="BR227" i="1"/>
  <c r="BQ227" i="1"/>
  <c r="BP227" i="1"/>
  <c r="BO227" i="1"/>
  <c r="BN227" i="1"/>
  <c r="BM227" i="1"/>
  <c r="BL227" i="1"/>
  <c r="BK227" i="1"/>
  <c r="BJ227" i="1"/>
  <c r="BI227" i="1"/>
  <c r="BH227" i="1"/>
  <c r="BG227" i="1"/>
  <c r="BF227" i="1"/>
  <c r="BE227" i="1"/>
  <c r="BD227" i="1"/>
  <c r="BC227" i="1"/>
  <c r="BB227" i="1"/>
  <c r="BA227" i="1"/>
  <c r="AZ227" i="1"/>
  <c r="AY227" i="1"/>
  <c r="AX227" i="1"/>
  <c r="AW227" i="1"/>
  <c r="AV227" i="1"/>
  <c r="AU227" i="1"/>
  <c r="AT227" i="1"/>
  <c r="AS227" i="1"/>
  <c r="AR227" i="1"/>
  <c r="AQ227" i="1"/>
  <c r="AP227" i="1"/>
  <c r="AO227" i="1"/>
  <c r="J227" i="1"/>
  <c r="CB271" i="1"/>
  <c r="CA271" i="1"/>
  <c r="BZ271" i="1"/>
  <c r="BY271" i="1"/>
  <c r="BX271" i="1"/>
  <c r="BW271" i="1"/>
  <c r="BV271" i="1"/>
  <c r="BU271" i="1"/>
  <c r="BT271" i="1"/>
  <c r="BS271" i="1"/>
  <c r="BR271" i="1"/>
  <c r="BQ271" i="1"/>
  <c r="BP271" i="1"/>
  <c r="BO271" i="1"/>
  <c r="BN271" i="1"/>
  <c r="BM271" i="1"/>
  <c r="BL271" i="1"/>
  <c r="BK271" i="1"/>
  <c r="BJ271" i="1"/>
  <c r="BI271" i="1"/>
  <c r="BH271" i="1"/>
  <c r="BG271" i="1"/>
  <c r="BF271" i="1"/>
  <c r="BE271" i="1"/>
  <c r="BD271" i="1"/>
  <c r="BC271" i="1"/>
  <c r="BB271" i="1"/>
  <c r="BA271" i="1"/>
  <c r="AZ271" i="1"/>
  <c r="AY271" i="1"/>
  <c r="AX271" i="1"/>
  <c r="AW271" i="1"/>
  <c r="AV271" i="1"/>
  <c r="AU271" i="1"/>
  <c r="AT271" i="1"/>
  <c r="AS271" i="1"/>
  <c r="AR271" i="1"/>
  <c r="AQ271" i="1"/>
  <c r="AP271" i="1"/>
  <c r="AO271" i="1"/>
  <c r="J271" i="1"/>
  <c r="CB238" i="1"/>
  <c r="CA238" i="1"/>
  <c r="BZ238" i="1"/>
  <c r="BY238" i="1"/>
  <c r="BX238" i="1"/>
  <c r="BW238" i="1"/>
  <c r="BV238" i="1"/>
  <c r="BU238" i="1"/>
  <c r="BT238" i="1"/>
  <c r="BS238" i="1"/>
  <c r="BR238" i="1"/>
  <c r="BQ238" i="1"/>
  <c r="BP238" i="1"/>
  <c r="BO238" i="1"/>
  <c r="BN238" i="1"/>
  <c r="BM238" i="1"/>
  <c r="BL238" i="1"/>
  <c r="BK238" i="1"/>
  <c r="BJ238" i="1"/>
  <c r="BI238" i="1"/>
  <c r="BH238" i="1"/>
  <c r="BG238" i="1"/>
  <c r="BF238" i="1"/>
  <c r="BE238" i="1"/>
  <c r="BD238" i="1"/>
  <c r="BC238" i="1"/>
  <c r="BB238" i="1"/>
  <c r="BA238" i="1"/>
  <c r="AZ238" i="1"/>
  <c r="AY238" i="1"/>
  <c r="AX238" i="1"/>
  <c r="AW238" i="1"/>
  <c r="AV238" i="1"/>
  <c r="AU238" i="1"/>
  <c r="AT238" i="1"/>
  <c r="AS238" i="1"/>
  <c r="AR238" i="1"/>
  <c r="AQ238" i="1"/>
  <c r="AP238" i="1"/>
  <c r="AO238" i="1"/>
  <c r="J238" i="1"/>
  <c r="I272" i="1"/>
  <c r="O261" i="1"/>
  <c r="AP4" i="2"/>
  <c r="CB305" i="1"/>
  <c r="CB304" i="1"/>
  <c r="CB303" i="1"/>
  <c r="CB302" i="1"/>
  <c r="CB301" i="1"/>
  <c r="CB300" i="1"/>
  <c r="CB299" i="1"/>
  <c r="CB298" i="1"/>
  <c r="CB297" i="1"/>
  <c r="CB126" i="1"/>
  <c r="CB123" i="1"/>
  <c r="CB107" i="1"/>
  <c r="CB98" i="1"/>
  <c r="CB95" i="1"/>
  <c r="CB81" i="1"/>
  <c r="CB77" i="1"/>
  <c r="CB58" i="1"/>
  <c r="CB54" i="1"/>
  <c r="CB41" i="1"/>
  <c r="CB33" i="1"/>
  <c r="CB32" i="1"/>
  <c r="CB31" i="1"/>
  <c r="CB30" i="1"/>
  <c r="CB29" i="1"/>
  <c r="CB28" i="1"/>
  <c r="CB27" i="1"/>
  <c r="CB26" i="1"/>
  <c r="CB25" i="1"/>
  <c r="CB24" i="1"/>
  <c r="CB23" i="1"/>
  <c r="CB22" i="1"/>
  <c r="CB21" i="1"/>
  <c r="CB20" i="1"/>
  <c r="CB19" i="1"/>
  <c r="CB18" i="1"/>
  <c r="CB17" i="1"/>
  <c r="CB16" i="1"/>
  <c r="CB15" i="1"/>
  <c r="CB14" i="1"/>
  <c r="CB13" i="1"/>
  <c r="CB12" i="1"/>
  <c r="CB11" i="1"/>
  <c r="CB10" i="1"/>
  <c r="CB9" i="1"/>
  <c r="CB8" i="1"/>
  <c r="CB7" i="1"/>
  <c r="CB6" i="1"/>
  <c r="CB5" i="1"/>
  <c r="CC4" i="1"/>
  <c r="CB3" i="1"/>
  <c r="AP3" i="2" s="1"/>
  <c r="CB42" i="1"/>
  <c r="CB43" i="1"/>
  <c r="CB52" i="1"/>
  <c r="CB56" i="1"/>
  <c r="CB108" i="1"/>
  <c r="CB135" i="1"/>
  <c r="CB180" i="1"/>
  <c r="CB208" i="1"/>
  <c r="CB181" i="1"/>
  <c r="CB186" i="1"/>
  <c r="CB192" i="1"/>
  <c r="CB198" i="1"/>
  <c r="CB136" i="1"/>
  <c r="CB109" i="1"/>
  <c r="CB82" i="1"/>
  <c r="CB78" i="1"/>
  <c r="CB215" i="1"/>
  <c r="CB193" i="1"/>
  <c r="CB199" i="1"/>
  <c r="CB233" i="1"/>
  <c r="CB34" i="1"/>
  <c r="CB46" i="1"/>
  <c r="CB55" i="1"/>
  <c r="CB122" i="1"/>
  <c r="CB59" i="1"/>
  <c r="CB125" i="1"/>
  <c r="CB137" i="1"/>
  <c r="CB158" i="1"/>
  <c r="CB182" i="1"/>
  <c r="CB213" i="1"/>
  <c r="CB209" i="1"/>
  <c r="CB214" i="1"/>
  <c r="CB217" i="1"/>
  <c r="CB220" i="1"/>
  <c r="CB159" i="1"/>
  <c r="CB218" i="1"/>
  <c r="CB252" i="1"/>
  <c r="CB35" i="1"/>
  <c r="CB76" i="1"/>
  <c r="CB36" i="1"/>
  <c r="CB47" i="1"/>
  <c r="CB67" i="1"/>
  <c r="CB80" i="1"/>
  <c r="CB141" i="1"/>
  <c r="CB157" i="1"/>
  <c r="CB188" i="1"/>
  <c r="CB183" i="1"/>
  <c r="CB204" i="1"/>
  <c r="CB216" i="1"/>
  <c r="CB142" i="1"/>
  <c r="CB110" i="1"/>
  <c r="CB221" i="1"/>
  <c r="CB187" i="1"/>
  <c r="CB37" i="1"/>
  <c r="CB97" i="1"/>
  <c r="CB38" i="1"/>
  <c r="CB68" i="1"/>
  <c r="CB70" i="1"/>
  <c r="CB83" i="1"/>
  <c r="CB94" i="1"/>
  <c r="CB164" i="1"/>
  <c r="CB143" i="1"/>
  <c r="CB160" i="1"/>
  <c r="CB194" i="1"/>
  <c r="CB189" i="1"/>
  <c r="CB226" i="1"/>
  <c r="CB219" i="1"/>
  <c r="CB165" i="1"/>
  <c r="CB285" i="1"/>
  <c r="CB263" i="1"/>
  <c r="CB210" i="1"/>
  <c r="CB39" i="1"/>
  <c r="CB231" i="1"/>
  <c r="CB44" i="1"/>
  <c r="CB71" i="1"/>
  <c r="CB96" i="1"/>
  <c r="CB230" i="1"/>
  <c r="CB144" i="1"/>
  <c r="CB166" i="1"/>
  <c r="CB200" i="1"/>
  <c r="CB113" i="1"/>
  <c r="CB222" i="1"/>
  <c r="CB145" i="1"/>
  <c r="CB138" i="1"/>
  <c r="CB286" i="1"/>
  <c r="CB289" i="1"/>
  <c r="CB79" i="1"/>
  <c r="CB274" i="1"/>
  <c r="CB211" i="1"/>
  <c r="CB48" i="1"/>
  <c r="CB40" i="1"/>
  <c r="CB242" i="1"/>
  <c r="CB45" i="1"/>
  <c r="CB53" i="1"/>
  <c r="CB72" i="1"/>
  <c r="CB232" i="1"/>
  <c r="CB241" i="1"/>
  <c r="CB167" i="1"/>
  <c r="CB146" i="1"/>
  <c r="CB177" i="1"/>
  <c r="CB168" i="1"/>
  <c r="CB139" i="1"/>
  <c r="CB161" i="1"/>
  <c r="CB124" i="1"/>
  <c r="CB84" i="1"/>
  <c r="CB69" i="1"/>
  <c r="CB195" i="1"/>
  <c r="CB237" i="1"/>
  <c r="CB201" i="1"/>
  <c r="CB49" i="1"/>
  <c r="CB57" i="1"/>
  <c r="CB74" i="1"/>
  <c r="CB253" i="1"/>
  <c r="CB243" i="1"/>
  <c r="CB147" i="1"/>
  <c r="CB169" i="1"/>
  <c r="CB207" i="1"/>
  <c r="CB148" i="1"/>
  <c r="CB162" i="1"/>
  <c r="CB127" i="1"/>
  <c r="CB287" i="1"/>
  <c r="CB85" i="1"/>
  <c r="CB99" i="1"/>
  <c r="CB73" i="1"/>
  <c r="CB63" i="1"/>
  <c r="CB50" i="1"/>
  <c r="CB294" i="1"/>
  <c r="CB117" i="1"/>
  <c r="CB295" i="1"/>
  <c r="CB264" i="1"/>
  <c r="CB254" i="1"/>
  <c r="CB244" i="1"/>
  <c r="CB170" i="1"/>
  <c r="CB149" i="1"/>
  <c r="CB171" i="1"/>
  <c r="CB128" i="1"/>
  <c r="CB118" i="1"/>
  <c r="CB234" i="1"/>
  <c r="CB60" i="1"/>
  <c r="CB131" i="1"/>
  <c r="CB91" i="1"/>
  <c r="CB65" i="1"/>
  <c r="CB275" i="1"/>
  <c r="CB265" i="1"/>
  <c r="CB255" i="1"/>
  <c r="CB245" i="1"/>
  <c r="CB153" i="1"/>
  <c r="CB172" i="1"/>
  <c r="CB150" i="1"/>
  <c r="CB101" i="1"/>
  <c r="CB129" i="1"/>
  <c r="CB288" i="1"/>
  <c r="CB61" i="1"/>
  <c r="CB87" i="1"/>
  <c r="CB291" i="1"/>
  <c r="CB89" i="1"/>
  <c r="CB248" i="1"/>
  <c r="CB276" i="1"/>
  <c r="CB266" i="1"/>
  <c r="CB111" i="1"/>
  <c r="CB246" i="1"/>
  <c r="CB176" i="1"/>
  <c r="CB151" i="1"/>
  <c r="CB184" i="1"/>
  <c r="CB119" i="1"/>
  <c r="CB173" i="1"/>
  <c r="CB290" i="1"/>
  <c r="CB223" i="1"/>
  <c r="CB103" i="1"/>
  <c r="CB105" i="1"/>
  <c r="CB259" i="1"/>
  <c r="CB277" i="1"/>
  <c r="CB293" i="1"/>
  <c r="CB120" i="1"/>
  <c r="CB92" i="1"/>
  <c r="CB174" i="1"/>
  <c r="CB256" i="1"/>
  <c r="CB292" i="1"/>
  <c r="CB66" i="1"/>
  <c r="CB133" i="1"/>
  <c r="CB270" i="1"/>
  <c r="CB278" i="1"/>
  <c r="CB190" i="1"/>
  <c r="CB121" i="1"/>
  <c r="CB100" i="1"/>
  <c r="CB267" i="1"/>
  <c r="CB257" i="1"/>
  <c r="CB116" i="1"/>
  <c r="CB115" i="1"/>
  <c r="CB281" i="1"/>
  <c r="CB51" i="1"/>
  <c r="CB224" i="1"/>
  <c r="CB196" i="1"/>
  <c r="CB235" i="1"/>
  <c r="CB247" i="1"/>
  <c r="CB152" i="1"/>
  <c r="CB130" i="1"/>
  <c r="CB229" i="1"/>
  <c r="CB155" i="1"/>
  <c r="CB90" i="1"/>
  <c r="CB112" i="1"/>
  <c r="CB279" i="1"/>
  <c r="CB163" i="1"/>
  <c r="CB202" i="1"/>
  <c r="CB249" i="1"/>
  <c r="CB185" i="1"/>
  <c r="CB262" i="1"/>
  <c r="CB178" i="1"/>
  <c r="CB273" i="1"/>
  <c r="CB175" i="1"/>
  <c r="CB75" i="1"/>
  <c r="CB296" i="1"/>
  <c r="CB268" i="1"/>
  <c r="CB93" i="1"/>
  <c r="CB102" i="1"/>
  <c r="CB106" i="1"/>
  <c r="CB212" i="1"/>
  <c r="CB206" i="1"/>
  <c r="CB284" i="1"/>
  <c r="CB191" i="1"/>
  <c r="CB86" i="1"/>
  <c r="CB62" i="1"/>
  <c r="CB269" i="1"/>
  <c r="CB134" i="1"/>
  <c r="CB228" i="1"/>
  <c r="CB280" i="1"/>
  <c r="CB236" i="1"/>
  <c r="CB225" i="1"/>
  <c r="CB140" i="1"/>
  <c r="CB156" i="1"/>
  <c r="CB239" i="1"/>
  <c r="CB179" i="1"/>
  <c r="CB203" i="1"/>
  <c r="CB258" i="1"/>
  <c r="CB197" i="1"/>
  <c r="CB240" i="1"/>
  <c r="CB250" i="1"/>
  <c r="CB205" i="1"/>
  <c r="CB114" i="1"/>
  <c r="CB88" i="1"/>
  <c r="CB251" i="1"/>
  <c r="AQ4" i="2" l="1"/>
  <c r="CC305" i="1"/>
  <c r="CC304" i="1"/>
  <c r="CC303" i="1"/>
  <c r="CC302" i="1"/>
  <c r="CC301" i="1"/>
  <c r="CC300" i="1"/>
  <c r="CC299" i="1"/>
  <c r="CC298" i="1"/>
  <c r="CC297" i="1"/>
  <c r="CC126" i="1"/>
  <c r="CC123" i="1"/>
  <c r="CC107" i="1"/>
  <c r="CC98" i="1"/>
  <c r="CC95" i="1"/>
  <c r="CC81" i="1"/>
  <c r="CC77" i="1"/>
  <c r="CC58" i="1"/>
  <c r="CC54" i="1"/>
  <c r="CC41" i="1"/>
  <c r="CC33" i="1"/>
  <c r="CC32" i="1"/>
  <c r="CC31" i="1"/>
  <c r="CC30" i="1"/>
  <c r="CC29" i="1"/>
  <c r="CC28" i="1"/>
  <c r="CC27" i="1"/>
  <c r="CC26" i="1"/>
  <c r="CC25" i="1"/>
  <c r="CC24" i="1"/>
  <c r="CC23" i="1"/>
  <c r="CC22" i="1"/>
  <c r="CC21" i="1"/>
  <c r="CC20" i="1"/>
  <c r="CC19" i="1"/>
  <c r="CC18" i="1"/>
  <c r="CC17" i="1"/>
  <c r="CC16" i="1"/>
  <c r="CC15" i="1"/>
  <c r="CC14" i="1"/>
  <c r="CC13" i="1"/>
  <c r="CC12" i="1"/>
  <c r="CC11" i="1"/>
  <c r="CC10" i="1"/>
  <c r="CC9" i="1"/>
  <c r="CC8" i="1"/>
  <c r="CC7" i="1"/>
  <c r="CC6" i="1"/>
  <c r="CC5" i="1"/>
  <c r="CD4" i="1"/>
  <c r="CC3" i="1"/>
  <c r="AQ3" i="2" s="1"/>
  <c r="CC42" i="1"/>
  <c r="CC43" i="1"/>
  <c r="CC52" i="1"/>
  <c r="CC56" i="1"/>
  <c r="CC108" i="1"/>
  <c r="CC135" i="1"/>
  <c r="CC180" i="1"/>
  <c r="CC208" i="1"/>
  <c r="CC181" i="1"/>
  <c r="CC186" i="1"/>
  <c r="CC192" i="1"/>
  <c r="CC198" i="1"/>
  <c r="CC136" i="1"/>
  <c r="CC109" i="1"/>
  <c r="CC82" i="1"/>
  <c r="CC78" i="1"/>
  <c r="CC215" i="1"/>
  <c r="CC193" i="1"/>
  <c r="CC199" i="1"/>
  <c r="CC233" i="1"/>
  <c r="CC34" i="1"/>
  <c r="CC46" i="1"/>
  <c r="CC55" i="1"/>
  <c r="CC122" i="1"/>
  <c r="CC59" i="1"/>
  <c r="CC125" i="1"/>
  <c r="CC137" i="1"/>
  <c r="CC158" i="1"/>
  <c r="CC182" i="1"/>
  <c r="CC213" i="1"/>
  <c r="CC209" i="1"/>
  <c r="CC214" i="1"/>
  <c r="CC217" i="1"/>
  <c r="CC220" i="1"/>
  <c r="CC159" i="1"/>
  <c r="CC218" i="1"/>
  <c r="CC252" i="1"/>
  <c r="CC35" i="1"/>
  <c r="CC76" i="1"/>
  <c r="CC36" i="1"/>
  <c r="CC47" i="1"/>
  <c r="CC67" i="1"/>
  <c r="CC80" i="1"/>
  <c r="CC141" i="1"/>
  <c r="CC157" i="1"/>
  <c r="CC188" i="1"/>
  <c r="CC183" i="1"/>
  <c r="CC204" i="1"/>
  <c r="CC216" i="1"/>
  <c r="CC142" i="1"/>
  <c r="CC110" i="1"/>
  <c r="CC221" i="1"/>
  <c r="CC187" i="1"/>
  <c r="CC37" i="1"/>
  <c r="CC97" i="1"/>
  <c r="CC38" i="1"/>
  <c r="CC68" i="1"/>
  <c r="CC70" i="1"/>
  <c r="CC83" i="1"/>
  <c r="CC94" i="1"/>
  <c r="CC164" i="1"/>
  <c r="CC143" i="1"/>
  <c r="CC160" i="1"/>
  <c r="CC194" i="1"/>
  <c r="CC189" i="1"/>
  <c r="CC226" i="1"/>
  <c r="CC219" i="1"/>
  <c r="CC165" i="1"/>
  <c r="CC285" i="1"/>
  <c r="CC263" i="1"/>
  <c r="CC210" i="1"/>
  <c r="CC39" i="1"/>
  <c r="CC231" i="1"/>
  <c r="CC44" i="1"/>
  <c r="CC71" i="1"/>
  <c r="CC96" i="1"/>
  <c r="CC230" i="1"/>
  <c r="CC144" i="1"/>
  <c r="CC166" i="1"/>
  <c r="CC200" i="1"/>
  <c r="CC113" i="1"/>
  <c r="CC222" i="1"/>
  <c r="CC145" i="1"/>
  <c r="CC138" i="1"/>
  <c r="CC286" i="1"/>
  <c r="CC289" i="1"/>
  <c r="CC79" i="1"/>
  <c r="CC274" i="1"/>
  <c r="CC211" i="1"/>
  <c r="CC48" i="1"/>
  <c r="CC40" i="1"/>
  <c r="CC242" i="1"/>
  <c r="CC45" i="1"/>
  <c r="CC53" i="1"/>
  <c r="CC72" i="1"/>
  <c r="CC232" i="1"/>
  <c r="CC241" i="1"/>
  <c r="CC167" i="1"/>
  <c r="CC146" i="1"/>
  <c r="CC177" i="1"/>
  <c r="CC168" i="1"/>
  <c r="CC139" i="1"/>
  <c r="CC161" i="1"/>
  <c r="CC124" i="1"/>
  <c r="CC84" i="1"/>
  <c r="CC69" i="1"/>
  <c r="CC195" i="1"/>
  <c r="CC237" i="1"/>
  <c r="CC201" i="1"/>
  <c r="CC49" i="1"/>
  <c r="CC57" i="1"/>
  <c r="CC74" i="1"/>
  <c r="CC253" i="1"/>
  <c r="CC243" i="1"/>
  <c r="CC147" i="1"/>
  <c r="CC169" i="1"/>
  <c r="CC207" i="1"/>
  <c r="CC148" i="1"/>
  <c r="CC162" i="1"/>
  <c r="CC127" i="1"/>
  <c r="CC287" i="1"/>
  <c r="CC85" i="1"/>
  <c r="CC99" i="1"/>
  <c r="CC73" i="1"/>
  <c r="CC63" i="1"/>
  <c r="CC50" i="1"/>
  <c r="CC294" i="1"/>
  <c r="CC117" i="1"/>
  <c r="CC295" i="1"/>
  <c r="CC264" i="1"/>
  <c r="CC254" i="1"/>
  <c r="CC244" i="1"/>
  <c r="CC170" i="1"/>
  <c r="CC149" i="1"/>
  <c r="CC171" i="1"/>
  <c r="CC128" i="1"/>
  <c r="CC118" i="1"/>
  <c r="CC234" i="1"/>
  <c r="CC60" i="1"/>
  <c r="CC131" i="1"/>
  <c r="CC91" i="1"/>
  <c r="CC65" i="1"/>
  <c r="CC275" i="1"/>
  <c r="CC265" i="1"/>
  <c r="CC255" i="1"/>
  <c r="CC245" i="1"/>
  <c r="CC153" i="1"/>
  <c r="CC172" i="1"/>
  <c r="CC150" i="1"/>
  <c r="CC101" i="1"/>
  <c r="CC129" i="1"/>
  <c r="CC288" i="1"/>
  <c r="CC61" i="1"/>
  <c r="CC87" i="1"/>
  <c r="CC291" i="1"/>
  <c r="CC89" i="1"/>
  <c r="CC248" i="1"/>
  <c r="CC276" i="1"/>
  <c r="CC266" i="1"/>
  <c r="CC111" i="1"/>
  <c r="CC246" i="1"/>
  <c r="CC176" i="1"/>
  <c r="CC151" i="1"/>
  <c r="CC184" i="1"/>
  <c r="CC119" i="1"/>
  <c r="CC173" i="1"/>
  <c r="CC290" i="1"/>
  <c r="CC223" i="1"/>
  <c r="CC103" i="1"/>
  <c r="CC105" i="1"/>
  <c r="CC259" i="1"/>
  <c r="CC277" i="1"/>
  <c r="CC293" i="1"/>
  <c r="CC120" i="1"/>
  <c r="CC92" i="1"/>
  <c r="CC174" i="1"/>
  <c r="CC256" i="1"/>
  <c r="CC292" i="1"/>
  <c r="CC66" i="1"/>
  <c r="CC133" i="1"/>
  <c r="CC270" i="1"/>
  <c r="CC278" i="1"/>
  <c r="CC190" i="1"/>
  <c r="CC121" i="1"/>
  <c r="CC100" i="1"/>
  <c r="CC267" i="1"/>
  <c r="CC257" i="1"/>
  <c r="CC116" i="1"/>
  <c r="CC115" i="1"/>
  <c r="CC281" i="1"/>
  <c r="CC51" i="1"/>
  <c r="CC224" i="1"/>
  <c r="CC196" i="1"/>
  <c r="CC235" i="1"/>
  <c r="CC247" i="1"/>
  <c r="CC152" i="1"/>
  <c r="CC130" i="1"/>
  <c r="CC229" i="1"/>
  <c r="CC155" i="1"/>
  <c r="CC90" i="1"/>
  <c r="CC112" i="1"/>
  <c r="CC279" i="1"/>
  <c r="CC163" i="1"/>
  <c r="CC202" i="1"/>
  <c r="CC249" i="1"/>
  <c r="CC185" i="1"/>
  <c r="CC262" i="1"/>
  <c r="CC178" i="1"/>
  <c r="CC273" i="1"/>
  <c r="CC175" i="1"/>
  <c r="CC75" i="1"/>
  <c r="CC296" i="1"/>
  <c r="CC268" i="1"/>
  <c r="CC93" i="1"/>
  <c r="CC102" i="1"/>
  <c r="CC106" i="1"/>
  <c r="CC212" i="1"/>
  <c r="CC206" i="1"/>
  <c r="CC284" i="1"/>
  <c r="CC191" i="1"/>
  <c r="CC86" i="1"/>
  <c r="CC62" i="1"/>
  <c r="CC269" i="1"/>
  <c r="CC134" i="1"/>
  <c r="CC228" i="1"/>
  <c r="CC280" i="1"/>
  <c r="CC236" i="1"/>
  <c r="CC225" i="1"/>
  <c r="CC140" i="1"/>
  <c r="CC156" i="1"/>
  <c r="CC239" i="1"/>
  <c r="CC179" i="1"/>
  <c r="CC203" i="1"/>
  <c r="CC258" i="1"/>
  <c r="CC197" i="1"/>
  <c r="CC240" i="1"/>
  <c r="CC250" i="1"/>
  <c r="CC205" i="1"/>
  <c r="CC114" i="1"/>
  <c r="CC88" i="1"/>
  <c r="CC251" i="1"/>
  <c r="CC261" i="1"/>
  <c r="CC227" i="1"/>
  <c r="CC271" i="1"/>
  <c r="CC238" i="1"/>
  <c r="CD272" i="1"/>
  <c r="CC272" i="1"/>
  <c r="CB272" i="1"/>
  <c r="CA272" i="1"/>
  <c r="BZ272" i="1"/>
  <c r="BY272" i="1"/>
  <c r="BX272" i="1"/>
  <c r="BW272" i="1"/>
  <c r="BV272" i="1"/>
  <c r="BU272" i="1"/>
  <c r="BT272" i="1"/>
  <c r="BS272" i="1"/>
  <c r="BR272" i="1"/>
  <c r="BQ272" i="1"/>
  <c r="BP272" i="1"/>
  <c r="BO272" i="1"/>
  <c r="BN272" i="1"/>
  <c r="BM272" i="1"/>
  <c r="BL272" i="1"/>
  <c r="BK272" i="1"/>
  <c r="BJ272" i="1"/>
  <c r="BI272" i="1"/>
  <c r="BH272" i="1"/>
  <c r="BG272" i="1"/>
  <c r="BF272" i="1"/>
  <c r="BE272" i="1"/>
  <c r="BD272" i="1"/>
  <c r="BC272" i="1"/>
  <c r="BB272" i="1"/>
  <c r="BA272" i="1"/>
  <c r="AZ272" i="1"/>
  <c r="AY272" i="1"/>
  <c r="AX272" i="1"/>
  <c r="AW272" i="1"/>
  <c r="AV272" i="1"/>
  <c r="AU272" i="1"/>
  <c r="AT272" i="1"/>
  <c r="AS272" i="1"/>
  <c r="AR272" i="1"/>
  <c r="AQ272" i="1"/>
  <c r="AP272" i="1"/>
  <c r="AO272" i="1"/>
  <c r="J272" i="1"/>
  <c r="I154" i="1"/>
  <c r="O238" i="1"/>
  <c r="I282" i="1"/>
  <c r="O271" i="1"/>
  <c r="I64" i="1"/>
  <c r="O227" i="1"/>
  <c r="CD64" i="1" l="1"/>
  <c r="CC64" i="1"/>
  <c r="CB64" i="1"/>
  <c r="CA64" i="1"/>
  <c r="BZ64" i="1"/>
  <c r="BY64" i="1"/>
  <c r="BX64" i="1"/>
  <c r="BW64" i="1"/>
  <c r="BV64" i="1"/>
  <c r="BU64" i="1"/>
  <c r="BT64" i="1"/>
  <c r="BS64" i="1"/>
  <c r="BR64" i="1"/>
  <c r="BQ64" i="1"/>
  <c r="BP64" i="1"/>
  <c r="BO64" i="1"/>
  <c r="BN64" i="1"/>
  <c r="BM64" i="1"/>
  <c r="BL64" i="1"/>
  <c r="BK64" i="1"/>
  <c r="BJ64" i="1"/>
  <c r="BI64" i="1"/>
  <c r="BH64" i="1"/>
  <c r="BG64" i="1"/>
  <c r="BF64" i="1"/>
  <c r="BE64" i="1"/>
  <c r="BD64" i="1"/>
  <c r="BC64" i="1"/>
  <c r="BB64" i="1"/>
  <c r="BA64" i="1"/>
  <c r="AZ64" i="1"/>
  <c r="AY64" i="1"/>
  <c r="AX64" i="1"/>
  <c r="AW64" i="1"/>
  <c r="AV64" i="1"/>
  <c r="AU64" i="1"/>
  <c r="AT64" i="1"/>
  <c r="AS64" i="1"/>
  <c r="AR64" i="1"/>
  <c r="AQ64" i="1"/>
  <c r="AP64" i="1"/>
  <c r="AO64" i="1"/>
  <c r="J64" i="1"/>
  <c r="CD282" i="1"/>
  <c r="CC282" i="1"/>
  <c r="CB282" i="1"/>
  <c r="CA282" i="1"/>
  <c r="BZ282" i="1"/>
  <c r="BY282" i="1"/>
  <c r="BX282" i="1"/>
  <c r="BW282" i="1"/>
  <c r="BV282" i="1"/>
  <c r="BU282" i="1"/>
  <c r="BT282" i="1"/>
  <c r="BS282" i="1"/>
  <c r="BR282" i="1"/>
  <c r="BQ282" i="1"/>
  <c r="BP282" i="1"/>
  <c r="BO282" i="1"/>
  <c r="BN282" i="1"/>
  <c r="BM282" i="1"/>
  <c r="BL282" i="1"/>
  <c r="BK282" i="1"/>
  <c r="BJ282" i="1"/>
  <c r="BI282" i="1"/>
  <c r="BH282" i="1"/>
  <c r="BG282" i="1"/>
  <c r="BF282" i="1"/>
  <c r="BE282" i="1"/>
  <c r="BD282" i="1"/>
  <c r="BC282" i="1"/>
  <c r="BB282" i="1"/>
  <c r="BA282" i="1"/>
  <c r="AZ282" i="1"/>
  <c r="AY282" i="1"/>
  <c r="AX282" i="1"/>
  <c r="AW282" i="1"/>
  <c r="AV282" i="1"/>
  <c r="AU282" i="1"/>
  <c r="AT282" i="1"/>
  <c r="AS282" i="1"/>
  <c r="AR282" i="1"/>
  <c r="AQ282" i="1"/>
  <c r="AP282" i="1"/>
  <c r="AO282" i="1"/>
  <c r="J282" i="1"/>
  <c r="O282" i="1" s="1"/>
  <c r="CD154" i="1"/>
  <c r="CC154" i="1"/>
  <c r="CB154" i="1"/>
  <c r="CA154" i="1"/>
  <c r="BZ154" i="1"/>
  <c r="BY154" i="1"/>
  <c r="BX154" i="1"/>
  <c r="BW154" i="1"/>
  <c r="BV154" i="1"/>
  <c r="BU154" i="1"/>
  <c r="BT154" i="1"/>
  <c r="BS154" i="1"/>
  <c r="BR154" i="1"/>
  <c r="BQ154" i="1"/>
  <c r="BP154" i="1"/>
  <c r="BO154" i="1"/>
  <c r="BN154" i="1"/>
  <c r="BM154" i="1"/>
  <c r="BL154" i="1"/>
  <c r="BK154" i="1"/>
  <c r="BJ154" i="1"/>
  <c r="BI154" i="1"/>
  <c r="BH154" i="1"/>
  <c r="BG154" i="1"/>
  <c r="BF154" i="1"/>
  <c r="BE154" i="1"/>
  <c r="BD154" i="1"/>
  <c r="BC154" i="1"/>
  <c r="BB154" i="1"/>
  <c r="BA154" i="1"/>
  <c r="AZ154" i="1"/>
  <c r="AY154" i="1"/>
  <c r="AX154" i="1"/>
  <c r="AW154" i="1"/>
  <c r="AV154" i="1"/>
  <c r="AU154" i="1"/>
  <c r="AT154" i="1"/>
  <c r="AS154" i="1"/>
  <c r="AR154" i="1"/>
  <c r="AQ154" i="1"/>
  <c r="AP154" i="1"/>
  <c r="AO154" i="1"/>
  <c r="J154" i="1"/>
  <c r="I283" i="1"/>
  <c r="O272" i="1"/>
  <c r="AR4" i="2"/>
  <c r="CD305" i="1"/>
  <c r="CD304" i="1"/>
  <c r="CD303" i="1"/>
  <c r="CD302" i="1"/>
  <c r="CD301" i="1"/>
  <c r="CD300" i="1"/>
  <c r="CD299" i="1"/>
  <c r="CD298" i="1"/>
  <c r="CD297" i="1"/>
  <c r="CD126" i="1"/>
  <c r="CD123" i="1"/>
  <c r="CD107" i="1"/>
  <c r="CD98" i="1"/>
  <c r="CD95" i="1"/>
  <c r="CD81" i="1"/>
  <c r="CD77" i="1"/>
  <c r="CD58" i="1"/>
  <c r="CD54" i="1"/>
  <c r="CD41" i="1"/>
  <c r="CD33" i="1"/>
  <c r="CD32" i="1"/>
  <c r="CD31" i="1"/>
  <c r="CD30" i="1"/>
  <c r="CD29" i="1"/>
  <c r="CD28" i="1"/>
  <c r="CD27" i="1"/>
  <c r="CD26" i="1"/>
  <c r="CD25" i="1"/>
  <c r="CD24" i="1"/>
  <c r="CD23" i="1"/>
  <c r="CD22" i="1"/>
  <c r="CD21" i="1"/>
  <c r="CD20" i="1"/>
  <c r="CD19" i="1"/>
  <c r="CD18" i="1"/>
  <c r="CD17" i="1"/>
  <c r="CD16" i="1"/>
  <c r="CD15" i="1"/>
  <c r="CD14" i="1"/>
  <c r="CD13" i="1"/>
  <c r="CD12" i="1"/>
  <c r="CD11" i="1"/>
  <c r="CD10" i="1"/>
  <c r="CD9" i="1"/>
  <c r="CD8" i="1"/>
  <c r="CD7" i="1"/>
  <c r="CD6" i="1"/>
  <c r="CD5" i="1"/>
  <c r="CE4" i="1"/>
  <c r="CD3" i="1"/>
  <c r="AR3" i="2" s="1"/>
  <c r="CD42" i="1"/>
  <c r="CD43" i="1"/>
  <c r="CD52" i="1"/>
  <c r="CD56" i="1"/>
  <c r="CD108" i="1"/>
  <c r="CD135" i="1"/>
  <c r="CD180" i="1"/>
  <c r="CD208" i="1"/>
  <c r="CD181" i="1"/>
  <c r="CD186" i="1"/>
  <c r="CD192" i="1"/>
  <c r="CD198" i="1"/>
  <c r="CD136" i="1"/>
  <c r="CD109" i="1"/>
  <c r="CD82" i="1"/>
  <c r="CD78" i="1"/>
  <c r="CD215" i="1"/>
  <c r="CD193" i="1"/>
  <c r="CD199" i="1"/>
  <c r="CD233" i="1"/>
  <c r="CD34" i="1"/>
  <c r="CD46" i="1"/>
  <c r="CD55" i="1"/>
  <c r="CD122" i="1"/>
  <c r="CD59" i="1"/>
  <c r="CD125" i="1"/>
  <c r="CD137" i="1"/>
  <c r="CD158" i="1"/>
  <c r="CD182" i="1"/>
  <c r="CD213" i="1"/>
  <c r="CD209" i="1"/>
  <c r="CD214" i="1"/>
  <c r="CD217" i="1"/>
  <c r="CD220" i="1"/>
  <c r="CD159" i="1"/>
  <c r="CD218" i="1"/>
  <c r="CD252" i="1"/>
  <c r="CD35" i="1"/>
  <c r="CD76" i="1"/>
  <c r="CD36" i="1"/>
  <c r="CD47" i="1"/>
  <c r="CD67" i="1"/>
  <c r="CD80" i="1"/>
  <c r="CD141" i="1"/>
  <c r="CD157" i="1"/>
  <c r="CD188" i="1"/>
  <c r="CD183" i="1"/>
  <c r="CD204" i="1"/>
  <c r="CD216" i="1"/>
  <c r="CD142" i="1"/>
  <c r="CD110" i="1"/>
  <c r="CD221" i="1"/>
  <c r="CD187" i="1"/>
  <c r="CD37" i="1"/>
  <c r="CD97" i="1"/>
  <c r="CD38" i="1"/>
  <c r="CD68" i="1"/>
  <c r="CD70" i="1"/>
  <c r="CD83" i="1"/>
  <c r="CD94" i="1"/>
  <c r="CD164" i="1"/>
  <c r="CD143" i="1"/>
  <c r="CD160" i="1"/>
  <c r="CD194" i="1"/>
  <c r="CD189" i="1"/>
  <c r="CD226" i="1"/>
  <c r="CD219" i="1"/>
  <c r="CD165" i="1"/>
  <c r="CD285" i="1"/>
  <c r="CD263" i="1"/>
  <c r="CD210" i="1"/>
  <c r="CD39" i="1"/>
  <c r="CD231" i="1"/>
  <c r="CD44" i="1"/>
  <c r="CD71" i="1"/>
  <c r="CD96" i="1"/>
  <c r="CD230" i="1"/>
  <c r="CD144" i="1"/>
  <c r="CD166" i="1"/>
  <c r="CD200" i="1"/>
  <c r="CD113" i="1"/>
  <c r="CD222" i="1"/>
  <c r="CD145" i="1"/>
  <c r="CD138" i="1"/>
  <c r="CD286" i="1"/>
  <c r="CD289" i="1"/>
  <c r="CD79" i="1"/>
  <c r="CD274" i="1"/>
  <c r="CD211" i="1"/>
  <c r="CD48" i="1"/>
  <c r="CD40" i="1"/>
  <c r="CD242" i="1"/>
  <c r="CD45" i="1"/>
  <c r="CD53" i="1"/>
  <c r="CD72" i="1"/>
  <c r="CD232" i="1"/>
  <c r="CD241" i="1"/>
  <c r="CD167" i="1"/>
  <c r="CD146" i="1"/>
  <c r="CD177" i="1"/>
  <c r="CD168" i="1"/>
  <c r="CD139" i="1"/>
  <c r="CD161" i="1"/>
  <c r="CD124" i="1"/>
  <c r="CD84" i="1"/>
  <c r="CD69" i="1"/>
  <c r="CD195" i="1"/>
  <c r="CD237" i="1"/>
  <c r="CD201" i="1"/>
  <c r="CD49" i="1"/>
  <c r="CD57" i="1"/>
  <c r="CD74" i="1"/>
  <c r="CD253" i="1"/>
  <c r="CD243" i="1"/>
  <c r="CD147" i="1"/>
  <c r="CD169" i="1"/>
  <c r="CD207" i="1"/>
  <c r="CD148" i="1"/>
  <c r="CD162" i="1"/>
  <c r="CD127" i="1"/>
  <c r="CD287" i="1"/>
  <c r="CD85" i="1"/>
  <c r="CD99" i="1"/>
  <c r="CD73" i="1"/>
  <c r="CD63" i="1"/>
  <c r="CD50" i="1"/>
  <c r="CD294" i="1"/>
  <c r="CD117" i="1"/>
  <c r="CD295" i="1"/>
  <c r="CD264" i="1"/>
  <c r="CD254" i="1"/>
  <c r="CD244" i="1"/>
  <c r="CD170" i="1"/>
  <c r="CD149" i="1"/>
  <c r="CD171" i="1"/>
  <c r="CD128" i="1"/>
  <c r="CD118" i="1"/>
  <c r="CD234" i="1"/>
  <c r="CD60" i="1"/>
  <c r="CD131" i="1"/>
  <c r="CD91" i="1"/>
  <c r="CD65" i="1"/>
  <c r="CD275" i="1"/>
  <c r="CD265" i="1"/>
  <c r="CD255" i="1"/>
  <c r="CD245" i="1"/>
  <c r="CD153" i="1"/>
  <c r="CD172" i="1"/>
  <c r="CD150" i="1"/>
  <c r="CD101" i="1"/>
  <c r="CD129" i="1"/>
  <c r="CD288" i="1"/>
  <c r="CD61" i="1"/>
  <c r="CD87" i="1"/>
  <c r="CD291" i="1"/>
  <c r="CD89" i="1"/>
  <c r="CD248" i="1"/>
  <c r="CD276" i="1"/>
  <c r="CD266" i="1"/>
  <c r="CD111" i="1"/>
  <c r="CD246" i="1"/>
  <c r="CD176" i="1"/>
  <c r="CD151" i="1"/>
  <c r="CD184" i="1"/>
  <c r="CD119" i="1"/>
  <c r="CD173" i="1"/>
  <c r="CD290" i="1"/>
  <c r="CD223" i="1"/>
  <c r="CD103" i="1"/>
  <c r="CD105" i="1"/>
  <c r="CD259" i="1"/>
  <c r="CD277" i="1"/>
  <c r="CD293" i="1"/>
  <c r="CD120" i="1"/>
  <c r="CD92" i="1"/>
  <c r="CD174" i="1"/>
  <c r="CD256" i="1"/>
  <c r="CD292" i="1"/>
  <c r="CD66" i="1"/>
  <c r="CD133" i="1"/>
  <c r="CD270" i="1"/>
  <c r="CD278" i="1"/>
  <c r="CD190" i="1"/>
  <c r="CD121" i="1"/>
  <c r="CD100" i="1"/>
  <c r="CD267" i="1"/>
  <c r="CD257" i="1"/>
  <c r="CD116" i="1"/>
  <c r="CD115" i="1"/>
  <c r="CD281" i="1"/>
  <c r="CD51" i="1"/>
  <c r="CD224" i="1"/>
  <c r="CD196" i="1"/>
  <c r="CD235" i="1"/>
  <c r="CD247" i="1"/>
  <c r="CD152" i="1"/>
  <c r="CD130" i="1"/>
  <c r="CD229" i="1"/>
  <c r="CD155" i="1"/>
  <c r="CD90" i="1"/>
  <c r="CD112" i="1"/>
  <c r="CD279" i="1"/>
  <c r="CD163" i="1"/>
  <c r="CD202" i="1"/>
  <c r="CD249" i="1"/>
  <c r="CD185" i="1"/>
  <c r="CD262" i="1"/>
  <c r="CD178" i="1"/>
  <c r="CD273" i="1"/>
  <c r="CD175" i="1"/>
  <c r="CD75" i="1"/>
  <c r="CD296" i="1"/>
  <c r="CD268" i="1"/>
  <c r="CD93" i="1"/>
  <c r="CD102" i="1"/>
  <c r="CD106" i="1"/>
  <c r="CD212" i="1"/>
  <c r="CD206" i="1"/>
  <c r="CD284" i="1"/>
  <c r="CD191" i="1"/>
  <c r="CD86" i="1"/>
  <c r="CD62" i="1"/>
  <c r="CD269" i="1"/>
  <c r="CD134" i="1"/>
  <c r="CD228" i="1"/>
  <c r="CD280" i="1"/>
  <c r="CD236" i="1"/>
  <c r="CD225" i="1"/>
  <c r="CD140" i="1"/>
  <c r="CD156" i="1"/>
  <c r="CD239" i="1"/>
  <c r="CD179" i="1"/>
  <c r="CD203" i="1"/>
  <c r="CD258" i="1"/>
  <c r="CD197" i="1"/>
  <c r="CD240" i="1"/>
  <c r="CD250" i="1"/>
  <c r="CD205" i="1"/>
  <c r="CD114" i="1"/>
  <c r="CD88" i="1"/>
  <c r="CD251" i="1"/>
  <c r="CD261" i="1"/>
  <c r="CD227" i="1"/>
  <c r="CD271" i="1"/>
  <c r="CD238" i="1"/>
  <c r="AS4" i="2" l="1"/>
  <c r="CE305" i="1"/>
  <c r="CE304" i="1"/>
  <c r="CE303" i="1"/>
  <c r="CE302" i="1"/>
  <c r="CE301" i="1"/>
  <c r="CE300" i="1"/>
  <c r="CE299" i="1"/>
  <c r="CE298" i="1"/>
  <c r="CE297" i="1"/>
  <c r="CE126" i="1"/>
  <c r="CE123" i="1"/>
  <c r="CE107" i="1"/>
  <c r="CE98" i="1"/>
  <c r="CE95" i="1"/>
  <c r="CE81" i="1"/>
  <c r="CE77" i="1"/>
  <c r="CE58" i="1"/>
  <c r="CE54" i="1"/>
  <c r="CE41" i="1"/>
  <c r="CE33" i="1"/>
  <c r="CE32" i="1"/>
  <c r="CE31" i="1"/>
  <c r="CE30" i="1"/>
  <c r="CE29" i="1"/>
  <c r="CE28" i="1"/>
  <c r="CE27" i="1"/>
  <c r="CE26" i="1"/>
  <c r="CE25" i="1"/>
  <c r="CE24" i="1"/>
  <c r="CE23" i="1"/>
  <c r="CE22" i="1"/>
  <c r="CE21" i="1"/>
  <c r="CE20" i="1"/>
  <c r="CE19" i="1"/>
  <c r="CE18" i="1"/>
  <c r="CE17" i="1"/>
  <c r="CE16" i="1"/>
  <c r="CE15" i="1"/>
  <c r="CE14" i="1"/>
  <c r="CE13" i="1"/>
  <c r="CE12" i="1"/>
  <c r="CE11" i="1"/>
  <c r="CE10" i="1"/>
  <c r="CE9" i="1"/>
  <c r="CE8" i="1"/>
  <c r="CE7" i="1"/>
  <c r="CE6" i="1"/>
  <c r="CE5" i="1"/>
  <c r="CF4" i="1"/>
  <c r="CE3" i="1"/>
  <c r="AS3" i="2" s="1"/>
  <c r="CE42" i="1"/>
  <c r="CE43" i="1"/>
  <c r="CE52" i="1"/>
  <c r="CE56" i="1"/>
  <c r="CE108" i="1"/>
  <c r="CE135" i="1"/>
  <c r="CE180" i="1"/>
  <c r="CE208" i="1"/>
  <c r="CE181" i="1"/>
  <c r="CE186" i="1"/>
  <c r="CE192" i="1"/>
  <c r="CE198" i="1"/>
  <c r="CE136" i="1"/>
  <c r="CE109" i="1"/>
  <c r="CE82" i="1"/>
  <c r="CE78" i="1"/>
  <c r="CE215" i="1"/>
  <c r="CE193" i="1"/>
  <c r="CE199" i="1"/>
  <c r="CE233" i="1"/>
  <c r="CE34" i="1"/>
  <c r="CE46" i="1"/>
  <c r="CE55" i="1"/>
  <c r="CE122" i="1"/>
  <c r="CE59" i="1"/>
  <c r="CE125" i="1"/>
  <c r="CE137" i="1"/>
  <c r="CE158" i="1"/>
  <c r="CE182" i="1"/>
  <c r="CE213" i="1"/>
  <c r="CE209" i="1"/>
  <c r="CE214" i="1"/>
  <c r="CE217" i="1"/>
  <c r="CE220" i="1"/>
  <c r="CE159" i="1"/>
  <c r="CE218" i="1"/>
  <c r="CE252" i="1"/>
  <c r="CE35" i="1"/>
  <c r="CE76" i="1"/>
  <c r="CE36" i="1"/>
  <c r="CE47" i="1"/>
  <c r="CE67" i="1"/>
  <c r="CE80" i="1"/>
  <c r="CE141" i="1"/>
  <c r="CE157" i="1"/>
  <c r="CE188" i="1"/>
  <c r="CE183" i="1"/>
  <c r="CE204" i="1"/>
  <c r="CE216" i="1"/>
  <c r="CE142" i="1"/>
  <c r="CE110" i="1"/>
  <c r="CE221" i="1"/>
  <c r="CE187" i="1"/>
  <c r="CE37" i="1"/>
  <c r="CE97" i="1"/>
  <c r="CE38" i="1"/>
  <c r="CE68" i="1"/>
  <c r="CE70" i="1"/>
  <c r="CE83" i="1"/>
  <c r="CE94" i="1"/>
  <c r="CE164" i="1"/>
  <c r="CE143" i="1"/>
  <c r="CE160" i="1"/>
  <c r="CE194" i="1"/>
  <c r="CE189" i="1"/>
  <c r="CE226" i="1"/>
  <c r="CE219" i="1"/>
  <c r="CE165" i="1"/>
  <c r="CE285" i="1"/>
  <c r="CE263" i="1"/>
  <c r="CE210" i="1"/>
  <c r="CE39" i="1"/>
  <c r="CE231" i="1"/>
  <c r="CE44" i="1"/>
  <c r="CE71" i="1"/>
  <c r="CE96" i="1"/>
  <c r="CE230" i="1"/>
  <c r="CE144" i="1"/>
  <c r="CE166" i="1"/>
  <c r="CE200" i="1"/>
  <c r="CE113" i="1"/>
  <c r="CE222" i="1"/>
  <c r="CE145" i="1"/>
  <c r="CE138" i="1"/>
  <c r="CE286" i="1"/>
  <c r="CE289" i="1"/>
  <c r="CE79" i="1"/>
  <c r="CE274" i="1"/>
  <c r="CE211" i="1"/>
  <c r="CE48" i="1"/>
  <c r="CE40" i="1"/>
  <c r="CE242" i="1"/>
  <c r="CE45" i="1"/>
  <c r="CE53" i="1"/>
  <c r="CE72" i="1"/>
  <c r="CE232" i="1"/>
  <c r="CE241" i="1"/>
  <c r="CE167" i="1"/>
  <c r="CE146" i="1"/>
  <c r="CE177" i="1"/>
  <c r="CE168" i="1"/>
  <c r="CE139" i="1"/>
  <c r="CE161" i="1"/>
  <c r="CE124" i="1"/>
  <c r="CE84" i="1"/>
  <c r="CE69" i="1"/>
  <c r="CE195" i="1"/>
  <c r="CE237" i="1"/>
  <c r="CE201" i="1"/>
  <c r="CE49" i="1"/>
  <c r="CE57" i="1"/>
  <c r="CE74" i="1"/>
  <c r="CE253" i="1"/>
  <c r="CE243" i="1"/>
  <c r="CE147" i="1"/>
  <c r="CE169" i="1"/>
  <c r="CE207" i="1"/>
  <c r="CE148" i="1"/>
  <c r="CE162" i="1"/>
  <c r="CE127" i="1"/>
  <c r="CE287" i="1"/>
  <c r="CE85" i="1"/>
  <c r="CE99" i="1"/>
  <c r="CE73" i="1"/>
  <c r="CE63" i="1"/>
  <c r="CE50" i="1"/>
  <c r="CE294" i="1"/>
  <c r="CE117" i="1"/>
  <c r="CE295" i="1"/>
  <c r="CE264" i="1"/>
  <c r="CE254" i="1"/>
  <c r="CE244" i="1"/>
  <c r="CE170" i="1"/>
  <c r="CE149" i="1"/>
  <c r="CE171" i="1"/>
  <c r="CE128" i="1"/>
  <c r="CE118" i="1"/>
  <c r="CE234" i="1"/>
  <c r="CE60" i="1"/>
  <c r="CE131" i="1"/>
  <c r="CE91" i="1"/>
  <c r="CE65" i="1"/>
  <c r="CE275" i="1"/>
  <c r="CE265" i="1"/>
  <c r="CE255" i="1"/>
  <c r="CE245" i="1"/>
  <c r="CE153" i="1"/>
  <c r="CE172" i="1"/>
  <c r="CE150" i="1"/>
  <c r="CE101" i="1"/>
  <c r="CE129" i="1"/>
  <c r="CE288" i="1"/>
  <c r="CE61" i="1"/>
  <c r="CE87" i="1"/>
  <c r="CE291" i="1"/>
  <c r="CE89" i="1"/>
  <c r="CE248" i="1"/>
  <c r="CE276" i="1"/>
  <c r="CE266" i="1"/>
  <c r="CE111" i="1"/>
  <c r="CE246" i="1"/>
  <c r="CE176" i="1"/>
  <c r="CE151" i="1"/>
  <c r="CE184" i="1"/>
  <c r="CE119" i="1"/>
  <c r="CE173" i="1"/>
  <c r="CE290" i="1"/>
  <c r="CE223" i="1"/>
  <c r="CE103" i="1"/>
  <c r="CE105" i="1"/>
  <c r="CE259" i="1"/>
  <c r="CE277" i="1"/>
  <c r="CE293" i="1"/>
  <c r="CE120" i="1"/>
  <c r="CE92" i="1"/>
  <c r="CE174" i="1"/>
  <c r="CE256" i="1"/>
  <c r="CE292" i="1"/>
  <c r="CE66" i="1"/>
  <c r="CE133" i="1"/>
  <c r="CE270" i="1"/>
  <c r="CE278" i="1"/>
  <c r="CE190" i="1"/>
  <c r="CE121" i="1"/>
  <c r="CE100" i="1"/>
  <c r="CE267" i="1"/>
  <c r="CE257" i="1"/>
  <c r="CE116" i="1"/>
  <c r="CE115" i="1"/>
  <c r="CE281" i="1"/>
  <c r="CE51" i="1"/>
  <c r="CE224" i="1"/>
  <c r="CE196" i="1"/>
  <c r="CE235" i="1"/>
  <c r="CE247" i="1"/>
  <c r="CE152" i="1"/>
  <c r="CE130" i="1"/>
  <c r="CE229" i="1"/>
  <c r="CE155" i="1"/>
  <c r="CE90" i="1"/>
  <c r="CE112" i="1"/>
  <c r="CE279" i="1"/>
  <c r="CE163" i="1"/>
  <c r="CE202" i="1"/>
  <c r="CE249" i="1"/>
  <c r="CE185" i="1"/>
  <c r="CE262" i="1"/>
  <c r="CE178" i="1"/>
  <c r="CE273" i="1"/>
  <c r="CE175" i="1"/>
  <c r="CE75" i="1"/>
  <c r="CE296" i="1"/>
  <c r="CE268" i="1"/>
  <c r="CE93" i="1"/>
  <c r="CE102" i="1"/>
  <c r="CE106" i="1"/>
  <c r="CE212" i="1"/>
  <c r="CE206" i="1"/>
  <c r="CE284" i="1"/>
  <c r="CE191" i="1"/>
  <c r="CE86" i="1"/>
  <c r="CE62" i="1"/>
  <c r="CE269" i="1"/>
  <c r="CE134" i="1"/>
  <c r="CE228" i="1"/>
  <c r="CE280" i="1"/>
  <c r="CE236" i="1"/>
  <c r="CE225" i="1"/>
  <c r="CE140" i="1"/>
  <c r="CE156" i="1"/>
  <c r="CE239" i="1"/>
  <c r="CE179" i="1"/>
  <c r="CE203" i="1"/>
  <c r="CE258" i="1"/>
  <c r="CE197" i="1"/>
  <c r="CE240" i="1"/>
  <c r="CE250" i="1"/>
  <c r="CE205" i="1"/>
  <c r="CE114" i="1"/>
  <c r="CE88" i="1"/>
  <c r="CE251" i="1"/>
  <c r="CE261" i="1"/>
  <c r="CE227" i="1"/>
  <c r="CE271" i="1"/>
  <c r="CE238" i="1"/>
  <c r="CE272" i="1"/>
  <c r="CE64" i="1"/>
  <c r="CE282" i="1"/>
  <c r="CE154" i="1"/>
  <c r="CF283" i="1"/>
  <c r="CE283" i="1"/>
  <c r="CD283" i="1"/>
  <c r="CC283" i="1"/>
  <c r="CB283" i="1"/>
  <c r="CA283" i="1"/>
  <c r="BZ283" i="1"/>
  <c r="BY283" i="1"/>
  <c r="BX283" i="1"/>
  <c r="BW283" i="1"/>
  <c r="BV283" i="1"/>
  <c r="BU283" i="1"/>
  <c r="BT283" i="1"/>
  <c r="BS283" i="1"/>
  <c r="BR283" i="1"/>
  <c r="BQ283" i="1"/>
  <c r="BP283" i="1"/>
  <c r="BO283" i="1"/>
  <c r="BN283" i="1"/>
  <c r="BM283" i="1"/>
  <c r="BL283" i="1"/>
  <c r="BK283" i="1"/>
  <c r="BJ283" i="1"/>
  <c r="BI283" i="1"/>
  <c r="BH283" i="1"/>
  <c r="BG283" i="1"/>
  <c r="BF283" i="1"/>
  <c r="BE283" i="1"/>
  <c r="BD283" i="1"/>
  <c r="BC283" i="1"/>
  <c r="BB283" i="1"/>
  <c r="BA283" i="1"/>
  <c r="AZ283" i="1"/>
  <c r="AY283" i="1"/>
  <c r="AX283" i="1"/>
  <c r="AW283" i="1"/>
  <c r="AV283" i="1"/>
  <c r="AU283" i="1"/>
  <c r="AT283" i="1"/>
  <c r="AS283" i="1"/>
  <c r="AR283" i="1"/>
  <c r="AQ283" i="1"/>
  <c r="AP283" i="1"/>
  <c r="AO283" i="1"/>
  <c r="J283" i="1"/>
  <c r="O283" i="1" s="1"/>
  <c r="I132" i="1"/>
  <c r="O154" i="1"/>
  <c r="I260" i="1"/>
  <c r="O64" i="1"/>
  <c r="CF260" i="1" l="1"/>
  <c r="CE260" i="1"/>
  <c r="CD260" i="1"/>
  <c r="CC260" i="1"/>
  <c r="CB260" i="1"/>
  <c r="CA260" i="1"/>
  <c r="BZ260" i="1"/>
  <c r="BY260" i="1"/>
  <c r="BX260" i="1"/>
  <c r="BW260" i="1"/>
  <c r="BV260" i="1"/>
  <c r="BU260" i="1"/>
  <c r="BT260" i="1"/>
  <c r="BS260" i="1"/>
  <c r="BR260" i="1"/>
  <c r="BQ260" i="1"/>
  <c r="BP260" i="1"/>
  <c r="BO260" i="1"/>
  <c r="BN260" i="1"/>
  <c r="BM260" i="1"/>
  <c r="BL260" i="1"/>
  <c r="BK260" i="1"/>
  <c r="BJ260" i="1"/>
  <c r="BI260" i="1"/>
  <c r="BH260" i="1"/>
  <c r="BG260" i="1"/>
  <c r="BF260" i="1"/>
  <c r="BE260" i="1"/>
  <c r="BD260" i="1"/>
  <c r="BC260" i="1"/>
  <c r="BB260" i="1"/>
  <c r="BA260" i="1"/>
  <c r="AZ260" i="1"/>
  <c r="AY260" i="1"/>
  <c r="AX260" i="1"/>
  <c r="AW260" i="1"/>
  <c r="AV260" i="1"/>
  <c r="AU260" i="1"/>
  <c r="AT260" i="1"/>
  <c r="AS260" i="1"/>
  <c r="AR260" i="1"/>
  <c r="AQ260" i="1"/>
  <c r="AP260" i="1"/>
  <c r="AO260" i="1"/>
  <c r="J260" i="1"/>
  <c r="O260" i="1" s="1"/>
  <c r="CF132" i="1"/>
  <c r="CE132" i="1"/>
  <c r="CD132" i="1"/>
  <c r="CC132" i="1"/>
  <c r="CB132" i="1"/>
  <c r="CA132" i="1"/>
  <c r="BZ132" i="1"/>
  <c r="BY132" i="1"/>
  <c r="BX132" i="1"/>
  <c r="BW132" i="1"/>
  <c r="BV132" i="1"/>
  <c r="BU132" i="1"/>
  <c r="BT132" i="1"/>
  <c r="BS132" i="1"/>
  <c r="BR132" i="1"/>
  <c r="BQ132" i="1"/>
  <c r="BP132" i="1"/>
  <c r="BO132" i="1"/>
  <c r="BN132" i="1"/>
  <c r="BM132" i="1"/>
  <c r="BL132" i="1"/>
  <c r="BK132" i="1"/>
  <c r="BJ132" i="1"/>
  <c r="BI132" i="1"/>
  <c r="BH132" i="1"/>
  <c r="BG132" i="1"/>
  <c r="BF132" i="1"/>
  <c r="BE132" i="1"/>
  <c r="BD132" i="1"/>
  <c r="BC132" i="1"/>
  <c r="BB132" i="1"/>
  <c r="BA132" i="1"/>
  <c r="AZ132" i="1"/>
  <c r="AY132" i="1"/>
  <c r="AX132" i="1"/>
  <c r="AW132" i="1"/>
  <c r="AV132" i="1"/>
  <c r="AU132" i="1"/>
  <c r="AT132" i="1"/>
  <c r="AS132" i="1"/>
  <c r="AR132" i="1"/>
  <c r="AQ132" i="1"/>
  <c r="AP132" i="1"/>
  <c r="AO132" i="1"/>
  <c r="J132" i="1"/>
  <c r="AT4" i="2"/>
  <c r="CF305" i="1"/>
  <c r="CF304" i="1"/>
  <c r="CF303" i="1"/>
  <c r="CF302" i="1"/>
  <c r="CF301" i="1"/>
  <c r="CF300" i="1"/>
  <c r="CF299" i="1"/>
  <c r="CF298" i="1"/>
  <c r="CF297" i="1"/>
  <c r="CF126" i="1"/>
  <c r="CF123" i="1"/>
  <c r="CF107" i="1"/>
  <c r="CF98" i="1"/>
  <c r="CF95" i="1"/>
  <c r="CF81" i="1"/>
  <c r="CF77" i="1"/>
  <c r="CF58" i="1"/>
  <c r="CF54" i="1"/>
  <c r="CF41" i="1"/>
  <c r="CF33" i="1"/>
  <c r="CF32" i="1"/>
  <c r="CF31" i="1"/>
  <c r="CF30" i="1"/>
  <c r="CF29" i="1"/>
  <c r="CF28" i="1"/>
  <c r="CF27" i="1"/>
  <c r="CF26" i="1"/>
  <c r="CF25" i="1"/>
  <c r="CF24" i="1"/>
  <c r="CF23" i="1"/>
  <c r="CF22" i="1"/>
  <c r="CF21" i="1"/>
  <c r="CF20" i="1"/>
  <c r="CF19" i="1"/>
  <c r="CF18" i="1"/>
  <c r="CF17" i="1"/>
  <c r="CF16" i="1"/>
  <c r="CF15" i="1"/>
  <c r="CF14" i="1"/>
  <c r="CF13" i="1"/>
  <c r="CF12" i="1"/>
  <c r="CF11" i="1"/>
  <c r="CF10" i="1"/>
  <c r="CF9" i="1"/>
  <c r="CF8" i="1"/>
  <c r="CF7" i="1"/>
  <c r="CF6" i="1"/>
  <c r="CF5" i="1"/>
  <c r="CG4" i="1"/>
  <c r="CF3" i="1"/>
  <c r="AT3" i="2" s="1"/>
  <c r="CF42" i="1"/>
  <c r="CF43" i="1"/>
  <c r="CF52" i="1"/>
  <c r="CF56" i="1"/>
  <c r="CF108" i="1"/>
  <c r="CF135" i="1"/>
  <c r="CF180" i="1"/>
  <c r="CF208" i="1"/>
  <c r="CF181" i="1"/>
  <c r="CF186" i="1"/>
  <c r="CF192" i="1"/>
  <c r="CF198" i="1"/>
  <c r="CF136" i="1"/>
  <c r="CF109" i="1"/>
  <c r="CF82" i="1"/>
  <c r="CF78" i="1"/>
  <c r="CF215" i="1"/>
  <c r="CF193" i="1"/>
  <c r="CF199" i="1"/>
  <c r="CF233" i="1"/>
  <c r="CF34" i="1"/>
  <c r="CF46" i="1"/>
  <c r="CF55" i="1"/>
  <c r="CF122" i="1"/>
  <c r="CF59" i="1"/>
  <c r="CF125" i="1"/>
  <c r="CF137" i="1"/>
  <c r="CF158" i="1"/>
  <c r="CF182" i="1"/>
  <c r="CF213" i="1"/>
  <c r="CF209" i="1"/>
  <c r="CF214" i="1"/>
  <c r="CF217" i="1"/>
  <c r="CF220" i="1"/>
  <c r="CF159" i="1"/>
  <c r="CF218" i="1"/>
  <c r="CF252" i="1"/>
  <c r="CF35" i="1"/>
  <c r="CF76" i="1"/>
  <c r="CF36" i="1"/>
  <c r="CF47" i="1"/>
  <c r="CF67" i="1"/>
  <c r="CF80" i="1"/>
  <c r="CF141" i="1"/>
  <c r="CF157" i="1"/>
  <c r="CF188" i="1"/>
  <c r="CF183" i="1"/>
  <c r="CF204" i="1"/>
  <c r="CF216" i="1"/>
  <c r="CF142" i="1"/>
  <c r="CF110" i="1"/>
  <c r="CF221" i="1"/>
  <c r="CF187" i="1"/>
  <c r="CF37" i="1"/>
  <c r="CF97" i="1"/>
  <c r="CF38" i="1"/>
  <c r="CF68" i="1"/>
  <c r="CF70" i="1"/>
  <c r="CF83" i="1"/>
  <c r="CF94" i="1"/>
  <c r="CF164" i="1"/>
  <c r="CF143" i="1"/>
  <c r="CF160" i="1"/>
  <c r="CF194" i="1"/>
  <c r="CF189" i="1"/>
  <c r="CF226" i="1"/>
  <c r="CF219" i="1"/>
  <c r="CF165" i="1"/>
  <c r="CF285" i="1"/>
  <c r="CF263" i="1"/>
  <c r="CF210" i="1"/>
  <c r="CF39" i="1"/>
  <c r="CF231" i="1"/>
  <c r="CF44" i="1"/>
  <c r="CF71" i="1"/>
  <c r="CF96" i="1"/>
  <c r="CF230" i="1"/>
  <c r="CF144" i="1"/>
  <c r="CF166" i="1"/>
  <c r="CF200" i="1"/>
  <c r="CF113" i="1"/>
  <c r="CF222" i="1"/>
  <c r="CF145" i="1"/>
  <c r="CF138" i="1"/>
  <c r="CF286" i="1"/>
  <c r="CF289" i="1"/>
  <c r="CF79" i="1"/>
  <c r="CF274" i="1"/>
  <c r="CF211" i="1"/>
  <c r="CF48" i="1"/>
  <c r="CF40" i="1"/>
  <c r="CF242" i="1"/>
  <c r="CF45" i="1"/>
  <c r="CF53" i="1"/>
  <c r="CF72" i="1"/>
  <c r="CF232" i="1"/>
  <c r="CF241" i="1"/>
  <c r="CF167" i="1"/>
  <c r="CF146" i="1"/>
  <c r="CF177" i="1"/>
  <c r="CF168" i="1"/>
  <c r="CF139" i="1"/>
  <c r="CF161" i="1"/>
  <c r="CF124" i="1"/>
  <c r="CF84" i="1"/>
  <c r="CF69" i="1"/>
  <c r="CF195" i="1"/>
  <c r="CF237" i="1"/>
  <c r="CF201" i="1"/>
  <c r="CF49" i="1"/>
  <c r="CF57" i="1"/>
  <c r="CF74" i="1"/>
  <c r="CF253" i="1"/>
  <c r="CF243" i="1"/>
  <c r="CF147" i="1"/>
  <c r="CF169" i="1"/>
  <c r="CF207" i="1"/>
  <c r="CF148" i="1"/>
  <c r="CF162" i="1"/>
  <c r="CF127" i="1"/>
  <c r="CF287" i="1"/>
  <c r="CF85" i="1"/>
  <c r="CF99" i="1"/>
  <c r="CF73" i="1"/>
  <c r="CF63" i="1"/>
  <c r="CF50" i="1"/>
  <c r="CF294" i="1"/>
  <c r="CF117" i="1"/>
  <c r="CF295" i="1"/>
  <c r="CF264" i="1"/>
  <c r="CF254" i="1"/>
  <c r="CF244" i="1"/>
  <c r="CF170" i="1"/>
  <c r="CF149" i="1"/>
  <c r="CF171" i="1"/>
  <c r="CF128" i="1"/>
  <c r="CF118" i="1"/>
  <c r="CF234" i="1"/>
  <c r="CF60" i="1"/>
  <c r="CF131" i="1"/>
  <c r="CF91" i="1"/>
  <c r="CF65" i="1"/>
  <c r="CF275" i="1"/>
  <c r="CF265" i="1"/>
  <c r="CF255" i="1"/>
  <c r="CF245" i="1"/>
  <c r="CF153" i="1"/>
  <c r="CF172" i="1"/>
  <c r="CF150" i="1"/>
  <c r="CF101" i="1"/>
  <c r="CF129" i="1"/>
  <c r="CF288" i="1"/>
  <c r="CF61" i="1"/>
  <c r="CF87" i="1"/>
  <c r="CF291" i="1"/>
  <c r="CF89" i="1"/>
  <c r="CF248" i="1"/>
  <c r="CF276" i="1"/>
  <c r="CF266" i="1"/>
  <c r="CF111" i="1"/>
  <c r="CF246" i="1"/>
  <c r="CF176" i="1"/>
  <c r="CF151" i="1"/>
  <c r="CF184" i="1"/>
  <c r="CF119" i="1"/>
  <c r="CF173" i="1"/>
  <c r="CF290" i="1"/>
  <c r="CF223" i="1"/>
  <c r="CF103" i="1"/>
  <c r="CF105" i="1"/>
  <c r="CF259" i="1"/>
  <c r="CF277" i="1"/>
  <c r="CF293" i="1"/>
  <c r="CF120" i="1"/>
  <c r="CF92" i="1"/>
  <c r="CF174" i="1"/>
  <c r="CF256" i="1"/>
  <c r="CF292" i="1"/>
  <c r="CF66" i="1"/>
  <c r="CF133" i="1"/>
  <c r="CF270" i="1"/>
  <c r="CF278" i="1"/>
  <c r="CF190" i="1"/>
  <c r="CF121" i="1"/>
  <c r="CF100" i="1"/>
  <c r="CF267" i="1"/>
  <c r="CF257" i="1"/>
  <c r="CF116" i="1"/>
  <c r="CF115" i="1"/>
  <c r="CF281" i="1"/>
  <c r="CF51" i="1"/>
  <c r="CF224" i="1"/>
  <c r="CF196" i="1"/>
  <c r="CF235" i="1"/>
  <c r="CF247" i="1"/>
  <c r="CF152" i="1"/>
  <c r="CF130" i="1"/>
  <c r="CF229" i="1"/>
  <c r="CF155" i="1"/>
  <c r="CF90" i="1"/>
  <c r="CF112" i="1"/>
  <c r="CF279" i="1"/>
  <c r="CF163" i="1"/>
  <c r="CF202" i="1"/>
  <c r="CF249" i="1"/>
  <c r="CF185" i="1"/>
  <c r="CF262" i="1"/>
  <c r="CF178" i="1"/>
  <c r="CF273" i="1"/>
  <c r="CF175" i="1"/>
  <c r="CF75" i="1"/>
  <c r="CF296" i="1"/>
  <c r="CF268" i="1"/>
  <c r="CF93" i="1"/>
  <c r="CF102" i="1"/>
  <c r="CF106" i="1"/>
  <c r="CF212" i="1"/>
  <c r="CF206" i="1"/>
  <c r="CF284" i="1"/>
  <c r="CF191" i="1"/>
  <c r="CF86" i="1"/>
  <c r="CF62" i="1"/>
  <c r="CF269" i="1"/>
  <c r="CF134" i="1"/>
  <c r="CF228" i="1"/>
  <c r="CF280" i="1"/>
  <c r="CF236" i="1"/>
  <c r="CF225" i="1"/>
  <c r="CF140" i="1"/>
  <c r="CF156" i="1"/>
  <c r="CF239" i="1"/>
  <c r="CF179" i="1"/>
  <c r="CF203" i="1"/>
  <c r="CF258" i="1"/>
  <c r="CF197" i="1"/>
  <c r="CF240" i="1"/>
  <c r="CF250" i="1"/>
  <c r="CF205" i="1"/>
  <c r="CF114" i="1"/>
  <c r="CF88" i="1"/>
  <c r="CF251" i="1"/>
  <c r="CF261" i="1"/>
  <c r="CF227" i="1"/>
  <c r="CF271" i="1"/>
  <c r="CF238" i="1"/>
  <c r="CF272" i="1"/>
  <c r="CF64" i="1"/>
  <c r="CF282" i="1"/>
  <c r="CF154" i="1"/>
  <c r="AU4" i="2" l="1"/>
  <c r="CG305" i="1"/>
  <c r="CG304" i="1"/>
  <c r="CG303" i="1"/>
  <c r="CG302" i="1"/>
  <c r="CG301" i="1"/>
  <c r="CG300" i="1"/>
  <c r="CG299" i="1"/>
  <c r="CG298" i="1"/>
  <c r="CG297" i="1"/>
  <c r="CG126" i="1"/>
  <c r="CG123" i="1"/>
  <c r="CG107" i="1"/>
  <c r="CG98" i="1"/>
  <c r="CG95" i="1"/>
  <c r="CG81" i="1"/>
  <c r="CG77" i="1"/>
  <c r="CG58" i="1"/>
  <c r="CG54" i="1"/>
  <c r="CG41" i="1"/>
  <c r="CG33" i="1"/>
  <c r="CG32" i="1"/>
  <c r="CG31" i="1"/>
  <c r="CG30" i="1"/>
  <c r="CG29" i="1"/>
  <c r="CG28" i="1"/>
  <c r="CG27" i="1"/>
  <c r="CG26" i="1"/>
  <c r="CG25" i="1"/>
  <c r="CG24" i="1"/>
  <c r="CG23" i="1"/>
  <c r="CG22" i="1"/>
  <c r="CG21" i="1"/>
  <c r="CG20" i="1"/>
  <c r="CG19" i="1"/>
  <c r="CG18" i="1"/>
  <c r="CG17" i="1"/>
  <c r="CG16" i="1"/>
  <c r="CG15" i="1"/>
  <c r="CG14" i="1"/>
  <c r="CG13" i="1"/>
  <c r="CG12" i="1"/>
  <c r="CG11" i="1"/>
  <c r="CG10" i="1"/>
  <c r="CG9" i="1"/>
  <c r="CG8" i="1"/>
  <c r="CG7" i="1"/>
  <c r="CG6" i="1"/>
  <c r="CG5" i="1"/>
  <c r="CH4" i="1"/>
  <c r="CG3" i="1"/>
  <c r="AU3" i="2" s="1"/>
  <c r="CG42" i="1"/>
  <c r="CG43" i="1"/>
  <c r="CG52" i="1"/>
  <c r="CG56" i="1"/>
  <c r="CG108" i="1"/>
  <c r="CG135" i="1"/>
  <c r="CG180" i="1"/>
  <c r="CG208" i="1"/>
  <c r="CG181" i="1"/>
  <c r="CG186" i="1"/>
  <c r="CG192" i="1"/>
  <c r="CG198" i="1"/>
  <c r="CG136" i="1"/>
  <c r="CG109" i="1"/>
  <c r="CG82" i="1"/>
  <c r="CG78" i="1"/>
  <c r="CG215" i="1"/>
  <c r="CG193" i="1"/>
  <c r="CG199" i="1"/>
  <c r="CG233" i="1"/>
  <c r="CG34" i="1"/>
  <c r="CG46" i="1"/>
  <c r="CG55" i="1"/>
  <c r="CG122" i="1"/>
  <c r="CG59" i="1"/>
  <c r="CG125" i="1"/>
  <c r="CG137" i="1"/>
  <c r="CG158" i="1"/>
  <c r="CG182" i="1"/>
  <c r="CG213" i="1"/>
  <c r="CG209" i="1"/>
  <c r="CG214" i="1"/>
  <c r="CG217" i="1"/>
  <c r="CG220" i="1"/>
  <c r="CG159" i="1"/>
  <c r="CG218" i="1"/>
  <c r="CG252" i="1"/>
  <c r="CG35" i="1"/>
  <c r="CG76" i="1"/>
  <c r="CG36" i="1"/>
  <c r="CG47" i="1"/>
  <c r="CG67" i="1"/>
  <c r="CG80" i="1"/>
  <c r="CG141" i="1"/>
  <c r="CG157" i="1"/>
  <c r="CG188" i="1"/>
  <c r="CG183" i="1"/>
  <c r="CG204" i="1"/>
  <c r="CG216" i="1"/>
  <c r="CG142" i="1"/>
  <c r="CG110" i="1"/>
  <c r="CG221" i="1"/>
  <c r="CG187" i="1"/>
  <c r="CG37" i="1"/>
  <c r="CG97" i="1"/>
  <c r="CG38" i="1"/>
  <c r="CG68" i="1"/>
  <c r="CG70" i="1"/>
  <c r="CG83" i="1"/>
  <c r="CG94" i="1"/>
  <c r="CG164" i="1"/>
  <c r="CG143" i="1"/>
  <c r="CG160" i="1"/>
  <c r="CG194" i="1"/>
  <c r="CG189" i="1"/>
  <c r="CG226" i="1"/>
  <c r="CG219" i="1"/>
  <c r="CG165" i="1"/>
  <c r="CG285" i="1"/>
  <c r="CG263" i="1"/>
  <c r="CG210" i="1"/>
  <c r="CG39" i="1"/>
  <c r="CG231" i="1"/>
  <c r="CG44" i="1"/>
  <c r="CG71" i="1"/>
  <c r="CG96" i="1"/>
  <c r="CG230" i="1"/>
  <c r="CG144" i="1"/>
  <c r="CG166" i="1"/>
  <c r="CG200" i="1"/>
  <c r="CG113" i="1"/>
  <c r="CG222" i="1"/>
  <c r="CG145" i="1"/>
  <c r="CG138" i="1"/>
  <c r="CG286" i="1"/>
  <c r="CG289" i="1"/>
  <c r="CG79" i="1"/>
  <c r="CG274" i="1"/>
  <c r="CG211" i="1"/>
  <c r="CG48" i="1"/>
  <c r="CG40" i="1"/>
  <c r="CG242" i="1"/>
  <c r="CG45" i="1"/>
  <c r="CG53" i="1"/>
  <c r="CG72" i="1"/>
  <c r="CG232" i="1"/>
  <c r="CG241" i="1"/>
  <c r="CG167" i="1"/>
  <c r="CG146" i="1"/>
  <c r="CG177" i="1"/>
  <c r="CG168" i="1"/>
  <c r="CG139" i="1"/>
  <c r="CG161" i="1"/>
  <c r="CG124" i="1"/>
  <c r="CG84" i="1"/>
  <c r="CG69" i="1"/>
  <c r="CG195" i="1"/>
  <c r="CG237" i="1"/>
  <c r="CG201" i="1"/>
  <c r="CG49" i="1"/>
  <c r="CG57" i="1"/>
  <c r="CG74" i="1"/>
  <c r="CG253" i="1"/>
  <c r="CG243" i="1"/>
  <c r="CG147" i="1"/>
  <c r="CG169" i="1"/>
  <c r="CG207" i="1"/>
  <c r="CG148" i="1"/>
  <c r="CG162" i="1"/>
  <c r="CG127" i="1"/>
  <c r="CG287" i="1"/>
  <c r="CG85" i="1"/>
  <c r="CG99" i="1"/>
  <c r="CG73" i="1"/>
  <c r="CG63" i="1"/>
  <c r="CG50" i="1"/>
  <c r="CG294" i="1"/>
  <c r="CG117" i="1"/>
  <c r="CG295" i="1"/>
  <c r="CG264" i="1"/>
  <c r="CG254" i="1"/>
  <c r="CG244" i="1"/>
  <c r="CG170" i="1"/>
  <c r="CG149" i="1"/>
  <c r="CG171" i="1"/>
  <c r="CG128" i="1"/>
  <c r="CG118" i="1"/>
  <c r="CG234" i="1"/>
  <c r="CG60" i="1"/>
  <c r="CG131" i="1"/>
  <c r="CG91" i="1"/>
  <c r="CG65" i="1"/>
  <c r="CG275" i="1"/>
  <c r="CG265" i="1"/>
  <c r="CG255" i="1"/>
  <c r="CG245" i="1"/>
  <c r="CG153" i="1"/>
  <c r="CG172" i="1"/>
  <c r="CG150" i="1"/>
  <c r="CG101" i="1"/>
  <c r="CG129" i="1"/>
  <c r="CG288" i="1"/>
  <c r="CG61" i="1"/>
  <c r="CG87" i="1"/>
  <c r="CG291" i="1"/>
  <c r="CG89" i="1"/>
  <c r="CG248" i="1"/>
  <c r="CG276" i="1"/>
  <c r="CG266" i="1"/>
  <c r="CG111" i="1"/>
  <c r="CG246" i="1"/>
  <c r="CG176" i="1"/>
  <c r="CG151" i="1"/>
  <c r="CG184" i="1"/>
  <c r="CG119" i="1"/>
  <c r="CG173" i="1"/>
  <c r="CG290" i="1"/>
  <c r="CG223" i="1"/>
  <c r="CG103" i="1"/>
  <c r="CG105" i="1"/>
  <c r="CG259" i="1"/>
  <c r="CG277" i="1"/>
  <c r="CG293" i="1"/>
  <c r="CG120" i="1"/>
  <c r="CG92" i="1"/>
  <c r="CG174" i="1"/>
  <c r="CG256" i="1"/>
  <c r="CG292" i="1"/>
  <c r="CG66" i="1"/>
  <c r="CG133" i="1"/>
  <c r="CG270" i="1"/>
  <c r="CG278" i="1"/>
  <c r="CG190" i="1"/>
  <c r="CG121" i="1"/>
  <c r="CG100" i="1"/>
  <c r="CG267" i="1"/>
  <c r="CG257" i="1"/>
  <c r="CG116" i="1"/>
  <c r="CG115" i="1"/>
  <c r="CG281" i="1"/>
  <c r="CG51" i="1"/>
  <c r="CG224" i="1"/>
  <c r="CG196" i="1"/>
  <c r="CG235" i="1"/>
  <c r="CG247" i="1"/>
  <c r="CG152" i="1"/>
  <c r="CG130" i="1"/>
  <c r="CG229" i="1"/>
  <c r="CG155" i="1"/>
  <c r="CG90" i="1"/>
  <c r="CG112" i="1"/>
  <c r="CG279" i="1"/>
  <c r="CG163" i="1"/>
  <c r="CG202" i="1"/>
  <c r="CG249" i="1"/>
  <c r="CG185" i="1"/>
  <c r="CG262" i="1"/>
  <c r="CG178" i="1"/>
  <c r="CG273" i="1"/>
  <c r="CG175" i="1"/>
  <c r="CG75" i="1"/>
  <c r="CG296" i="1"/>
  <c r="CG268" i="1"/>
  <c r="CG93" i="1"/>
  <c r="CG102" i="1"/>
  <c r="CG106" i="1"/>
  <c r="CG212" i="1"/>
  <c r="CG206" i="1"/>
  <c r="CG284" i="1"/>
  <c r="CG191" i="1"/>
  <c r="CG86" i="1"/>
  <c r="CG62" i="1"/>
  <c r="CG269" i="1"/>
  <c r="CG134" i="1"/>
  <c r="CG228" i="1"/>
  <c r="CG280" i="1"/>
  <c r="CG236" i="1"/>
  <c r="CG225" i="1"/>
  <c r="CG140" i="1"/>
  <c r="CG156" i="1"/>
  <c r="CG239" i="1"/>
  <c r="CG179" i="1"/>
  <c r="CG203" i="1"/>
  <c r="CG258" i="1"/>
  <c r="CG197" i="1"/>
  <c r="CG240" i="1"/>
  <c r="CG250" i="1"/>
  <c r="CG205" i="1"/>
  <c r="CG114" i="1"/>
  <c r="CG88" i="1"/>
  <c r="CG251" i="1"/>
  <c r="CG261" i="1"/>
  <c r="CG227" i="1"/>
  <c r="CG271" i="1"/>
  <c r="CG238" i="1"/>
  <c r="CG272" i="1"/>
  <c r="CG64" i="1"/>
  <c r="CG282" i="1"/>
  <c r="CG154" i="1"/>
  <c r="CG283" i="1"/>
  <c r="CG260" i="1"/>
  <c r="CG132" i="1"/>
  <c r="I104" i="1"/>
  <c r="O132" i="1"/>
  <c r="CH104" i="1" l="1"/>
  <c r="CG104" i="1"/>
  <c r="CF104" i="1"/>
  <c r="CE104" i="1"/>
  <c r="CD104" i="1"/>
  <c r="CC104" i="1"/>
  <c r="CB104" i="1"/>
  <c r="CA104" i="1"/>
  <c r="BZ104" i="1"/>
  <c r="BY104" i="1"/>
  <c r="BX104" i="1"/>
  <c r="BW104" i="1"/>
  <c r="BV104" i="1"/>
  <c r="BU104" i="1"/>
  <c r="BT104" i="1"/>
  <c r="BS104" i="1"/>
  <c r="BR104" i="1"/>
  <c r="BQ104" i="1"/>
  <c r="BP104" i="1"/>
  <c r="BO104" i="1"/>
  <c r="BN104" i="1"/>
  <c r="BM104" i="1"/>
  <c r="BL104" i="1"/>
  <c r="BK104" i="1"/>
  <c r="BJ104" i="1"/>
  <c r="BI104" i="1"/>
  <c r="BH104" i="1"/>
  <c r="BG104" i="1"/>
  <c r="BF104" i="1"/>
  <c r="BE104" i="1"/>
  <c r="BD104" i="1"/>
  <c r="BC104" i="1"/>
  <c r="BB104" i="1"/>
  <c r="BA104" i="1"/>
  <c r="AZ104" i="1"/>
  <c r="AY104" i="1"/>
  <c r="AX104" i="1"/>
  <c r="AW104" i="1"/>
  <c r="AV104" i="1"/>
  <c r="AU104" i="1"/>
  <c r="AT104" i="1"/>
  <c r="AS104" i="1"/>
  <c r="AR104" i="1"/>
  <c r="AQ104" i="1"/>
  <c r="AP104" i="1"/>
  <c r="AO104" i="1"/>
  <c r="J104" i="1"/>
  <c r="O104" i="1" s="1"/>
  <c r="AV4" i="2"/>
  <c r="CH305" i="1"/>
  <c r="CH304" i="1"/>
  <c r="CH303" i="1"/>
  <c r="CH302" i="1"/>
  <c r="CH301" i="1"/>
  <c r="CH300" i="1"/>
  <c r="CH299" i="1"/>
  <c r="CH298" i="1"/>
  <c r="CH297" i="1"/>
  <c r="CH126" i="1"/>
  <c r="CH123" i="1"/>
  <c r="CH107" i="1"/>
  <c r="CH98" i="1"/>
  <c r="CH95" i="1"/>
  <c r="CH81" i="1"/>
  <c r="CH77" i="1"/>
  <c r="CH58" i="1"/>
  <c r="CH54" i="1"/>
  <c r="CH41" i="1"/>
  <c r="CH33" i="1"/>
  <c r="CH32" i="1"/>
  <c r="CH31" i="1"/>
  <c r="CH30" i="1"/>
  <c r="CH29" i="1"/>
  <c r="CH28" i="1"/>
  <c r="CH27" i="1"/>
  <c r="CH26" i="1"/>
  <c r="CH25" i="1"/>
  <c r="CH24" i="1"/>
  <c r="CH23" i="1"/>
  <c r="CH22" i="1"/>
  <c r="CH21" i="1"/>
  <c r="CH20" i="1"/>
  <c r="CH19" i="1"/>
  <c r="CH18" i="1"/>
  <c r="CH17" i="1"/>
  <c r="CH16" i="1"/>
  <c r="CH15" i="1"/>
  <c r="CH14" i="1"/>
  <c r="CH13" i="1"/>
  <c r="CH12" i="1"/>
  <c r="CH11" i="1"/>
  <c r="CH10" i="1"/>
  <c r="CH9" i="1"/>
  <c r="CH8" i="1"/>
  <c r="CH7" i="1"/>
  <c r="CH6" i="1"/>
  <c r="CH5" i="1"/>
  <c r="CI4" i="1"/>
  <c r="CH3" i="1"/>
  <c r="AV3" i="2" s="1"/>
  <c r="CH42" i="1"/>
  <c r="CH43" i="1"/>
  <c r="CH52" i="1"/>
  <c r="CH56" i="1"/>
  <c r="CH108" i="1"/>
  <c r="CH135" i="1"/>
  <c r="CH180" i="1"/>
  <c r="CH208" i="1"/>
  <c r="CH181" i="1"/>
  <c r="CH186" i="1"/>
  <c r="CH192" i="1"/>
  <c r="CH198" i="1"/>
  <c r="CH136" i="1"/>
  <c r="CH109" i="1"/>
  <c r="CH82" i="1"/>
  <c r="CH78" i="1"/>
  <c r="CH215" i="1"/>
  <c r="CH193" i="1"/>
  <c r="CH199" i="1"/>
  <c r="CH233" i="1"/>
  <c r="CH34" i="1"/>
  <c r="CH46" i="1"/>
  <c r="CH55" i="1"/>
  <c r="CH122" i="1"/>
  <c r="CH59" i="1"/>
  <c r="CH125" i="1"/>
  <c r="CH137" i="1"/>
  <c r="CH158" i="1"/>
  <c r="CH182" i="1"/>
  <c r="CH213" i="1"/>
  <c r="CH209" i="1"/>
  <c r="CH214" i="1"/>
  <c r="CH217" i="1"/>
  <c r="CH220" i="1"/>
  <c r="CH159" i="1"/>
  <c r="CH218" i="1"/>
  <c r="CH252" i="1"/>
  <c r="CH35" i="1"/>
  <c r="CH76" i="1"/>
  <c r="CH36" i="1"/>
  <c r="CH47" i="1"/>
  <c r="CH67" i="1"/>
  <c r="CH80" i="1"/>
  <c r="CH141" i="1"/>
  <c r="CH157" i="1"/>
  <c r="CH188" i="1"/>
  <c r="CH183" i="1"/>
  <c r="CH204" i="1"/>
  <c r="CH216" i="1"/>
  <c r="CH142" i="1"/>
  <c r="CH110" i="1"/>
  <c r="CH221" i="1"/>
  <c r="CH187" i="1"/>
  <c r="CH37" i="1"/>
  <c r="CH97" i="1"/>
  <c r="CH38" i="1"/>
  <c r="CH68" i="1"/>
  <c r="CH70" i="1"/>
  <c r="CH83" i="1"/>
  <c r="CH94" i="1"/>
  <c r="CH164" i="1"/>
  <c r="CH143" i="1"/>
  <c r="CH160" i="1"/>
  <c r="CH194" i="1"/>
  <c r="CH189" i="1"/>
  <c r="CH226" i="1"/>
  <c r="CH219" i="1"/>
  <c r="CH165" i="1"/>
  <c r="CH285" i="1"/>
  <c r="CH263" i="1"/>
  <c r="CH210" i="1"/>
  <c r="CH39" i="1"/>
  <c r="CH231" i="1"/>
  <c r="CH44" i="1"/>
  <c r="CH71" i="1"/>
  <c r="CH96" i="1"/>
  <c r="CH230" i="1"/>
  <c r="CH144" i="1"/>
  <c r="CH166" i="1"/>
  <c r="CH200" i="1"/>
  <c r="CH113" i="1"/>
  <c r="CH222" i="1"/>
  <c r="CH145" i="1"/>
  <c r="CH138" i="1"/>
  <c r="CH286" i="1"/>
  <c r="CH289" i="1"/>
  <c r="CH79" i="1"/>
  <c r="CH274" i="1"/>
  <c r="CH211" i="1"/>
  <c r="CH48" i="1"/>
  <c r="CH40" i="1"/>
  <c r="CH242" i="1"/>
  <c r="CH45" i="1"/>
  <c r="CH53" i="1"/>
  <c r="CH72" i="1"/>
  <c r="CH232" i="1"/>
  <c r="CH241" i="1"/>
  <c r="CH167" i="1"/>
  <c r="CH146" i="1"/>
  <c r="CH177" i="1"/>
  <c r="CH168" i="1"/>
  <c r="CH139" i="1"/>
  <c r="CH161" i="1"/>
  <c r="CH124" i="1"/>
  <c r="CH84" i="1"/>
  <c r="CH69" i="1"/>
  <c r="CH195" i="1"/>
  <c r="CH237" i="1"/>
  <c r="CH201" i="1"/>
  <c r="CH49" i="1"/>
  <c r="CH57" i="1"/>
  <c r="CH74" i="1"/>
  <c r="CH253" i="1"/>
  <c r="CH243" i="1"/>
  <c r="CH147" i="1"/>
  <c r="CH169" i="1"/>
  <c r="CH207" i="1"/>
  <c r="CH148" i="1"/>
  <c r="CH162" i="1"/>
  <c r="CH127" i="1"/>
  <c r="CH287" i="1"/>
  <c r="CH85" i="1"/>
  <c r="CH99" i="1"/>
  <c r="CH73" i="1"/>
  <c r="CH63" i="1"/>
  <c r="CH50" i="1"/>
  <c r="CH294" i="1"/>
  <c r="CH117" i="1"/>
  <c r="CH295" i="1"/>
  <c r="CH264" i="1"/>
  <c r="CH254" i="1"/>
  <c r="CH244" i="1"/>
  <c r="CH170" i="1"/>
  <c r="CH149" i="1"/>
  <c r="CH171" i="1"/>
  <c r="CH128" i="1"/>
  <c r="CH118" i="1"/>
  <c r="CH234" i="1"/>
  <c r="CH60" i="1"/>
  <c r="CH131" i="1"/>
  <c r="CH91" i="1"/>
  <c r="CH65" i="1"/>
  <c r="CH275" i="1"/>
  <c r="CH265" i="1"/>
  <c r="CH255" i="1"/>
  <c r="CH245" i="1"/>
  <c r="CH153" i="1"/>
  <c r="CH172" i="1"/>
  <c r="CH150" i="1"/>
  <c r="CH101" i="1"/>
  <c r="CH129" i="1"/>
  <c r="CH288" i="1"/>
  <c r="CH61" i="1"/>
  <c r="CH87" i="1"/>
  <c r="CH291" i="1"/>
  <c r="CH89" i="1"/>
  <c r="CH248" i="1"/>
  <c r="CH276" i="1"/>
  <c r="CH266" i="1"/>
  <c r="CH111" i="1"/>
  <c r="CH246" i="1"/>
  <c r="CH176" i="1"/>
  <c r="CH151" i="1"/>
  <c r="CH184" i="1"/>
  <c r="CH119" i="1"/>
  <c r="CH173" i="1"/>
  <c r="CH290" i="1"/>
  <c r="CH223" i="1"/>
  <c r="CH103" i="1"/>
  <c r="CH105" i="1"/>
  <c r="CH259" i="1"/>
  <c r="CH277" i="1"/>
  <c r="CH293" i="1"/>
  <c r="CH120" i="1"/>
  <c r="CH92" i="1"/>
  <c r="CH174" i="1"/>
  <c r="CH256" i="1"/>
  <c r="CH292" i="1"/>
  <c r="CH66" i="1"/>
  <c r="CH133" i="1"/>
  <c r="CH270" i="1"/>
  <c r="CH278" i="1"/>
  <c r="CH190" i="1"/>
  <c r="CH121" i="1"/>
  <c r="CH100" i="1"/>
  <c r="CH267" i="1"/>
  <c r="CH257" i="1"/>
  <c r="CH116" i="1"/>
  <c r="CH115" i="1"/>
  <c r="CH281" i="1"/>
  <c r="CH51" i="1"/>
  <c r="CH224" i="1"/>
  <c r="CH196" i="1"/>
  <c r="CH235" i="1"/>
  <c r="CH247" i="1"/>
  <c r="CH152" i="1"/>
  <c r="CH130" i="1"/>
  <c r="CH229" i="1"/>
  <c r="CH155" i="1"/>
  <c r="CH90" i="1"/>
  <c r="CH112" i="1"/>
  <c r="CH279" i="1"/>
  <c r="CH163" i="1"/>
  <c r="CH202" i="1"/>
  <c r="CH249" i="1"/>
  <c r="CH185" i="1"/>
  <c r="CH262" i="1"/>
  <c r="CH178" i="1"/>
  <c r="CH273" i="1"/>
  <c r="CH175" i="1"/>
  <c r="CH75" i="1"/>
  <c r="CH296" i="1"/>
  <c r="CH268" i="1"/>
  <c r="CH93" i="1"/>
  <c r="CH102" i="1"/>
  <c r="CH106" i="1"/>
  <c r="CH212" i="1"/>
  <c r="CH206" i="1"/>
  <c r="CH284" i="1"/>
  <c r="CH191" i="1"/>
  <c r="CH86" i="1"/>
  <c r="CH62" i="1"/>
  <c r="CH269" i="1"/>
  <c r="CH134" i="1"/>
  <c r="CH228" i="1"/>
  <c r="CH280" i="1"/>
  <c r="CH236" i="1"/>
  <c r="CH225" i="1"/>
  <c r="CH140" i="1"/>
  <c r="CH156" i="1"/>
  <c r="CH239" i="1"/>
  <c r="CH179" i="1"/>
  <c r="CH203" i="1"/>
  <c r="CH258" i="1"/>
  <c r="CH197" i="1"/>
  <c r="CH240" i="1"/>
  <c r="CH250" i="1"/>
  <c r="CH205" i="1"/>
  <c r="CH114" i="1"/>
  <c r="CH88" i="1"/>
  <c r="CH251" i="1"/>
  <c r="CH261" i="1"/>
  <c r="CH227" i="1"/>
  <c r="CH271" i="1"/>
  <c r="CH238" i="1"/>
  <c r="CH272" i="1"/>
  <c r="CH64" i="1"/>
  <c r="CH282" i="1"/>
  <c r="CH154" i="1"/>
  <c r="CH283" i="1"/>
  <c r="CH260" i="1"/>
  <c r="CH132" i="1"/>
  <c r="AW4" i="2" l="1"/>
  <c r="CI305" i="1"/>
  <c r="CI304" i="1"/>
  <c r="CI303" i="1"/>
  <c r="CI302" i="1"/>
  <c r="CI301" i="1"/>
  <c r="CI300" i="1"/>
  <c r="CI299" i="1"/>
  <c r="CI298" i="1"/>
  <c r="CI297" i="1"/>
  <c r="CI126" i="1"/>
  <c r="CI123" i="1"/>
  <c r="CI107" i="1"/>
  <c r="CI98" i="1"/>
  <c r="CI95" i="1"/>
  <c r="CI81" i="1"/>
  <c r="CI77" i="1"/>
  <c r="CI58" i="1"/>
  <c r="CI54" i="1"/>
  <c r="CI41" i="1"/>
  <c r="CI33" i="1"/>
  <c r="CI32" i="1"/>
  <c r="CI31" i="1"/>
  <c r="CI30" i="1"/>
  <c r="CI29" i="1"/>
  <c r="CI28" i="1"/>
  <c r="CI27" i="1"/>
  <c r="CI26" i="1"/>
  <c r="CI25" i="1"/>
  <c r="CI24" i="1"/>
  <c r="CI23" i="1"/>
  <c r="CI22" i="1"/>
  <c r="CI21" i="1"/>
  <c r="CI20" i="1"/>
  <c r="CI19" i="1"/>
  <c r="CI18" i="1"/>
  <c r="CI17" i="1"/>
  <c r="CI16" i="1"/>
  <c r="CI15" i="1"/>
  <c r="CI14" i="1"/>
  <c r="CI13" i="1"/>
  <c r="CI12" i="1"/>
  <c r="CI11" i="1"/>
  <c r="CI10" i="1"/>
  <c r="CI9" i="1"/>
  <c r="CI8" i="1"/>
  <c r="CI7" i="1"/>
  <c r="CI6" i="1"/>
  <c r="CI5" i="1"/>
  <c r="CJ4" i="1"/>
  <c r="CI3" i="1"/>
  <c r="AW3" i="2" s="1"/>
  <c r="CI42" i="1"/>
  <c r="CI43" i="1"/>
  <c r="CI52" i="1"/>
  <c r="CI56" i="1"/>
  <c r="CI108" i="1"/>
  <c r="CI135" i="1"/>
  <c r="CI180" i="1"/>
  <c r="CI208" i="1"/>
  <c r="CI181" i="1"/>
  <c r="CI186" i="1"/>
  <c r="CI192" i="1"/>
  <c r="CI198" i="1"/>
  <c r="CI136" i="1"/>
  <c r="CI109" i="1"/>
  <c r="CI82" i="1"/>
  <c r="CI78" i="1"/>
  <c r="CI215" i="1"/>
  <c r="CI193" i="1"/>
  <c r="CI199" i="1"/>
  <c r="CI233" i="1"/>
  <c r="CI34" i="1"/>
  <c r="CI46" i="1"/>
  <c r="CI55" i="1"/>
  <c r="CI122" i="1"/>
  <c r="CI59" i="1"/>
  <c r="CI125" i="1"/>
  <c r="CI137" i="1"/>
  <c r="CI158" i="1"/>
  <c r="CI182" i="1"/>
  <c r="CI213" i="1"/>
  <c r="CI209" i="1"/>
  <c r="CI214" i="1"/>
  <c r="CI217" i="1"/>
  <c r="CI220" i="1"/>
  <c r="CI159" i="1"/>
  <c r="CI218" i="1"/>
  <c r="CI252" i="1"/>
  <c r="CI35" i="1"/>
  <c r="CI76" i="1"/>
  <c r="CI36" i="1"/>
  <c r="CI47" i="1"/>
  <c r="CI67" i="1"/>
  <c r="CI80" i="1"/>
  <c r="CI141" i="1"/>
  <c r="CI157" i="1"/>
  <c r="CI188" i="1"/>
  <c r="CI183" i="1"/>
  <c r="CI204" i="1"/>
  <c r="CI216" i="1"/>
  <c r="CI142" i="1"/>
  <c r="CI110" i="1"/>
  <c r="CI221" i="1"/>
  <c r="CI187" i="1"/>
  <c r="CI37" i="1"/>
  <c r="CI97" i="1"/>
  <c r="CI38" i="1"/>
  <c r="CI68" i="1"/>
  <c r="CI70" i="1"/>
  <c r="CI83" i="1"/>
  <c r="CI94" i="1"/>
  <c r="CI164" i="1"/>
  <c r="CI143" i="1"/>
  <c r="CI160" i="1"/>
  <c r="CI194" i="1"/>
  <c r="CI189" i="1"/>
  <c r="CI226" i="1"/>
  <c r="CI219" i="1"/>
  <c r="CI165" i="1"/>
  <c r="CI285" i="1"/>
  <c r="CI263" i="1"/>
  <c r="CI210" i="1"/>
  <c r="CI39" i="1"/>
  <c r="CI231" i="1"/>
  <c r="CI44" i="1"/>
  <c r="CI71" i="1"/>
  <c r="CI96" i="1"/>
  <c r="CI230" i="1"/>
  <c r="CI144" i="1"/>
  <c r="CI166" i="1"/>
  <c r="CI200" i="1"/>
  <c r="CI113" i="1"/>
  <c r="CI222" i="1"/>
  <c r="CI145" i="1"/>
  <c r="CI138" i="1"/>
  <c r="CI286" i="1"/>
  <c r="CI289" i="1"/>
  <c r="CI79" i="1"/>
  <c r="CI274" i="1"/>
  <c r="CI211" i="1"/>
  <c r="CI48" i="1"/>
  <c r="CI40" i="1"/>
  <c r="CI242" i="1"/>
  <c r="CI45" i="1"/>
  <c r="CI53" i="1"/>
  <c r="CI72" i="1"/>
  <c r="CI232" i="1"/>
  <c r="CI241" i="1"/>
  <c r="CI167" i="1"/>
  <c r="CI146" i="1"/>
  <c r="CI177" i="1"/>
  <c r="CI168" i="1"/>
  <c r="CI139" i="1"/>
  <c r="CI161" i="1"/>
  <c r="CI124" i="1"/>
  <c r="CI84" i="1"/>
  <c r="CI69" i="1"/>
  <c r="CI195" i="1"/>
  <c r="CI237" i="1"/>
  <c r="CI201" i="1"/>
  <c r="CI49" i="1"/>
  <c r="CI57" i="1"/>
  <c r="CI74" i="1"/>
  <c r="CI253" i="1"/>
  <c r="CI243" i="1"/>
  <c r="CI147" i="1"/>
  <c r="CI169" i="1"/>
  <c r="CI207" i="1"/>
  <c r="CI148" i="1"/>
  <c r="CI162" i="1"/>
  <c r="CI127" i="1"/>
  <c r="CI287" i="1"/>
  <c r="CI85" i="1"/>
  <c r="CI99" i="1"/>
  <c r="CI73" i="1"/>
  <c r="CI63" i="1"/>
  <c r="CI50" i="1"/>
  <c r="CI294" i="1"/>
  <c r="CI117" i="1"/>
  <c r="CI295" i="1"/>
  <c r="CI264" i="1"/>
  <c r="CI254" i="1"/>
  <c r="CI244" i="1"/>
  <c r="CI170" i="1"/>
  <c r="CI149" i="1"/>
  <c r="CI171" i="1"/>
  <c r="CI128" i="1"/>
  <c r="CI118" i="1"/>
  <c r="CI234" i="1"/>
  <c r="CI60" i="1"/>
  <c r="CI131" i="1"/>
  <c r="CI91" i="1"/>
  <c r="CI65" i="1"/>
  <c r="CI275" i="1"/>
  <c r="CI265" i="1"/>
  <c r="CI255" i="1"/>
  <c r="CI245" i="1"/>
  <c r="CI153" i="1"/>
  <c r="CI172" i="1"/>
  <c r="CI150" i="1"/>
  <c r="CI101" i="1"/>
  <c r="CI129" i="1"/>
  <c r="CI288" i="1"/>
  <c r="CI61" i="1"/>
  <c r="CI87" i="1"/>
  <c r="CI291" i="1"/>
  <c r="CI89" i="1"/>
  <c r="CI248" i="1"/>
  <c r="CI276" i="1"/>
  <c r="CI266" i="1"/>
  <c r="CI111" i="1"/>
  <c r="CI246" i="1"/>
  <c r="CI176" i="1"/>
  <c r="CI151" i="1"/>
  <c r="CI184" i="1"/>
  <c r="CI119" i="1"/>
  <c r="CI173" i="1"/>
  <c r="CI290" i="1"/>
  <c r="CI223" i="1"/>
  <c r="CI103" i="1"/>
  <c r="CI105" i="1"/>
  <c r="CI259" i="1"/>
  <c r="CI277" i="1"/>
  <c r="CI293" i="1"/>
  <c r="CI120" i="1"/>
  <c r="CI92" i="1"/>
  <c r="CI174" i="1"/>
  <c r="CI256" i="1"/>
  <c r="CI292" i="1"/>
  <c r="CI66" i="1"/>
  <c r="CI133" i="1"/>
  <c r="CI270" i="1"/>
  <c r="CI278" i="1"/>
  <c r="CI190" i="1"/>
  <c r="CI121" i="1"/>
  <c r="CI100" i="1"/>
  <c r="CI267" i="1"/>
  <c r="CI257" i="1"/>
  <c r="CI116" i="1"/>
  <c r="CI115" i="1"/>
  <c r="CI281" i="1"/>
  <c r="CI51" i="1"/>
  <c r="CI224" i="1"/>
  <c r="CI196" i="1"/>
  <c r="CI235" i="1"/>
  <c r="CI247" i="1"/>
  <c r="CI152" i="1"/>
  <c r="CI130" i="1"/>
  <c r="CI229" i="1"/>
  <c r="CI155" i="1"/>
  <c r="CI90" i="1"/>
  <c r="CI112" i="1"/>
  <c r="CI279" i="1"/>
  <c r="CI163" i="1"/>
  <c r="CI202" i="1"/>
  <c r="CI249" i="1"/>
  <c r="CI185" i="1"/>
  <c r="CI262" i="1"/>
  <c r="CI178" i="1"/>
  <c r="CI273" i="1"/>
  <c r="CI175" i="1"/>
  <c r="CI75" i="1"/>
  <c r="CI296" i="1"/>
  <c r="CI268" i="1"/>
  <c r="CI93" i="1"/>
  <c r="CI102" i="1"/>
  <c r="CI106" i="1"/>
  <c r="CI212" i="1"/>
  <c r="CI206" i="1"/>
  <c r="CI284" i="1"/>
  <c r="CI191" i="1"/>
  <c r="CI86" i="1"/>
  <c r="CI62" i="1"/>
  <c r="CI269" i="1"/>
  <c r="CI134" i="1"/>
  <c r="CI228" i="1"/>
  <c r="CI280" i="1"/>
  <c r="CI236" i="1"/>
  <c r="CI225" i="1"/>
  <c r="CI140" i="1"/>
  <c r="CI156" i="1"/>
  <c r="CI239" i="1"/>
  <c r="CI179" i="1"/>
  <c r="CI203" i="1"/>
  <c r="CI258" i="1"/>
  <c r="CI197" i="1"/>
  <c r="CI240" i="1"/>
  <c r="CI250" i="1"/>
  <c r="CI205" i="1"/>
  <c r="CI114" i="1"/>
  <c r="CI88" i="1"/>
  <c r="CI251" i="1"/>
  <c r="CI261" i="1"/>
  <c r="CI227" i="1"/>
  <c r="CI271" i="1"/>
  <c r="CI238" i="1"/>
  <c r="CI272" i="1"/>
  <c r="CI64" i="1"/>
  <c r="CI282" i="1"/>
  <c r="CI154" i="1"/>
  <c r="CI283" i="1"/>
  <c r="CI260" i="1"/>
  <c r="CI132" i="1"/>
  <c r="CI104" i="1"/>
  <c r="AX4" i="2" l="1"/>
  <c r="CJ305" i="1"/>
  <c r="CJ304" i="1"/>
  <c r="CJ303" i="1"/>
  <c r="CJ302" i="1"/>
  <c r="CJ301" i="1"/>
  <c r="CJ300" i="1"/>
  <c r="CJ299" i="1"/>
  <c r="CJ298" i="1"/>
  <c r="CJ297" i="1"/>
  <c r="CJ126" i="1"/>
  <c r="CJ123" i="1"/>
  <c r="CJ107" i="1"/>
  <c r="CJ98" i="1"/>
  <c r="CJ95" i="1"/>
  <c r="CJ81" i="1"/>
  <c r="CJ77" i="1"/>
  <c r="CJ58" i="1"/>
  <c r="CJ54" i="1"/>
  <c r="CJ41" i="1"/>
  <c r="CJ33" i="1"/>
  <c r="CJ32" i="1"/>
  <c r="CJ31" i="1"/>
  <c r="CJ30" i="1"/>
  <c r="CJ29" i="1"/>
  <c r="CJ28" i="1"/>
  <c r="CJ27" i="1"/>
  <c r="CJ26" i="1"/>
  <c r="CJ25" i="1"/>
  <c r="CJ24" i="1"/>
  <c r="CJ23" i="1"/>
  <c r="CJ22" i="1"/>
  <c r="CJ21" i="1"/>
  <c r="CJ20" i="1"/>
  <c r="CJ19" i="1"/>
  <c r="CJ18" i="1"/>
  <c r="CJ17" i="1"/>
  <c r="CJ16" i="1"/>
  <c r="CJ15" i="1"/>
  <c r="CJ14" i="1"/>
  <c r="CJ13" i="1"/>
  <c r="CJ12" i="1"/>
  <c r="CJ11" i="1"/>
  <c r="CJ10" i="1"/>
  <c r="CJ9" i="1"/>
  <c r="CJ8" i="1"/>
  <c r="CJ7" i="1"/>
  <c r="CJ6" i="1"/>
  <c r="CJ5" i="1"/>
  <c r="CK4" i="1"/>
  <c r="CJ3" i="1"/>
  <c r="AX3" i="2" s="1"/>
  <c r="CJ42" i="1"/>
  <c r="CJ43" i="1"/>
  <c r="CJ52" i="1"/>
  <c r="CJ56" i="1"/>
  <c r="CJ108" i="1"/>
  <c r="CJ135" i="1"/>
  <c r="CJ180" i="1"/>
  <c r="CJ208" i="1"/>
  <c r="CJ181" i="1"/>
  <c r="CJ186" i="1"/>
  <c r="CJ192" i="1"/>
  <c r="CJ198" i="1"/>
  <c r="CJ136" i="1"/>
  <c r="CJ109" i="1"/>
  <c r="CJ82" i="1"/>
  <c r="CJ78" i="1"/>
  <c r="CJ215" i="1"/>
  <c r="CJ193" i="1"/>
  <c r="CJ199" i="1"/>
  <c r="CJ233" i="1"/>
  <c r="CJ34" i="1"/>
  <c r="CJ46" i="1"/>
  <c r="CJ55" i="1"/>
  <c r="CJ122" i="1"/>
  <c r="CJ59" i="1"/>
  <c r="CJ125" i="1"/>
  <c r="CJ137" i="1"/>
  <c r="CJ158" i="1"/>
  <c r="CJ182" i="1"/>
  <c r="CJ213" i="1"/>
  <c r="CJ209" i="1"/>
  <c r="CJ214" i="1"/>
  <c r="CJ217" i="1"/>
  <c r="CJ220" i="1"/>
  <c r="CJ159" i="1"/>
  <c r="CJ218" i="1"/>
  <c r="CJ252" i="1"/>
  <c r="CJ35" i="1"/>
  <c r="CJ76" i="1"/>
  <c r="CJ36" i="1"/>
  <c r="CJ47" i="1"/>
  <c r="CJ67" i="1"/>
  <c r="CJ80" i="1"/>
  <c r="CJ141" i="1"/>
  <c r="CJ157" i="1"/>
  <c r="CJ188" i="1"/>
  <c r="CJ183" i="1"/>
  <c r="CJ204" i="1"/>
  <c r="CJ216" i="1"/>
  <c r="CJ142" i="1"/>
  <c r="CJ110" i="1"/>
  <c r="CJ221" i="1"/>
  <c r="CJ187" i="1"/>
  <c r="CJ37" i="1"/>
  <c r="CJ97" i="1"/>
  <c r="CJ38" i="1"/>
  <c r="CJ68" i="1"/>
  <c r="CJ70" i="1"/>
  <c r="CJ83" i="1"/>
  <c r="CJ94" i="1"/>
  <c r="CJ164" i="1"/>
  <c r="CJ143" i="1"/>
  <c r="CJ160" i="1"/>
  <c r="CJ194" i="1"/>
  <c r="CJ189" i="1"/>
  <c r="CJ226" i="1"/>
  <c r="CJ219" i="1"/>
  <c r="CJ165" i="1"/>
  <c r="CJ285" i="1"/>
  <c r="CJ263" i="1"/>
  <c r="CJ210" i="1"/>
  <c r="CJ39" i="1"/>
  <c r="CJ231" i="1"/>
  <c r="CJ44" i="1"/>
  <c r="CJ71" i="1"/>
  <c r="CJ96" i="1"/>
  <c r="CJ230" i="1"/>
  <c r="CJ144" i="1"/>
  <c r="CJ166" i="1"/>
  <c r="CJ200" i="1"/>
  <c r="CJ113" i="1"/>
  <c r="CJ222" i="1"/>
  <c r="CJ145" i="1"/>
  <c r="CJ138" i="1"/>
  <c r="CJ286" i="1"/>
  <c r="CJ289" i="1"/>
  <c r="CJ79" i="1"/>
  <c r="CJ274" i="1"/>
  <c r="CJ211" i="1"/>
  <c r="CJ48" i="1"/>
  <c r="CJ40" i="1"/>
  <c r="CJ242" i="1"/>
  <c r="CJ45" i="1"/>
  <c r="CJ53" i="1"/>
  <c r="CJ72" i="1"/>
  <c r="CJ232" i="1"/>
  <c r="CJ241" i="1"/>
  <c r="CJ167" i="1"/>
  <c r="CJ146" i="1"/>
  <c r="CJ177" i="1"/>
  <c r="CJ168" i="1"/>
  <c r="CJ139" i="1"/>
  <c r="CJ161" i="1"/>
  <c r="CJ124" i="1"/>
  <c r="CJ84" i="1"/>
  <c r="CJ69" i="1"/>
  <c r="CJ195" i="1"/>
  <c r="CJ237" i="1"/>
  <c r="CJ201" i="1"/>
  <c r="CJ49" i="1"/>
  <c r="CJ57" i="1"/>
  <c r="CJ74" i="1"/>
  <c r="CJ253" i="1"/>
  <c r="CJ243" i="1"/>
  <c r="CJ147" i="1"/>
  <c r="CJ169" i="1"/>
  <c r="CJ207" i="1"/>
  <c r="CJ148" i="1"/>
  <c r="CJ162" i="1"/>
  <c r="CJ127" i="1"/>
  <c r="CJ287" i="1"/>
  <c r="CJ85" i="1"/>
  <c r="CJ99" i="1"/>
  <c r="CJ73" i="1"/>
  <c r="CJ63" i="1"/>
  <c r="CJ50" i="1"/>
  <c r="CJ294" i="1"/>
  <c r="CJ117" i="1"/>
  <c r="CJ295" i="1"/>
  <c r="CJ264" i="1"/>
  <c r="CJ254" i="1"/>
  <c r="CJ244" i="1"/>
  <c r="CJ170" i="1"/>
  <c r="CJ149" i="1"/>
  <c r="CJ171" i="1"/>
  <c r="CJ128" i="1"/>
  <c r="CJ118" i="1"/>
  <c r="CJ234" i="1"/>
  <c r="CJ60" i="1"/>
  <c r="CJ131" i="1"/>
  <c r="CJ91" i="1"/>
  <c r="CJ65" i="1"/>
  <c r="CJ275" i="1"/>
  <c r="CJ265" i="1"/>
  <c r="CJ255" i="1"/>
  <c r="CJ245" i="1"/>
  <c r="CJ153" i="1"/>
  <c r="CJ172" i="1"/>
  <c r="CJ150" i="1"/>
  <c r="CJ101" i="1"/>
  <c r="CJ129" i="1"/>
  <c r="CJ288" i="1"/>
  <c r="CJ61" i="1"/>
  <c r="CJ87" i="1"/>
  <c r="CJ291" i="1"/>
  <c r="CJ89" i="1"/>
  <c r="CJ248" i="1"/>
  <c r="CJ276" i="1"/>
  <c r="CJ266" i="1"/>
  <c r="CJ111" i="1"/>
  <c r="CJ246" i="1"/>
  <c r="CJ176" i="1"/>
  <c r="CJ151" i="1"/>
  <c r="CJ184" i="1"/>
  <c r="CJ119" i="1"/>
  <c r="CJ173" i="1"/>
  <c r="CJ290" i="1"/>
  <c r="CJ223" i="1"/>
  <c r="CJ103" i="1"/>
  <c r="CJ105" i="1"/>
  <c r="CJ259" i="1"/>
  <c r="CJ277" i="1"/>
  <c r="CJ293" i="1"/>
  <c r="CJ120" i="1"/>
  <c r="CJ92" i="1"/>
  <c r="CJ174" i="1"/>
  <c r="CJ256" i="1"/>
  <c r="CJ292" i="1"/>
  <c r="CJ66" i="1"/>
  <c r="CJ133" i="1"/>
  <c r="CJ270" i="1"/>
  <c r="CJ278" i="1"/>
  <c r="CJ190" i="1"/>
  <c r="CJ121" i="1"/>
  <c r="CJ100" i="1"/>
  <c r="CJ267" i="1"/>
  <c r="CJ257" i="1"/>
  <c r="CJ116" i="1"/>
  <c r="CJ115" i="1"/>
  <c r="CJ281" i="1"/>
  <c r="CJ51" i="1"/>
  <c r="CJ224" i="1"/>
  <c r="CJ196" i="1"/>
  <c r="CJ235" i="1"/>
  <c r="CJ247" i="1"/>
  <c r="CJ152" i="1"/>
  <c r="CJ130" i="1"/>
  <c r="CJ229" i="1"/>
  <c r="CJ155" i="1"/>
  <c r="CJ90" i="1"/>
  <c r="CJ112" i="1"/>
  <c r="CJ279" i="1"/>
  <c r="CJ163" i="1"/>
  <c r="CJ202" i="1"/>
  <c r="CJ249" i="1"/>
  <c r="CJ185" i="1"/>
  <c r="CJ262" i="1"/>
  <c r="CJ178" i="1"/>
  <c r="CJ273" i="1"/>
  <c r="CJ175" i="1"/>
  <c r="CJ75" i="1"/>
  <c r="CJ296" i="1"/>
  <c r="CJ268" i="1"/>
  <c r="CJ93" i="1"/>
  <c r="CJ102" i="1"/>
  <c r="CJ106" i="1"/>
  <c r="CJ212" i="1"/>
  <c r="CJ206" i="1"/>
  <c r="CJ284" i="1"/>
  <c r="CJ191" i="1"/>
  <c r="CJ86" i="1"/>
  <c r="CJ62" i="1"/>
  <c r="CJ269" i="1"/>
  <c r="CJ134" i="1"/>
  <c r="CJ228" i="1"/>
  <c r="CJ280" i="1"/>
  <c r="CJ236" i="1"/>
  <c r="CJ225" i="1"/>
  <c r="CJ140" i="1"/>
  <c r="CJ156" i="1"/>
  <c r="CJ239" i="1"/>
  <c r="CJ179" i="1"/>
  <c r="CJ203" i="1"/>
  <c r="CJ258" i="1"/>
  <c r="CJ197" i="1"/>
  <c r="CJ240" i="1"/>
  <c r="CJ250" i="1"/>
  <c r="CJ205" i="1"/>
  <c r="CJ114" i="1"/>
  <c r="CJ88" i="1"/>
  <c r="CJ251" i="1"/>
  <c r="CJ261" i="1"/>
  <c r="CJ227" i="1"/>
  <c r="CJ271" i="1"/>
  <c r="CJ238" i="1"/>
  <c r="CJ272" i="1"/>
  <c r="CJ64" i="1"/>
  <c r="CJ282" i="1"/>
  <c r="CJ154" i="1"/>
  <c r="CJ283" i="1"/>
  <c r="CJ260" i="1"/>
  <c r="CJ132" i="1"/>
  <c r="CJ104" i="1"/>
  <c r="AY4" i="2" l="1"/>
  <c r="CK305" i="1"/>
  <c r="CK304" i="1"/>
  <c r="CK303" i="1"/>
  <c r="CK302" i="1"/>
  <c r="CK301" i="1"/>
  <c r="CK300" i="1"/>
  <c r="CK299" i="1"/>
  <c r="CK298" i="1"/>
  <c r="CK297" i="1"/>
  <c r="CK126" i="1"/>
  <c r="CK123" i="1"/>
  <c r="CK107" i="1"/>
  <c r="CK98" i="1"/>
  <c r="CK95" i="1"/>
  <c r="CK81" i="1"/>
  <c r="CK77" i="1"/>
  <c r="CK58" i="1"/>
  <c r="CK54" i="1"/>
  <c r="CK41" i="1"/>
  <c r="CK33" i="1"/>
  <c r="CK32" i="1"/>
  <c r="CK31" i="1"/>
  <c r="CK30" i="1"/>
  <c r="CK29" i="1"/>
  <c r="CK28" i="1"/>
  <c r="CK27" i="1"/>
  <c r="CK26" i="1"/>
  <c r="CK25" i="1"/>
  <c r="CK24" i="1"/>
  <c r="CK23" i="1"/>
  <c r="CK22" i="1"/>
  <c r="CK21" i="1"/>
  <c r="CK20" i="1"/>
  <c r="CK19" i="1"/>
  <c r="CK18" i="1"/>
  <c r="CK17" i="1"/>
  <c r="CK16" i="1"/>
  <c r="CK15" i="1"/>
  <c r="CK14" i="1"/>
  <c r="CK13" i="1"/>
  <c r="CK12" i="1"/>
  <c r="CK11" i="1"/>
  <c r="CK10" i="1"/>
  <c r="CK9" i="1"/>
  <c r="CK8" i="1"/>
  <c r="CK7" i="1"/>
  <c r="CK6" i="1"/>
  <c r="CK5" i="1"/>
  <c r="CL4" i="1"/>
  <c r="CK3" i="1"/>
  <c r="AY3" i="2" s="1"/>
  <c r="CK42" i="1"/>
  <c r="CK43" i="1"/>
  <c r="CK52" i="1"/>
  <c r="CK56" i="1"/>
  <c r="CK108" i="1"/>
  <c r="CK135" i="1"/>
  <c r="CK180" i="1"/>
  <c r="CK208" i="1"/>
  <c r="CK181" i="1"/>
  <c r="CK186" i="1"/>
  <c r="CK192" i="1"/>
  <c r="CK198" i="1"/>
  <c r="CK136" i="1"/>
  <c r="CK109" i="1"/>
  <c r="CK82" i="1"/>
  <c r="CK78" i="1"/>
  <c r="CK215" i="1"/>
  <c r="CK193" i="1"/>
  <c r="CK199" i="1"/>
  <c r="CK233" i="1"/>
  <c r="CK34" i="1"/>
  <c r="CK46" i="1"/>
  <c r="CK55" i="1"/>
  <c r="CK122" i="1"/>
  <c r="CK59" i="1"/>
  <c r="CK125" i="1"/>
  <c r="CK137" i="1"/>
  <c r="CK158" i="1"/>
  <c r="CK182" i="1"/>
  <c r="CK213" i="1"/>
  <c r="CK209" i="1"/>
  <c r="CK214" i="1"/>
  <c r="CK217" i="1"/>
  <c r="CK220" i="1"/>
  <c r="CK159" i="1"/>
  <c r="CK218" i="1"/>
  <c r="CK252" i="1"/>
  <c r="CK35" i="1"/>
  <c r="CK76" i="1"/>
  <c r="CK36" i="1"/>
  <c r="CK47" i="1"/>
  <c r="CK67" i="1"/>
  <c r="CK80" i="1"/>
  <c r="CK141" i="1"/>
  <c r="CK157" i="1"/>
  <c r="CK188" i="1"/>
  <c r="CK183" i="1"/>
  <c r="CK204" i="1"/>
  <c r="CK216" i="1"/>
  <c r="CK142" i="1"/>
  <c r="CK110" i="1"/>
  <c r="CK221" i="1"/>
  <c r="CK187" i="1"/>
  <c r="CK37" i="1"/>
  <c r="CK97" i="1"/>
  <c r="CK38" i="1"/>
  <c r="CK68" i="1"/>
  <c r="CK70" i="1"/>
  <c r="CK83" i="1"/>
  <c r="CK94" i="1"/>
  <c r="CK164" i="1"/>
  <c r="CK143" i="1"/>
  <c r="CK160" i="1"/>
  <c r="CK194" i="1"/>
  <c r="CK189" i="1"/>
  <c r="CK226" i="1"/>
  <c r="CK219" i="1"/>
  <c r="CK165" i="1"/>
  <c r="CK285" i="1"/>
  <c r="CK263" i="1"/>
  <c r="CK210" i="1"/>
  <c r="CK39" i="1"/>
  <c r="CK231" i="1"/>
  <c r="CK44" i="1"/>
  <c r="CK71" i="1"/>
  <c r="CK96" i="1"/>
  <c r="CK230" i="1"/>
  <c r="CK144" i="1"/>
  <c r="CK166" i="1"/>
  <c r="CK200" i="1"/>
  <c r="CK113" i="1"/>
  <c r="CK222" i="1"/>
  <c r="CK145" i="1"/>
  <c r="CK138" i="1"/>
  <c r="CK286" i="1"/>
  <c r="CK289" i="1"/>
  <c r="CK79" i="1"/>
  <c r="CK274" i="1"/>
  <c r="CK211" i="1"/>
  <c r="CK48" i="1"/>
  <c r="CK40" i="1"/>
  <c r="CK242" i="1"/>
  <c r="CK45" i="1"/>
  <c r="CK53" i="1"/>
  <c r="CK72" i="1"/>
  <c r="CK232" i="1"/>
  <c r="CK241" i="1"/>
  <c r="CK167" i="1"/>
  <c r="CK146" i="1"/>
  <c r="CK177" i="1"/>
  <c r="CK168" i="1"/>
  <c r="CK139" i="1"/>
  <c r="CK161" i="1"/>
  <c r="CK124" i="1"/>
  <c r="CK84" i="1"/>
  <c r="CK69" i="1"/>
  <c r="CK195" i="1"/>
  <c r="CK237" i="1"/>
  <c r="CK201" i="1"/>
  <c r="CK49" i="1"/>
  <c r="CK57" i="1"/>
  <c r="CK74" i="1"/>
  <c r="CK253" i="1"/>
  <c r="CK243" i="1"/>
  <c r="CK147" i="1"/>
  <c r="CK169" i="1"/>
  <c r="CK207" i="1"/>
  <c r="CK148" i="1"/>
  <c r="CK162" i="1"/>
  <c r="CK127" i="1"/>
  <c r="CK287" i="1"/>
  <c r="CK85" i="1"/>
  <c r="CK99" i="1"/>
  <c r="CK73" i="1"/>
  <c r="CK63" i="1"/>
  <c r="CK50" i="1"/>
  <c r="CK294" i="1"/>
  <c r="CK117" i="1"/>
  <c r="CK295" i="1"/>
  <c r="CK264" i="1"/>
  <c r="CK254" i="1"/>
  <c r="CK244" i="1"/>
  <c r="CK170" i="1"/>
  <c r="CK149" i="1"/>
  <c r="CK171" i="1"/>
  <c r="CK128" i="1"/>
  <c r="CK118" i="1"/>
  <c r="CK234" i="1"/>
  <c r="CK60" i="1"/>
  <c r="CK131" i="1"/>
  <c r="CK91" i="1"/>
  <c r="CK65" i="1"/>
  <c r="CK275" i="1"/>
  <c r="CK265" i="1"/>
  <c r="CK255" i="1"/>
  <c r="CK245" i="1"/>
  <c r="CK153" i="1"/>
  <c r="CK172" i="1"/>
  <c r="CK150" i="1"/>
  <c r="CK101" i="1"/>
  <c r="CK129" i="1"/>
  <c r="CK288" i="1"/>
  <c r="CK61" i="1"/>
  <c r="CK87" i="1"/>
  <c r="CK291" i="1"/>
  <c r="CK89" i="1"/>
  <c r="CK248" i="1"/>
  <c r="CK276" i="1"/>
  <c r="CK266" i="1"/>
  <c r="CK111" i="1"/>
  <c r="CK246" i="1"/>
  <c r="CK176" i="1"/>
  <c r="CK151" i="1"/>
  <c r="CK184" i="1"/>
  <c r="CK119" i="1"/>
  <c r="CK173" i="1"/>
  <c r="CK290" i="1"/>
  <c r="CK223" i="1"/>
  <c r="CK103" i="1"/>
  <c r="CK105" i="1"/>
  <c r="CK259" i="1"/>
  <c r="CK277" i="1"/>
  <c r="CK293" i="1"/>
  <c r="CK120" i="1"/>
  <c r="CK92" i="1"/>
  <c r="CK174" i="1"/>
  <c r="CK256" i="1"/>
  <c r="CK292" i="1"/>
  <c r="CK66" i="1"/>
  <c r="CK133" i="1"/>
  <c r="CK270" i="1"/>
  <c r="CK278" i="1"/>
  <c r="CK190" i="1"/>
  <c r="CK121" i="1"/>
  <c r="CK100" i="1"/>
  <c r="CK267" i="1"/>
  <c r="CK257" i="1"/>
  <c r="CK116" i="1"/>
  <c r="CK115" i="1"/>
  <c r="CK281" i="1"/>
  <c r="CK51" i="1"/>
  <c r="CK224" i="1"/>
  <c r="CK196" i="1"/>
  <c r="CK235" i="1"/>
  <c r="CK247" i="1"/>
  <c r="CK152" i="1"/>
  <c r="CK130" i="1"/>
  <c r="CK229" i="1"/>
  <c r="CK155" i="1"/>
  <c r="CK90" i="1"/>
  <c r="CK112" i="1"/>
  <c r="CK279" i="1"/>
  <c r="CK163" i="1"/>
  <c r="CK202" i="1"/>
  <c r="CK249" i="1"/>
  <c r="CK185" i="1"/>
  <c r="CK262" i="1"/>
  <c r="CK178" i="1"/>
  <c r="CK273" i="1"/>
  <c r="CK175" i="1"/>
  <c r="CK75" i="1"/>
  <c r="CK296" i="1"/>
  <c r="CK268" i="1"/>
  <c r="CK93" i="1"/>
  <c r="CK102" i="1"/>
  <c r="CK106" i="1"/>
  <c r="CK212" i="1"/>
  <c r="CK206" i="1"/>
  <c r="CK284" i="1"/>
  <c r="CK191" i="1"/>
  <c r="CK86" i="1"/>
  <c r="CK62" i="1"/>
  <c r="CK269" i="1"/>
  <c r="CK134" i="1"/>
  <c r="CK228" i="1"/>
  <c r="CK280" i="1"/>
  <c r="CK236" i="1"/>
  <c r="CK225" i="1"/>
  <c r="CK140" i="1"/>
  <c r="CK156" i="1"/>
  <c r="CK239" i="1"/>
  <c r="CK179" i="1"/>
  <c r="CK203" i="1"/>
  <c r="CK258" i="1"/>
  <c r="CK197" i="1"/>
  <c r="CK240" i="1"/>
  <c r="CK250" i="1"/>
  <c r="CK205" i="1"/>
  <c r="CK114" i="1"/>
  <c r="CK88" i="1"/>
  <c r="CK251" i="1"/>
  <c r="CK261" i="1"/>
  <c r="CK227" i="1"/>
  <c r="CK271" i="1"/>
  <c r="CK238" i="1"/>
  <c r="CK272" i="1"/>
  <c r="CK64" i="1"/>
  <c r="CK282" i="1"/>
  <c r="CK154" i="1"/>
  <c r="CK283" i="1"/>
  <c r="CK260" i="1"/>
  <c r="CK132" i="1"/>
  <c r="CK104" i="1"/>
  <c r="AZ4" i="2" l="1"/>
  <c r="CL305" i="1"/>
  <c r="CL304" i="1"/>
  <c r="CL303" i="1"/>
  <c r="CL302" i="1"/>
  <c r="CL301" i="1"/>
  <c r="CL300" i="1"/>
  <c r="CL299" i="1"/>
  <c r="CL298" i="1"/>
  <c r="CL297" i="1"/>
  <c r="CL126" i="1"/>
  <c r="CL123" i="1"/>
  <c r="CL107" i="1"/>
  <c r="CL98" i="1"/>
  <c r="CL95" i="1"/>
  <c r="CL81" i="1"/>
  <c r="CL77" i="1"/>
  <c r="CL58" i="1"/>
  <c r="CL54" i="1"/>
  <c r="CL41" i="1"/>
  <c r="CL33" i="1"/>
  <c r="CL32" i="1"/>
  <c r="CL31" i="1"/>
  <c r="CL30" i="1"/>
  <c r="CL29" i="1"/>
  <c r="CL28" i="1"/>
  <c r="CL27" i="1"/>
  <c r="CL26" i="1"/>
  <c r="CL25" i="1"/>
  <c r="CL24" i="1"/>
  <c r="CL23" i="1"/>
  <c r="CL22" i="1"/>
  <c r="CL21" i="1"/>
  <c r="CL20" i="1"/>
  <c r="CL19" i="1"/>
  <c r="CL18" i="1"/>
  <c r="CL17" i="1"/>
  <c r="CL16" i="1"/>
  <c r="CL15" i="1"/>
  <c r="CL14" i="1"/>
  <c r="CL13" i="1"/>
  <c r="CL12" i="1"/>
  <c r="CL11" i="1"/>
  <c r="CL10" i="1"/>
  <c r="CL9" i="1"/>
  <c r="CL8" i="1"/>
  <c r="CL7" i="1"/>
  <c r="CL6" i="1"/>
  <c r="CL5" i="1"/>
  <c r="CM4" i="1"/>
  <c r="CL3" i="1"/>
  <c r="AZ3" i="2" s="1"/>
  <c r="CL42" i="1"/>
  <c r="CL43" i="1"/>
  <c r="CL52" i="1"/>
  <c r="CL56" i="1"/>
  <c r="CL108" i="1"/>
  <c r="CL135" i="1"/>
  <c r="CL180" i="1"/>
  <c r="CL208" i="1"/>
  <c r="CL181" i="1"/>
  <c r="CL186" i="1"/>
  <c r="CL192" i="1"/>
  <c r="CL198" i="1"/>
  <c r="CL136" i="1"/>
  <c r="CL109" i="1"/>
  <c r="CL82" i="1"/>
  <c r="CL78" i="1"/>
  <c r="CL215" i="1"/>
  <c r="CL193" i="1"/>
  <c r="CL199" i="1"/>
  <c r="CL233" i="1"/>
  <c r="CL34" i="1"/>
  <c r="CL46" i="1"/>
  <c r="CL55" i="1"/>
  <c r="CL122" i="1"/>
  <c r="CL59" i="1"/>
  <c r="CL125" i="1"/>
  <c r="CL137" i="1"/>
  <c r="CL158" i="1"/>
  <c r="CL182" i="1"/>
  <c r="CL213" i="1"/>
  <c r="CL209" i="1"/>
  <c r="CL214" i="1"/>
  <c r="CL217" i="1"/>
  <c r="CL220" i="1"/>
  <c r="CL159" i="1"/>
  <c r="CL218" i="1"/>
  <c r="CL252" i="1"/>
  <c r="CL35" i="1"/>
  <c r="CL76" i="1"/>
  <c r="CL36" i="1"/>
  <c r="CL47" i="1"/>
  <c r="CL67" i="1"/>
  <c r="CL80" i="1"/>
  <c r="CL141" i="1"/>
  <c r="CL157" i="1"/>
  <c r="CL188" i="1"/>
  <c r="CL183" i="1"/>
  <c r="CL204" i="1"/>
  <c r="CL216" i="1"/>
  <c r="CL142" i="1"/>
  <c r="CL110" i="1"/>
  <c r="CL221" i="1"/>
  <c r="CL187" i="1"/>
  <c r="CL37" i="1"/>
  <c r="CL97" i="1"/>
  <c r="CL38" i="1"/>
  <c r="CL68" i="1"/>
  <c r="CL70" i="1"/>
  <c r="CL83" i="1"/>
  <c r="CL94" i="1"/>
  <c r="CL164" i="1"/>
  <c r="CL143" i="1"/>
  <c r="CL160" i="1"/>
  <c r="CL194" i="1"/>
  <c r="CL189" i="1"/>
  <c r="CL226" i="1"/>
  <c r="CL219" i="1"/>
  <c r="CL165" i="1"/>
  <c r="CL285" i="1"/>
  <c r="CL263" i="1"/>
  <c r="CL210" i="1"/>
  <c r="CL39" i="1"/>
  <c r="CL231" i="1"/>
  <c r="CL44" i="1"/>
  <c r="CL71" i="1"/>
  <c r="CL96" i="1"/>
  <c r="CL230" i="1"/>
  <c r="CL144" i="1"/>
  <c r="CL166" i="1"/>
  <c r="CL200" i="1"/>
  <c r="CL113" i="1"/>
  <c r="CL222" i="1"/>
  <c r="CL145" i="1"/>
  <c r="CL138" i="1"/>
  <c r="CL286" i="1"/>
  <c r="CL289" i="1"/>
  <c r="CL79" i="1"/>
  <c r="CL274" i="1"/>
  <c r="CL211" i="1"/>
  <c r="CL48" i="1"/>
  <c r="CL40" i="1"/>
  <c r="CL242" i="1"/>
  <c r="CL45" i="1"/>
  <c r="CL53" i="1"/>
  <c r="CL72" i="1"/>
  <c r="CL232" i="1"/>
  <c r="CL241" i="1"/>
  <c r="CL167" i="1"/>
  <c r="CL146" i="1"/>
  <c r="CL177" i="1"/>
  <c r="CL168" i="1"/>
  <c r="CL139" i="1"/>
  <c r="CL161" i="1"/>
  <c r="CL124" i="1"/>
  <c r="CL84" i="1"/>
  <c r="CL69" i="1"/>
  <c r="CL195" i="1"/>
  <c r="CL237" i="1"/>
  <c r="CL201" i="1"/>
  <c r="CL49" i="1"/>
  <c r="CL57" i="1"/>
  <c r="CL74" i="1"/>
  <c r="CL253" i="1"/>
  <c r="CL243" i="1"/>
  <c r="CL147" i="1"/>
  <c r="CL169" i="1"/>
  <c r="CL207" i="1"/>
  <c r="CL148" i="1"/>
  <c r="CL162" i="1"/>
  <c r="CL127" i="1"/>
  <c r="CL287" i="1"/>
  <c r="CL85" i="1"/>
  <c r="CL99" i="1"/>
  <c r="CL73" i="1"/>
  <c r="CL63" i="1"/>
  <c r="CL50" i="1"/>
  <c r="CL294" i="1"/>
  <c r="CL117" i="1"/>
  <c r="CL295" i="1"/>
  <c r="CL264" i="1"/>
  <c r="CL254" i="1"/>
  <c r="CL244" i="1"/>
  <c r="CL170" i="1"/>
  <c r="CL149" i="1"/>
  <c r="CL171" i="1"/>
  <c r="CL128" i="1"/>
  <c r="CL118" i="1"/>
  <c r="CL234" i="1"/>
  <c r="CL60" i="1"/>
  <c r="CL131" i="1"/>
  <c r="CL91" i="1"/>
  <c r="CL65" i="1"/>
  <c r="CL275" i="1"/>
  <c r="CL265" i="1"/>
  <c r="CL255" i="1"/>
  <c r="CL245" i="1"/>
  <c r="CL153" i="1"/>
  <c r="CL172" i="1"/>
  <c r="CL150" i="1"/>
  <c r="CL101" i="1"/>
  <c r="CL129" i="1"/>
  <c r="CL288" i="1"/>
  <c r="CL61" i="1"/>
  <c r="CL87" i="1"/>
  <c r="CL291" i="1"/>
  <c r="CL89" i="1"/>
  <c r="CL248" i="1"/>
  <c r="CL276" i="1"/>
  <c r="CL266" i="1"/>
  <c r="CL111" i="1"/>
  <c r="CL246" i="1"/>
  <c r="CL176" i="1"/>
  <c r="CL151" i="1"/>
  <c r="CL184" i="1"/>
  <c r="CL119" i="1"/>
  <c r="CL173" i="1"/>
  <c r="CL290" i="1"/>
  <c r="CL223" i="1"/>
  <c r="CL103" i="1"/>
  <c r="CL105" i="1"/>
  <c r="CL259" i="1"/>
  <c r="CL277" i="1"/>
  <c r="CL293" i="1"/>
  <c r="CL120" i="1"/>
  <c r="CL92" i="1"/>
  <c r="CL174" i="1"/>
  <c r="CL256" i="1"/>
  <c r="CL292" i="1"/>
  <c r="CL66" i="1"/>
  <c r="CL133" i="1"/>
  <c r="CL270" i="1"/>
  <c r="CL278" i="1"/>
  <c r="CL190" i="1"/>
  <c r="CL121" i="1"/>
  <c r="CL100" i="1"/>
  <c r="CL267" i="1"/>
  <c r="CL257" i="1"/>
  <c r="CL116" i="1"/>
  <c r="CL115" i="1"/>
  <c r="CL281" i="1"/>
  <c r="CL51" i="1"/>
  <c r="CL224" i="1"/>
  <c r="CL196" i="1"/>
  <c r="CL235" i="1"/>
  <c r="CL247" i="1"/>
  <c r="CL152" i="1"/>
  <c r="CL130" i="1"/>
  <c r="CL229" i="1"/>
  <c r="CL155" i="1"/>
  <c r="CL90" i="1"/>
  <c r="CL112" i="1"/>
  <c r="CL279" i="1"/>
  <c r="CL163" i="1"/>
  <c r="CL202" i="1"/>
  <c r="CL249" i="1"/>
  <c r="CL185" i="1"/>
  <c r="CL262" i="1"/>
  <c r="CL178" i="1"/>
  <c r="CL273" i="1"/>
  <c r="CL175" i="1"/>
  <c r="CL75" i="1"/>
  <c r="CL296" i="1"/>
  <c r="CL268" i="1"/>
  <c r="CL93" i="1"/>
  <c r="CL102" i="1"/>
  <c r="CL106" i="1"/>
  <c r="CL212" i="1"/>
  <c r="CL206" i="1"/>
  <c r="CL284" i="1"/>
  <c r="CL191" i="1"/>
  <c r="CL86" i="1"/>
  <c r="CL62" i="1"/>
  <c r="CL269" i="1"/>
  <c r="CL134" i="1"/>
  <c r="CL228" i="1"/>
  <c r="CL280" i="1"/>
  <c r="CL236" i="1"/>
  <c r="CL225" i="1"/>
  <c r="CL140" i="1"/>
  <c r="CL156" i="1"/>
  <c r="CL239" i="1"/>
  <c r="CL179" i="1"/>
  <c r="CL203" i="1"/>
  <c r="CL258" i="1"/>
  <c r="CL197" i="1"/>
  <c r="CL240" i="1"/>
  <c r="CL250" i="1"/>
  <c r="CL205" i="1"/>
  <c r="CL114" i="1"/>
  <c r="CL88" i="1"/>
  <c r="CL251" i="1"/>
  <c r="CL261" i="1"/>
  <c r="CL227" i="1"/>
  <c r="CL271" i="1"/>
  <c r="CL238" i="1"/>
  <c r="CL272" i="1"/>
  <c r="CL64" i="1"/>
  <c r="CL282" i="1"/>
  <c r="CL154" i="1"/>
  <c r="CL283" i="1"/>
  <c r="CL260" i="1"/>
  <c r="CL132" i="1"/>
  <c r="CL104" i="1"/>
  <c r="BA4" i="2" l="1"/>
  <c r="CM305" i="1"/>
  <c r="CM304" i="1"/>
  <c r="CM303" i="1"/>
  <c r="CM302" i="1"/>
  <c r="CM301" i="1"/>
  <c r="CM300" i="1"/>
  <c r="CM299" i="1"/>
  <c r="CM298" i="1"/>
  <c r="CM297" i="1"/>
  <c r="CM126" i="1"/>
  <c r="CM123" i="1"/>
  <c r="CM107" i="1"/>
  <c r="CM98" i="1"/>
  <c r="CM95" i="1"/>
  <c r="CM81" i="1"/>
  <c r="CM77" i="1"/>
  <c r="CM58" i="1"/>
  <c r="CM54" i="1"/>
  <c r="CM41" i="1"/>
  <c r="CM33" i="1"/>
  <c r="CM32" i="1"/>
  <c r="CM31" i="1"/>
  <c r="CM30" i="1"/>
  <c r="CM29" i="1"/>
  <c r="CM28" i="1"/>
  <c r="CM27" i="1"/>
  <c r="CM26" i="1"/>
  <c r="CM25" i="1"/>
  <c r="CM24" i="1"/>
  <c r="CM23" i="1"/>
  <c r="CM22" i="1"/>
  <c r="CM21" i="1"/>
  <c r="CM20" i="1"/>
  <c r="CM19" i="1"/>
  <c r="CM18" i="1"/>
  <c r="CM17" i="1"/>
  <c r="CM16" i="1"/>
  <c r="CM15" i="1"/>
  <c r="CM14" i="1"/>
  <c r="CM13" i="1"/>
  <c r="CM12" i="1"/>
  <c r="CM11" i="1"/>
  <c r="CM10" i="1"/>
  <c r="CM9" i="1"/>
  <c r="CM8" i="1"/>
  <c r="CM7" i="1"/>
  <c r="CM6" i="1"/>
  <c r="CM5" i="1"/>
  <c r="CM3" i="1"/>
  <c r="BA3" i="2" s="1"/>
  <c r="CM42" i="1"/>
  <c r="CM43" i="1"/>
  <c r="CM52" i="1"/>
  <c r="CM56" i="1"/>
  <c r="CM108" i="1"/>
  <c r="CM135" i="1"/>
  <c r="CM180" i="1"/>
  <c r="CM208" i="1"/>
  <c r="CM181" i="1"/>
  <c r="CM186" i="1"/>
  <c r="CM192" i="1"/>
  <c r="CM198" i="1"/>
  <c r="CM136" i="1"/>
  <c r="CM109" i="1"/>
  <c r="CM82" i="1"/>
  <c r="CM78" i="1"/>
  <c r="CM215" i="1"/>
  <c r="CM193" i="1"/>
  <c r="CM199" i="1"/>
  <c r="CM233" i="1"/>
  <c r="CM34" i="1"/>
  <c r="CM46" i="1"/>
  <c r="CM55" i="1"/>
  <c r="CM122" i="1"/>
  <c r="CM59" i="1"/>
  <c r="CM125" i="1"/>
  <c r="CM137" i="1"/>
  <c r="CM158" i="1"/>
  <c r="CM182" i="1"/>
  <c r="CM213" i="1"/>
  <c r="CM209" i="1"/>
  <c r="CM214" i="1"/>
  <c r="CM217" i="1"/>
  <c r="CM220" i="1"/>
  <c r="CM159" i="1"/>
  <c r="CM218" i="1"/>
  <c r="CM252" i="1"/>
  <c r="CM35" i="1"/>
  <c r="CM76" i="1"/>
  <c r="CM36" i="1"/>
  <c r="CM47" i="1"/>
  <c r="CM67" i="1"/>
  <c r="CM80" i="1"/>
  <c r="CM141" i="1"/>
  <c r="CM157" i="1"/>
  <c r="CM188" i="1"/>
  <c r="CM183" i="1"/>
  <c r="CM204" i="1"/>
  <c r="CM216" i="1"/>
  <c r="CM142" i="1"/>
  <c r="CM110" i="1"/>
  <c r="CM221" i="1"/>
  <c r="CM187" i="1"/>
  <c r="CM37" i="1"/>
  <c r="CM97" i="1"/>
  <c r="CM38" i="1"/>
  <c r="CM68" i="1"/>
  <c r="CM70" i="1"/>
  <c r="CM83" i="1"/>
  <c r="CM94" i="1"/>
  <c r="CM164" i="1"/>
  <c r="CM143" i="1"/>
  <c r="CM160" i="1"/>
  <c r="CM194" i="1"/>
  <c r="CM189" i="1"/>
  <c r="CM226" i="1"/>
  <c r="CM219" i="1"/>
  <c r="CM165" i="1"/>
  <c r="CM285" i="1"/>
  <c r="CM263" i="1"/>
  <c r="CM210" i="1"/>
  <c r="CM39" i="1"/>
  <c r="CM231" i="1"/>
  <c r="CM44" i="1"/>
  <c r="CM71" i="1"/>
  <c r="CM96" i="1"/>
  <c r="CM230" i="1"/>
  <c r="CM144" i="1"/>
  <c r="CM166" i="1"/>
  <c r="CM200" i="1"/>
  <c r="CM113" i="1"/>
  <c r="CM222" i="1"/>
  <c r="CM145" i="1"/>
  <c r="CM138" i="1"/>
  <c r="CM286" i="1"/>
  <c r="CM289" i="1"/>
  <c r="CM79" i="1"/>
  <c r="CM274" i="1"/>
  <c r="CM211" i="1"/>
  <c r="CM48" i="1"/>
  <c r="CM40" i="1"/>
  <c r="CM242" i="1"/>
  <c r="CM45" i="1"/>
  <c r="CM53" i="1"/>
  <c r="CM72" i="1"/>
  <c r="CM232" i="1"/>
  <c r="CM241" i="1"/>
  <c r="CM167" i="1"/>
  <c r="CM146" i="1"/>
  <c r="CM177" i="1"/>
  <c r="CM168" i="1"/>
  <c r="CM139" i="1"/>
  <c r="CM161" i="1"/>
  <c r="CM124" i="1"/>
  <c r="CM84" i="1"/>
  <c r="CM69" i="1"/>
  <c r="CM195" i="1"/>
  <c r="CM237" i="1"/>
  <c r="CM201" i="1"/>
  <c r="CM49" i="1"/>
  <c r="CM57" i="1"/>
  <c r="CM74" i="1"/>
  <c r="CM253" i="1"/>
  <c r="CM243" i="1"/>
  <c r="CM147" i="1"/>
  <c r="CM169" i="1"/>
  <c r="CM207" i="1"/>
  <c r="CM148" i="1"/>
  <c r="CM162" i="1"/>
  <c r="CM127" i="1"/>
  <c r="CM287" i="1"/>
  <c r="CM85" i="1"/>
  <c r="CM99" i="1"/>
  <c r="CM73" i="1"/>
  <c r="CM63" i="1"/>
  <c r="CM50" i="1"/>
  <c r="CM294" i="1"/>
  <c r="CM117" i="1"/>
  <c r="CM295" i="1"/>
  <c r="CM264" i="1"/>
  <c r="CM254" i="1"/>
  <c r="CM244" i="1"/>
  <c r="CM170" i="1"/>
  <c r="CM149" i="1"/>
  <c r="CM171" i="1"/>
  <c r="CM128" i="1"/>
  <c r="CM118" i="1"/>
  <c r="CM234" i="1"/>
  <c r="CM60" i="1"/>
  <c r="CM131" i="1"/>
  <c r="CM91" i="1"/>
  <c r="CM65" i="1"/>
  <c r="CM275" i="1"/>
  <c r="CM265" i="1"/>
  <c r="CM255" i="1"/>
  <c r="CM245" i="1"/>
  <c r="CM153" i="1"/>
  <c r="CM172" i="1"/>
  <c r="CM150" i="1"/>
  <c r="CM101" i="1"/>
  <c r="CM129" i="1"/>
  <c r="CM288" i="1"/>
  <c r="CM61" i="1"/>
  <c r="CM87" i="1"/>
  <c r="CM291" i="1"/>
  <c r="CM89" i="1"/>
  <c r="CM248" i="1"/>
  <c r="CM276" i="1"/>
  <c r="CM266" i="1"/>
  <c r="CM111" i="1"/>
  <c r="CM246" i="1"/>
  <c r="CM176" i="1"/>
  <c r="CM151" i="1"/>
  <c r="CM184" i="1"/>
  <c r="CM119" i="1"/>
  <c r="CM173" i="1"/>
  <c r="CM290" i="1"/>
  <c r="CM223" i="1"/>
  <c r="CM103" i="1"/>
  <c r="CM105" i="1"/>
  <c r="CM259" i="1"/>
  <c r="CM277" i="1"/>
  <c r="CM293" i="1"/>
  <c r="CM120" i="1"/>
  <c r="CM92" i="1"/>
  <c r="CM174" i="1"/>
  <c r="CM256" i="1"/>
  <c r="CM292" i="1"/>
  <c r="CM66" i="1"/>
  <c r="CM133" i="1"/>
  <c r="CM270" i="1"/>
  <c r="CM278" i="1"/>
  <c r="CM190" i="1"/>
  <c r="CM121" i="1"/>
  <c r="CM100" i="1"/>
  <c r="CM267" i="1"/>
  <c r="CM257" i="1"/>
  <c r="CM116" i="1"/>
  <c r="CM115" i="1"/>
  <c r="CM281" i="1"/>
  <c r="CM51" i="1"/>
  <c r="CM224" i="1"/>
  <c r="CM196" i="1"/>
  <c r="CM235" i="1"/>
  <c r="CM247" i="1"/>
  <c r="CM152" i="1"/>
  <c r="CM130" i="1"/>
  <c r="CM229" i="1"/>
  <c r="CM155" i="1"/>
  <c r="CM90" i="1"/>
  <c r="CM112" i="1"/>
  <c r="CM279" i="1"/>
  <c r="CM163" i="1"/>
  <c r="CM202" i="1"/>
  <c r="CM249" i="1"/>
  <c r="CM185" i="1"/>
  <c r="CM262" i="1"/>
  <c r="CM178" i="1"/>
  <c r="CM273" i="1"/>
  <c r="CM175" i="1"/>
  <c r="CM75" i="1"/>
  <c r="CM296" i="1"/>
  <c r="CM268" i="1"/>
  <c r="CM93" i="1"/>
  <c r="CM102" i="1"/>
  <c r="CM106" i="1"/>
  <c r="CM212" i="1"/>
  <c r="CM206" i="1"/>
  <c r="CM284" i="1"/>
  <c r="CM191" i="1"/>
  <c r="CM86" i="1"/>
  <c r="CM62" i="1"/>
  <c r="CM269" i="1"/>
  <c r="CM134" i="1"/>
  <c r="CM228" i="1"/>
  <c r="CM280" i="1"/>
  <c r="CM236" i="1"/>
  <c r="CM225" i="1"/>
  <c r="CM140" i="1"/>
  <c r="CM156" i="1"/>
  <c r="CM239" i="1"/>
  <c r="CM179" i="1"/>
  <c r="CM203" i="1"/>
  <c r="CM258" i="1"/>
  <c r="CM197" i="1"/>
  <c r="CM240" i="1"/>
  <c r="CM250" i="1"/>
  <c r="CM205" i="1"/>
  <c r="CM114" i="1"/>
  <c r="CM88" i="1"/>
  <c r="CM251" i="1"/>
  <c r="CM261" i="1"/>
  <c r="CM227" i="1"/>
  <c r="CM271" i="1"/>
  <c r="CM238" i="1"/>
  <c r="CM272" i="1"/>
  <c r="CM64" i="1"/>
  <c r="CM282" i="1"/>
  <c r="CM154" i="1"/>
  <c r="CM283" i="1"/>
  <c r="CM260" i="1"/>
  <c r="CM132" i="1"/>
  <c r="CM104" i="1"/>
  <c r="BA29" i="2"/>
  <c r="AZ29" i="2"/>
  <c r="AY29" i="2"/>
  <c r="AX29" i="2"/>
  <c r="AW29" i="2"/>
  <c r="AV29" i="2"/>
  <c r="AU29" i="2"/>
  <c r="AT29" i="2"/>
  <c r="AS29" i="2"/>
  <c r="AR29" i="2"/>
  <c r="AQ29" i="2"/>
  <c r="AP29" i="2"/>
  <c r="AO29" i="2"/>
  <c r="AN29" i="2"/>
  <c r="AM29" i="2"/>
  <c r="AL29" i="2"/>
  <c r="AK29" i="2"/>
  <c r="AJ29" i="2"/>
  <c r="AI29" i="2"/>
  <c r="AH29" i="2"/>
  <c r="AG29" i="2"/>
  <c r="AF29" i="2"/>
  <c r="AE29" i="2"/>
  <c r="AD29" i="2"/>
  <c r="AC29" i="2"/>
  <c r="AB29" i="2"/>
  <c r="AA29" i="2"/>
  <c r="Z29" i="2"/>
  <c r="Y29" i="2"/>
  <c r="X29" i="2"/>
  <c r="W29" i="2"/>
  <c r="V29" i="2"/>
  <c r="U29" i="2"/>
  <c r="T29" i="2"/>
  <c r="S29" i="2"/>
  <c r="R29" i="2"/>
  <c r="Q29" i="2"/>
  <c r="P29" i="2"/>
  <c r="O29" i="2"/>
  <c r="N29" i="2"/>
  <c r="M29" i="2"/>
  <c r="L29" i="2"/>
  <c r="K29" i="2"/>
  <c r="J29" i="2"/>
  <c r="I29" i="2"/>
  <c r="H29" i="2"/>
  <c r="G29" i="2"/>
  <c r="F29" i="2"/>
  <c r="E29" i="2"/>
  <c r="D29" i="2"/>
  <c r="C29" i="2"/>
  <c r="BA28" i="2"/>
  <c r="AZ28" i="2"/>
  <c r="AY28" i="2"/>
  <c r="AX28" i="2"/>
  <c r="AW28" i="2"/>
  <c r="AV28" i="2"/>
  <c r="AU28" i="2"/>
  <c r="AT28" i="2"/>
  <c r="AS28" i="2"/>
  <c r="AR28" i="2"/>
  <c r="AQ28" i="2"/>
  <c r="AP28" i="2"/>
  <c r="AO28" i="2"/>
  <c r="AN28" i="2"/>
  <c r="AM28" i="2"/>
  <c r="AL28" i="2"/>
  <c r="AK28" i="2"/>
  <c r="AJ28" i="2"/>
  <c r="AI28" i="2"/>
  <c r="AH28" i="2"/>
  <c r="AG28" i="2"/>
  <c r="AF28" i="2"/>
  <c r="AE28" i="2"/>
  <c r="AD28" i="2"/>
  <c r="AC28" i="2"/>
  <c r="AB28" i="2"/>
  <c r="AA28" i="2"/>
  <c r="Z28" i="2"/>
  <c r="Y28" i="2"/>
  <c r="X28" i="2"/>
  <c r="W28" i="2"/>
  <c r="V28" i="2"/>
  <c r="U28" i="2"/>
  <c r="T28" i="2"/>
  <c r="S28" i="2"/>
  <c r="R28" i="2"/>
  <c r="Q28" i="2"/>
  <c r="P28" i="2"/>
  <c r="O28" i="2"/>
  <c r="N28" i="2"/>
  <c r="M28" i="2"/>
  <c r="L28" i="2"/>
  <c r="K28" i="2"/>
  <c r="J28" i="2"/>
  <c r="I28" i="2"/>
  <c r="H28" i="2"/>
  <c r="G28" i="2"/>
  <c r="F28" i="2"/>
  <c r="E28" i="2"/>
  <c r="D28" i="2"/>
  <c r="C28" i="2"/>
  <c r="BA27" i="2"/>
  <c r="AZ27" i="2"/>
  <c r="AY27" i="2"/>
  <c r="AX27" i="2"/>
  <c r="AW27" i="2"/>
  <c r="AV27" i="2"/>
  <c r="AU27" i="2"/>
  <c r="AT27" i="2"/>
  <c r="AS27" i="2"/>
  <c r="AR27" i="2"/>
  <c r="AQ27" i="2"/>
  <c r="AP27" i="2"/>
  <c r="AO27" i="2"/>
  <c r="AN27" i="2"/>
  <c r="AM27" i="2"/>
  <c r="AL27" i="2"/>
  <c r="AK27" i="2"/>
  <c r="AJ27" i="2"/>
  <c r="AI27" i="2"/>
  <c r="AH27" i="2"/>
  <c r="AG27" i="2"/>
  <c r="AF27" i="2"/>
  <c r="AE27" i="2"/>
  <c r="AD27" i="2"/>
  <c r="AC27" i="2"/>
  <c r="AB27" i="2"/>
  <c r="AA27" i="2"/>
  <c r="Z27" i="2"/>
  <c r="Y27" i="2"/>
  <c r="X27" i="2"/>
  <c r="W27" i="2"/>
  <c r="V27" i="2"/>
  <c r="U27" i="2"/>
  <c r="T27" i="2"/>
  <c r="S27" i="2"/>
  <c r="R27" i="2"/>
  <c r="Q27" i="2"/>
  <c r="P27" i="2"/>
  <c r="O27" i="2"/>
  <c r="N27" i="2"/>
  <c r="M27" i="2"/>
  <c r="L27" i="2"/>
  <c r="K27" i="2"/>
  <c r="J27" i="2"/>
  <c r="I27" i="2"/>
  <c r="H27" i="2"/>
  <c r="G27" i="2"/>
  <c r="F27" i="2"/>
  <c r="E27" i="2"/>
  <c r="D27" i="2"/>
  <c r="C27" i="2"/>
  <c r="BA26" i="2"/>
  <c r="AZ26" i="2"/>
  <c r="AY26" i="2"/>
  <c r="AX26" i="2"/>
  <c r="AW26" i="2"/>
  <c r="AV26" i="2"/>
  <c r="AU26" i="2"/>
  <c r="AT26" i="2"/>
  <c r="AS26" i="2"/>
  <c r="AR26" i="2"/>
  <c r="AQ26" i="2"/>
  <c r="AP26" i="2"/>
  <c r="AO26" i="2"/>
  <c r="AN26" i="2"/>
  <c r="AM26" i="2"/>
  <c r="AL26" i="2"/>
  <c r="AK26" i="2"/>
  <c r="AJ26" i="2"/>
  <c r="AI26" i="2"/>
  <c r="AH26" i="2"/>
  <c r="AG26" i="2"/>
  <c r="AF26" i="2"/>
  <c r="AE26" i="2"/>
  <c r="AD26" i="2"/>
  <c r="AC26" i="2"/>
  <c r="AB26" i="2"/>
  <c r="AA26" i="2"/>
  <c r="Z26" i="2"/>
  <c r="Y26" i="2"/>
  <c r="X26" i="2"/>
  <c r="W26" i="2"/>
  <c r="V26" i="2"/>
  <c r="U26" i="2"/>
  <c r="T26" i="2"/>
  <c r="S26" i="2"/>
  <c r="R26" i="2"/>
  <c r="Q26" i="2"/>
  <c r="P26" i="2"/>
  <c r="O26" i="2"/>
  <c r="N26" i="2"/>
  <c r="M26" i="2"/>
  <c r="L26" i="2"/>
  <c r="K26" i="2"/>
  <c r="J26" i="2"/>
  <c r="I26" i="2"/>
  <c r="H26" i="2"/>
  <c r="G26" i="2"/>
  <c r="F26" i="2"/>
  <c r="E26" i="2"/>
  <c r="D26" i="2"/>
  <c r="C26" i="2"/>
  <c r="BA25" i="2"/>
  <c r="AZ25" i="2"/>
  <c r="AY25" i="2"/>
  <c r="AX25" i="2"/>
  <c r="AW25" i="2"/>
  <c r="AV25" i="2"/>
  <c r="AU25" i="2"/>
  <c r="AT25" i="2"/>
  <c r="AS25" i="2"/>
  <c r="AR25" i="2"/>
  <c r="AQ25" i="2"/>
  <c r="AP25" i="2"/>
  <c r="AO25" i="2"/>
  <c r="AN25" i="2"/>
  <c r="AM25" i="2"/>
  <c r="AL25" i="2"/>
  <c r="AK25" i="2"/>
  <c r="AJ25" i="2"/>
  <c r="AI25" i="2"/>
  <c r="AH25" i="2"/>
  <c r="AG25" i="2"/>
  <c r="AF25" i="2"/>
  <c r="AE25" i="2"/>
  <c r="AD25" i="2"/>
  <c r="AC25" i="2"/>
  <c r="AB25" i="2"/>
  <c r="AA25" i="2"/>
  <c r="Z25" i="2"/>
  <c r="Y25" i="2"/>
  <c r="X25" i="2"/>
  <c r="W25" i="2"/>
  <c r="V25" i="2"/>
  <c r="U25" i="2"/>
  <c r="T25" i="2"/>
  <c r="S25" i="2"/>
  <c r="R25" i="2"/>
  <c r="Q25" i="2"/>
  <c r="P25" i="2"/>
  <c r="O25" i="2"/>
  <c r="N25" i="2"/>
  <c r="M25" i="2"/>
  <c r="L25" i="2"/>
  <c r="K25" i="2"/>
  <c r="J25" i="2"/>
  <c r="I25" i="2"/>
  <c r="H25" i="2"/>
  <c r="G25" i="2"/>
  <c r="F25" i="2"/>
  <c r="E25" i="2"/>
  <c r="D25" i="2"/>
  <c r="C25" i="2"/>
  <c r="BA24" i="2"/>
  <c r="AZ24" i="2"/>
  <c r="AY24" i="2"/>
  <c r="AX24" i="2"/>
  <c r="AW24" i="2"/>
  <c r="AV24" i="2"/>
  <c r="AU24" i="2"/>
  <c r="AT24" i="2"/>
  <c r="AS24" i="2"/>
  <c r="AR24" i="2"/>
  <c r="AQ24" i="2"/>
  <c r="AP24" i="2"/>
  <c r="AO24" i="2"/>
  <c r="AN24" i="2"/>
  <c r="AM24" i="2"/>
  <c r="AL24" i="2"/>
  <c r="AK24" i="2"/>
  <c r="AJ24" i="2"/>
  <c r="AI24" i="2"/>
  <c r="AH24" i="2"/>
  <c r="AG24" i="2"/>
  <c r="AF24" i="2"/>
  <c r="AE24" i="2"/>
  <c r="AD24" i="2"/>
  <c r="AC24" i="2"/>
  <c r="AB24" i="2"/>
  <c r="AA24" i="2"/>
  <c r="Z24" i="2"/>
  <c r="Y24" i="2"/>
  <c r="X24" i="2"/>
  <c r="W24" i="2"/>
  <c r="V24" i="2"/>
  <c r="U24" i="2"/>
  <c r="T24" i="2"/>
  <c r="S24" i="2"/>
  <c r="R24" i="2"/>
  <c r="Q24" i="2"/>
  <c r="P24" i="2"/>
  <c r="O24" i="2"/>
  <c r="N24" i="2"/>
  <c r="M24" i="2"/>
  <c r="L24" i="2"/>
  <c r="K24" i="2"/>
  <c r="J24" i="2"/>
  <c r="I24" i="2"/>
  <c r="H24" i="2"/>
  <c r="G24" i="2"/>
  <c r="F24" i="2"/>
  <c r="E24" i="2"/>
  <c r="D24" i="2"/>
  <c r="C24" i="2"/>
  <c r="BA23" i="2"/>
  <c r="AZ23" i="2"/>
  <c r="AY23" i="2"/>
  <c r="AX23" i="2"/>
  <c r="AW23" i="2"/>
  <c r="AV23" i="2"/>
  <c r="AU23" i="2"/>
  <c r="AT23" i="2"/>
  <c r="AS23" i="2"/>
  <c r="AR23" i="2"/>
  <c r="AQ23" i="2"/>
  <c r="AP23" i="2"/>
  <c r="AO23" i="2"/>
  <c r="AN23" i="2"/>
  <c r="AM23" i="2"/>
  <c r="AL23" i="2"/>
  <c r="AK23" i="2"/>
  <c r="AJ23" i="2"/>
  <c r="AI23" i="2"/>
  <c r="AH23" i="2"/>
  <c r="AG23" i="2"/>
  <c r="AF23" i="2"/>
  <c r="AE23" i="2"/>
  <c r="AD23" i="2"/>
  <c r="AC23" i="2"/>
  <c r="AB23" i="2"/>
  <c r="AA23" i="2"/>
  <c r="Z23" i="2"/>
  <c r="Y23" i="2"/>
  <c r="X23" i="2"/>
  <c r="W23" i="2"/>
  <c r="V23" i="2"/>
  <c r="U23" i="2"/>
  <c r="T23" i="2"/>
  <c r="S23" i="2"/>
  <c r="R23" i="2"/>
  <c r="Q23" i="2"/>
  <c r="P23" i="2"/>
  <c r="O23" i="2"/>
  <c r="N23" i="2"/>
  <c r="M23" i="2"/>
  <c r="L23" i="2"/>
  <c r="K23" i="2"/>
  <c r="J23" i="2"/>
  <c r="I23" i="2"/>
  <c r="H23" i="2"/>
  <c r="G23" i="2"/>
  <c r="F23" i="2"/>
  <c r="E23" i="2"/>
  <c r="D23" i="2"/>
  <c r="C23" i="2"/>
  <c r="BA22" i="2"/>
  <c r="AZ22" i="2"/>
  <c r="AY22" i="2"/>
  <c r="AX22" i="2"/>
  <c r="AW22" i="2"/>
  <c r="AV22" i="2"/>
  <c r="AU22" i="2"/>
  <c r="AT22" i="2"/>
  <c r="AS22" i="2"/>
  <c r="AR22" i="2"/>
  <c r="AQ22" i="2"/>
  <c r="AP22" i="2"/>
  <c r="AO22" i="2"/>
  <c r="AN22" i="2"/>
  <c r="AM22" i="2"/>
  <c r="AL22" i="2"/>
  <c r="AK22" i="2"/>
  <c r="AJ22" i="2"/>
  <c r="AI22" i="2"/>
  <c r="AH22" i="2"/>
  <c r="AG22" i="2"/>
  <c r="AF22" i="2"/>
  <c r="AE22" i="2"/>
  <c r="AD22" i="2"/>
  <c r="AC22" i="2"/>
  <c r="AB22" i="2"/>
  <c r="AA22" i="2"/>
  <c r="Z22" i="2"/>
  <c r="Y22" i="2"/>
  <c r="X22" i="2"/>
  <c r="W22" i="2"/>
  <c r="V22" i="2"/>
  <c r="U22" i="2"/>
  <c r="T22" i="2"/>
  <c r="S22" i="2"/>
  <c r="R22" i="2"/>
  <c r="Q22" i="2"/>
  <c r="P22" i="2"/>
  <c r="O22" i="2"/>
  <c r="N22" i="2"/>
  <c r="M22" i="2"/>
  <c r="L22" i="2"/>
  <c r="K22" i="2"/>
  <c r="J22" i="2"/>
  <c r="I22" i="2"/>
  <c r="H22" i="2"/>
  <c r="G22" i="2"/>
  <c r="F22" i="2"/>
  <c r="E22" i="2"/>
  <c r="D22" i="2"/>
  <c r="C22" i="2"/>
  <c r="BA21" i="2"/>
  <c r="AZ21" i="2"/>
  <c r="AY21" i="2"/>
  <c r="AX21" i="2"/>
  <c r="AW21" i="2"/>
  <c r="AV21" i="2"/>
  <c r="AU21" i="2"/>
  <c r="AT21" i="2"/>
  <c r="AS21" i="2"/>
  <c r="AR21" i="2"/>
  <c r="AQ21" i="2"/>
  <c r="AP21" i="2"/>
  <c r="AO21" i="2"/>
  <c r="AN21" i="2"/>
  <c r="AM21" i="2"/>
  <c r="AL21" i="2"/>
  <c r="AK21" i="2"/>
  <c r="AJ21" i="2"/>
  <c r="AI21" i="2"/>
  <c r="AH21" i="2"/>
  <c r="AG21" i="2"/>
  <c r="AF21" i="2"/>
  <c r="AE21" i="2"/>
  <c r="AD21" i="2"/>
  <c r="AC21" i="2"/>
  <c r="AB21" i="2"/>
  <c r="AA21" i="2"/>
  <c r="Z21" i="2"/>
  <c r="Y21" i="2"/>
  <c r="X21" i="2"/>
  <c r="W21" i="2"/>
  <c r="V21" i="2"/>
  <c r="U21" i="2"/>
  <c r="T21" i="2"/>
  <c r="S21" i="2"/>
  <c r="R21" i="2"/>
  <c r="Q21" i="2"/>
  <c r="P21" i="2"/>
  <c r="O21" i="2"/>
  <c r="N21" i="2"/>
  <c r="M21" i="2"/>
  <c r="L21" i="2"/>
  <c r="K21" i="2"/>
  <c r="J21" i="2"/>
  <c r="I21" i="2"/>
  <c r="H21" i="2"/>
  <c r="G21" i="2"/>
  <c r="F21" i="2"/>
  <c r="E21" i="2"/>
  <c r="D21" i="2"/>
  <c r="C21" i="2"/>
  <c r="BA20" i="2"/>
  <c r="AZ20" i="2"/>
  <c r="AY20" i="2"/>
  <c r="AX20" i="2"/>
  <c r="AW20" i="2"/>
  <c r="AV20" i="2"/>
  <c r="AU20" i="2"/>
  <c r="AT20" i="2"/>
  <c r="AS20" i="2"/>
  <c r="AR20" i="2"/>
  <c r="AQ20" i="2"/>
  <c r="AP20" i="2"/>
  <c r="AO20" i="2"/>
  <c r="AN20" i="2"/>
  <c r="AM20" i="2"/>
  <c r="AL20" i="2"/>
  <c r="AK20" i="2"/>
  <c r="AJ20" i="2"/>
  <c r="AI20" i="2"/>
  <c r="AH20" i="2"/>
  <c r="AG20" i="2"/>
  <c r="AF20" i="2"/>
  <c r="AE20" i="2"/>
  <c r="AD20" i="2"/>
  <c r="AC20" i="2"/>
  <c r="AB20" i="2"/>
  <c r="AA20" i="2"/>
  <c r="Z20" i="2"/>
  <c r="Y20" i="2"/>
  <c r="X20" i="2"/>
  <c r="W20" i="2"/>
  <c r="V20" i="2"/>
  <c r="U20" i="2"/>
  <c r="T20" i="2"/>
  <c r="S20" i="2"/>
  <c r="R20" i="2"/>
  <c r="Q20" i="2"/>
  <c r="P20" i="2"/>
  <c r="O20" i="2"/>
  <c r="N20" i="2"/>
  <c r="M20" i="2"/>
  <c r="L20" i="2"/>
  <c r="K20" i="2"/>
  <c r="J20" i="2"/>
  <c r="I20" i="2"/>
  <c r="H20" i="2"/>
  <c r="G20" i="2"/>
  <c r="F20" i="2"/>
  <c r="E20" i="2"/>
  <c r="D20" i="2"/>
  <c r="C20" i="2"/>
  <c r="BA19" i="2"/>
  <c r="AZ19" i="2"/>
  <c r="AY19" i="2"/>
  <c r="AX19" i="2"/>
  <c r="AW19" i="2"/>
  <c r="AV19" i="2"/>
  <c r="AU19" i="2"/>
  <c r="AT19" i="2"/>
  <c r="AS19" i="2"/>
  <c r="AR19" i="2"/>
  <c r="AQ19" i="2"/>
  <c r="AP19" i="2"/>
  <c r="AO19" i="2"/>
  <c r="AN19" i="2"/>
  <c r="AM19" i="2"/>
  <c r="AL19" i="2"/>
  <c r="AK19" i="2"/>
  <c r="AJ19" i="2"/>
  <c r="AI19" i="2"/>
  <c r="AH19" i="2"/>
  <c r="AG19" i="2"/>
  <c r="AF19" i="2"/>
  <c r="AE19" i="2"/>
  <c r="AD19" i="2"/>
  <c r="AC19" i="2"/>
  <c r="AB19" i="2"/>
  <c r="AA19" i="2"/>
  <c r="Z19" i="2"/>
  <c r="Y19" i="2"/>
  <c r="X19" i="2"/>
  <c r="W19" i="2"/>
  <c r="V19" i="2"/>
  <c r="U19" i="2"/>
  <c r="T19" i="2"/>
  <c r="S19" i="2"/>
  <c r="R19" i="2"/>
  <c r="Q19" i="2"/>
  <c r="P19" i="2"/>
  <c r="O19" i="2"/>
  <c r="N19" i="2"/>
  <c r="M19" i="2"/>
  <c r="L19" i="2"/>
  <c r="K19" i="2"/>
  <c r="J19" i="2"/>
  <c r="I19" i="2"/>
  <c r="H19" i="2"/>
  <c r="G19" i="2"/>
  <c r="F19" i="2"/>
  <c r="E19" i="2"/>
  <c r="D19" i="2"/>
  <c r="C19" i="2"/>
  <c r="BA18" i="2"/>
  <c r="AZ18" i="2"/>
  <c r="AY18" i="2"/>
  <c r="AX18" i="2"/>
  <c r="AW18" i="2"/>
  <c r="AV18" i="2"/>
  <c r="AU18" i="2"/>
  <c r="AT18" i="2"/>
  <c r="AS18" i="2"/>
  <c r="AR18" i="2"/>
  <c r="AQ18" i="2"/>
  <c r="AP18" i="2"/>
  <c r="AO18" i="2"/>
  <c r="AN18" i="2"/>
  <c r="AM18" i="2"/>
  <c r="AL18" i="2"/>
  <c r="AK18" i="2"/>
  <c r="AJ18" i="2"/>
  <c r="AI18" i="2"/>
  <c r="AH18" i="2"/>
  <c r="AG18" i="2"/>
  <c r="AF18" i="2"/>
  <c r="AE18" i="2"/>
  <c r="AD18" i="2"/>
  <c r="AC18" i="2"/>
  <c r="AB18" i="2"/>
  <c r="AA18" i="2"/>
  <c r="Z18" i="2"/>
  <c r="Y18" i="2"/>
  <c r="X18" i="2"/>
  <c r="W18" i="2"/>
  <c r="V18" i="2"/>
  <c r="U18" i="2"/>
  <c r="T18" i="2"/>
  <c r="S18" i="2"/>
  <c r="R18" i="2"/>
  <c r="Q18" i="2"/>
  <c r="P18" i="2"/>
  <c r="O18" i="2"/>
  <c r="N18" i="2"/>
  <c r="M18" i="2"/>
  <c r="L18" i="2"/>
  <c r="K18" i="2"/>
  <c r="J18" i="2"/>
  <c r="I18" i="2"/>
  <c r="H18" i="2"/>
  <c r="G18" i="2"/>
  <c r="F18" i="2"/>
  <c r="E18" i="2"/>
  <c r="D18" i="2"/>
  <c r="C18" i="2"/>
  <c r="BA17" i="2"/>
  <c r="AZ17" i="2"/>
  <c r="AY17" i="2"/>
  <c r="AX17" i="2"/>
  <c r="AW17" i="2"/>
  <c r="AV17" i="2"/>
  <c r="AU17" i="2"/>
  <c r="AT17" i="2"/>
  <c r="AS17" i="2"/>
  <c r="AR17" i="2"/>
  <c r="AQ17" i="2"/>
  <c r="AP17" i="2"/>
  <c r="AO17" i="2"/>
  <c r="AN17" i="2"/>
  <c r="AM17" i="2"/>
  <c r="AL17" i="2"/>
  <c r="AK17" i="2"/>
  <c r="AJ17" i="2"/>
  <c r="AI17" i="2"/>
  <c r="AH17" i="2"/>
  <c r="AG17" i="2"/>
  <c r="AF17" i="2"/>
  <c r="AE17" i="2"/>
  <c r="AD17" i="2"/>
  <c r="AC17" i="2"/>
  <c r="AB17" i="2"/>
  <c r="AA17" i="2"/>
  <c r="Z17" i="2"/>
  <c r="Y17" i="2"/>
  <c r="X17" i="2"/>
  <c r="W17" i="2"/>
  <c r="V17" i="2"/>
  <c r="U17" i="2"/>
  <c r="T17" i="2"/>
  <c r="S17" i="2"/>
  <c r="R17" i="2"/>
  <c r="Q17" i="2"/>
  <c r="P17" i="2"/>
  <c r="O17" i="2"/>
  <c r="N17" i="2"/>
  <c r="M17" i="2"/>
  <c r="L17" i="2"/>
  <c r="K17" i="2"/>
  <c r="J17" i="2"/>
  <c r="I17" i="2"/>
  <c r="H17" i="2"/>
  <c r="G17" i="2"/>
  <c r="F17" i="2"/>
  <c r="E17" i="2"/>
  <c r="D17" i="2"/>
  <c r="C17" i="2"/>
  <c r="BA16" i="2"/>
  <c r="AZ16" i="2"/>
  <c r="AY16" i="2"/>
  <c r="AX16" i="2"/>
  <c r="AW16" i="2"/>
  <c r="AV16" i="2"/>
  <c r="AU16" i="2"/>
  <c r="AT16" i="2"/>
  <c r="AS16" i="2"/>
  <c r="AR16" i="2"/>
  <c r="AQ16" i="2"/>
  <c r="AP16" i="2"/>
  <c r="AO16" i="2"/>
  <c r="AN16" i="2"/>
  <c r="AM16" i="2"/>
  <c r="AL16" i="2"/>
  <c r="AK16" i="2"/>
  <c r="AJ16" i="2"/>
  <c r="AI16" i="2"/>
  <c r="AH16" i="2"/>
  <c r="AG16" i="2"/>
  <c r="AF16" i="2"/>
  <c r="AE16" i="2"/>
  <c r="AD16" i="2"/>
  <c r="AC16" i="2"/>
  <c r="AB16" i="2"/>
  <c r="AA16" i="2"/>
  <c r="Z16" i="2"/>
  <c r="Y16" i="2"/>
  <c r="X16" i="2"/>
  <c r="W16" i="2"/>
  <c r="V16" i="2"/>
  <c r="U16" i="2"/>
  <c r="T16" i="2"/>
  <c r="S16" i="2"/>
  <c r="R16" i="2"/>
  <c r="Q16" i="2"/>
  <c r="P16" i="2"/>
  <c r="O16" i="2"/>
  <c r="N16" i="2"/>
  <c r="M16" i="2"/>
  <c r="L16" i="2"/>
  <c r="K16" i="2"/>
  <c r="J16" i="2"/>
  <c r="I16" i="2"/>
  <c r="H16" i="2"/>
  <c r="G16" i="2"/>
  <c r="F16" i="2"/>
  <c r="E16" i="2"/>
  <c r="D16" i="2"/>
  <c r="C16" i="2"/>
  <c r="BA15" i="2"/>
  <c r="AZ15" i="2"/>
  <c r="AY15" i="2"/>
  <c r="AX15" i="2"/>
  <c r="AW15" i="2"/>
  <c r="AV15" i="2"/>
  <c r="AU15" i="2"/>
  <c r="AT15" i="2"/>
  <c r="AS15" i="2"/>
  <c r="AR15" i="2"/>
  <c r="AQ15" i="2"/>
  <c r="AP15" i="2"/>
  <c r="AO15" i="2"/>
  <c r="AN15" i="2"/>
  <c r="AM15" i="2"/>
  <c r="AL15" i="2"/>
  <c r="AK15" i="2"/>
  <c r="AJ15" i="2"/>
  <c r="AI15" i="2"/>
  <c r="AH15" i="2"/>
  <c r="AG15" i="2"/>
  <c r="AF15" i="2"/>
  <c r="AE15" i="2"/>
  <c r="AD15" i="2"/>
  <c r="AC15" i="2"/>
  <c r="AB15" i="2"/>
  <c r="AA15" i="2"/>
  <c r="Z15" i="2"/>
  <c r="Y15" i="2"/>
  <c r="X15" i="2"/>
  <c r="W15" i="2"/>
  <c r="V15" i="2"/>
  <c r="U15" i="2"/>
  <c r="T15" i="2"/>
  <c r="S15" i="2"/>
  <c r="R15" i="2"/>
  <c r="Q15" i="2"/>
  <c r="P15" i="2"/>
  <c r="O15" i="2"/>
  <c r="N15" i="2"/>
  <c r="M15" i="2"/>
  <c r="L15" i="2"/>
  <c r="K15" i="2"/>
  <c r="J15" i="2"/>
  <c r="I15" i="2"/>
  <c r="H15" i="2"/>
  <c r="G15" i="2"/>
  <c r="F15" i="2"/>
  <c r="E15" i="2"/>
  <c r="D15" i="2"/>
  <c r="C15" i="2"/>
  <c r="BA14" i="2"/>
  <c r="AZ14" i="2"/>
  <c r="AY14" i="2"/>
  <c r="AX14" i="2"/>
  <c r="AW14" i="2"/>
  <c r="AV14" i="2"/>
  <c r="AU14" i="2"/>
  <c r="AT14" i="2"/>
  <c r="AS14" i="2"/>
  <c r="AR14" i="2"/>
  <c r="AQ14" i="2"/>
  <c r="AP14" i="2"/>
  <c r="AO14" i="2"/>
  <c r="AN14" i="2"/>
  <c r="AM14" i="2"/>
  <c r="AL14" i="2"/>
  <c r="AK14" i="2"/>
  <c r="AJ14" i="2"/>
  <c r="AI14" i="2"/>
  <c r="AH14" i="2"/>
  <c r="AG14" i="2"/>
  <c r="AF14" i="2"/>
  <c r="AE14" i="2"/>
  <c r="AD14" i="2"/>
  <c r="AC14" i="2"/>
  <c r="AB14" i="2"/>
  <c r="AA14" i="2"/>
  <c r="Z14" i="2"/>
  <c r="Y14" i="2"/>
  <c r="X14" i="2"/>
  <c r="W14" i="2"/>
  <c r="V14" i="2"/>
  <c r="U14" i="2"/>
  <c r="T14" i="2"/>
  <c r="S14" i="2"/>
  <c r="R14" i="2"/>
  <c r="Q14" i="2"/>
  <c r="P14" i="2"/>
  <c r="O14" i="2"/>
  <c r="N14" i="2"/>
  <c r="M14" i="2"/>
  <c r="L14" i="2"/>
  <c r="K14" i="2"/>
  <c r="J14" i="2"/>
  <c r="I14" i="2"/>
  <c r="H14" i="2"/>
  <c r="G14" i="2"/>
  <c r="F14" i="2"/>
  <c r="E14" i="2"/>
  <c r="D14" i="2"/>
  <c r="C14" i="2"/>
  <c r="BA13" i="2"/>
  <c r="AZ13" i="2"/>
  <c r="AY13" i="2"/>
  <c r="AX13" i="2"/>
  <c r="AW13" i="2"/>
  <c r="AV13" i="2"/>
  <c r="AU13" i="2"/>
  <c r="AT13" i="2"/>
  <c r="AS13" i="2"/>
  <c r="AR13" i="2"/>
  <c r="AQ13" i="2"/>
  <c r="AP13" i="2"/>
  <c r="AO13" i="2"/>
  <c r="AN13" i="2"/>
  <c r="AM13" i="2"/>
  <c r="AL13" i="2"/>
  <c r="AK13" i="2"/>
  <c r="AJ13" i="2"/>
  <c r="AI13" i="2"/>
  <c r="AH13" i="2"/>
  <c r="AG13" i="2"/>
  <c r="AF13" i="2"/>
  <c r="AE13" i="2"/>
  <c r="AD13" i="2"/>
  <c r="AC13" i="2"/>
  <c r="AB13" i="2"/>
  <c r="AA13" i="2"/>
  <c r="Z13" i="2"/>
  <c r="Y13" i="2"/>
  <c r="X13" i="2"/>
  <c r="W13" i="2"/>
  <c r="V13" i="2"/>
  <c r="U13" i="2"/>
  <c r="T13" i="2"/>
  <c r="S13" i="2"/>
  <c r="R13" i="2"/>
  <c r="Q13" i="2"/>
  <c r="P13" i="2"/>
  <c r="O13" i="2"/>
  <c r="N13" i="2"/>
  <c r="M13" i="2"/>
  <c r="L13" i="2"/>
  <c r="K13" i="2"/>
  <c r="J13" i="2"/>
  <c r="I13" i="2"/>
  <c r="H13" i="2"/>
  <c r="G13" i="2"/>
  <c r="F13" i="2"/>
  <c r="E13" i="2"/>
  <c r="D13" i="2"/>
  <c r="C13" i="2"/>
  <c r="BA12" i="2"/>
  <c r="AZ12" i="2"/>
  <c r="AY12" i="2"/>
  <c r="AX12" i="2"/>
  <c r="AW12" i="2"/>
  <c r="AV12" i="2"/>
  <c r="AU12" i="2"/>
  <c r="AT12" i="2"/>
  <c r="AS12" i="2"/>
  <c r="AR12" i="2"/>
  <c r="AQ12" i="2"/>
  <c r="AP12" i="2"/>
  <c r="AO12" i="2"/>
  <c r="AN12" i="2"/>
  <c r="AM12" i="2"/>
  <c r="AL12" i="2"/>
  <c r="AK12" i="2"/>
  <c r="AJ12" i="2"/>
  <c r="AI12" i="2"/>
  <c r="AH12" i="2"/>
  <c r="AG12" i="2"/>
  <c r="AF12" i="2"/>
  <c r="AE12" i="2"/>
  <c r="AD12" i="2"/>
  <c r="AC12" i="2"/>
  <c r="AB12" i="2"/>
  <c r="AA12" i="2"/>
  <c r="Z12" i="2"/>
  <c r="Y12" i="2"/>
  <c r="X12" i="2"/>
  <c r="W12" i="2"/>
  <c r="V12" i="2"/>
  <c r="U12" i="2"/>
  <c r="T12" i="2"/>
  <c r="S12" i="2"/>
  <c r="R12" i="2"/>
  <c r="Q12" i="2"/>
  <c r="P12" i="2"/>
  <c r="O12" i="2"/>
  <c r="N12" i="2"/>
  <c r="M12" i="2"/>
  <c r="L12" i="2"/>
  <c r="K12" i="2"/>
  <c r="J12" i="2"/>
  <c r="I12" i="2"/>
  <c r="H12" i="2"/>
  <c r="G12" i="2"/>
  <c r="F12" i="2"/>
  <c r="E12" i="2"/>
  <c r="D12" i="2"/>
  <c r="C12" i="2"/>
  <c r="BA11" i="2"/>
  <c r="AZ11" i="2"/>
  <c r="AY11" i="2"/>
  <c r="AX11" i="2"/>
  <c r="AW11" i="2"/>
  <c r="AV11" i="2"/>
  <c r="AU11" i="2"/>
  <c r="AT11" i="2"/>
  <c r="AS11" i="2"/>
  <c r="AR11" i="2"/>
  <c r="AQ11" i="2"/>
  <c r="AP11" i="2"/>
  <c r="AO11" i="2"/>
  <c r="AN11" i="2"/>
  <c r="AM11" i="2"/>
  <c r="AL11" i="2"/>
  <c r="AK11" i="2"/>
  <c r="AJ11" i="2"/>
  <c r="AI11" i="2"/>
  <c r="AH11" i="2"/>
  <c r="AG11" i="2"/>
  <c r="AF11" i="2"/>
  <c r="AE11" i="2"/>
  <c r="AD11" i="2"/>
  <c r="AC11" i="2"/>
  <c r="AB11" i="2"/>
  <c r="AA11" i="2"/>
  <c r="Z11" i="2"/>
  <c r="Y11" i="2"/>
  <c r="X11" i="2"/>
  <c r="W11" i="2"/>
  <c r="V11" i="2"/>
  <c r="U11" i="2"/>
  <c r="T11" i="2"/>
  <c r="S11" i="2"/>
  <c r="R11" i="2"/>
  <c r="Q11" i="2"/>
  <c r="P11" i="2"/>
  <c r="O11" i="2"/>
  <c r="N11" i="2"/>
  <c r="M11" i="2"/>
  <c r="L11" i="2"/>
  <c r="K11" i="2"/>
  <c r="J11" i="2"/>
  <c r="I11" i="2"/>
  <c r="H11" i="2"/>
  <c r="G11" i="2"/>
  <c r="F11" i="2"/>
  <c r="E11" i="2"/>
  <c r="D11" i="2"/>
  <c r="C11" i="2"/>
  <c r="BA10" i="2"/>
  <c r="AZ10" i="2"/>
  <c r="AY10" i="2"/>
  <c r="AX10" i="2"/>
  <c r="AW10" i="2"/>
  <c r="AV10" i="2"/>
  <c r="AU10" i="2"/>
  <c r="AT10" i="2"/>
  <c r="AS10" i="2"/>
  <c r="AR10" i="2"/>
  <c r="AQ10" i="2"/>
  <c r="AP10" i="2"/>
  <c r="AO10" i="2"/>
  <c r="AN10" i="2"/>
  <c r="AM10" i="2"/>
  <c r="AL10" i="2"/>
  <c r="AK10" i="2"/>
  <c r="AJ10" i="2"/>
  <c r="AI10" i="2"/>
  <c r="AH10" i="2"/>
  <c r="AG10" i="2"/>
  <c r="AF10" i="2"/>
  <c r="AE10" i="2"/>
  <c r="AD10" i="2"/>
  <c r="AC10" i="2"/>
  <c r="AB10" i="2"/>
  <c r="AA10" i="2"/>
  <c r="Z10" i="2"/>
  <c r="Y10" i="2"/>
  <c r="X10" i="2"/>
  <c r="W10" i="2"/>
  <c r="V10" i="2"/>
  <c r="U10" i="2"/>
  <c r="T10" i="2"/>
  <c r="S10" i="2"/>
  <c r="R10" i="2"/>
  <c r="Q10" i="2"/>
  <c r="P10" i="2"/>
  <c r="O10" i="2"/>
  <c r="N10" i="2"/>
  <c r="M10" i="2"/>
  <c r="L10" i="2"/>
  <c r="K10" i="2"/>
  <c r="J10" i="2"/>
  <c r="I10" i="2"/>
  <c r="H10" i="2"/>
  <c r="G10" i="2"/>
  <c r="F10" i="2"/>
  <c r="E10" i="2"/>
  <c r="D10" i="2"/>
  <c r="C10" i="2"/>
  <c r="BA9" i="2"/>
  <c r="AZ9" i="2"/>
  <c r="AY9" i="2"/>
  <c r="AX9" i="2"/>
  <c r="AW9" i="2"/>
  <c r="AV9" i="2"/>
  <c r="AU9" i="2"/>
  <c r="AT9" i="2"/>
  <c r="AS9" i="2"/>
  <c r="AR9" i="2"/>
  <c r="AQ9" i="2"/>
  <c r="AP9" i="2"/>
  <c r="AO9" i="2"/>
  <c r="AN9" i="2"/>
  <c r="AM9" i="2"/>
  <c r="AL9" i="2"/>
  <c r="AK9" i="2"/>
  <c r="AJ9" i="2"/>
  <c r="AI9" i="2"/>
  <c r="AH9" i="2"/>
  <c r="AG9" i="2"/>
  <c r="AF9" i="2"/>
  <c r="AE9" i="2"/>
  <c r="AD9" i="2"/>
  <c r="AC9" i="2"/>
  <c r="AB9" i="2"/>
  <c r="AA9" i="2"/>
  <c r="Z9" i="2"/>
  <c r="Y9" i="2"/>
  <c r="X9" i="2"/>
  <c r="W9" i="2"/>
  <c r="V9" i="2"/>
  <c r="U9" i="2"/>
  <c r="T9" i="2"/>
  <c r="S9" i="2"/>
  <c r="R9" i="2"/>
  <c r="Q9" i="2"/>
  <c r="P9" i="2"/>
  <c r="O9" i="2"/>
  <c r="N9" i="2"/>
  <c r="M9" i="2"/>
  <c r="L9" i="2"/>
  <c r="K9" i="2"/>
  <c r="J9" i="2"/>
  <c r="I9" i="2"/>
  <c r="H9" i="2"/>
  <c r="G9" i="2"/>
  <c r="F9" i="2"/>
  <c r="E9" i="2"/>
  <c r="D9" i="2"/>
  <c r="C9" i="2"/>
  <c r="BA8" i="2"/>
  <c r="AZ8" i="2"/>
  <c r="AY8" i="2"/>
  <c r="AX8" i="2"/>
  <c r="AW8" i="2"/>
  <c r="AV8" i="2"/>
  <c r="AU8" i="2"/>
  <c r="AT8" i="2"/>
  <c r="AS8" i="2"/>
  <c r="AR8" i="2"/>
  <c r="AQ8" i="2"/>
  <c r="AP8" i="2"/>
  <c r="AO8" i="2"/>
  <c r="AN8" i="2"/>
  <c r="AM8" i="2"/>
  <c r="AL8" i="2"/>
  <c r="AK8" i="2"/>
  <c r="AJ8" i="2"/>
  <c r="AI8" i="2"/>
  <c r="AH8" i="2"/>
  <c r="AG8" i="2"/>
  <c r="AF8" i="2"/>
  <c r="AE8" i="2"/>
  <c r="AD8" i="2"/>
  <c r="AC8" i="2"/>
  <c r="AB8" i="2"/>
  <c r="AA8" i="2"/>
  <c r="Z8" i="2"/>
  <c r="Y8" i="2"/>
  <c r="X8" i="2"/>
  <c r="W8" i="2"/>
  <c r="V8" i="2"/>
  <c r="U8" i="2"/>
  <c r="T8" i="2"/>
  <c r="S8" i="2"/>
  <c r="R8" i="2"/>
  <c r="Q8" i="2"/>
  <c r="P8" i="2"/>
  <c r="O8" i="2"/>
  <c r="N8" i="2"/>
  <c r="M8" i="2"/>
  <c r="L8" i="2"/>
  <c r="K8" i="2"/>
  <c r="J8" i="2"/>
  <c r="I8" i="2"/>
  <c r="H8" i="2"/>
  <c r="G8" i="2"/>
  <c r="F8" i="2"/>
  <c r="E8" i="2"/>
  <c r="D8" i="2"/>
  <c r="C8" i="2"/>
  <c r="BA7" i="2"/>
  <c r="AZ7" i="2"/>
  <c r="AY7" i="2"/>
  <c r="AX7" i="2"/>
  <c r="AW7" i="2"/>
  <c r="AV7" i="2"/>
  <c r="AU7" i="2"/>
  <c r="AT7" i="2"/>
  <c r="AS7" i="2"/>
  <c r="AR7" i="2"/>
  <c r="AQ7" i="2"/>
  <c r="AP7" i="2"/>
  <c r="AO7" i="2"/>
  <c r="AN7" i="2"/>
  <c r="AM7" i="2"/>
  <c r="AL7" i="2"/>
  <c r="AK7" i="2"/>
  <c r="AJ7" i="2"/>
  <c r="AI7" i="2"/>
  <c r="AH7" i="2"/>
  <c r="AG7" i="2"/>
  <c r="AF7" i="2"/>
  <c r="AE7" i="2"/>
  <c r="AD7" i="2"/>
  <c r="AC7" i="2"/>
  <c r="AB7" i="2"/>
  <c r="AA7" i="2"/>
  <c r="Z7" i="2"/>
  <c r="Y7" i="2"/>
  <c r="X7" i="2"/>
  <c r="W7" i="2"/>
  <c r="V7" i="2"/>
  <c r="U7" i="2"/>
  <c r="T7" i="2"/>
  <c r="S7" i="2"/>
  <c r="R7" i="2"/>
  <c r="Q7" i="2"/>
  <c r="P7" i="2"/>
  <c r="O7" i="2"/>
  <c r="N7" i="2"/>
  <c r="M7" i="2"/>
  <c r="L7" i="2"/>
  <c r="K7" i="2"/>
  <c r="J7" i="2"/>
  <c r="I7" i="2"/>
  <c r="H7" i="2"/>
  <c r="G7" i="2"/>
  <c r="F7" i="2"/>
  <c r="E7" i="2"/>
  <c r="D7" i="2"/>
  <c r="C7" i="2"/>
  <c r="BA6" i="2"/>
  <c r="AZ6" i="2"/>
  <c r="AY6" i="2"/>
  <c r="AX6" i="2"/>
  <c r="AW6" i="2"/>
  <c r="AV6" i="2"/>
  <c r="AU6" i="2"/>
  <c r="AT6" i="2"/>
  <c r="AS6" i="2"/>
  <c r="AR6" i="2"/>
  <c r="AQ6" i="2"/>
  <c r="AP6" i="2"/>
  <c r="AO6" i="2"/>
  <c r="AN6" i="2"/>
  <c r="AM6" i="2"/>
  <c r="AL6" i="2"/>
  <c r="AK6" i="2"/>
  <c r="AJ6" i="2"/>
  <c r="AI6" i="2"/>
  <c r="AH6" i="2"/>
  <c r="AG6" i="2"/>
  <c r="AF6" i="2"/>
  <c r="AE6" i="2"/>
  <c r="AD6" i="2"/>
  <c r="AC6" i="2"/>
  <c r="AB6" i="2"/>
  <c r="AA6" i="2"/>
  <c r="Z6" i="2"/>
  <c r="Y6" i="2"/>
  <c r="X6" i="2"/>
  <c r="W6" i="2"/>
  <c r="V6" i="2"/>
  <c r="U6" i="2"/>
  <c r="T6" i="2"/>
  <c r="S6" i="2"/>
  <c r="R6" i="2"/>
  <c r="Q6" i="2"/>
  <c r="P6" i="2"/>
  <c r="O6" i="2"/>
  <c r="N6" i="2"/>
  <c r="M6" i="2"/>
  <c r="L6" i="2"/>
  <c r="K6" i="2"/>
  <c r="J6" i="2"/>
  <c r="I6" i="2"/>
  <c r="H6" i="2"/>
  <c r="G6" i="2"/>
  <c r="F6" i="2"/>
  <c r="E6" i="2"/>
  <c r="D6" i="2"/>
  <c r="C6" i="2"/>
  <c r="BA5" i="2"/>
  <c r="AZ5" i="2"/>
  <c r="AY5" i="2"/>
  <c r="AX5" i="2"/>
  <c r="AW5" i="2"/>
  <c r="AV5" i="2"/>
  <c r="AU5" i="2"/>
  <c r="AT5" i="2"/>
  <c r="AS5" i="2"/>
  <c r="AR5" i="2"/>
  <c r="AQ5" i="2"/>
  <c r="AP5" i="2"/>
  <c r="AO5" i="2"/>
  <c r="AN5" i="2"/>
  <c r="AM5" i="2"/>
  <c r="AL5" i="2"/>
  <c r="AK5" i="2"/>
  <c r="AJ5" i="2"/>
  <c r="AI5" i="2"/>
  <c r="AH5" i="2"/>
  <c r="AG5" i="2"/>
  <c r="AF5" i="2"/>
  <c r="AE5" i="2"/>
  <c r="AD5" i="2"/>
  <c r="AC5" i="2"/>
  <c r="AB5" i="2"/>
  <c r="AA5" i="2"/>
  <c r="Z5" i="2"/>
  <c r="Y5" i="2"/>
  <c r="X5" i="2"/>
  <c r="W5" i="2"/>
  <c r="V5" i="2"/>
  <c r="U5" i="2"/>
  <c r="T5" i="2"/>
  <c r="S5" i="2"/>
  <c r="R5" i="2"/>
  <c r="Q5" i="2"/>
  <c r="P5" i="2"/>
  <c r="O5" i="2"/>
  <c r="N5" i="2"/>
  <c r="M5" i="2"/>
  <c r="L5" i="2"/>
  <c r="K5" i="2"/>
  <c r="J5" i="2"/>
  <c r="I5" i="2"/>
  <c r="H5" i="2"/>
  <c r="G5" i="2"/>
  <c r="F5" i="2"/>
  <c r="E5" i="2"/>
  <c r="D5" i="2"/>
  <c r="C5" i="2"/>
</calcChain>
</file>

<file path=xl/sharedStrings.xml><?xml version="1.0" encoding="utf-8"?>
<sst xmlns="http://schemas.openxmlformats.org/spreadsheetml/2006/main" count="3178" uniqueCount="618">
  <si>
    <t>MATRIX-AI / OSA 2.0 · Delivery timeline (Phase 1 to Gate 1, Jan 31, 2027 · Phase 2 to Gate 2, Mar 31, 2027)</t>
  </si>
  <si>
    <t>Default start</t>
  </si>
  <si>
    <t>Gantt start</t>
  </si>
  <si>
    <t>Blue = input. Start is typed (blue) or calculated (black): day after the latest predecessor's End, or same day as the task in 'Starts with'. End = Start + Duration − 1 (calendar days). Mark people with x. 'Waits for (resource)' = earlier task of the same person (one task at a time for each DE and BA).</t>
  </si>
  <si>
    <t>Functional lead</t>
  </si>
  <si>
    <t>Business analyst · Sell-Out, BR VR, BR EASTER</t>
  </si>
  <si>
    <t>Business analyst · Promotions, Perfect Store</t>
  </si>
  <si>
    <t>Business analyst · SI-SO, Customer P&amp;L, Market Share, Shipments, Inventory</t>
  </si>
  <si>
    <t>Business analyst · Sell-In, Sell-Through, Right Store, BR PVC</t>
  </si>
  <si>
    <t>Lead architect</t>
  </si>
  <si>
    <t>Data architect · WS-1, WS-2, WS-3</t>
  </si>
  <si>
    <t>Data architect · WS-4, WS-5, WS-6</t>
  </si>
  <si>
    <t>Solution architect</t>
  </si>
  <si>
    <t>Data engineer · Python, WS-5</t>
  </si>
  <si>
    <t>Data engineer · WS-1, WS-3</t>
  </si>
  <si>
    <t>Data engineer · WS-2</t>
  </si>
  <si>
    <t>Data engineer · WS-4</t>
  </si>
  <si>
    <t>Data engineer · WS-6</t>
  </si>
  <si>
    <t>Data engineer · WS-2 BR</t>
  </si>
  <si>
    <t>Data engineer · WS-2 SOCO</t>
  </si>
  <si>
    <t>FE (role to confirm)</t>
  </si>
  <si>
    <t>ID</t>
  </si>
  <si>
    <t>Lane</t>
  </si>
  <si>
    <t>Phase</t>
  </si>
  <si>
    <t>Workstream</t>
  </si>
  <si>
    <t>Maturity</t>
  </si>
  <si>
    <t>Phase / group</t>
  </si>
  <si>
    <t>Task</t>
  </si>
  <si>
    <t>Duration days</t>
  </si>
  <si>
    <t>Start</t>
  </si>
  <si>
    <t>End</t>
  </si>
  <si>
    <t>Type</t>
  </si>
  <si>
    <t>Depends on</t>
  </si>
  <si>
    <t>Waits for (resource)</t>
  </si>
  <si>
    <t>Other resource</t>
  </si>
  <si>
    <t>Days</t>
  </si>
  <si>
    <t>BA0</t>
  </si>
  <si>
    <t>BA1</t>
  </si>
  <si>
    <t>BA2</t>
  </si>
  <si>
    <t>BA3</t>
  </si>
  <si>
    <t>BA4</t>
  </si>
  <si>
    <t>DA0</t>
  </si>
  <si>
    <t>DA1</t>
  </si>
  <si>
    <t>DA2</t>
  </si>
  <si>
    <t>SA1</t>
  </si>
  <si>
    <t>DE1</t>
  </si>
  <si>
    <t>DE2</t>
  </si>
  <si>
    <t>DE3</t>
  </si>
  <si>
    <t>DE4</t>
  </si>
  <si>
    <t>DE5</t>
  </si>
  <si>
    <t>DE6</t>
  </si>
  <si>
    <t>DE7</t>
  </si>
  <si>
    <t>DE8</t>
  </si>
  <si>
    <t>DE9</t>
  </si>
  <si>
    <t>DE10</t>
  </si>
  <si>
    <t>DE11</t>
  </si>
  <si>
    <t>FE0</t>
  </si>
  <si>
    <t>FE1</t>
  </si>
  <si>
    <t>FE2</t>
  </si>
  <si>
    <t>FE3</t>
  </si>
  <si>
    <t>FE4</t>
  </si>
  <si>
    <t>T-01</t>
  </si>
  <si>
    <t>Mobilisation</t>
  </si>
  <si>
    <t>Phase 1</t>
  </si>
  <si>
    <t>Blueprint workshop (4 days)</t>
  </si>
  <si>
    <t>Architect, MDLZ</t>
  </si>
  <si>
    <t>T-02</t>
  </si>
  <si>
    <t>Environments, travel ready</t>
  </si>
  <si>
    <t>Milestone</t>
  </si>
  <si>
    <t>MDLZ platform</t>
  </si>
  <si>
    <t>T-03</t>
  </si>
  <si>
    <t>Named team starts</t>
  </si>
  <si>
    <t>All</t>
  </si>
  <si>
    <t>T-04</t>
  </si>
  <si>
    <t>Dependencies</t>
  </si>
  <si>
    <t>DP&amp;E OTC (Sell-In) domain ready</t>
  </si>
  <si>
    <t>DP&amp;E team</t>
  </si>
  <si>
    <t>T-05</t>
  </si>
  <si>
    <t>DP&amp;E EPOS (Sell-Out) domain ready</t>
  </si>
  <si>
    <t>T-06</t>
  </si>
  <si>
    <t>DP&amp;E Distributor (Sell-Out) domain ready</t>
  </si>
  <si>
    <t>T-07</t>
  </si>
  <si>
    <t>DP&amp;E LAFPA (Customer P&amp;L) domain ready</t>
  </si>
  <si>
    <t>T-08</t>
  </si>
  <si>
    <t>Other DP&amp;E products (Shipments), needed by</t>
  </si>
  <si>
    <t>Deadline</t>
  </si>
  <si>
    <t>T-09</t>
  </si>
  <si>
    <t>Snacksync database ready for analytics, needed by</t>
  </si>
  <si>
    <t>MDLZ, Snacksync</t>
  </si>
  <si>
    <t>T-253</t>
  </si>
  <si>
    <t>Ataccama input and process definition (KPI inventory, DQ checks), needed by</t>
  </si>
  <si>
    <t>MDLZ Data Governance</t>
  </si>
  <si>
    <t>T-263</t>
  </si>
  <si>
    <t>Phase 2</t>
  </si>
  <si>
    <t>Perfect Store Source accessible BR</t>
  </si>
  <si>
    <t>T-264</t>
  </si>
  <si>
    <t>Perfect Store Source accessible SOCO</t>
  </si>
  <si>
    <t>T-265</t>
  </si>
  <si>
    <t>Perfect Store Source accessible WACAM</t>
  </si>
  <si>
    <t>T-266</t>
  </si>
  <si>
    <t>Right Store Source accessible BR</t>
  </si>
  <si>
    <t>T-267</t>
  </si>
  <si>
    <t>Right Store Source accessible SOCO</t>
  </si>
  <si>
    <t>T-268</t>
  </si>
  <si>
    <t>Right Store Source accessible WACAM</t>
  </si>
  <si>
    <t>T-269</t>
  </si>
  <si>
    <t>Market share source accessible MX</t>
  </si>
  <si>
    <t>T-270</t>
  </si>
  <si>
    <t>Market share source accessible WACAM</t>
  </si>
  <si>
    <t>T-271</t>
  </si>
  <si>
    <t>Market share source accessible BR</t>
  </si>
  <si>
    <t>T-272</t>
  </si>
  <si>
    <t>Market share source accessible SOCO</t>
  </si>
  <si>
    <t>T-279</t>
  </si>
  <si>
    <t>PIF ready for ingestion</t>
  </si>
  <si>
    <t>T-256</t>
  </si>
  <si>
    <t>Phase gates (SOW)</t>
  </si>
  <si>
    <t>Shared</t>
  </si>
  <si>
    <t>Gate 1 · Blueprint and working prototype sign-off</t>
  </si>
  <si>
    <t>MDLZ Product Lead; DP&amp;E, Architecture, Data Governance, Business, Product</t>
  </si>
  <si>
    <t>T-257</t>
  </si>
  <si>
    <t>Gate 2 · Migration complete</t>
  </si>
  <si>
    <t>MDLZ Product Lead, CDRB</t>
  </si>
  <si>
    <t>T-258</t>
  </si>
  <si>
    <t>Gate 3 · User testing complete</t>
  </si>
  <si>
    <t>T-259</t>
  </si>
  <si>
    <t>Gate 4 · Integration test and UAT acceptance (go / no-go)</t>
  </si>
  <si>
    <t>T-260</t>
  </si>
  <si>
    <t>Gate 5 · Production readiness and go-live</t>
  </si>
  <si>
    <t>MDLZ Product team</t>
  </si>
  <si>
    <t>T-261</t>
  </si>
  <si>
    <t>Gate 6 · Hypercare exit and transition to support</t>
  </si>
  <si>
    <t>MDLZ AMS and Product team leads</t>
  </si>
  <si>
    <t>T-395</t>
  </si>
  <si>
    <t>Phase 3 complete, needed by</t>
  </si>
  <si>
    <t>Project team</t>
  </si>
  <si>
    <t>T-10</t>
  </si>
  <si>
    <t>Foundations</t>
  </si>
  <si>
    <t>Phase 1 · Foundations</t>
  </si>
  <si>
    <t>Audit design</t>
  </si>
  <si>
    <t>x</t>
  </si>
  <si>
    <t>T-11</t>
  </si>
  <si>
    <t>Log design</t>
  </si>
  <si>
    <t>T-19</t>
  </si>
  <si>
    <t>T-12</t>
  </si>
  <si>
    <t>Data quality checks design</t>
  </si>
  <si>
    <t>T-244</t>
  </si>
  <si>
    <t>T-13</t>
  </si>
  <si>
    <t>Custom tags design</t>
  </si>
  <si>
    <t>T-14</t>
  </si>
  <si>
    <t>Notebook template</t>
  </si>
  <si>
    <t>T-275</t>
  </si>
  <si>
    <t>T-15</t>
  </si>
  <si>
    <t>Test dataset ZZ design</t>
  </si>
  <si>
    <t>T-276</t>
  </si>
  <si>
    <t>T-16</t>
  </si>
  <si>
    <t>Incremental load design</t>
  </si>
  <si>
    <t>T-17</t>
  </si>
  <si>
    <t>Sensitive data classification (F-17)</t>
  </si>
  <si>
    <t>T-235</t>
  </si>
  <si>
    <t>T-18</t>
  </si>
  <si>
    <t>Shared domain preparation</t>
  </si>
  <si>
    <t>DP&amp;E synch</t>
  </si>
  <si>
    <t>T-04 to T-08</t>
  </si>
  <si>
    <t>Manual files harmonization</t>
  </si>
  <si>
    <t>T-243</t>
  </si>
  <si>
    <t>T-303</t>
  </si>
  <si>
    <t>Sell-In</t>
  </si>
  <si>
    <t>WS-1</t>
  </si>
  <si>
    <t>Migration</t>
  </si>
  <si>
    <t>MX</t>
  </si>
  <si>
    <t>Report assessment and preselection</t>
  </si>
  <si>
    <t>T-102</t>
  </si>
  <si>
    <t>Mockup</t>
  </si>
  <si>
    <t>T-306</t>
  </si>
  <si>
    <t>T-103</t>
  </si>
  <si>
    <t>Redesign</t>
  </si>
  <si>
    <t>T-234</t>
  </si>
  <si>
    <t>T-304</t>
  </si>
  <si>
    <t>WACAM</t>
  </si>
  <si>
    <t>T-106</t>
  </si>
  <si>
    <t>T-107</t>
  </si>
  <si>
    <t>T-223</t>
  </si>
  <si>
    <t>MX &amp; WACAM</t>
  </si>
  <si>
    <t>Manual files load</t>
  </si>
  <si>
    <t>T-103, T-107, T-04</t>
  </si>
  <si>
    <t>T-184</t>
  </si>
  <si>
    <t>T-201</t>
  </si>
  <si>
    <t>Prototype: core KPI logic</t>
  </si>
  <si>
    <t>T-237</t>
  </si>
  <si>
    <t>T-333</t>
  </si>
  <si>
    <t>Phase 3</t>
  </si>
  <si>
    <t>Prototype: custom features</t>
  </si>
  <si>
    <t>T-288</t>
  </si>
  <si>
    <t>T-109</t>
  </si>
  <si>
    <t>WS-2</t>
  </si>
  <si>
    <t>Reverse engineer</t>
  </si>
  <si>
    <t>SOCO</t>
  </si>
  <si>
    <t>Analysis</t>
  </si>
  <si>
    <t>T-242</t>
  </si>
  <si>
    <t>T-110</t>
  </si>
  <si>
    <t>Capture existing code</t>
  </si>
  <si>
    <t>T-111</t>
  </si>
  <si>
    <t>T-113</t>
  </si>
  <si>
    <t>BR</t>
  </si>
  <si>
    <t>T-114</t>
  </si>
  <si>
    <t>T-115</t>
  </si>
  <si>
    <t>T-224</t>
  </si>
  <si>
    <t>SOCO &amp; BR</t>
  </si>
  <si>
    <t>T-111, T-115, T-04</t>
  </si>
  <si>
    <t>T-225</t>
  </si>
  <si>
    <t>T-202</t>
  </si>
  <si>
    <t>T-152, T-224</t>
  </si>
  <si>
    <t>T-334</t>
  </si>
  <si>
    <t>T-252, T-341</t>
  </si>
  <si>
    <t>T-381</t>
  </si>
  <si>
    <t>All markets</t>
  </si>
  <si>
    <t>DQ check definition</t>
  </si>
  <si>
    <t>T-109, T-113</t>
  </si>
  <si>
    <t>T-389</t>
  </si>
  <si>
    <t>T-320</t>
  </si>
  <si>
    <t>Security</t>
  </si>
  <si>
    <t>Row level security</t>
  </si>
  <si>
    <t>T-201, T-202</t>
  </si>
  <si>
    <t>T-325, T-354</t>
  </si>
  <si>
    <t>T-307</t>
  </si>
  <si>
    <t>Global design</t>
  </si>
  <si>
    <t>Global report definition</t>
  </si>
  <si>
    <t>T-254</t>
  </si>
  <si>
    <t>T-290</t>
  </si>
  <si>
    <t>Testing</t>
  </si>
  <si>
    <t>Project unit testing preparation</t>
  </si>
  <si>
    <t>T-383</t>
  </si>
  <si>
    <t>T-305</t>
  </si>
  <si>
    <t>Sell-Out</t>
  </si>
  <si>
    <t>T-118</t>
  </si>
  <si>
    <t>T-119</t>
  </si>
  <si>
    <t>T-122</t>
  </si>
  <si>
    <t>T-123</t>
  </si>
  <si>
    <t>T-119, T-123, T-05, T-06</t>
  </si>
  <si>
    <t>T-46</t>
  </si>
  <si>
    <t>T-203</t>
  </si>
  <si>
    <t>T-335</t>
  </si>
  <si>
    <t>T-289</t>
  </si>
  <si>
    <t>T-125</t>
  </si>
  <si>
    <t>T-141</t>
  </si>
  <si>
    <t>T-126</t>
  </si>
  <si>
    <t>T-127</t>
  </si>
  <si>
    <t>T-282</t>
  </si>
  <si>
    <t>T-129</t>
  </si>
  <si>
    <t>T-145</t>
  </si>
  <si>
    <t>T-130</t>
  </si>
  <si>
    <t>T-245</t>
  </si>
  <si>
    <t>T-131</t>
  </si>
  <si>
    <t>T-226</t>
  </si>
  <si>
    <t>T-127, T-131, T-05, T-06</t>
  </si>
  <si>
    <t>T-238</t>
  </si>
  <si>
    <t>T-204</t>
  </si>
  <si>
    <t>T-226, T-203</t>
  </si>
  <si>
    <t>T-358</t>
  </si>
  <si>
    <t>T-336</t>
  </si>
  <si>
    <t>T-382</t>
  </si>
  <si>
    <t>T-125, T-129</t>
  </si>
  <si>
    <t>T-384</t>
  </si>
  <si>
    <t>T-324</t>
  </si>
  <si>
    <t>T-203, T-204</t>
  </si>
  <si>
    <t>T-302, T-346</t>
  </si>
  <si>
    <t>T-308</t>
  </si>
  <si>
    <t>T-294</t>
  </si>
  <si>
    <t>T-394</t>
  </si>
  <si>
    <t>T-227</t>
  </si>
  <si>
    <t>SI-SO</t>
  </si>
  <si>
    <t>T-201, T-203</t>
  </si>
  <si>
    <t>T-44</t>
  </si>
  <si>
    <t>T-205</t>
  </si>
  <si>
    <t>Build: core KPI logic</t>
  </si>
  <si>
    <t>T-370</t>
  </si>
  <si>
    <t>T-337</t>
  </si>
  <si>
    <t>Build: custom features</t>
  </si>
  <si>
    <t>T-180</t>
  </si>
  <si>
    <t>T-206</t>
  </si>
  <si>
    <t>Discovery</t>
  </si>
  <si>
    <t>T-207</t>
  </si>
  <si>
    <t>T-208</t>
  </si>
  <si>
    <t>T-209</t>
  </si>
  <si>
    <t>T-210</t>
  </si>
  <si>
    <t>T-211</t>
  </si>
  <si>
    <t>T-228</t>
  </si>
  <si>
    <t>T-211, T-208, T-202, T-204</t>
  </si>
  <si>
    <t>T-212</t>
  </si>
  <si>
    <t>T-231</t>
  </si>
  <si>
    <t>T-338</t>
  </si>
  <si>
    <t>T-323</t>
  </si>
  <si>
    <t>T-206, T-209</t>
  </si>
  <si>
    <t>T-321</t>
  </si>
  <si>
    <t>T-205, T-212</t>
  </si>
  <si>
    <t>T-329, T-328</t>
  </si>
  <si>
    <t>T-309</t>
  </si>
  <si>
    <t>T-291</t>
  </si>
  <si>
    <t>T-22</t>
  </si>
  <si>
    <t>Sell-Through (Snacksync)</t>
  </si>
  <si>
    <t>WS-3</t>
  </si>
  <si>
    <t>LA</t>
  </si>
  <si>
    <t>T-213</t>
  </si>
  <si>
    <t>Starts with T-22</t>
  </si>
  <si>
    <t>T-214</t>
  </si>
  <si>
    <t>Design</t>
  </si>
  <si>
    <t>T-229</t>
  </si>
  <si>
    <t>T-277</t>
  </si>
  <si>
    <t>T-215</t>
  </si>
  <si>
    <t>T-241</t>
  </si>
  <si>
    <t>T-339</t>
  </si>
  <si>
    <t>T-391</t>
  </si>
  <si>
    <t>T-388</t>
  </si>
  <si>
    <t>T-330</t>
  </si>
  <si>
    <t>T-301, T-347</t>
  </si>
  <si>
    <t>T-316</t>
  </si>
  <si>
    <t>T-310</t>
  </si>
  <si>
    <t>T-300</t>
  </si>
  <si>
    <t>T-135</t>
  </si>
  <si>
    <t>Customer P&amp;L</t>
  </si>
  <si>
    <t>T-103, T-119</t>
  </si>
  <si>
    <t>T-139</t>
  </si>
  <si>
    <t>T-107, T-123</t>
  </si>
  <si>
    <t>T-147</t>
  </si>
  <si>
    <t>T-230</t>
  </si>
  <si>
    <t>T-135, T-139, T-07</t>
  </si>
  <si>
    <t>T-217</t>
  </si>
  <si>
    <t>T-216</t>
  </si>
  <si>
    <t>T-340</t>
  </si>
  <si>
    <t>T-247</t>
  </si>
  <si>
    <t>T-142</t>
  </si>
  <si>
    <t>T-143</t>
  </si>
  <si>
    <t>T-141, T-111, T-127</t>
  </si>
  <si>
    <t>T-284</t>
  </si>
  <si>
    <t>T-146</t>
  </si>
  <si>
    <t>T-145, T-115, T-131</t>
  </si>
  <si>
    <t>T-143, T-147, T-07</t>
  </si>
  <si>
    <t>T-236</t>
  </si>
  <si>
    <t>T-341</t>
  </si>
  <si>
    <t>T-248</t>
  </si>
  <si>
    <t>T-141, T-145</t>
  </si>
  <si>
    <t>T-329</t>
  </si>
  <si>
    <t>T-216, T-217</t>
  </si>
  <si>
    <t>T-327, T-262</t>
  </si>
  <si>
    <t>T-299</t>
  </si>
  <si>
    <t>T-149</t>
  </si>
  <si>
    <t>Market Share</t>
  </si>
  <si>
    <t>WS-4</t>
  </si>
  <si>
    <t>T-150</t>
  </si>
  <si>
    <t>Starts with T-149</t>
  </si>
  <si>
    <t>T-151</t>
  </si>
  <si>
    <t>T-232</t>
  </si>
  <si>
    <t>T-35</t>
  </si>
  <si>
    <t>T-152</t>
  </si>
  <si>
    <t>T-342</t>
  </si>
  <si>
    <t>T-153</t>
  </si>
  <si>
    <t>T-355</t>
  </si>
  <si>
    <t>T-154</t>
  </si>
  <si>
    <t>Starts with T-153</t>
  </si>
  <si>
    <t>T-155</t>
  </si>
  <si>
    <t>T-157</t>
  </si>
  <si>
    <t>T-361</t>
  </si>
  <si>
    <t>T-158</t>
  </si>
  <si>
    <t>Starts with T-157</t>
  </si>
  <si>
    <t>T-159</t>
  </si>
  <si>
    <t>T-161</t>
  </si>
  <si>
    <t>T-364</t>
  </si>
  <si>
    <t>T-162</t>
  </si>
  <si>
    <t>Starts with T-161</t>
  </si>
  <si>
    <t>T-163</t>
  </si>
  <si>
    <t>T-233</t>
  </si>
  <si>
    <t>WACAM, SOCO, BR</t>
  </si>
  <si>
    <t>T-155, T-159, T-163</t>
  </si>
  <si>
    <t>T-359</t>
  </si>
  <si>
    <t>T-218</t>
  </si>
  <si>
    <t>T-343</t>
  </si>
  <si>
    <t>T-385</t>
  </si>
  <si>
    <t>T-149, T-153, T-157, T-161</t>
  </si>
  <si>
    <t>T-367</t>
  </si>
  <si>
    <t>T-327</t>
  </si>
  <si>
    <t>T-152, T-218</t>
  </si>
  <si>
    <t>T-322, T-330</t>
  </si>
  <si>
    <t>T-311</t>
  </si>
  <si>
    <t>T-297</t>
  </si>
  <si>
    <t>T-376</t>
  </si>
  <si>
    <t>Promotions</t>
  </si>
  <si>
    <t>Core data model</t>
  </si>
  <si>
    <t>T-356</t>
  </si>
  <si>
    <t>Starts with T-355</t>
  </si>
  <si>
    <t>T-357</t>
  </si>
  <si>
    <t>T-355, T-376</t>
  </si>
  <si>
    <t>T-360</t>
  </si>
  <si>
    <t>T-219</t>
  </si>
  <si>
    <t>T-362</t>
  </si>
  <si>
    <t>Starts with T-361</t>
  </si>
  <si>
    <t>T-363</t>
  </si>
  <si>
    <t>T-361, T-376</t>
  </si>
  <si>
    <t>T-365</t>
  </si>
  <si>
    <t>Starts with T-364</t>
  </si>
  <si>
    <t>T-366</t>
  </si>
  <si>
    <t>T-364, T-376</t>
  </si>
  <si>
    <t>T-368</t>
  </si>
  <si>
    <t>Starts with T-367</t>
  </si>
  <si>
    <t>T-369</t>
  </si>
  <si>
    <t>T-367, T-376</t>
  </si>
  <si>
    <t>T-363, T-366, T-369</t>
  </si>
  <si>
    <t>T-45</t>
  </si>
  <si>
    <t>T-371</t>
  </si>
  <si>
    <t>T-372</t>
  </si>
  <si>
    <t>T-386</t>
  </si>
  <si>
    <t>T-355, T-361, T-364, T-367</t>
  </si>
  <si>
    <t>T-373</t>
  </si>
  <si>
    <t>T-374</t>
  </si>
  <si>
    <t>T-375</t>
  </si>
  <si>
    <t>T-359, T-371</t>
  </si>
  <si>
    <t>T-298, T-354</t>
  </si>
  <si>
    <t>T-165</t>
  </si>
  <si>
    <t>Perfect Store</t>
  </si>
  <si>
    <t>WS-5</t>
  </si>
  <si>
    <t>T-166</t>
  </si>
  <si>
    <t>Starts with T-165</t>
  </si>
  <si>
    <t>T-167</t>
  </si>
  <si>
    <t>T-168</t>
  </si>
  <si>
    <t>T-344</t>
  </si>
  <si>
    <t>T-170</t>
  </si>
  <si>
    <t>T-273</t>
  </si>
  <si>
    <t>Ingestion</t>
  </si>
  <si>
    <t>T-171</t>
  </si>
  <si>
    <t>T-165, T-167</t>
  </si>
  <si>
    <t>T-172</t>
  </si>
  <si>
    <t>T-235, T-273</t>
  </si>
  <si>
    <t>T-48, T-216</t>
  </si>
  <si>
    <t>T-345</t>
  </si>
  <si>
    <t>T-372, T-338</t>
  </si>
  <si>
    <t>T-174</t>
  </si>
  <si>
    <t>T-274</t>
  </si>
  <si>
    <t>T-175</t>
  </si>
  <si>
    <t>T-165, T-171</t>
  </si>
  <si>
    <t>T-176</t>
  </si>
  <si>
    <t>T-236, T-274</t>
  </si>
  <si>
    <t>T-202, T-172</t>
  </si>
  <si>
    <t>T-346</t>
  </si>
  <si>
    <t>T-349, T-339</t>
  </si>
  <si>
    <t>T-178</t>
  </si>
  <si>
    <t>T-179</t>
  </si>
  <si>
    <t>T-165, T-175</t>
  </si>
  <si>
    <t>T-237, T-275</t>
  </si>
  <si>
    <t>T-168, T-176</t>
  </si>
  <si>
    <t>T-347</t>
  </si>
  <si>
    <t>T-350, T-342</t>
  </si>
  <si>
    <t>T-387</t>
  </si>
  <si>
    <t>T-185</t>
  </si>
  <si>
    <t>T-328</t>
  </si>
  <si>
    <t>T-168, T-172, T-176, T-180</t>
  </si>
  <si>
    <t>T-312</t>
  </si>
  <si>
    <t>T-298</t>
  </si>
  <si>
    <t>T-182</t>
  </si>
  <si>
    <t>Right Store</t>
  </si>
  <si>
    <t>MX (DSD)</t>
  </si>
  <si>
    <t>T-181</t>
  </si>
  <si>
    <t>T-183</t>
  </si>
  <si>
    <t>T-348</t>
  </si>
  <si>
    <t>T-186</t>
  </si>
  <si>
    <t>Starts with T-185</t>
  </si>
  <si>
    <t>T-187</t>
  </si>
  <si>
    <t>T-185, T-183</t>
  </si>
  <si>
    <t>T-190</t>
  </si>
  <si>
    <t>T-191</t>
  </si>
  <si>
    <t>T-185, T-187</t>
  </si>
  <si>
    <t>T-194</t>
  </si>
  <si>
    <t>T-278</t>
  </si>
  <si>
    <t>T-280</t>
  </si>
  <si>
    <t>T-195</t>
  </si>
  <si>
    <t>T-185, T-191</t>
  </si>
  <si>
    <t>T-239</t>
  </si>
  <si>
    <t>T-187, T-191, T-195</t>
  </si>
  <si>
    <t>T-239, T-276, T-277, T-278</t>
  </si>
  <si>
    <t>T-172, T-239</t>
  </si>
  <si>
    <t>T-349</t>
  </si>
  <si>
    <t>T-334, T-353</t>
  </si>
  <si>
    <t>T-325</t>
  </si>
  <si>
    <t>T-184, T-219</t>
  </si>
  <si>
    <t>T-330, T-262</t>
  </si>
  <si>
    <t>T-313</t>
  </si>
  <si>
    <t>T-295</t>
  </si>
  <si>
    <t>T-377</t>
  </si>
  <si>
    <t>Shipments</t>
  </si>
  <si>
    <t>T-378</t>
  </si>
  <si>
    <t>T-24</t>
  </si>
  <si>
    <t>T-377, T-378</t>
  </si>
  <si>
    <t>T-30</t>
  </si>
  <si>
    <t>T-240</t>
  </si>
  <si>
    <t>T-40</t>
  </si>
  <si>
    <t>T-350</t>
  </si>
  <si>
    <t>T-380</t>
  </si>
  <si>
    <t>T-322</t>
  </si>
  <si>
    <t>T-293, T-347</t>
  </si>
  <si>
    <t>T-314</t>
  </si>
  <si>
    <t>T-292</t>
  </si>
  <si>
    <t>T-379</t>
  </si>
  <si>
    <t>Inventory</t>
  </si>
  <si>
    <t>T-220</t>
  </si>
  <si>
    <t>T-379, T-380</t>
  </si>
  <si>
    <t>T-221</t>
  </si>
  <si>
    <t>T-222</t>
  </si>
  <si>
    <t>T-351</t>
  </si>
  <si>
    <t>T-251</t>
  </si>
  <si>
    <t>T-390</t>
  </si>
  <si>
    <t>T-285</t>
  </si>
  <si>
    <t>T-386, T-176</t>
  </si>
  <si>
    <t>T-315</t>
  </si>
  <si>
    <t>T-293</t>
  </si>
  <si>
    <t>BR PVC</t>
  </si>
  <si>
    <t>WS-6</t>
  </si>
  <si>
    <t>T-281</t>
  </si>
  <si>
    <t>T-61</t>
  </si>
  <si>
    <t>T-246</t>
  </si>
  <si>
    <t>T-47</t>
  </si>
  <si>
    <t>T-222, T-49</t>
  </si>
  <si>
    <t>T-352</t>
  </si>
  <si>
    <t>T-336, T-349</t>
  </si>
  <si>
    <t>T-392</t>
  </si>
  <si>
    <t>T-331</t>
  </si>
  <si>
    <t>T-320, T-322</t>
  </si>
  <si>
    <t>T-317</t>
  </si>
  <si>
    <t>T-301</t>
  </si>
  <si>
    <t>BR VR</t>
  </si>
  <si>
    <t>T-283</t>
  </si>
  <si>
    <t>T-249</t>
  </si>
  <si>
    <t>T-250</t>
  </si>
  <si>
    <t>T-252</t>
  </si>
  <si>
    <t>T-353</t>
  </si>
  <si>
    <t>T-393</t>
  </si>
  <si>
    <t>T-326</t>
  </si>
  <si>
    <t>T-324, T-346</t>
  </si>
  <si>
    <t>T-318</t>
  </si>
  <si>
    <t>T-296</t>
  </si>
  <si>
    <t>BR EASTER</t>
  </si>
  <si>
    <t>T-286</t>
  </si>
  <si>
    <t>T-287</t>
  </si>
  <si>
    <t>T-50</t>
  </si>
  <si>
    <t>T-219, T-40</t>
  </si>
  <si>
    <t>T-354</t>
  </si>
  <si>
    <t>T-348, T-345</t>
  </si>
  <si>
    <t>T-332</t>
  </si>
  <si>
    <t>T-326, T-325</t>
  </si>
  <si>
    <t>T-319</t>
  </si>
  <si>
    <t>T-302</t>
  </si>
  <si>
    <t>KPI and publish layer</t>
  </si>
  <si>
    <t>Phase 3 · KPI design</t>
  </si>
  <si>
    <t>KPI configuration design</t>
  </si>
  <si>
    <t>T-111, T-229</t>
  </si>
  <si>
    <t>T-36</t>
  </si>
  <si>
    <t>Metric view design</t>
  </si>
  <si>
    <t>Phase 3 · Publish layer</t>
  </si>
  <si>
    <t>KPI mapping design (local, regional, global)</t>
  </si>
  <si>
    <t>Composite KPIs</t>
  </si>
  <si>
    <t>UoM conversion</t>
  </si>
  <si>
    <t>FX rate conversion</t>
  </si>
  <si>
    <t>T-48</t>
  </si>
  <si>
    <t>Calendar aggregation</t>
  </si>
  <si>
    <t>T-49</t>
  </si>
  <si>
    <t>Conformed master data</t>
  </si>
  <si>
    <t>Phase 3 · Consumption</t>
  </si>
  <si>
    <t>Metric views</t>
  </si>
  <si>
    <t>Data governance (Ataccama)</t>
  </si>
  <si>
    <t>Phase 1 · Governance</t>
  </si>
  <si>
    <t>Ataccama integration - KPI inventory</t>
  </si>
  <si>
    <t>T-253, T-35</t>
  </si>
  <si>
    <t>T-255</t>
  </si>
  <si>
    <t>Ataccama integration - DQ checks</t>
  </si>
  <si>
    <t>T-253, T-12, T-203</t>
  </si>
  <si>
    <t>T-262</t>
  </si>
  <si>
    <t>Stabilization</t>
  </si>
  <si>
    <t>Prototype stabilization (SOW Window 1)</t>
  </si>
  <si>
    <t>All Phase 1 tasks</t>
  </si>
  <si>
    <t>T-340, T-351, T-360</t>
  </si>
  <si>
    <t>T-62</t>
  </si>
  <si>
    <t>Unified LA model</t>
  </si>
  <si>
    <t>Unified LA model, sign-off</t>
  </si>
  <si>
    <t>All prototypes, T-50</t>
  </si>
  <si>
    <t>SteerCo, CDRB</t>
  </si>
  <si>
    <t>T-63</t>
  </si>
  <si>
    <t>Full build, AWS Dev move</t>
  </si>
  <si>
    <t>Data engineers</t>
  </si>
  <si>
    <t>T-64</t>
  </si>
  <si>
    <t>BR, SOCO onboard by config</t>
  </si>
  <si>
    <t>SOCO and BR prototypes</t>
  </si>
  <si>
    <t>DE, KPI stewards</t>
  </si>
  <si>
    <t>T-65</t>
  </si>
  <si>
    <t>Project team test (DEV)</t>
  </si>
  <si>
    <t>QA lead</t>
  </si>
  <si>
    <t>T-66</t>
  </si>
  <si>
    <t>User testing (DEV)</t>
  </si>
  <si>
    <t>MDLZ key users</t>
  </si>
  <si>
    <t>T-67</t>
  </si>
  <si>
    <t>Integration test (QA)</t>
  </si>
  <si>
    <t>T-68</t>
  </si>
  <si>
    <t>UAT and go / no-go</t>
  </si>
  <si>
    <t>MDLZ business</t>
  </si>
  <si>
    <t>T-69</t>
  </si>
  <si>
    <t>Data product certification</t>
  </si>
  <si>
    <t>MDLZ governance</t>
  </si>
  <si>
    <t>T-70</t>
  </si>
  <si>
    <t>Go-live, 4 LA markets</t>
  </si>
  <si>
    <t>Ops lead</t>
  </si>
  <si>
    <t>Tasks per resource</t>
  </si>
  <si>
    <t>Legend</t>
  </si>
  <si>
    <t>Redesign / Design</t>
  </si>
  <si>
    <t>Prototype / Build</t>
  </si>
  <si>
    <t>Other tasks</t>
  </si>
  <si>
    <t>◆</t>
  </si>
  <si>
    <t>Milestone   ◇ Deadline (needed by)</t>
  </si>
  <si>
    <t>Parallel tasks per resource per week</t>
  </si>
  <si>
    <t>Highest number of tasks the resource has on any single day of the week (tasks marked x).</t>
  </si>
  <si>
    <t>Resource</t>
  </si>
  <si>
    <t>Role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</si>
</sst>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dd"/>
    <numFmt numFmtId="166" formatCode="0;\-0;;"/>
  </numFmts>
  <fonts count="14">
    <font>
      <sz val="11"/>
      <color theme="1"/>
      <name val="Calibri"/>
      <family val="2"/>
      <charset val="1"/>
    </font>
    <font>
      <b/>
      <sz val="14"/>
      <name val="Arial"/>
      <charset val="1"/>
    </font>
    <font>
      <sz val="10"/>
      <color rgb="FF0000FF"/>
      <name val="Arial"/>
      <charset val="1"/>
    </font>
    <font>
      <i/>
      <sz val="9"/>
      <color rgb="FF5F5E5A"/>
      <name val="Arial"/>
      <charset val="1"/>
    </font>
    <font>
      <sz val="7"/>
      <color rgb="FF5F5E5A"/>
      <name val="Arial"/>
      <charset val="1"/>
    </font>
    <font>
      <b/>
      <sz val="8"/>
      <name val="Arial"/>
      <charset val="1"/>
    </font>
    <font>
      <b/>
      <sz val="10"/>
      <color rgb="FFFFFFFF"/>
      <name val="Arial"/>
      <charset val="1"/>
    </font>
    <font>
      <b/>
      <sz val="8"/>
      <color rgb="FFFFFFFF"/>
      <name val="Arial"/>
      <charset val="1"/>
    </font>
    <font>
      <sz val="10"/>
      <name val="Arial"/>
      <charset val="1"/>
    </font>
    <font>
      <b/>
      <sz val="10"/>
      <color rgb="FF0000FF"/>
      <name val="Arial"/>
      <charset val="1"/>
    </font>
    <font>
      <b/>
      <sz val="9"/>
      <name val="Arial"/>
      <charset val="1"/>
    </font>
    <font>
      <sz val="10"/>
      <color rgb="FF000000"/>
      <name val="Arial"/>
      <charset val="1"/>
    </font>
    <font>
      <b/>
      <sz val="10"/>
      <name val="Arial"/>
      <charset val="1"/>
    </font>
    <font>
      <sz val="9"/>
      <name val="Arial"/>
      <charset val="1"/>
    </font>
  </fonts>
  <fills count="21">
    <fill>
      <patternFill patternType="none"/>
    </fill>
    <fill>
      <patternFill patternType="gray125"/>
    </fill>
    <fill>
      <patternFill patternType="solid">
        <fgColor rgb="FFFFFF00"/>
        <bgColor rgb="FFFAEEDA"/>
      </patternFill>
    </fill>
    <fill>
      <patternFill patternType="solid">
        <fgColor rgb="FF3C3489"/>
        <bgColor rgb="FF333333"/>
      </patternFill>
    </fill>
    <fill>
      <patternFill patternType="solid">
        <fgColor rgb="FFF1EFE8"/>
        <bgColor rgb="FFFAECE7"/>
      </patternFill>
    </fill>
    <fill>
      <patternFill patternType="solid">
        <fgColor rgb="FFFAEEDA"/>
        <bgColor rgb="FFFAECE7"/>
      </patternFill>
    </fill>
    <fill>
      <patternFill patternType="solid">
        <fgColor rgb="FFEEEDFE"/>
        <bgColor rgb="FFE6F1FB"/>
      </patternFill>
    </fill>
    <fill>
      <patternFill patternType="solid">
        <fgColor rgb="FFE6F1FB"/>
        <bgColor rgb="FFEEEDFE"/>
      </patternFill>
    </fill>
    <fill>
      <patternFill patternType="solid">
        <fgColor rgb="FFE1F5EE"/>
        <bgColor rgb="FFE6F1FB"/>
      </patternFill>
    </fill>
    <fill>
      <patternFill patternType="solid">
        <fgColor rgb="FFFAECE7"/>
        <bgColor rgb="FFFCEBEB"/>
      </patternFill>
    </fill>
    <fill>
      <patternFill patternType="solid">
        <fgColor rgb="FFFCEBEB"/>
        <bgColor rgb="FFFAECE7"/>
      </patternFill>
    </fill>
    <fill>
      <patternFill patternType="solid">
        <fgColor rgb="FFFBEAF0"/>
        <bgColor rgb="FFFCEBEB"/>
      </patternFill>
    </fill>
    <fill>
      <patternFill patternType="solid">
        <fgColor rgb="FFEAF3DE"/>
        <bgColor rgb="FFF1EFE8"/>
      </patternFill>
    </fill>
    <fill>
      <patternFill patternType="solid">
        <fgColor rgb="FF85B7EB"/>
        <bgColor rgb="FFB5D4F4"/>
      </patternFill>
    </fill>
    <fill>
      <patternFill patternType="solid">
        <fgColor rgb="FF5DCAA5"/>
        <bgColor rgb="FF85B7EB"/>
      </patternFill>
    </fill>
    <fill>
      <patternFill patternType="solid">
        <fgColor rgb="FF97C459"/>
        <bgColor rgb="FF969696"/>
      </patternFill>
    </fill>
    <fill>
      <patternFill patternType="solid">
        <fgColor rgb="FF7F77DD"/>
        <bgColor rgb="FF888780"/>
      </patternFill>
    </fill>
    <fill>
      <patternFill patternType="solid">
        <fgColor rgb="FFED93B1"/>
        <bgColor rgb="FFEF9F27"/>
      </patternFill>
    </fill>
    <fill>
      <patternFill patternType="solid">
        <fgColor rgb="FFEF9F27"/>
        <bgColor rgb="FFED93B1"/>
      </patternFill>
    </fill>
    <fill>
      <patternFill patternType="solid">
        <fgColor rgb="FFD85A30"/>
        <bgColor rgb="FF993300"/>
      </patternFill>
    </fill>
    <fill>
      <patternFill patternType="solid">
        <fgColor rgb="FF888780"/>
        <bgColor rgb="FF969696"/>
      </patternFill>
    </fill>
  </fills>
  <borders count="3">
    <border>
      <left/>
      <right/>
      <top/>
      <bottom/>
      <diagonal/>
    </border>
    <border>
      <left style="thin">
        <color rgb="FFD3D1C7"/>
      </left>
      <right style="thin">
        <color rgb="FFD3D1C7"/>
      </right>
      <top style="thin">
        <color rgb="FFD3D1C7"/>
      </top>
      <bottom style="thin">
        <color rgb="FFD3D1C7"/>
      </bottom>
      <diagonal/>
    </border>
    <border>
      <left style="hair">
        <color rgb="FFE1E0D9"/>
      </left>
      <right/>
      <top/>
      <bottom/>
      <diagonal/>
    </border>
  </borders>
  <cellStyleXfs count="1">
    <xf numFmtId="0" fontId="0" fillId="0" borderId="0"/>
  </cellStyleXfs>
  <cellXfs count="68">
    <xf numFmtId="0" fontId="0" fillId="0" borderId="0" xfId="0"/>
    <xf numFmtId="0" fontId="1" fillId="0" borderId="0" xfId="0" applyFont="1"/>
    <xf numFmtId="164" fontId="2" fillId="2" borderId="0" xfId="0" applyNumberFormat="1" applyFont="1" applyFill="1"/>
    <xf numFmtId="0" fontId="3" fillId="0" borderId="0" xfId="0" applyFont="1" applyAlignment="1">
      <alignment vertical="top" wrapText="1"/>
    </xf>
    <xf numFmtId="0" fontId="4" fillId="0" borderId="0" xfId="0" applyFont="1" applyAlignment="1">
      <alignment horizontal="right" textRotation="90" wrapText="1"/>
    </xf>
    <xf numFmtId="0" fontId="5" fillId="0" borderId="0" xfId="0" applyFont="1"/>
    <xf numFmtId="0" fontId="6" fillId="3" borderId="0" xfId="0" applyFont="1" applyFill="1" applyAlignment="1">
      <alignment vertical="center" wrapText="1"/>
    </xf>
    <xf numFmtId="0" fontId="6" fillId="3" borderId="0" xfId="0" applyFont="1" applyFill="1" applyAlignment="1">
      <alignment horizontal="center" vertical="center" wrapText="1"/>
    </xf>
    <xf numFmtId="165" fontId="7" fillId="3" borderId="0" xfId="0" applyNumberFormat="1" applyFont="1" applyFill="1" applyAlignment="1">
      <alignment horizontal="center"/>
    </xf>
    <xf numFmtId="0" fontId="2" fillId="4" borderId="1" xfId="0" applyFont="1" applyFill="1" applyBorder="1"/>
    <xf numFmtId="164" fontId="2" fillId="4" borderId="1" xfId="0" applyNumberFormat="1" applyFont="1" applyFill="1" applyBorder="1"/>
    <xf numFmtId="164" fontId="8" fillId="4" borderId="1" xfId="0" applyNumberFormat="1" applyFont="1" applyFill="1" applyBorder="1"/>
    <xf numFmtId="0" fontId="8" fillId="4" borderId="1" xfId="0" applyFont="1" applyFill="1" applyBorder="1"/>
    <xf numFmtId="0" fontId="9" fillId="0" borderId="1" xfId="0" applyFont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2" fillId="5" borderId="1" xfId="0" applyFont="1" applyFill="1" applyBorder="1"/>
    <xf numFmtId="164" fontId="2" fillId="5" borderId="1" xfId="0" applyNumberFormat="1" applyFont="1" applyFill="1" applyBorder="1"/>
    <xf numFmtId="164" fontId="8" fillId="5" borderId="1" xfId="0" applyNumberFormat="1" applyFont="1" applyFill="1" applyBorder="1"/>
    <xf numFmtId="0" fontId="8" fillId="5" borderId="1" xfId="0" applyFont="1" applyFill="1" applyBorder="1"/>
    <xf numFmtId="0" fontId="2" fillId="6" borderId="1" xfId="0" applyFont="1" applyFill="1" applyBorder="1"/>
    <xf numFmtId="164" fontId="2" fillId="6" borderId="1" xfId="0" applyNumberFormat="1" applyFont="1" applyFill="1" applyBorder="1"/>
    <xf numFmtId="164" fontId="8" fillId="6" borderId="1" xfId="0" applyNumberFormat="1" applyFont="1" applyFill="1" applyBorder="1"/>
    <xf numFmtId="0" fontId="8" fillId="6" borderId="1" xfId="0" applyFont="1" applyFill="1" applyBorder="1"/>
    <xf numFmtId="164" fontId="11" fillId="6" borderId="1" xfId="0" applyNumberFormat="1" applyFont="1" applyFill="1" applyBorder="1"/>
    <xf numFmtId="0" fontId="2" fillId="7" borderId="1" xfId="0" applyFont="1" applyFill="1" applyBorder="1"/>
    <xf numFmtId="164" fontId="11" fillId="7" borderId="1" xfId="0" applyNumberFormat="1" applyFont="1" applyFill="1" applyBorder="1"/>
    <xf numFmtId="164" fontId="8" fillId="7" borderId="1" xfId="0" applyNumberFormat="1" applyFont="1" applyFill="1" applyBorder="1"/>
    <xf numFmtId="0" fontId="8" fillId="7" borderId="1" xfId="0" applyFont="1" applyFill="1" applyBorder="1"/>
    <xf numFmtId="164" fontId="2" fillId="7" borderId="1" xfId="0" applyNumberFormat="1" applyFont="1" applyFill="1" applyBorder="1"/>
    <xf numFmtId="0" fontId="2" fillId="8" borderId="1" xfId="0" applyFont="1" applyFill="1" applyBorder="1"/>
    <xf numFmtId="164" fontId="11" fillId="8" borderId="1" xfId="0" applyNumberFormat="1" applyFont="1" applyFill="1" applyBorder="1"/>
    <xf numFmtId="164" fontId="8" fillId="8" borderId="1" xfId="0" applyNumberFormat="1" applyFont="1" applyFill="1" applyBorder="1"/>
    <xf numFmtId="0" fontId="8" fillId="8" borderId="1" xfId="0" applyFont="1" applyFill="1" applyBorder="1"/>
    <xf numFmtId="164" fontId="2" fillId="8" borderId="1" xfId="0" applyNumberFormat="1" applyFont="1" applyFill="1" applyBorder="1"/>
    <xf numFmtId="164" fontId="11" fillId="5" borderId="1" xfId="0" applyNumberFormat="1" applyFont="1" applyFill="1" applyBorder="1"/>
    <xf numFmtId="0" fontId="2" fillId="9" borderId="1" xfId="0" applyFont="1" applyFill="1" applyBorder="1"/>
    <xf numFmtId="164" fontId="11" fillId="9" borderId="1" xfId="0" applyNumberFormat="1" applyFont="1" applyFill="1" applyBorder="1"/>
    <xf numFmtId="164" fontId="8" fillId="9" borderId="1" xfId="0" applyNumberFormat="1" applyFont="1" applyFill="1" applyBorder="1"/>
    <xf numFmtId="0" fontId="8" fillId="9" borderId="1" xfId="0" applyFont="1" applyFill="1" applyBorder="1"/>
    <xf numFmtId="0" fontId="2" fillId="10" borderId="1" xfId="0" applyFont="1" applyFill="1" applyBorder="1"/>
    <xf numFmtId="164" fontId="11" fillId="10" borderId="1" xfId="0" applyNumberFormat="1" applyFont="1" applyFill="1" applyBorder="1"/>
    <xf numFmtId="164" fontId="8" fillId="10" borderId="1" xfId="0" applyNumberFormat="1" applyFont="1" applyFill="1" applyBorder="1"/>
    <xf numFmtId="0" fontId="8" fillId="10" borderId="1" xfId="0" applyFont="1" applyFill="1" applyBorder="1"/>
    <xf numFmtId="0" fontId="2" fillId="11" borderId="1" xfId="0" applyFont="1" applyFill="1" applyBorder="1"/>
    <xf numFmtId="164" fontId="11" fillId="11" borderId="1" xfId="0" applyNumberFormat="1" applyFont="1" applyFill="1" applyBorder="1"/>
    <xf numFmtId="164" fontId="8" fillId="11" borderId="1" xfId="0" applyNumberFormat="1" applyFont="1" applyFill="1" applyBorder="1"/>
    <xf numFmtId="0" fontId="8" fillId="11" borderId="1" xfId="0" applyFont="1" applyFill="1" applyBorder="1"/>
    <xf numFmtId="0" fontId="2" fillId="12" borderId="1" xfId="0" applyFont="1" applyFill="1" applyBorder="1"/>
    <xf numFmtId="164" fontId="11" fillId="12" borderId="1" xfId="0" applyNumberFormat="1" applyFont="1" applyFill="1" applyBorder="1"/>
    <xf numFmtId="164" fontId="8" fillId="12" borderId="1" xfId="0" applyNumberFormat="1" applyFont="1" applyFill="1" applyBorder="1"/>
    <xf numFmtId="0" fontId="8" fillId="12" borderId="1" xfId="0" applyFont="1" applyFill="1" applyBorder="1"/>
    <xf numFmtId="164" fontId="11" fillId="4" borderId="1" xfId="0" applyNumberFormat="1" applyFont="1" applyFill="1" applyBorder="1"/>
    <xf numFmtId="0" fontId="10" fillId="0" borderId="0" xfId="0" applyFont="1"/>
    <xf numFmtId="0" fontId="10" fillId="0" borderId="0" xfId="0" applyFont="1" applyAlignment="1">
      <alignment horizontal="center"/>
    </xf>
    <xf numFmtId="0" fontId="12" fillId="0" borderId="0" xfId="0" applyFont="1"/>
    <xf numFmtId="0" fontId="0" fillId="13" borderId="0" xfId="0" applyFill="1"/>
    <xf numFmtId="0" fontId="13" fillId="0" borderId="0" xfId="0" applyFont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  <xf numFmtId="0" fontId="3" fillId="0" borderId="0" xfId="0" applyFont="1"/>
    <xf numFmtId="0" fontId="6" fillId="3" borderId="0" xfId="0" applyFont="1" applyFill="1"/>
    <xf numFmtId="0" fontId="8" fillId="0" borderId="0" xfId="0" applyFont="1"/>
    <xf numFmtId="166" fontId="13" fillId="0" borderId="0" xfId="0" applyNumberFormat="1" applyFont="1" applyAlignment="1">
      <alignment horizontal="center"/>
    </xf>
  </cellXfs>
  <cellStyles count="1">
    <cellStyle name="Normal" xfId="0" builtinId="0"/>
  </cellStyles>
  <dxfs count="9">
    <dxf>
      <fill>
        <patternFill>
          <bgColor rgb="FFB5D4F4"/>
        </patternFill>
      </fill>
    </dxf>
    <dxf>
      <fill>
        <patternFill>
          <bgColor rgb="FF888780"/>
        </patternFill>
      </fill>
    </dxf>
    <dxf>
      <fill>
        <patternFill>
          <bgColor rgb="FFD85A30"/>
        </patternFill>
      </fill>
    </dxf>
    <dxf>
      <fill>
        <patternFill>
          <bgColor rgb="FFEF9F27"/>
        </patternFill>
      </fill>
    </dxf>
    <dxf>
      <fill>
        <patternFill>
          <bgColor rgb="FFED93B1"/>
        </patternFill>
      </fill>
    </dxf>
    <dxf>
      <fill>
        <patternFill>
          <bgColor rgb="FF7F77DD"/>
        </patternFill>
      </fill>
    </dxf>
    <dxf>
      <fill>
        <patternFill>
          <bgColor rgb="FF97C459"/>
        </patternFill>
      </fill>
    </dxf>
    <dxf>
      <fill>
        <patternFill>
          <bgColor rgb="FF5DCAA5"/>
        </patternFill>
      </fill>
    </dxf>
    <dxf>
      <fill>
        <patternFill>
          <bgColor rgb="FF85B7EB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3D1C7"/>
      <rgbColor rgb="FF888780"/>
      <rgbColor rgb="FF7F77DD"/>
      <rgbColor rgb="FF993366"/>
      <rgbColor rgb="FFFAEEDA"/>
      <rgbColor rgb="FFE1F5EE"/>
      <rgbColor rgb="FF660066"/>
      <rgbColor rgb="FFFBEAF0"/>
      <rgbColor rgb="FF0066CC"/>
      <rgbColor rgb="FFB5D4F4"/>
      <rgbColor rgb="FF000080"/>
      <rgbColor rgb="FFFF00FF"/>
      <rgbColor rgb="FFF1EFE8"/>
      <rgbColor rgb="FF00FFFF"/>
      <rgbColor rgb="FF800080"/>
      <rgbColor rgb="FF800000"/>
      <rgbColor rgb="FF008080"/>
      <rgbColor rgb="FF0000FF"/>
      <rgbColor rgb="FF00CCFF"/>
      <rgbColor rgb="FFE6F1FB"/>
      <rgbColor rgb="FFEAF3DE"/>
      <rgbColor rgb="FFFAECE7"/>
      <rgbColor rgb="FF85B7EB"/>
      <rgbColor rgb="FFED93B1"/>
      <rgbColor rgb="FFEEEDFE"/>
      <rgbColor rgb="FFE1E0D9"/>
      <rgbColor rgb="FF3366FF"/>
      <rgbColor rgb="FF5DCAA5"/>
      <rgbColor rgb="FF97C459"/>
      <rgbColor rgb="FFFCEBEB"/>
      <rgbColor rgb="FFEF9F27"/>
      <rgbColor rgb="FFD85A30"/>
      <rgbColor rgb="FF5F5E5A"/>
      <rgbColor rgb="FF969696"/>
      <rgbColor rgb="FF003366"/>
      <rgbColor rgb="FF339966"/>
      <rgbColor rgb="FF003300"/>
      <rgbColor rgb="FF333300"/>
      <rgbColor rgb="FF993300"/>
      <rgbColor rgb="FF993366"/>
      <rgbColor rgb="FF3C348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M318"/>
  <sheetViews>
    <sheetView tabSelected="1" zoomScaleNormal="100" workbookViewId="0">
      <pane ySplit="4" topLeftCell="AO5" activePane="bottomLeft" state="frozen"/>
      <selection pane="bottomLeft"/>
    </sheetView>
  </sheetViews>
  <sheetFormatPr defaultColWidth="8.7109375" defaultRowHeight="15"/>
  <cols>
    <col min="1" max="1" width="7" customWidth="1"/>
    <col min="2" max="2" width="20" customWidth="1"/>
    <col min="3" max="4" width="9" customWidth="1"/>
    <col min="5" max="5" width="15" customWidth="1"/>
    <col min="6" max="6" width="20" customWidth="1"/>
    <col min="7" max="7" width="30" customWidth="1"/>
    <col min="8" max="8" width="8" customWidth="1"/>
    <col min="9" max="10" width="11" customWidth="1"/>
    <col min="11" max="11" width="10" customWidth="1"/>
    <col min="12" max="12" width="24" customWidth="1"/>
    <col min="13" max="13" width="14" customWidth="1"/>
    <col min="14" max="14" width="16" customWidth="1"/>
    <col min="15" max="15" width="6" customWidth="1"/>
    <col min="16" max="90" width="4.5703125" customWidth="1"/>
    <col min="91" max="91" width="3.140625" customWidth="1"/>
  </cols>
  <sheetData>
    <row r="1" spans="1:91" ht="17.25" customHeight="1">
      <c r="A1" s="1" t="s">
        <v>0</v>
      </c>
    </row>
    <row r="2" spans="1:91" ht="39.75" customHeight="1">
      <c r="A2" t="s">
        <v>1</v>
      </c>
      <c r="C2" s="2">
        <v>46335</v>
      </c>
      <c r="E2" t="s">
        <v>2</v>
      </c>
      <c r="G2" s="2">
        <v>46307</v>
      </c>
      <c r="I2" s="3" t="s">
        <v>3</v>
      </c>
    </row>
    <row r="3" spans="1:91" ht="150" customHeight="1">
      <c r="P3" s="4" t="s">
        <v>4</v>
      </c>
      <c r="Q3" s="4" t="s">
        <v>5</v>
      </c>
      <c r="R3" s="4" t="s">
        <v>6</v>
      </c>
      <c r="S3" s="4" t="s">
        <v>7</v>
      </c>
      <c r="T3" s="4" t="s">
        <v>8</v>
      </c>
      <c r="U3" s="4" t="s">
        <v>9</v>
      </c>
      <c r="V3" s="4" t="s">
        <v>10</v>
      </c>
      <c r="W3" s="4" t="s">
        <v>11</v>
      </c>
      <c r="X3" s="4" t="s">
        <v>12</v>
      </c>
      <c r="Y3" s="4" t="s">
        <v>13</v>
      </c>
      <c r="Z3" s="4" t="s">
        <v>13</v>
      </c>
      <c r="AA3" s="4" t="s">
        <v>14</v>
      </c>
      <c r="AB3" s="4" t="s">
        <v>14</v>
      </c>
      <c r="AC3" s="4" t="s">
        <v>15</v>
      </c>
      <c r="AD3" s="4" t="s">
        <v>15</v>
      </c>
      <c r="AE3" s="4" t="s">
        <v>16</v>
      </c>
      <c r="AF3" s="4" t="s">
        <v>17</v>
      </c>
      <c r="AG3" s="4" t="s">
        <v>17</v>
      </c>
      <c r="AH3" s="4" t="s">
        <v>18</v>
      </c>
      <c r="AI3" s="4" t="s">
        <v>19</v>
      </c>
      <c r="AJ3" s="4" t="s">
        <v>20</v>
      </c>
      <c r="AK3" s="4" t="s">
        <v>20</v>
      </c>
      <c r="AL3" s="4" t="s">
        <v>20</v>
      </c>
      <c r="AM3" s="4" t="s">
        <v>20</v>
      </c>
      <c r="AN3" s="4" t="s">
        <v>20</v>
      </c>
      <c r="AO3" s="5" t="str">
        <f>TEXT(AO4,"mmm yy")</f>
        <v>paź yy</v>
      </c>
      <c r="AP3" s="5" t="str">
        <f>IF(MONTH(AP4)&lt;&gt;MONTH(AO4),TEXT(AP4,"mmm yy"),"")</f>
        <v/>
      </c>
      <c r="AQ3" s="5" t="str">
        <f>IF(MONTH(AQ4)&lt;&gt;MONTH(AP4),TEXT(AQ4,"mmm yy"),"")</f>
        <v/>
      </c>
      <c r="AR3" s="5" t="str">
        <f>IF(MONTH(AR4)&lt;&gt;MONTH(AQ4),TEXT(AR4,"mmm yy"),"")</f>
        <v>lis yy</v>
      </c>
      <c r="AS3" s="5" t="str">
        <f>IF(MONTH(AS4)&lt;&gt;MONTH(AR4),TEXT(AS4,"mmm yy"),"")</f>
        <v/>
      </c>
      <c r="AT3" s="5" t="str">
        <f>IF(MONTH(AT4)&lt;&gt;MONTH(AS4),TEXT(AT4,"mmm yy"),"")</f>
        <v/>
      </c>
      <c r="AU3" s="5" t="str">
        <f>IF(MONTH(AU4)&lt;&gt;MONTH(AT4),TEXT(AU4,"mmm yy"),"")</f>
        <v/>
      </c>
      <c r="AV3" s="5" t="str">
        <f>IF(MONTH(AV4)&lt;&gt;MONTH(AU4),TEXT(AV4,"mmm yy"),"")</f>
        <v/>
      </c>
      <c r="AW3" s="5" t="str">
        <f>IF(MONTH(AW4)&lt;&gt;MONTH(AV4),TEXT(AW4,"mmm yy"),"")</f>
        <v>gru yy</v>
      </c>
      <c r="AX3" s="5" t="str">
        <f>IF(MONTH(AX4)&lt;&gt;MONTH(AW4),TEXT(AX4,"mmm yy"),"")</f>
        <v/>
      </c>
      <c r="AY3" s="5" t="str">
        <f>IF(MONTH(AY4)&lt;&gt;MONTH(AX4),TEXT(AY4,"mmm yy"),"")</f>
        <v/>
      </c>
      <c r="AZ3" s="5" t="str">
        <f>IF(MONTH(AZ4)&lt;&gt;MONTH(AY4),TEXT(AZ4,"mmm yy"),"")</f>
        <v/>
      </c>
      <c r="BA3" s="5" t="str">
        <f>IF(MONTH(BA4)&lt;&gt;MONTH(AZ4),TEXT(BA4,"mmm yy"),"")</f>
        <v>sty yy</v>
      </c>
      <c r="BB3" s="5" t="str">
        <f>IF(MONTH(BB4)&lt;&gt;MONTH(BA4),TEXT(BB4,"mmm yy"),"")</f>
        <v/>
      </c>
      <c r="BC3" s="5" t="str">
        <f>IF(MONTH(BC4)&lt;&gt;MONTH(BB4),TEXT(BC4,"mmm yy"),"")</f>
        <v/>
      </c>
      <c r="BD3" s="5" t="str">
        <f>IF(MONTH(BD4)&lt;&gt;MONTH(BC4),TEXT(BD4,"mmm yy"),"")</f>
        <v/>
      </c>
      <c r="BE3" s="5" t="str">
        <f>IF(MONTH(BE4)&lt;&gt;MONTH(BD4),TEXT(BE4,"mmm yy"),"")</f>
        <v>lut yy</v>
      </c>
      <c r="BF3" s="5" t="str">
        <f>IF(MONTH(BF4)&lt;&gt;MONTH(BE4),TEXT(BF4,"mmm yy"),"")</f>
        <v/>
      </c>
      <c r="BG3" s="5" t="str">
        <f>IF(MONTH(BG4)&lt;&gt;MONTH(BF4),TEXT(BG4,"mmm yy"),"")</f>
        <v/>
      </c>
      <c r="BH3" s="5" t="str">
        <f>IF(MONTH(BH4)&lt;&gt;MONTH(BG4),TEXT(BH4,"mmm yy"),"")</f>
        <v/>
      </c>
      <c r="BI3" s="5" t="str">
        <f>IF(MONTH(BI4)&lt;&gt;MONTH(BH4),TEXT(BI4,"mmm yy"),"")</f>
        <v>mar yy</v>
      </c>
      <c r="BJ3" s="5" t="str">
        <f>IF(MONTH(BJ4)&lt;&gt;MONTH(BI4),TEXT(BJ4,"mmm yy"),"")</f>
        <v/>
      </c>
      <c r="BK3" s="5" t="str">
        <f>IF(MONTH(BK4)&lt;&gt;MONTH(BJ4),TEXT(BK4,"mmm yy"),"")</f>
        <v/>
      </c>
      <c r="BL3" s="5" t="str">
        <f>IF(MONTH(BL4)&lt;&gt;MONTH(BK4),TEXT(BL4,"mmm yy"),"")</f>
        <v/>
      </c>
      <c r="BM3" s="5" t="str">
        <f>IF(MONTH(BM4)&lt;&gt;MONTH(BL4),TEXT(BM4,"mmm yy"),"")</f>
        <v/>
      </c>
      <c r="BN3" s="5" t="str">
        <f>IF(MONTH(BN4)&lt;&gt;MONTH(BM4),TEXT(BN4,"mmm yy"),"")</f>
        <v>kwi yy</v>
      </c>
      <c r="BO3" s="5" t="str">
        <f>IF(MONTH(BO4)&lt;&gt;MONTH(BN4),TEXT(BO4,"mmm yy"),"")</f>
        <v/>
      </c>
      <c r="BP3" s="5" t="str">
        <f>IF(MONTH(BP4)&lt;&gt;MONTH(BO4),TEXT(BP4,"mmm yy"),"")</f>
        <v/>
      </c>
      <c r="BQ3" s="5" t="str">
        <f>IF(MONTH(BQ4)&lt;&gt;MONTH(BP4),TEXT(BQ4,"mmm yy"),"")</f>
        <v/>
      </c>
      <c r="BR3" s="5" t="str">
        <f>IF(MONTH(BR4)&lt;&gt;MONTH(BQ4),TEXT(BR4,"mmm yy"),"")</f>
        <v>maj yy</v>
      </c>
      <c r="BS3" s="5" t="str">
        <f>IF(MONTH(BS4)&lt;&gt;MONTH(BR4),TEXT(BS4,"mmm yy"),"")</f>
        <v/>
      </c>
      <c r="BT3" s="5" t="str">
        <f>IF(MONTH(BT4)&lt;&gt;MONTH(BS4),TEXT(BT4,"mmm yy"),"")</f>
        <v/>
      </c>
      <c r="BU3" s="5" t="str">
        <f>IF(MONTH(BU4)&lt;&gt;MONTH(BT4),TEXT(BU4,"mmm yy"),"")</f>
        <v/>
      </c>
      <c r="BV3" s="5" t="str">
        <f>IF(MONTH(BV4)&lt;&gt;MONTH(BU4),TEXT(BV4,"mmm yy"),"")</f>
        <v/>
      </c>
      <c r="BW3" s="5" t="str">
        <f>IF(MONTH(BW4)&lt;&gt;MONTH(BV4),TEXT(BW4,"mmm yy"),"")</f>
        <v>cze yy</v>
      </c>
      <c r="BX3" s="5" t="str">
        <f>IF(MONTH(BX4)&lt;&gt;MONTH(BW4),TEXT(BX4,"mmm yy"),"")</f>
        <v/>
      </c>
      <c r="BY3" s="5" t="str">
        <f>IF(MONTH(BY4)&lt;&gt;MONTH(BX4),TEXT(BY4,"mmm yy"),"")</f>
        <v/>
      </c>
      <c r="BZ3" s="5" t="str">
        <f>IF(MONTH(BZ4)&lt;&gt;MONTH(BY4),TEXT(BZ4,"mmm yy"),"")</f>
        <v/>
      </c>
      <c r="CA3" s="5" t="str">
        <f>IF(MONTH(CA4)&lt;&gt;MONTH(BZ4),TEXT(CA4,"mmm yy"),"")</f>
        <v>lip yy</v>
      </c>
      <c r="CB3" s="5" t="str">
        <f>IF(MONTH(CB4)&lt;&gt;MONTH(CA4),TEXT(CB4,"mmm yy"),"")</f>
        <v/>
      </c>
      <c r="CC3" s="5" t="str">
        <f>IF(MONTH(CC4)&lt;&gt;MONTH(CB4),TEXT(CC4,"mmm yy"),"")</f>
        <v/>
      </c>
      <c r="CD3" s="5" t="str">
        <f>IF(MONTH(CD4)&lt;&gt;MONTH(CC4),TEXT(CD4,"mmm yy"),"")</f>
        <v/>
      </c>
      <c r="CE3" s="5" t="str">
        <f>IF(MONTH(CE4)&lt;&gt;MONTH(CD4),TEXT(CE4,"mmm yy"),"")</f>
        <v>sie yy</v>
      </c>
      <c r="CF3" s="5" t="str">
        <f>IF(MONTH(CF4)&lt;&gt;MONTH(CE4),TEXT(CF4,"mmm yy"),"")</f>
        <v/>
      </c>
      <c r="CG3" s="5" t="str">
        <f>IF(MONTH(CG4)&lt;&gt;MONTH(CF4),TEXT(CG4,"mmm yy"),"")</f>
        <v/>
      </c>
      <c r="CH3" s="5" t="str">
        <f>IF(MONTH(CH4)&lt;&gt;MONTH(CG4),TEXT(CH4,"mmm yy"),"")</f>
        <v/>
      </c>
      <c r="CI3" s="5" t="str">
        <f>IF(MONTH(CI4)&lt;&gt;MONTH(CH4),TEXT(CI4,"mmm yy"),"")</f>
        <v/>
      </c>
      <c r="CJ3" s="5" t="str">
        <f>IF(MONTH(CJ4)&lt;&gt;MONTH(CI4),TEXT(CJ4,"mmm yy"),"")</f>
        <v>wrz yy</v>
      </c>
      <c r="CK3" s="5" t="str">
        <f>IF(MONTH(CK4)&lt;&gt;MONTH(CJ4),TEXT(CK4,"mmm yy"),"")</f>
        <v/>
      </c>
      <c r="CL3" s="5" t="str">
        <f>IF(MONTH(CL4)&lt;&gt;MONTH(CK4),TEXT(CL4,"mmm yy"),"")</f>
        <v/>
      </c>
      <c r="CM3" s="5" t="str">
        <f>IF(MONTH(CM4)&lt;&gt;MONTH(CL4),TEXT(CM4,"mmm yy"),"")</f>
        <v/>
      </c>
    </row>
    <row r="4" spans="1:91" ht="30" customHeight="1">
      <c r="A4" s="6" t="s">
        <v>21</v>
      </c>
      <c r="B4" s="6" t="s">
        <v>22</v>
      </c>
      <c r="C4" s="6" t="s">
        <v>23</v>
      </c>
      <c r="D4" s="6" t="s">
        <v>24</v>
      </c>
      <c r="E4" s="6" t="s">
        <v>25</v>
      </c>
      <c r="F4" s="6" t="s">
        <v>26</v>
      </c>
      <c r="G4" s="6" t="s">
        <v>27</v>
      </c>
      <c r="H4" s="6" t="s">
        <v>28</v>
      </c>
      <c r="I4" s="6" t="s">
        <v>29</v>
      </c>
      <c r="J4" s="6" t="s">
        <v>30</v>
      </c>
      <c r="K4" s="6" t="s">
        <v>31</v>
      </c>
      <c r="L4" s="6" t="s">
        <v>32</v>
      </c>
      <c r="M4" s="6" t="s">
        <v>33</v>
      </c>
      <c r="N4" s="6" t="s">
        <v>34</v>
      </c>
      <c r="O4" s="6" t="s">
        <v>35</v>
      </c>
      <c r="P4" s="7" t="s">
        <v>36</v>
      </c>
      <c r="Q4" s="7" t="s">
        <v>37</v>
      </c>
      <c r="R4" s="7" t="s">
        <v>38</v>
      </c>
      <c r="S4" s="7" t="s">
        <v>39</v>
      </c>
      <c r="T4" s="7" t="s">
        <v>40</v>
      </c>
      <c r="U4" s="7" t="s">
        <v>41</v>
      </c>
      <c r="V4" s="7" t="s">
        <v>42</v>
      </c>
      <c r="W4" s="7" t="s">
        <v>43</v>
      </c>
      <c r="X4" s="7" t="s">
        <v>44</v>
      </c>
      <c r="Y4" s="7" t="s">
        <v>45</v>
      </c>
      <c r="Z4" s="7" t="s">
        <v>46</v>
      </c>
      <c r="AA4" s="7" t="s">
        <v>47</v>
      </c>
      <c r="AB4" s="7" t="s">
        <v>48</v>
      </c>
      <c r="AC4" s="7" t="s">
        <v>49</v>
      </c>
      <c r="AD4" s="7" t="s">
        <v>50</v>
      </c>
      <c r="AE4" s="7" t="s">
        <v>51</v>
      </c>
      <c r="AF4" s="7" t="s">
        <v>52</v>
      </c>
      <c r="AG4" s="7" t="s">
        <v>53</v>
      </c>
      <c r="AH4" s="7" t="s">
        <v>54</v>
      </c>
      <c r="AI4" s="7" t="s">
        <v>55</v>
      </c>
      <c r="AJ4" s="7" t="s">
        <v>56</v>
      </c>
      <c r="AK4" s="7" t="s">
        <v>57</v>
      </c>
      <c r="AL4" s="7" t="s">
        <v>58</v>
      </c>
      <c r="AM4" s="7" t="s">
        <v>59</v>
      </c>
      <c r="AN4" s="7" t="s">
        <v>60</v>
      </c>
      <c r="AO4" s="8">
        <f>$G$2</f>
        <v>46307</v>
      </c>
      <c r="AP4" s="8">
        <f>AO4+7</f>
        <v>46314</v>
      </c>
      <c r="AQ4" s="8">
        <f>AP4+7</f>
        <v>46321</v>
      </c>
      <c r="AR4" s="8">
        <f>AQ4+7</f>
        <v>46328</v>
      </c>
      <c r="AS4" s="8">
        <f>AR4+7</f>
        <v>46335</v>
      </c>
      <c r="AT4" s="8">
        <f>AS4+7</f>
        <v>46342</v>
      </c>
      <c r="AU4" s="8">
        <f>AT4+7</f>
        <v>46349</v>
      </c>
      <c r="AV4" s="8">
        <f>AU4+7</f>
        <v>46356</v>
      </c>
      <c r="AW4" s="8">
        <f>AV4+7</f>
        <v>46363</v>
      </c>
      <c r="AX4" s="8">
        <f>AW4+7</f>
        <v>46370</v>
      </c>
      <c r="AY4" s="8">
        <f>AX4+7</f>
        <v>46377</v>
      </c>
      <c r="AZ4" s="8">
        <f>AY4+7</f>
        <v>46384</v>
      </c>
      <c r="BA4" s="8">
        <f>AZ4+7</f>
        <v>46391</v>
      </c>
      <c r="BB4" s="8">
        <f>BA4+7</f>
        <v>46398</v>
      </c>
      <c r="BC4" s="8">
        <f>BB4+7</f>
        <v>46405</v>
      </c>
      <c r="BD4" s="8">
        <f>BC4+7</f>
        <v>46412</v>
      </c>
      <c r="BE4" s="8">
        <f>BD4+7</f>
        <v>46419</v>
      </c>
      <c r="BF4" s="8">
        <f>BE4+7</f>
        <v>46426</v>
      </c>
      <c r="BG4" s="8">
        <f>BF4+7</f>
        <v>46433</v>
      </c>
      <c r="BH4" s="8">
        <f>BG4+7</f>
        <v>46440</v>
      </c>
      <c r="BI4" s="8">
        <f>BH4+7</f>
        <v>46447</v>
      </c>
      <c r="BJ4" s="8">
        <f>BI4+7</f>
        <v>46454</v>
      </c>
      <c r="BK4" s="8">
        <f>BJ4+7</f>
        <v>46461</v>
      </c>
      <c r="BL4" s="8">
        <f>BK4+7</f>
        <v>46468</v>
      </c>
      <c r="BM4" s="8">
        <f>BL4+7</f>
        <v>46475</v>
      </c>
      <c r="BN4" s="8">
        <f>BM4+7</f>
        <v>46482</v>
      </c>
      <c r="BO4" s="8">
        <f>BN4+7</f>
        <v>46489</v>
      </c>
      <c r="BP4" s="8">
        <f>BO4+7</f>
        <v>46496</v>
      </c>
      <c r="BQ4" s="8">
        <f>BP4+7</f>
        <v>46503</v>
      </c>
      <c r="BR4" s="8">
        <f>BQ4+7</f>
        <v>46510</v>
      </c>
      <c r="BS4" s="8">
        <f>BR4+7</f>
        <v>46517</v>
      </c>
      <c r="BT4" s="8">
        <f>BS4+7</f>
        <v>46524</v>
      </c>
      <c r="BU4" s="8">
        <f>BT4+7</f>
        <v>46531</v>
      </c>
      <c r="BV4" s="8">
        <f>BU4+7</f>
        <v>46538</v>
      </c>
      <c r="BW4" s="8">
        <f>BV4+7</f>
        <v>46545</v>
      </c>
      <c r="BX4" s="8">
        <f>BW4+7</f>
        <v>46552</v>
      </c>
      <c r="BY4" s="8">
        <f>BX4+7</f>
        <v>46559</v>
      </c>
      <c r="BZ4" s="8">
        <f>BY4+7</f>
        <v>46566</v>
      </c>
      <c r="CA4" s="8">
        <f>BZ4+7</f>
        <v>46573</v>
      </c>
      <c r="CB4" s="8">
        <f>CA4+7</f>
        <v>46580</v>
      </c>
      <c r="CC4" s="8">
        <f>CB4+7</f>
        <v>46587</v>
      </c>
      <c r="CD4" s="8">
        <f>CC4+7</f>
        <v>46594</v>
      </c>
      <c r="CE4" s="8">
        <f>CD4+7</f>
        <v>46601</v>
      </c>
      <c r="CF4" s="8">
        <f>CE4+7</f>
        <v>46608</v>
      </c>
      <c r="CG4" s="8">
        <f>CF4+7</f>
        <v>46615</v>
      </c>
      <c r="CH4" s="8">
        <f>CG4+7</f>
        <v>46622</v>
      </c>
      <c r="CI4" s="8">
        <f>CH4+7</f>
        <v>46629</v>
      </c>
      <c r="CJ4" s="8">
        <f>CI4+7</f>
        <v>46636</v>
      </c>
      <c r="CK4" s="8">
        <f>CJ4+7</f>
        <v>46643</v>
      </c>
      <c r="CL4" s="8">
        <f>CK4+7</f>
        <v>46650</v>
      </c>
      <c r="CM4" s="8">
        <f>CL4+7</f>
        <v>46657</v>
      </c>
    </row>
    <row r="5" spans="1:91" ht="15" hidden="1" customHeight="1">
      <c r="A5" s="9" t="s">
        <v>61</v>
      </c>
      <c r="B5" s="9" t="s">
        <v>62</v>
      </c>
      <c r="C5" s="9" t="s">
        <v>63</v>
      </c>
      <c r="D5" s="9"/>
      <c r="E5" s="9"/>
      <c r="F5" s="9"/>
      <c r="G5" s="9" t="s">
        <v>64</v>
      </c>
      <c r="H5" s="9">
        <v>4</v>
      </c>
      <c r="I5" s="10">
        <v>46314</v>
      </c>
      <c r="J5" s="11">
        <f>IF(AND(ISNUMBER(I5),ISNUMBER(H5)),I5+H5-1,"")</f>
        <v>46317</v>
      </c>
      <c r="K5" s="9" t="s">
        <v>27</v>
      </c>
      <c r="L5" s="9"/>
      <c r="M5" s="12"/>
      <c r="N5" s="9" t="s">
        <v>65</v>
      </c>
      <c r="O5" s="12">
        <f>IF(AND(ISNUMBER(I5),ISNUMBER(J5)),J5-I5+1,"")</f>
        <v>4</v>
      </c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4" t="str">
        <f>IF(AND(ISNUMBER($I5),OR($K5="Milestone",$K5="Deadline"),$I5&gt;=AO$4,$I5&lt;AO$4+7),IF($K5="Deadline","◇","◆"),"")</f>
        <v/>
      </c>
      <c r="AP5" s="14" t="str">
        <f>IF(AND(ISNUMBER($I5),OR($K5="Milestone",$K5="Deadline"),$I5&gt;=AP$4,$I5&lt;AP$4+7),IF($K5="Deadline","◇","◆"),"")</f>
        <v/>
      </c>
      <c r="AQ5" s="14" t="str">
        <f>IF(AND(ISNUMBER($I5),OR($K5="Milestone",$K5="Deadline"),$I5&gt;=AQ$4,$I5&lt;AQ$4+7),IF($K5="Deadline","◇","◆"),"")</f>
        <v/>
      </c>
      <c r="AR5" s="14" t="str">
        <f>IF(AND(ISNUMBER($I5),OR($K5="Milestone",$K5="Deadline"),$I5&gt;=AR$4,$I5&lt;AR$4+7),IF($K5="Deadline","◇","◆"),"")</f>
        <v/>
      </c>
      <c r="AS5" s="14" t="str">
        <f>IF(AND(ISNUMBER($I5),OR($K5="Milestone",$K5="Deadline"),$I5&gt;=AS$4,$I5&lt;AS$4+7),IF($K5="Deadline","◇","◆"),"")</f>
        <v/>
      </c>
      <c r="AT5" s="14" t="str">
        <f>IF(AND(ISNUMBER($I5),OR($K5="Milestone",$K5="Deadline"),$I5&gt;=AT$4,$I5&lt;AT$4+7),IF($K5="Deadline","◇","◆"),"")</f>
        <v/>
      </c>
      <c r="AU5" s="14" t="str">
        <f>IF(AND(ISNUMBER($I5),OR($K5="Milestone",$K5="Deadline"),$I5&gt;=AU$4,$I5&lt;AU$4+7),IF($K5="Deadline","◇","◆"),"")</f>
        <v/>
      </c>
      <c r="AV5" s="14" t="str">
        <f>IF(AND(ISNUMBER($I5),OR($K5="Milestone",$K5="Deadline"),$I5&gt;=AV$4,$I5&lt;AV$4+7),IF($K5="Deadline","◇","◆"),"")</f>
        <v/>
      </c>
      <c r="AW5" s="14" t="str">
        <f>IF(AND(ISNUMBER($I5),OR($K5="Milestone",$K5="Deadline"),$I5&gt;=AW$4,$I5&lt;AW$4+7),IF($K5="Deadline","◇","◆"),"")</f>
        <v/>
      </c>
      <c r="AX5" s="14" t="str">
        <f>IF(AND(ISNUMBER($I5),OR($K5="Milestone",$K5="Deadline"),$I5&gt;=AX$4,$I5&lt;AX$4+7),IF($K5="Deadline","◇","◆"),"")</f>
        <v/>
      </c>
      <c r="AY5" s="14" t="str">
        <f>IF(AND(ISNUMBER($I5),OR($K5="Milestone",$K5="Deadline"),$I5&gt;=AY$4,$I5&lt;AY$4+7),IF($K5="Deadline","◇","◆"),"")</f>
        <v/>
      </c>
      <c r="AZ5" s="14" t="str">
        <f>IF(AND(ISNUMBER($I5),OR($K5="Milestone",$K5="Deadline"),$I5&gt;=AZ$4,$I5&lt;AZ$4+7),IF($K5="Deadline","◇","◆"),"")</f>
        <v/>
      </c>
      <c r="BA5" s="14" t="str">
        <f>IF(AND(ISNUMBER($I5),OR($K5="Milestone",$K5="Deadline"),$I5&gt;=BA$4,$I5&lt;BA$4+7),IF($K5="Deadline","◇","◆"),"")</f>
        <v/>
      </c>
      <c r="BB5" s="14" t="str">
        <f>IF(AND(ISNUMBER($I5),OR($K5="Milestone",$K5="Deadline"),$I5&gt;=BB$4,$I5&lt;BB$4+7),IF($K5="Deadline","◇","◆"),"")</f>
        <v/>
      </c>
      <c r="BC5" s="14" t="str">
        <f>IF(AND(ISNUMBER($I5),OR($K5="Milestone",$K5="Deadline"),$I5&gt;=BC$4,$I5&lt;BC$4+7),IF($K5="Deadline","◇","◆"),"")</f>
        <v/>
      </c>
      <c r="BD5" s="14" t="str">
        <f>IF(AND(ISNUMBER($I5),OR($K5="Milestone",$K5="Deadline"),$I5&gt;=BD$4,$I5&lt;BD$4+7),IF($K5="Deadline","◇","◆"),"")</f>
        <v/>
      </c>
      <c r="BE5" s="14" t="str">
        <f>IF(AND(ISNUMBER($I5),OR($K5="Milestone",$K5="Deadline"),$I5&gt;=BE$4,$I5&lt;BE$4+7),IF($K5="Deadline","◇","◆"),"")</f>
        <v/>
      </c>
      <c r="BF5" s="14" t="str">
        <f>IF(AND(ISNUMBER($I5),OR($K5="Milestone",$K5="Deadline"),$I5&gt;=BF$4,$I5&lt;BF$4+7),IF($K5="Deadline","◇","◆"),"")</f>
        <v/>
      </c>
      <c r="BG5" s="14" t="str">
        <f>IF(AND(ISNUMBER($I5),OR($K5="Milestone",$K5="Deadline"),$I5&gt;=BG$4,$I5&lt;BG$4+7),IF($K5="Deadline","◇","◆"),"")</f>
        <v/>
      </c>
      <c r="BH5" s="14" t="str">
        <f>IF(AND(ISNUMBER($I5),OR($K5="Milestone",$K5="Deadline"),$I5&gt;=BH$4,$I5&lt;BH$4+7),IF($K5="Deadline","◇","◆"),"")</f>
        <v/>
      </c>
      <c r="BI5" s="14" t="str">
        <f>IF(AND(ISNUMBER($I5),OR($K5="Milestone",$K5="Deadline"),$I5&gt;=BI$4,$I5&lt;BI$4+7),IF($K5="Deadline","◇","◆"),"")</f>
        <v/>
      </c>
      <c r="BJ5" s="14" t="str">
        <f>IF(AND(ISNUMBER($I5),OR($K5="Milestone",$K5="Deadline"),$I5&gt;=BJ$4,$I5&lt;BJ$4+7),IF($K5="Deadline","◇","◆"),"")</f>
        <v/>
      </c>
      <c r="BK5" s="14" t="str">
        <f>IF(AND(ISNUMBER($I5),OR($K5="Milestone",$K5="Deadline"),$I5&gt;=BK$4,$I5&lt;BK$4+7),IF($K5="Deadline","◇","◆"),"")</f>
        <v/>
      </c>
      <c r="BL5" s="14" t="str">
        <f>IF(AND(ISNUMBER($I5),OR($K5="Milestone",$K5="Deadline"),$I5&gt;=BL$4,$I5&lt;BL$4+7),IF($K5="Deadline","◇","◆"),"")</f>
        <v/>
      </c>
      <c r="BM5" s="14" t="str">
        <f>IF(AND(ISNUMBER($I5),OR($K5="Milestone",$K5="Deadline"),$I5&gt;=BM$4,$I5&lt;BM$4+7),IF($K5="Deadline","◇","◆"),"")</f>
        <v/>
      </c>
      <c r="BN5" s="14" t="str">
        <f>IF(AND(ISNUMBER($I5),OR($K5="Milestone",$K5="Deadline"),$I5&gt;=BN$4,$I5&lt;BN$4+7),IF($K5="Deadline","◇","◆"),"")</f>
        <v/>
      </c>
      <c r="BO5" s="14" t="str">
        <f>IF(AND(ISNUMBER($I5),OR($K5="Milestone",$K5="Deadline"),$I5&gt;=BO$4,$I5&lt;BO$4+7),IF($K5="Deadline","◇","◆"),"")</f>
        <v/>
      </c>
      <c r="BP5" s="14" t="str">
        <f>IF(AND(ISNUMBER($I5),OR($K5="Milestone",$K5="Deadline"),$I5&gt;=BP$4,$I5&lt;BP$4+7),IF($K5="Deadline","◇","◆"),"")</f>
        <v/>
      </c>
      <c r="BQ5" s="14" t="str">
        <f>IF(AND(ISNUMBER($I5),OR($K5="Milestone",$K5="Deadline"),$I5&gt;=BQ$4,$I5&lt;BQ$4+7),IF($K5="Deadline","◇","◆"),"")</f>
        <v/>
      </c>
      <c r="BR5" s="14" t="str">
        <f>IF(AND(ISNUMBER($I5),OR($K5="Milestone",$K5="Deadline"),$I5&gt;=BR$4,$I5&lt;BR$4+7),IF($K5="Deadline","◇","◆"),"")</f>
        <v/>
      </c>
      <c r="BS5" s="14" t="str">
        <f>IF(AND(ISNUMBER($I5),OR($K5="Milestone",$K5="Deadline"),$I5&gt;=BS$4,$I5&lt;BS$4+7),IF($K5="Deadline","◇","◆"),"")</f>
        <v/>
      </c>
      <c r="BT5" s="14" t="str">
        <f>IF(AND(ISNUMBER($I5),OR($K5="Milestone",$K5="Deadline"),$I5&gt;=BT$4,$I5&lt;BT$4+7),IF($K5="Deadline","◇","◆"),"")</f>
        <v/>
      </c>
      <c r="BU5" s="14" t="str">
        <f>IF(AND(ISNUMBER($I5),OR($K5="Milestone",$K5="Deadline"),$I5&gt;=BU$4,$I5&lt;BU$4+7),IF($K5="Deadline","◇","◆"),"")</f>
        <v/>
      </c>
      <c r="BV5" s="14" t="str">
        <f>IF(AND(ISNUMBER($I5),OR($K5="Milestone",$K5="Deadline"),$I5&gt;=BV$4,$I5&lt;BV$4+7),IF($K5="Deadline","◇","◆"),"")</f>
        <v/>
      </c>
      <c r="BW5" s="14" t="str">
        <f>IF(AND(ISNUMBER($I5),OR($K5="Milestone",$K5="Deadline"),$I5&gt;=BW$4,$I5&lt;BW$4+7),IF($K5="Deadline","◇","◆"),"")</f>
        <v/>
      </c>
      <c r="BX5" s="14" t="str">
        <f>IF(AND(ISNUMBER($I5),OR($K5="Milestone",$K5="Deadline"),$I5&gt;=BX$4,$I5&lt;BX$4+7),IF($K5="Deadline","◇","◆"),"")</f>
        <v/>
      </c>
      <c r="BY5" s="14" t="str">
        <f>IF(AND(ISNUMBER($I5),OR($K5="Milestone",$K5="Deadline"),$I5&gt;=BY$4,$I5&lt;BY$4+7),IF($K5="Deadline","◇","◆"),"")</f>
        <v/>
      </c>
      <c r="BZ5" s="14" t="str">
        <f>IF(AND(ISNUMBER($I5),OR($K5="Milestone",$K5="Deadline"),$I5&gt;=BZ$4,$I5&lt;BZ$4+7),IF($K5="Deadline","◇","◆"),"")</f>
        <v/>
      </c>
      <c r="CA5" s="14" t="str">
        <f>IF(AND(ISNUMBER($I5),OR($K5="Milestone",$K5="Deadline"),$I5&gt;=CA$4,$I5&lt;CA$4+7),IF($K5="Deadline","◇","◆"),"")</f>
        <v/>
      </c>
      <c r="CB5" s="14" t="str">
        <f>IF(AND(ISNUMBER($I5),OR($K5="Milestone",$K5="Deadline"),$I5&gt;=CB$4,$I5&lt;CB$4+7),IF($K5="Deadline","◇","◆"),"")</f>
        <v/>
      </c>
      <c r="CC5" s="14" t="str">
        <f>IF(AND(ISNUMBER($I5),OR($K5="Milestone",$K5="Deadline"),$I5&gt;=CC$4,$I5&lt;CC$4+7),IF($K5="Deadline","◇","◆"),"")</f>
        <v/>
      </c>
      <c r="CD5" s="14" t="str">
        <f>IF(AND(ISNUMBER($I5),OR($K5="Milestone",$K5="Deadline"),$I5&gt;=CD$4,$I5&lt;CD$4+7),IF($K5="Deadline","◇","◆"),"")</f>
        <v/>
      </c>
      <c r="CE5" s="14" t="str">
        <f>IF(AND(ISNUMBER($I5),OR($K5="Milestone",$K5="Deadline"),$I5&gt;=CE$4,$I5&lt;CE$4+7),IF($K5="Deadline","◇","◆"),"")</f>
        <v/>
      </c>
      <c r="CF5" s="14" t="str">
        <f>IF(AND(ISNUMBER($I5),OR($K5="Milestone",$K5="Deadline"),$I5&gt;=CF$4,$I5&lt;CF$4+7),IF($K5="Deadline","◇","◆"),"")</f>
        <v/>
      </c>
      <c r="CG5" s="14" t="str">
        <f>IF(AND(ISNUMBER($I5),OR($K5="Milestone",$K5="Deadline"),$I5&gt;=CG$4,$I5&lt;CG$4+7),IF($K5="Deadline","◇","◆"),"")</f>
        <v/>
      </c>
      <c r="CH5" s="14" t="str">
        <f>IF(AND(ISNUMBER($I5),OR($K5="Milestone",$K5="Deadline"),$I5&gt;=CH$4,$I5&lt;CH$4+7),IF($K5="Deadline","◇","◆"),"")</f>
        <v/>
      </c>
      <c r="CI5" s="14" t="str">
        <f>IF(AND(ISNUMBER($I5),OR($K5="Milestone",$K5="Deadline"),$I5&gt;=CI$4,$I5&lt;CI$4+7),IF($K5="Deadline","◇","◆"),"")</f>
        <v/>
      </c>
      <c r="CJ5" s="14" t="str">
        <f>IF(AND(ISNUMBER($I5),OR($K5="Milestone",$K5="Deadline"),$I5&gt;=CJ$4,$I5&lt;CJ$4+7),IF($K5="Deadline","◇","◆"),"")</f>
        <v/>
      </c>
      <c r="CK5" s="14" t="str">
        <f>IF(AND(ISNUMBER($I5),OR($K5="Milestone",$K5="Deadline"),$I5&gt;=CK$4,$I5&lt;CK$4+7),IF($K5="Deadline","◇","◆"),"")</f>
        <v/>
      </c>
      <c r="CL5" s="14" t="str">
        <f>IF(AND(ISNUMBER($I5),OR($K5="Milestone",$K5="Deadline"),$I5&gt;=CL$4,$I5&lt;CL$4+7),IF($K5="Deadline","◇","◆"),"")</f>
        <v/>
      </c>
      <c r="CM5" s="14" t="str">
        <f>IF(AND(ISNUMBER($I5),OR($K5="Milestone",$K5="Deadline"),$I5&gt;=CM$4,$I5&lt;CM$4+7),IF($K5="Deadline","◇","◆"),"")</f>
        <v/>
      </c>
    </row>
    <row r="6" spans="1:91" ht="15" hidden="1" customHeight="1">
      <c r="A6" s="9" t="s">
        <v>66</v>
      </c>
      <c r="B6" s="9" t="s">
        <v>62</v>
      </c>
      <c r="C6" s="9" t="s">
        <v>63</v>
      </c>
      <c r="D6" s="9"/>
      <c r="E6" s="9"/>
      <c r="F6" s="9"/>
      <c r="G6" s="9" t="s">
        <v>67</v>
      </c>
      <c r="H6" s="9"/>
      <c r="I6" s="10">
        <v>46326</v>
      </c>
      <c r="J6" s="11">
        <f>I6</f>
        <v>46326</v>
      </c>
      <c r="K6" s="9" t="s">
        <v>68</v>
      </c>
      <c r="L6" s="9"/>
      <c r="M6" s="12"/>
      <c r="N6" s="9" t="s">
        <v>69</v>
      </c>
      <c r="O6" s="12">
        <f>IF(AND(ISNUMBER(I6),ISNUMBER(J6)),J6-I6+1,"")</f>
        <v>1</v>
      </c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4" t="str">
        <f>IF(AND(ISNUMBER($I6),OR($K6="Milestone",$K6="Deadline"),$I6&gt;=AO$4,$I6&lt;AO$4+7),IF($K6="Deadline","◇","◆"),"")</f>
        <v/>
      </c>
      <c r="AP6" s="14" t="str">
        <f>IF(AND(ISNUMBER($I6),OR($K6="Milestone",$K6="Deadline"),$I6&gt;=AP$4,$I6&lt;AP$4+7),IF($K6="Deadline","◇","◆"),"")</f>
        <v/>
      </c>
      <c r="AQ6" s="14" t="str">
        <f>IF(AND(ISNUMBER($I6),OR($K6="Milestone",$K6="Deadline"),$I6&gt;=AQ$4,$I6&lt;AQ$4+7),IF($K6="Deadline","◇","◆"),"")</f>
        <v>◆</v>
      </c>
      <c r="AR6" s="14" t="str">
        <f>IF(AND(ISNUMBER($I6),OR($K6="Milestone",$K6="Deadline"),$I6&gt;=AR$4,$I6&lt;AR$4+7),IF($K6="Deadline","◇","◆"),"")</f>
        <v/>
      </c>
      <c r="AS6" s="14" t="str">
        <f>IF(AND(ISNUMBER($I6),OR($K6="Milestone",$K6="Deadline"),$I6&gt;=AS$4,$I6&lt;AS$4+7),IF($K6="Deadline","◇","◆"),"")</f>
        <v/>
      </c>
      <c r="AT6" s="14" t="str">
        <f>IF(AND(ISNUMBER($I6),OR($K6="Milestone",$K6="Deadline"),$I6&gt;=AT$4,$I6&lt;AT$4+7),IF($K6="Deadline","◇","◆"),"")</f>
        <v/>
      </c>
      <c r="AU6" s="14" t="str">
        <f>IF(AND(ISNUMBER($I6),OR($K6="Milestone",$K6="Deadline"),$I6&gt;=AU$4,$I6&lt;AU$4+7),IF($K6="Deadline","◇","◆"),"")</f>
        <v/>
      </c>
      <c r="AV6" s="14" t="str">
        <f>IF(AND(ISNUMBER($I6),OR($K6="Milestone",$K6="Deadline"),$I6&gt;=AV$4,$I6&lt;AV$4+7),IF($K6="Deadline","◇","◆"),"")</f>
        <v/>
      </c>
      <c r="AW6" s="14" t="str">
        <f>IF(AND(ISNUMBER($I6),OR($K6="Milestone",$K6="Deadline"),$I6&gt;=AW$4,$I6&lt;AW$4+7),IF($K6="Deadline","◇","◆"),"")</f>
        <v/>
      </c>
      <c r="AX6" s="14" t="str">
        <f>IF(AND(ISNUMBER($I6),OR($K6="Milestone",$K6="Deadline"),$I6&gt;=AX$4,$I6&lt;AX$4+7),IF($K6="Deadline","◇","◆"),"")</f>
        <v/>
      </c>
      <c r="AY6" s="14" t="str">
        <f>IF(AND(ISNUMBER($I6),OR($K6="Milestone",$K6="Deadline"),$I6&gt;=AY$4,$I6&lt;AY$4+7),IF($K6="Deadline","◇","◆"),"")</f>
        <v/>
      </c>
      <c r="AZ6" s="14" t="str">
        <f>IF(AND(ISNUMBER($I6),OR($K6="Milestone",$K6="Deadline"),$I6&gt;=AZ$4,$I6&lt;AZ$4+7),IF($K6="Deadline","◇","◆"),"")</f>
        <v/>
      </c>
      <c r="BA6" s="14" t="str">
        <f>IF(AND(ISNUMBER($I6),OR($K6="Milestone",$K6="Deadline"),$I6&gt;=BA$4,$I6&lt;BA$4+7),IF($K6="Deadline","◇","◆"),"")</f>
        <v/>
      </c>
      <c r="BB6" s="14" t="str">
        <f>IF(AND(ISNUMBER($I6),OR($K6="Milestone",$K6="Deadline"),$I6&gt;=BB$4,$I6&lt;BB$4+7),IF($K6="Deadline","◇","◆"),"")</f>
        <v/>
      </c>
      <c r="BC6" s="14" t="str">
        <f>IF(AND(ISNUMBER($I6),OR($K6="Milestone",$K6="Deadline"),$I6&gt;=BC$4,$I6&lt;BC$4+7),IF($K6="Deadline","◇","◆"),"")</f>
        <v/>
      </c>
      <c r="BD6" s="14" t="str">
        <f>IF(AND(ISNUMBER($I6),OR($K6="Milestone",$K6="Deadline"),$I6&gt;=BD$4,$I6&lt;BD$4+7),IF($K6="Deadline","◇","◆"),"")</f>
        <v/>
      </c>
      <c r="BE6" s="14" t="str">
        <f>IF(AND(ISNUMBER($I6),OR($K6="Milestone",$K6="Deadline"),$I6&gt;=BE$4,$I6&lt;BE$4+7),IF($K6="Deadline","◇","◆"),"")</f>
        <v/>
      </c>
      <c r="BF6" s="14" t="str">
        <f>IF(AND(ISNUMBER($I6),OR($K6="Milestone",$K6="Deadline"),$I6&gt;=BF$4,$I6&lt;BF$4+7),IF($K6="Deadline","◇","◆"),"")</f>
        <v/>
      </c>
      <c r="BG6" s="14" t="str">
        <f>IF(AND(ISNUMBER($I6),OR($K6="Milestone",$K6="Deadline"),$I6&gt;=BG$4,$I6&lt;BG$4+7),IF($K6="Deadline","◇","◆"),"")</f>
        <v/>
      </c>
      <c r="BH6" s="14" t="str">
        <f>IF(AND(ISNUMBER($I6),OR($K6="Milestone",$K6="Deadline"),$I6&gt;=BH$4,$I6&lt;BH$4+7),IF($K6="Deadline","◇","◆"),"")</f>
        <v/>
      </c>
      <c r="BI6" s="14" t="str">
        <f>IF(AND(ISNUMBER($I6),OR($K6="Milestone",$K6="Deadline"),$I6&gt;=BI$4,$I6&lt;BI$4+7),IF($K6="Deadline","◇","◆"),"")</f>
        <v/>
      </c>
      <c r="BJ6" s="14" t="str">
        <f>IF(AND(ISNUMBER($I6),OR($K6="Milestone",$K6="Deadline"),$I6&gt;=BJ$4,$I6&lt;BJ$4+7),IF($K6="Deadline","◇","◆"),"")</f>
        <v/>
      </c>
      <c r="BK6" s="14" t="str">
        <f>IF(AND(ISNUMBER($I6),OR($K6="Milestone",$K6="Deadline"),$I6&gt;=BK$4,$I6&lt;BK$4+7),IF($K6="Deadline","◇","◆"),"")</f>
        <v/>
      </c>
      <c r="BL6" s="14" t="str">
        <f>IF(AND(ISNUMBER($I6),OR($K6="Milestone",$K6="Deadline"),$I6&gt;=BL$4,$I6&lt;BL$4+7),IF($K6="Deadline","◇","◆"),"")</f>
        <v/>
      </c>
      <c r="BM6" s="14" t="str">
        <f>IF(AND(ISNUMBER($I6),OR($K6="Milestone",$K6="Deadline"),$I6&gt;=BM$4,$I6&lt;BM$4+7),IF($K6="Deadline","◇","◆"),"")</f>
        <v/>
      </c>
      <c r="BN6" s="14" t="str">
        <f>IF(AND(ISNUMBER($I6),OR($K6="Milestone",$K6="Deadline"),$I6&gt;=BN$4,$I6&lt;BN$4+7),IF($K6="Deadline","◇","◆"),"")</f>
        <v/>
      </c>
      <c r="BO6" s="14" t="str">
        <f>IF(AND(ISNUMBER($I6),OR($K6="Milestone",$K6="Deadline"),$I6&gt;=BO$4,$I6&lt;BO$4+7),IF($K6="Deadline","◇","◆"),"")</f>
        <v/>
      </c>
      <c r="BP6" s="14" t="str">
        <f>IF(AND(ISNUMBER($I6),OR($K6="Milestone",$K6="Deadline"),$I6&gt;=BP$4,$I6&lt;BP$4+7),IF($K6="Deadline","◇","◆"),"")</f>
        <v/>
      </c>
      <c r="BQ6" s="14" t="str">
        <f>IF(AND(ISNUMBER($I6),OR($K6="Milestone",$K6="Deadline"),$I6&gt;=BQ$4,$I6&lt;BQ$4+7),IF($K6="Deadline","◇","◆"),"")</f>
        <v/>
      </c>
      <c r="BR6" s="14" t="str">
        <f>IF(AND(ISNUMBER($I6),OR($K6="Milestone",$K6="Deadline"),$I6&gt;=BR$4,$I6&lt;BR$4+7),IF($K6="Deadline","◇","◆"),"")</f>
        <v/>
      </c>
      <c r="BS6" s="14" t="str">
        <f>IF(AND(ISNUMBER($I6),OR($K6="Milestone",$K6="Deadline"),$I6&gt;=BS$4,$I6&lt;BS$4+7),IF($K6="Deadline","◇","◆"),"")</f>
        <v/>
      </c>
      <c r="BT6" s="14" t="str">
        <f>IF(AND(ISNUMBER($I6),OR($K6="Milestone",$K6="Deadline"),$I6&gt;=BT$4,$I6&lt;BT$4+7),IF($K6="Deadline","◇","◆"),"")</f>
        <v/>
      </c>
      <c r="BU6" s="14" t="str">
        <f>IF(AND(ISNUMBER($I6),OR($K6="Milestone",$K6="Deadline"),$I6&gt;=BU$4,$I6&lt;BU$4+7),IF($K6="Deadline","◇","◆"),"")</f>
        <v/>
      </c>
      <c r="BV6" s="14" t="str">
        <f>IF(AND(ISNUMBER($I6),OR($K6="Milestone",$K6="Deadline"),$I6&gt;=BV$4,$I6&lt;BV$4+7),IF($K6="Deadline","◇","◆"),"")</f>
        <v/>
      </c>
      <c r="BW6" s="14" t="str">
        <f>IF(AND(ISNUMBER($I6),OR($K6="Milestone",$K6="Deadline"),$I6&gt;=BW$4,$I6&lt;BW$4+7),IF($K6="Deadline","◇","◆"),"")</f>
        <v/>
      </c>
      <c r="BX6" s="14" t="str">
        <f>IF(AND(ISNUMBER($I6),OR($K6="Milestone",$K6="Deadline"),$I6&gt;=BX$4,$I6&lt;BX$4+7),IF($K6="Deadline","◇","◆"),"")</f>
        <v/>
      </c>
      <c r="BY6" s="14" t="str">
        <f>IF(AND(ISNUMBER($I6),OR($K6="Milestone",$K6="Deadline"),$I6&gt;=BY$4,$I6&lt;BY$4+7),IF($K6="Deadline","◇","◆"),"")</f>
        <v/>
      </c>
      <c r="BZ6" s="14" t="str">
        <f>IF(AND(ISNUMBER($I6),OR($K6="Milestone",$K6="Deadline"),$I6&gt;=BZ$4,$I6&lt;BZ$4+7),IF($K6="Deadline","◇","◆"),"")</f>
        <v/>
      </c>
      <c r="CA6" s="14" t="str">
        <f>IF(AND(ISNUMBER($I6),OR($K6="Milestone",$K6="Deadline"),$I6&gt;=CA$4,$I6&lt;CA$4+7),IF($K6="Deadline","◇","◆"),"")</f>
        <v/>
      </c>
      <c r="CB6" s="14" t="str">
        <f>IF(AND(ISNUMBER($I6),OR($K6="Milestone",$K6="Deadline"),$I6&gt;=CB$4,$I6&lt;CB$4+7),IF($K6="Deadline","◇","◆"),"")</f>
        <v/>
      </c>
      <c r="CC6" s="14" t="str">
        <f>IF(AND(ISNUMBER($I6),OR($K6="Milestone",$K6="Deadline"),$I6&gt;=CC$4,$I6&lt;CC$4+7),IF($K6="Deadline","◇","◆"),"")</f>
        <v/>
      </c>
      <c r="CD6" s="14" t="str">
        <f>IF(AND(ISNUMBER($I6),OR($K6="Milestone",$K6="Deadline"),$I6&gt;=CD$4,$I6&lt;CD$4+7),IF($K6="Deadline","◇","◆"),"")</f>
        <v/>
      </c>
      <c r="CE6" s="14" t="str">
        <f>IF(AND(ISNUMBER($I6),OR($K6="Milestone",$K6="Deadline"),$I6&gt;=CE$4,$I6&lt;CE$4+7),IF($K6="Deadline","◇","◆"),"")</f>
        <v/>
      </c>
      <c r="CF6" s="14" t="str">
        <f>IF(AND(ISNUMBER($I6),OR($K6="Milestone",$K6="Deadline"),$I6&gt;=CF$4,$I6&lt;CF$4+7),IF($K6="Deadline","◇","◆"),"")</f>
        <v/>
      </c>
      <c r="CG6" s="14" t="str">
        <f>IF(AND(ISNUMBER($I6),OR($K6="Milestone",$K6="Deadline"),$I6&gt;=CG$4,$I6&lt;CG$4+7),IF($K6="Deadline","◇","◆"),"")</f>
        <v/>
      </c>
      <c r="CH6" s="14" t="str">
        <f>IF(AND(ISNUMBER($I6),OR($K6="Milestone",$K6="Deadline"),$I6&gt;=CH$4,$I6&lt;CH$4+7),IF($K6="Deadline","◇","◆"),"")</f>
        <v/>
      </c>
      <c r="CI6" s="14" t="str">
        <f>IF(AND(ISNUMBER($I6),OR($K6="Milestone",$K6="Deadline"),$I6&gt;=CI$4,$I6&lt;CI$4+7),IF($K6="Deadline","◇","◆"),"")</f>
        <v/>
      </c>
      <c r="CJ6" s="14" t="str">
        <f>IF(AND(ISNUMBER($I6),OR($K6="Milestone",$K6="Deadline"),$I6&gt;=CJ$4,$I6&lt;CJ$4+7),IF($K6="Deadline","◇","◆"),"")</f>
        <v/>
      </c>
      <c r="CK6" s="14" t="str">
        <f>IF(AND(ISNUMBER($I6),OR($K6="Milestone",$K6="Deadline"),$I6&gt;=CK$4,$I6&lt;CK$4+7),IF($K6="Deadline","◇","◆"),"")</f>
        <v/>
      </c>
      <c r="CL6" s="14" t="str">
        <f>IF(AND(ISNUMBER($I6),OR($K6="Milestone",$K6="Deadline"),$I6&gt;=CL$4,$I6&lt;CL$4+7),IF($K6="Deadline","◇","◆"),"")</f>
        <v/>
      </c>
      <c r="CM6" s="14" t="str">
        <f>IF(AND(ISNUMBER($I6),OR($K6="Milestone",$K6="Deadline"),$I6&gt;=CM$4,$I6&lt;CM$4+7),IF($K6="Deadline","◇","◆"),"")</f>
        <v/>
      </c>
    </row>
    <row r="7" spans="1:91" ht="15" hidden="1" customHeight="1">
      <c r="A7" s="9" t="s">
        <v>70</v>
      </c>
      <c r="B7" s="9" t="s">
        <v>62</v>
      </c>
      <c r="C7" s="9" t="s">
        <v>63</v>
      </c>
      <c r="D7" s="9"/>
      <c r="E7" s="9"/>
      <c r="F7" s="9"/>
      <c r="G7" s="9" t="s">
        <v>71</v>
      </c>
      <c r="H7" s="9"/>
      <c r="I7" s="10">
        <v>46335</v>
      </c>
      <c r="J7" s="11">
        <f>I7</f>
        <v>46335</v>
      </c>
      <c r="K7" s="9" t="s">
        <v>68</v>
      </c>
      <c r="L7" s="9"/>
      <c r="M7" s="12"/>
      <c r="N7" s="9" t="s">
        <v>72</v>
      </c>
      <c r="O7" s="12">
        <f>IF(AND(ISNUMBER(I7),ISNUMBER(J7)),J7-I7+1,"")</f>
        <v>1</v>
      </c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4" t="str">
        <f>IF(AND(ISNUMBER($I7),OR($K7="Milestone",$K7="Deadline"),$I7&gt;=AO$4,$I7&lt;AO$4+7),IF($K7="Deadline","◇","◆"),"")</f>
        <v/>
      </c>
      <c r="AP7" s="14" t="str">
        <f>IF(AND(ISNUMBER($I7),OR($K7="Milestone",$K7="Deadline"),$I7&gt;=AP$4,$I7&lt;AP$4+7),IF($K7="Deadline","◇","◆"),"")</f>
        <v/>
      </c>
      <c r="AQ7" s="14" t="str">
        <f>IF(AND(ISNUMBER($I7),OR($K7="Milestone",$K7="Deadline"),$I7&gt;=AQ$4,$I7&lt;AQ$4+7),IF($K7="Deadline","◇","◆"),"")</f>
        <v/>
      </c>
      <c r="AR7" s="14" t="str">
        <f>IF(AND(ISNUMBER($I7),OR($K7="Milestone",$K7="Deadline"),$I7&gt;=AR$4,$I7&lt;AR$4+7),IF($K7="Deadline","◇","◆"),"")</f>
        <v/>
      </c>
      <c r="AS7" s="14" t="str">
        <f>IF(AND(ISNUMBER($I7),OR($K7="Milestone",$K7="Deadline"),$I7&gt;=AS$4,$I7&lt;AS$4+7),IF($K7="Deadline","◇","◆"),"")</f>
        <v>◆</v>
      </c>
      <c r="AT7" s="14" t="str">
        <f>IF(AND(ISNUMBER($I7),OR($K7="Milestone",$K7="Deadline"),$I7&gt;=AT$4,$I7&lt;AT$4+7),IF($K7="Deadline","◇","◆"),"")</f>
        <v/>
      </c>
      <c r="AU7" s="14" t="str">
        <f>IF(AND(ISNUMBER($I7),OR($K7="Milestone",$K7="Deadline"),$I7&gt;=AU$4,$I7&lt;AU$4+7),IF($K7="Deadline","◇","◆"),"")</f>
        <v/>
      </c>
      <c r="AV7" s="14" t="str">
        <f>IF(AND(ISNUMBER($I7),OR($K7="Milestone",$K7="Deadline"),$I7&gt;=AV$4,$I7&lt;AV$4+7),IF($K7="Deadline","◇","◆"),"")</f>
        <v/>
      </c>
      <c r="AW7" s="14" t="str">
        <f>IF(AND(ISNUMBER($I7),OR($K7="Milestone",$K7="Deadline"),$I7&gt;=AW$4,$I7&lt;AW$4+7),IF($K7="Deadline","◇","◆"),"")</f>
        <v/>
      </c>
      <c r="AX7" s="14" t="str">
        <f>IF(AND(ISNUMBER($I7),OR($K7="Milestone",$K7="Deadline"),$I7&gt;=AX$4,$I7&lt;AX$4+7),IF($K7="Deadline","◇","◆"),"")</f>
        <v/>
      </c>
      <c r="AY7" s="14" t="str">
        <f>IF(AND(ISNUMBER($I7),OR($K7="Milestone",$K7="Deadline"),$I7&gt;=AY$4,$I7&lt;AY$4+7),IF($K7="Deadline","◇","◆"),"")</f>
        <v/>
      </c>
      <c r="AZ7" s="14" t="str">
        <f>IF(AND(ISNUMBER($I7),OR($K7="Milestone",$K7="Deadline"),$I7&gt;=AZ$4,$I7&lt;AZ$4+7),IF($K7="Deadline","◇","◆"),"")</f>
        <v/>
      </c>
      <c r="BA7" s="14" t="str">
        <f>IF(AND(ISNUMBER($I7),OR($K7="Milestone",$K7="Deadline"),$I7&gt;=BA$4,$I7&lt;BA$4+7),IF($K7="Deadline","◇","◆"),"")</f>
        <v/>
      </c>
      <c r="BB7" s="14" t="str">
        <f>IF(AND(ISNUMBER($I7),OR($K7="Milestone",$K7="Deadline"),$I7&gt;=BB$4,$I7&lt;BB$4+7),IF($K7="Deadline","◇","◆"),"")</f>
        <v/>
      </c>
      <c r="BC7" s="14" t="str">
        <f>IF(AND(ISNUMBER($I7),OR($K7="Milestone",$K7="Deadline"),$I7&gt;=BC$4,$I7&lt;BC$4+7),IF($K7="Deadline","◇","◆"),"")</f>
        <v/>
      </c>
      <c r="BD7" s="14" t="str">
        <f>IF(AND(ISNUMBER($I7),OR($K7="Milestone",$K7="Deadline"),$I7&gt;=BD$4,$I7&lt;BD$4+7),IF($K7="Deadline","◇","◆"),"")</f>
        <v/>
      </c>
      <c r="BE7" s="14" t="str">
        <f>IF(AND(ISNUMBER($I7),OR($K7="Milestone",$K7="Deadline"),$I7&gt;=BE$4,$I7&lt;BE$4+7),IF($K7="Deadline","◇","◆"),"")</f>
        <v/>
      </c>
      <c r="BF7" s="14" t="str">
        <f>IF(AND(ISNUMBER($I7),OR($K7="Milestone",$K7="Deadline"),$I7&gt;=BF$4,$I7&lt;BF$4+7),IF($K7="Deadline","◇","◆"),"")</f>
        <v/>
      </c>
      <c r="BG7" s="14" t="str">
        <f>IF(AND(ISNUMBER($I7),OR($K7="Milestone",$K7="Deadline"),$I7&gt;=BG$4,$I7&lt;BG$4+7),IF($K7="Deadline","◇","◆"),"")</f>
        <v/>
      </c>
      <c r="BH7" s="14" t="str">
        <f>IF(AND(ISNUMBER($I7),OR($K7="Milestone",$K7="Deadline"),$I7&gt;=BH$4,$I7&lt;BH$4+7),IF($K7="Deadline","◇","◆"),"")</f>
        <v/>
      </c>
      <c r="BI7" s="14" t="str">
        <f>IF(AND(ISNUMBER($I7),OR($K7="Milestone",$K7="Deadline"),$I7&gt;=BI$4,$I7&lt;BI$4+7),IF($K7="Deadline","◇","◆"),"")</f>
        <v/>
      </c>
      <c r="BJ7" s="14" t="str">
        <f>IF(AND(ISNUMBER($I7),OR($K7="Milestone",$K7="Deadline"),$I7&gt;=BJ$4,$I7&lt;BJ$4+7),IF($K7="Deadline","◇","◆"),"")</f>
        <v/>
      </c>
      <c r="BK7" s="14" t="str">
        <f>IF(AND(ISNUMBER($I7),OR($K7="Milestone",$K7="Deadline"),$I7&gt;=BK$4,$I7&lt;BK$4+7),IF($K7="Deadline","◇","◆"),"")</f>
        <v/>
      </c>
      <c r="BL7" s="14" t="str">
        <f>IF(AND(ISNUMBER($I7),OR($K7="Milestone",$K7="Deadline"),$I7&gt;=BL$4,$I7&lt;BL$4+7),IF($K7="Deadline","◇","◆"),"")</f>
        <v/>
      </c>
      <c r="BM7" s="14" t="str">
        <f>IF(AND(ISNUMBER($I7),OR($K7="Milestone",$K7="Deadline"),$I7&gt;=BM$4,$I7&lt;BM$4+7),IF($K7="Deadline","◇","◆"),"")</f>
        <v/>
      </c>
      <c r="BN7" s="14" t="str">
        <f>IF(AND(ISNUMBER($I7),OR($K7="Milestone",$K7="Deadline"),$I7&gt;=BN$4,$I7&lt;BN$4+7),IF($K7="Deadline","◇","◆"),"")</f>
        <v/>
      </c>
      <c r="BO7" s="14" t="str">
        <f>IF(AND(ISNUMBER($I7),OR($K7="Milestone",$K7="Deadline"),$I7&gt;=BO$4,$I7&lt;BO$4+7),IF($K7="Deadline","◇","◆"),"")</f>
        <v/>
      </c>
      <c r="BP7" s="14" t="str">
        <f>IF(AND(ISNUMBER($I7),OR($K7="Milestone",$K7="Deadline"),$I7&gt;=BP$4,$I7&lt;BP$4+7),IF($K7="Deadline","◇","◆"),"")</f>
        <v/>
      </c>
      <c r="BQ7" s="14" t="str">
        <f>IF(AND(ISNUMBER($I7),OR($K7="Milestone",$K7="Deadline"),$I7&gt;=BQ$4,$I7&lt;BQ$4+7),IF($K7="Deadline","◇","◆"),"")</f>
        <v/>
      </c>
      <c r="BR7" s="14" t="str">
        <f>IF(AND(ISNUMBER($I7),OR($K7="Milestone",$K7="Deadline"),$I7&gt;=BR$4,$I7&lt;BR$4+7),IF($K7="Deadline","◇","◆"),"")</f>
        <v/>
      </c>
      <c r="BS7" s="14" t="str">
        <f>IF(AND(ISNUMBER($I7),OR($K7="Milestone",$K7="Deadline"),$I7&gt;=BS$4,$I7&lt;BS$4+7),IF($K7="Deadline","◇","◆"),"")</f>
        <v/>
      </c>
      <c r="BT7" s="14" t="str">
        <f>IF(AND(ISNUMBER($I7),OR($K7="Milestone",$K7="Deadline"),$I7&gt;=BT$4,$I7&lt;BT$4+7),IF($K7="Deadline","◇","◆"),"")</f>
        <v/>
      </c>
      <c r="BU7" s="14" t="str">
        <f>IF(AND(ISNUMBER($I7),OR($K7="Milestone",$K7="Deadline"),$I7&gt;=BU$4,$I7&lt;BU$4+7),IF($K7="Deadline","◇","◆"),"")</f>
        <v/>
      </c>
      <c r="BV7" s="14" t="str">
        <f>IF(AND(ISNUMBER($I7),OR($K7="Milestone",$K7="Deadline"),$I7&gt;=BV$4,$I7&lt;BV$4+7),IF($K7="Deadline","◇","◆"),"")</f>
        <v/>
      </c>
      <c r="BW7" s="14" t="str">
        <f>IF(AND(ISNUMBER($I7),OR($K7="Milestone",$K7="Deadline"),$I7&gt;=BW$4,$I7&lt;BW$4+7),IF($K7="Deadline","◇","◆"),"")</f>
        <v/>
      </c>
      <c r="BX7" s="14" t="str">
        <f>IF(AND(ISNUMBER($I7),OR($K7="Milestone",$K7="Deadline"),$I7&gt;=BX$4,$I7&lt;BX$4+7),IF($K7="Deadline","◇","◆"),"")</f>
        <v/>
      </c>
      <c r="BY7" s="14" t="str">
        <f>IF(AND(ISNUMBER($I7),OR($K7="Milestone",$K7="Deadline"),$I7&gt;=BY$4,$I7&lt;BY$4+7),IF($K7="Deadline","◇","◆"),"")</f>
        <v/>
      </c>
      <c r="BZ7" s="14" t="str">
        <f>IF(AND(ISNUMBER($I7),OR($K7="Milestone",$K7="Deadline"),$I7&gt;=BZ$4,$I7&lt;BZ$4+7),IF($K7="Deadline","◇","◆"),"")</f>
        <v/>
      </c>
      <c r="CA7" s="14" t="str">
        <f>IF(AND(ISNUMBER($I7),OR($K7="Milestone",$K7="Deadline"),$I7&gt;=CA$4,$I7&lt;CA$4+7),IF($K7="Deadline","◇","◆"),"")</f>
        <v/>
      </c>
      <c r="CB7" s="14" t="str">
        <f>IF(AND(ISNUMBER($I7),OR($K7="Milestone",$K7="Deadline"),$I7&gt;=CB$4,$I7&lt;CB$4+7),IF($K7="Deadline","◇","◆"),"")</f>
        <v/>
      </c>
      <c r="CC7" s="14" t="str">
        <f>IF(AND(ISNUMBER($I7),OR($K7="Milestone",$K7="Deadline"),$I7&gt;=CC$4,$I7&lt;CC$4+7),IF($K7="Deadline","◇","◆"),"")</f>
        <v/>
      </c>
      <c r="CD7" s="14" t="str">
        <f>IF(AND(ISNUMBER($I7),OR($K7="Milestone",$K7="Deadline"),$I7&gt;=CD$4,$I7&lt;CD$4+7),IF($K7="Deadline","◇","◆"),"")</f>
        <v/>
      </c>
      <c r="CE7" s="14" t="str">
        <f>IF(AND(ISNUMBER($I7),OR($K7="Milestone",$K7="Deadline"),$I7&gt;=CE$4,$I7&lt;CE$4+7),IF($K7="Deadline","◇","◆"),"")</f>
        <v/>
      </c>
      <c r="CF7" s="14" t="str">
        <f>IF(AND(ISNUMBER($I7),OR($K7="Milestone",$K7="Deadline"),$I7&gt;=CF$4,$I7&lt;CF$4+7),IF($K7="Deadline","◇","◆"),"")</f>
        <v/>
      </c>
      <c r="CG7" s="14" t="str">
        <f>IF(AND(ISNUMBER($I7),OR($K7="Milestone",$K7="Deadline"),$I7&gt;=CG$4,$I7&lt;CG$4+7),IF($K7="Deadline","◇","◆"),"")</f>
        <v/>
      </c>
      <c r="CH7" s="14" t="str">
        <f>IF(AND(ISNUMBER($I7),OR($K7="Milestone",$K7="Deadline"),$I7&gt;=CH$4,$I7&lt;CH$4+7),IF($K7="Deadline","◇","◆"),"")</f>
        <v/>
      </c>
      <c r="CI7" s="14" t="str">
        <f>IF(AND(ISNUMBER($I7),OR($K7="Milestone",$K7="Deadline"),$I7&gt;=CI$4,$I7&lt;CI$4+7),IF($K7="Deadline","◇","◆"),"")</f>
        <v/>
      </c>
      <c r="CJ7" s="14" t="str">
        <f>IF(AND(ISNUMBER($I7),OR($K7="Milestone",$K7="Deadline"),$I7&gt;=CJ$4,$I7&lt;CJ$4+7),IF($K7="Deadline","◇","◆"),"")</f>
        <v/>
      </c>
      <c r="CK7" s="14" t="str">
        <f>IF(AND(ISNUMBER($I7),OR($K7="Milestone",$K7="Deadline"),$I7&gt;=CK$4,$I7&lt;CK$4+7),IF($K7="Deadline","◇","◆"),"")</f>
        <v/>
      </c>
      <c r="CL7" s="14" t="str">
        <f>IF(AND(ISNUMBER($I7),OR($K7="Milestone",$K7="Deadline"),$I7&gt;=CL$4,$I7&lt;CL$4+7),IF($K7="Deadline","◇","◆"),"")</f>
        <v/>
      </c>
      <c r="CM7" s="14" t="str">
        <f>IF(AND(ISNUMBER($I7),OR($K7="Milestone",$K7="Deadline"),$I7&gt;=CM$4,$I7&lt;CM$4+7),IF($K7="Deadline","◇","◆"),"")</f>
        <v/>
      </c>
    </row>
    <row r="8" spans="1:91" ht="15" hidden="1" customHeight="1">
      <c r="A8" s="9" t="s">
        <v>73</v>
      </c>
      <c r="B8" s="9" t="s">
        <v>74</v>
      </c>
      <c r="C8" s="9" t="s">
        <v>63</v>
      </c>
      <c r="D8" s="9"/>
      <c r="E8" s="9"/>
      <c r="F8" s="9"/>
      <c r="G8" s="9" t="s">
        <v>75</v>
      </c>
      <c r="H8" s="9"/>
      <c r="I8" s="10">
        <v>46327</v>
      </c>
      <c r="J8" s="11">
        <f>I8</f>
        <v>46327</v>
      </c>
      <c r="K8" s="9" t="s">
        <v>68</v>
      </c>
      <c r="L8" s="9"/>
      <c r="M8" s="12"/>
      <c r="N8" s="9" t="s">
        <v>76</v>
      </c>
      <c r="O8" s="12">
        <f>IF(AND(ISNUMBER(I8),ISNUMBER(J8)),J8-I8+1,"")</f>
        <v>1</v>
      </c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4" t="str">
        <f>IF(AND(ISNUMBER($I8),OR($K8="Milestone",$K8="Deadline"),$I8&gt;=AO$4,$I8&lt;AO$4+7),IF($K8="Deadline","◇","◆"),"")</f>
        <v/>
      </c>
      <c r="AP8" s="14" t="str">
        <f>IF(AND(ISNUMBER($I8),OR($K8="Milestone",$K8="Deadline"),$I8&gt;=AP$4,$I8&lt;AP$4+7),IF($K8="Deadline","◇","◆"),"")</f>
        <v/>
      </c>
      <c r="AQ8" s="14" t="str">
        <f>IF(AND(ISNUMBER($I8),OR($K8="Milestone",$K8="Deadline"),$I8&gt;=AQ$4,$I8&lt;AQ$4+7),IF($K8="Deadline","◇","◆"),"")</f>
        <v>◆</v>
      </c>
      <c r="AR8" s="14" t="str">
        <f>IF(AND(ISNUMBER($I8),OR($K8="Milestone",$K8="Deadline"),$I8&gt;=AR$4,$I8&lt;AR$4+7),IF($K8="Deadline","◇","◆"),"")</f>
        <v/>
      </c>
      <c r="AS8" s="14" t="str">
        <f>IF(AND(ISNUMBER($I8),OR($K8="Milestone",$K8="Deadline"),$I8&gt;=AS$4,$I8&lt;AS$4+7),IF($K8="Deadline","◇","◆"),"")</f>
        <v/>
      </c>
      <c r="AT8" s="14" t="str">
        <f>IF(AND(ISNUMBER($I8),OR($K8="Milestone",$K8="Deadline"),$I8&gt;=AT$4,$I8&lt;AT$4+7),IF($K8="Deadline","◇","◆"),"")</f>
        <v/>
      </c>
      <c r="AU8" s="14" t="str">
        <f>IF(AND(ISNUMBER($I8),OR($K8="Milestone",$K8="Deadline"),$I8&gt;=AU$4,$I8&lt;AU$4+7),IF($K8="Deadline","◇","◆"),"")</f>
        <v/>
      </c>
      <c r="AV8" s="14" t="str">
        <f>IF(AND(ISNUMBER($I8),OR($K8="Milestone",$K8="Deadline"),$I8&gt;=AV$4,$I8&lt;AV$4+7),IF($K8="Deadline","◇","◆"),"")</f>
        <v/>
      </c>
      <c r="AW8" s="14" t="str">
        <f>IF(AND(ISNUMBER($I8),OR($K8="Milestone",$K8="Deadline"),$I8&gt;=AW$4,$I8&lt;AW$4+7),IF($K8="Deadline","◇","◆"),"")</f>
        <v/>
      </c>
      <c r="AX8" s="14" t="str">
        <f>IF(AND(ISNUMBER($I8),OR($K8="Milestone",$K8="Deadline"),$I8&gt;=AX$4,$I8&lt;AX$4+7),IF($K8="Deadline","◇","◆"),"")</f>
        <v/>
      </c>
      <c r="AY8" s="14" t="str">
        <f>IF(AND(ISNUMBER($I8),OR($K8="Milestone",$K8="Deadline"),$I8&gt;=AY$4,$I8&lt;AY$4+7),IF($K8="Deadline","◇","◆"),"")</f>
        <v/>
      </c>
      <c r="AZ8" s="14" t="str">
        <f>IF(AND(ISNUMBER($I8),OR($K8="Milestone",$K8="Deadline"),$I8&gt;=AZ$4,$I8&lt;AZ$4+7),IF($K8="Deadline","◇","◆"),"")</f>
        <v/>
      </c>
      <c r="BA8" s="14" t="str">
        <f>IF(AND(ISNUMBER($I8),OR($K8="Milestone",$K8="Deadline"),$I8&gt;=BA$4,$I8&lt;BA$4+7),IF($K8="Deadline","◇","◆"),"")</f>
        <v/>
      </c>
      <c r="BB8" s="14" t="str">
        <f>IF(AND(ISNUMBER($I8),OR($K8="Milestone",$K8="Deadline"),$I8&gt;=BB$4,$I8&lt;BB$4+7),IF($K8="Deadline","◇","◆"),"")</f>
        <v/>
      </c>
      <c r="BC8" s="14" t="str">
        <f>IF(AND(ISNUMBER($I8),OR($K8="Milestone",$K8="Deadline"),$I8&gt;=BC$4,$I8&lt;BC$4+7),IF($K8="Deadline","◇","◆"),"")</f>
        <v/>
      </c>
      <c r="BD8" s="14" t="str">
        <f>IF(AND(ISNUMBER($I8),OR($K8="Milestone",$K8="Deadline"),$I8&gt;=BD$4,$I8&lt;BD$4+7),IF($K8="Deadline","◇","◆"),"")</f>
        <v/>
      </c>
      <c r="BE8" s="14" t="str">
        <f>IF(AND(ISNUMBER($I8),OR($K8="Milestone",$K8="Deadline"),$I8&gt;=BE$4,$I8&lt;BE$4+7),IF($K8="Deadline","◇","◆"),"")</f>
        <v/>
      </c>
      <c r="BF8" s="14" t="str">
        <f>IF(AND(ISNUMBER($I8),OR($K8="Milestone",$K8="Deadline"),$I8&gt;=BF$4,$I8&lt;BF$4+7),IF($K8="Deadline","◇","◆"),"")</f>
        <v/>
      </c>
      <c r="BG8" s="14" t="str">
        <f>IF(AND(ISNUMBER($I8),OR($K8="Milestone",$K8="Deadline"),$I8&gt;=BG$4,$I8&lt;BG$4+7),IF($K8="Deadline","◇","◆"),"")</f>
        <v/>
      </c>
      <c r="BH8" s="14" t="str">
        <f>IF(AND(ISNUMBER($I8),OR($K8="Milestone",$K8="Deadline"),$I8&gt;=BH$4,$I8&lt;BH$4+7),IF($K8="Deadline","◇","◆"),"")</f>
        <v/>
      </c>
      <c r="BI8" s="14" t="str">
        <f>IF(AND(ISNUMBER($I8),OR($K8="Milestone",$K8="Deadline"),$I8&gt;=BI$4,$I8&lt;BI$4+7),IF($K8="Deadline","◇","◆"),"")</f>
        <v/>
      </c>
      <c r="BJ8" s="14" t="str">
        <f>IF(AND(ISNUMBER($I8),OR($K8="Milestone",$K8="Deadline"),$I8&gt;=BJ$4,$I8&lt;BJ$4+7),IF($K8="Deadline","◇","◆"),"")</f>
        <v/>
      </c>
      <c r="BK8" s="14" t="str">
        <f>IF(AND(ISNUMBER($I8),OR($K8="Milestone",$K8="Deadline"),$I8&gt;=BK$4,$I8&lt;BK$4+7),IF($K8="Deadline","◇","◆"),"")</f>
        <v/>
      </c>
      <c r="BL8" s="14" t="str">
        <f>IF(AND(ISNUMBER($I8),OR($K8="Milestone",$K8="Deadline"),$I8&gt;=BL$4,$I8&lt;BL$4+7),IF($K8="Deadline","◇","◆"),"")</f>
        <v/>
      </c>
      <c r="BM8" s="14" t="str">
        <f>IF(AND(ISNUMBER($I8),OR($K8="Milestone",$K8="Deadline"),$I8&gt;=BM$4,$I8&lt;BM$4+7),IF($K8="Deadline","◇","◆"),"")</f>
        <v/>
      </c>
      <c r="BN8" s="14" t="str">
        <f>IF(AND(ISNUMBER($I8),OR($K8="Milestone",$K8="Deadline"),$I8&gt;=BN$4,$I8&lt;BN$4+7),IF($K8="Deadline","◇","◆"),"")</f>
        <v/>
      </c>
      <c r="BO8" s="14" t="str">
        <f>IF(AND(ISNUMBER($I8),OR($K8="Milestone",$K8="Deadline"),$I8&gt;=BO$4,$I8&lt;BO$4+7),IF($K8="Deadline","◇","◆"),"")</f>
        <v/>
      </c>
      <c r="BP8" s="14" t="str">
        <f>IF(AND(ISNUMBER($I8),OR($K8="Milestone",$K8="Deadline"),$I8&gt;=BP$4,$I8&lt;BP$4+7),IF($K8="Deadline","◇","◆"),"")</f>
        <v/>
      </c>
      <c r="BQ8" s="14" t="str">
        <f>IF(AND(ISNUMBER($I8),OR($K8="Milestone",$K8="Deadline"),$I8&gt;=BQ$4,$I8&lt;BQ$4+7),IF($K8="Deadline","◇","◆"),"")</f>
        <v/>
      </c>
      <c r="BR8" s="14" t="str">
        <f>IF(AND(ISNUMBER($I8),OR($K8="Milestone",$K8="Deadline"),$I8&gt;=BR$4,$I8&lt;BR$4+7),IF($K8="Deadline","◇","◆"),"")</f>
        <v/>
      </c>
      <c r="BS8" s="14" t="str">
        <f>IF(AND(ISNUMBER($I8),OR($K8="Milestone",$K8="Deadline"),$I8&gt;=BS$4,$I8&lt;BS$4+7),IF($K8="Deadline","◇","◆"),"")</f>
        <v/>
      </c>
      <c r="BT8" s="14" t="str">
        <f>IF(AND(ISNUMBER($I8),OR($K8="Milestone",$K8="Deadline"),$I8&gt;=BT$4,$I8&lt;BT$4+7),IF($K8="Deadline","◇","◆"),"")</f>
        <v/>
      </c>
      <c r="BU8" s="14" t="str">
        <f>IF(AND(ISNUMBER($I8),OR($K8="Milestone",$K8="Deadline"),$I8&gt;=BU$4,$I8&lt;BU$4+7),IF($K8="Deadline","◇","◆"),"")</f>
        <v/>
      </c>
      <c r="BV8" s="14" t="str">
        <f>IF(AND(ISNUMBER($I8),OR($K8="Milestone",$K8="Deadline"),$I8&gt;=BV$4,$I8&lt;BV$4+7),IF($K8="Deadline","◇","◆"),"")</f>
        <v/>
      </c>
      <c r="BW8" s="14" t="str">
        <f>IF(AND(ISNUMBER($I8),OR($K8="Milestone",$K8="Deadline"),$I8&gt;=BW$4,$I8&lt;BW$4+7),IF($K8="Deadline","◇","◆"),"")</f>
        <v/>
      </c>
      <c r="BX8" s="14" t="str">
        <f>IF(AND(ISNUMBER($I8),OR($K8="Milestone",$K8="Deadline"),$I8&gt;=BX$4,$I8&lt;BX$4+7),IF($K8="Deadline","◇","◆"),"")</f>
        <v/>
      </c>
      <c r="BY8" s="14" t="str">
        <f>IF(AND(ISNUMBER($I8),OR($K8="Milestone",$K8="Deadline"),$I8&gt;=BY$4,$I8&lt;BY$4+7),IF($K8="Deadline","◇","◆"),"")</f>
        <v/>
      </c>
      <c r="BZ8" s="14" t="str">
        <f>IF(AND(ISNUMBER($I8),OR($K8="Milestone",$K8="Deadline"),$I8&gt;=BZ$4,$I8&lt;BZ$4+7),IF($K8="Deadline","◇","◆"),"")</f>
        <v/>
      </c>
      <c r="CA8" s="14" t="str">
        <f>IF(AND(ISNUMBER($I8),OR($K8="Milestone",$K8="Deadline"),$I8&gt;=CA$4,$I8&lt;CA$4+7),IF($K8="Deadline","◇","◆"),"")</f>
        <v/>
      </c>
      <c r="CB8" s="14" t="str">
        <f>IF(AND(ISNUMBER($I8),OR($K8="Milestone",$K8="Deadline"),$I8&gt;=CB$4,$I8&lt;CB$4+7),IF($K8="Deadline","◇","◆"),"")</f>
        <v/>
      </c>
      <c r="CC8" s="14" t="str">
        <f>IF(AND(ISNUMBER($I8),OR($K8="Milestone",$K8="Deadline"),$I8&gt;=CC$4,$I8&lt;CC$4+7),IF($K8="Deadline","◇","◆"),"")</f>
        <v/>
      </c>
      <c r="CD8" s="14" t="str">
        <f>IF(AND(ISNUMBER($I8),OR($K8="Milestone",$K8="Deadline"),$I8&gt;=CD$4,$I8&lt;CD$4+7),IF($K8="Deadline","◇","◆"),"")</f>
        <v/>
      </c>
      <c r="CE8" s="14" t="str">
        <f>IF(AND(ISNUMBER($I8),OR($K8="Milestone",$K8="Deadline"),$I8&gt;=CE$4,$I8&lt;CE$4+7),IF($K8="Deadline","◇","◆"),"")</f>
        <v/>
      </c>
      <c r="CF8" s="14" t="str">
        <f>IF(AND(ISNUMBER($I8),OR($K8="Milestone",$K8="Deadline"),$I8&gt;=CF$4,$I8&lt;CF$4+7),IF($K8="Deadline","◇","◆"),"")</f>
        <v/>
      </c>
      <c r="CG8" s="14" t="str">
        <f>IF(AND(ISNUMBER($I8),OR($K8="Milestone",$K8="Deadline"),$I8&gt;=CG$4,$I8&lt;CG$4+7),IF($K8="Deadline","◇","◆"),"")</f>
        <v/>
      </c>
      <c r="CH8" s="14" t="str">
        <f>IF(AND(ISNUMBER($I8),OR($K8="Milestone",$K8="Deadline"),$I8&gt;=CH$4,$I8&lt;CH$4+7),IF($K8="Deadline","◇","◆"),"")</f>
        <v/>
      </c>
      <c r="CI8" s="14" t="str">
        <f>IF(AND(ISNUMBER($I8),OR($K8="Milestone",$K8="Deadline"),$I8&gt;=CI$4,$I8&lt;CI$4+7),IF($K8="Deadline","◇","◆"),"")</f>
        <v/>
      </c>
      <c r="CJ8" s="14" t="str">
        <f>IF(AND(ISNUMBER($I8),OR($K8="Milestone",$K8="Deadline"),$I8&gt;=CJ$4,$I8&lt;CJ$4+7),IF($K8="Deadline","◇","◆"),"")</f>
        <v/>
      </c>
      <c r="CK8" s="14" t="str">
        <f>IF(AND(ISNUMBER($I8),OR($K8="Milestone",$K8="Deadline"),$I8&gt;=CK$4,$I8&lt;CK$4+7),IF($K8="Deadline","◇","◆"),"")</f>
        <v/>
      </c>
      <c r="CL8" s="14" t="str">
        <f>IF(AND(ISNUMBER($I8),OR($K8="Milestone",$K8="Deadline"),$I8&gt;=CL$4,$I8&lt;CL$4+7),IF($K8="Deadline","◇","◆"),"")</f>
        <v/>
      </c>
      <c r="CM8" s="14" t="str">
        <f>IF(AND(ISNUMBER($I8),OR($K8="Milestone",$K8="Deadline"),$I8&gt;=CM$4,$I8&lt;CM$4+7),IF($K8="Deadline","◇","◆"),"")</f>
        <v/>
      </c>
    </row>
    <row r="9" spans="1:91" ht="15" hidden="1" customHeight="1">
      <c r="A9" s="9" t="s">
        <v>77</v>
      </c>
      <c r="B9" s="9" t="s">
        <v>74</v>
      </c>
      <c r="C9" s="9" t="s">
        <v>63</v>
      </c>
      <c r="D9" s="9"/>
      <c r="E9" s="9"/>
      <c r="F9" s="9"/>
      <c r="G9" s="9" t="s">
        <v>78</v>
      </c>
      <c r="H9" s="9"/>
      <c r="I9" s="10">
        <v>46327</v>
      </c>
      <c r="J9" s="11">
        <f>I9</f>
        <v>46327</v>
      </c>
      <c r="K9" s="9" t="s">
        <v>68</v>
      </c>
      <c r="L9" s="9"/>
      <c r="M9" s="12"/>
      <c r="N9" s="9" t="s">
        <v>76</v>
      </c>
      <c r="O9" s="12">
        <f>IF(AND(ISNUMBER(I9),ISNUMBER(J9)),J9-I9+1,"")</f>
        <v>1</v>
      </c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4" t="str">
        <f>IF(AND(ISNUMBER($I9),OR($K9="Milestone",$K9="Deadline"),$I9&gt;=AO$4,$I9&lt;AO$4+7),IF($K9="Deadline","◇","◆"),"")</f>
        <v/>
      </c>
      <c r="AP9" s="14" t="str">
        <f>IF(AND(ISNUMBER($I9),OR($K9="Milestone",$K9="Deadline"),$I9&gt;=AP$4,$I9&lt;AP$4+7),IF($K9="Deadline","◇","◆"),"")</f>
        <v/>
      </c>
      <c r="AQ9" s="14" t="str">
        <f>IF(AND(ISNUMBER($I9),OR($K9="Milestone",$K9="Deadline"),$I9&gt;=AQ$4,$I9&lt;AQ$4+7),IF($K9="Deadline","◇","◆"),"")</f>
        <v>◆</v>
      </c>
      <c r="AR9" s="14" t="str">
        <f>IF(AND(ISNUMBER($I9),OR($K9="Milestone",$K9="Deadline"),$I9&gt;=AR$4,$I9&lt;AR$4+7),IF($K9="Deadline","◇","◆"),"")</f>
        <v/>
      </c>
      <c r="AS9" s="14" t="str">
        <f>IF(AND(ISNUMBER($I9),OR($K9="Milestone",$K9="Deadline"),$I9&gt;=AS$4,$I9&lt;AS$4+7),IF($K9="Deadline","◇","◆"),"")</f>
        <v/>
      </c>
      <c r="AT9" s="14" t="str">
        <f>IF(AND(ISNUMBER($I9),OR($K9="Milestone",$K9="Deadline"),$I9&gt;=AT$4,$I9&lt;AT$4+7),IF($K9="Deadline","◇","◆"),"")</f>
        <v/>
      </c>
      <c r="AU9" s="14" t="str">
        <f>IF(AND(ISNUMBER($I9),OR($K9="Milestone",$K9="Deadline"),$I9&gt;=AU$4,$I9&lt;AU$4+7),IF($K9="Deadline","◇","◆"),"")</f>
        <v/>
      </c>
      <c r="AV9" s="14" t="str">
        <f>IF(AND(ISNUMBER($I9),OR($K9="Milestone",$K9="Deadline"),$I9&gt;=AV$4,$I9&lt;AV$4+7),IF($K9="Deadline","◇","◆"),"")</f>
        <v/>
      </c>
      <c r="AW9" s="14" t="str">
        <f>IF(AND(ISNUMBER($I9),OR($K9="Milestone",$K9="Deadline"),$I9&gt;=AW$4,$I9&lt;AW$4+7),IF($K9="Deadline","◇","◆"),"")</f>
        <v/>
      </c>
      <c r="AX9" s="14" t="str">
        <f>IF(AND(ISNUMBER($I9),OR($K9="Milestone",$K9="Deadline"),$I9&gt;=AX$4,$I9&lt;AX$4+7),IF($K9="Deadline","◇","◆"),"")</f>
        <v/>
      </c>
      <c r="AY9" s="14" t="str">
        <f>IF(AND(ISNUMBER($I9),OR($K9="Milestone",$K9="Deadline"),$I9&gt;=AY$4,$I9&lt;AY$4+7),IF($K9="Deadline","◇","◆"),"")</f>
        <v/>
      </c>
      <c r="AZ9" s="14" t="str">
        <f>IF(AND(ISNUMBER($I9),OR($K9="Milestone",$K9="Deadline"),$I9&gt;=AZ$4,$I9&lt;AZ$4+7),IF($K9="Deadline","◇","◆"),"")</f>
        <v/>
      </c>
      <c r="BA9" s="14" t="str">
        <f>IF(AND(ISNUMBER($I9),OR($K9="Milestone",$K9="Deadline"),$I9&gt;=BA$4,$I9&lt;BA$4+7),IF($K9="Deadline","◇","◆"),"")</f>
        <v/>
      </c>
      <c r="BB9" s="14" t="str">
        <f>IF(AND(ISNUMBER($I9),OR($K9="Milestone",$K9="Deadline"),$I9&gt;=BB$4,$I9&lt;BB$4+7),IF($K9="Deadline","◇","◆"),"")</f>
        <v/>
      </c>
      <c r="BC9" s="14" t="str">
        <f>IF(AND(ISNUMBER($I9),OR($K9="Milestone",$K9="Deadline"),$I9&gt;=BC$4,$I9&lt;BC$4+7),IF($K9="Deadline","◇","◆"),"")</f>
        <v/>
      </c>
      <c r="BD9" s="14" t="str">
        <f>IF(AND(ISNUMBER($I9),OR($K9="Milestone",$K9="Deadline"),$I9&gt;=BD$4,$I9&lt;BD$4+7),IF($K9="Deadline","◇","◆"),"")</f>
        <v/>
      </c>
      <c r="BE9" s="14" t="str">
        <f>IF(AND(ISNUMBER($I9),OR($K9="Milestone",$K9="Deadline"),$I9&gt;=BE$4,$I9&lt;BE$4+7),IF($K9="Deadline","◇","◆"),"")</f>
        <v/>
      </c>
      <c r="BF9" s="14" t="str">
        <f>IF(AND(ISNUMBER($I9),OR($K9="Milestone",$K9="Deadline"),$I9&gt;=BF$4,$I9&lt;BF$4+7),IF($K9="Deadline","◇","◆"),"")</f>
        <v/>
      </c>
      <c r="BG9" s="14" t="str">
        <f>IF(AND(ISNUMBER($I9),OR($K9="Milestone",$K9="Deadline"),$I9&gt;=BG$4,$I9&lt;BG$4+7),IF($K9="Deadline","◇","◆"),"")</f>
        <v/>
      </c>
      <c r="BH9" s="14" t="str">
        <f>IF(AND(ISNUMBER($I9),OR($K9="Milestone",$K9="Deadline"),$I9&gt;=BH$4,$I9&lt;BH$4+7),IF($K9="Deadline","◇","◆"),"")</f>
        <v/>
      </c>
      <c r="BI9" s="14" t="str">
        <f>IF(AND(ISNUMBER($I9),OR($K9="Milestone",$K9="Deadline"),$I9&gt;=BI$4,$I9&lt;BI$4+7),IF($K9="Deadline","◇","◆"),"")</f>
        <v/>
      </c>
      <c r="BJ9" s="14" t="str">
        <f>IF(AND(ISNUMBER($I9),OR($K9="Milestone",$K9="Deadline"),$I9&gt;=BJ$4,$I9&lt;BJ$4+7),IF($K9="Deadline","◇","◆"),"")</f>
        <v/>
      </c>
      <c r="BK9" s="14" t="str">
        <f>IF(AND(ISNUMBER($I9),OR($K9="Milestone",$K9="Deadline"),$I9&gt;=BK$4,$I9&lt;BK$4+7),IF($K9="Deadline","◇","◆"),"")</f>
        <v/>
      </c>
      <c r="BL9" s="14" t="str">
        <f>IF(AND(ISNUMBER($I9),OR($K9="Milestone",$K9="Deadline"),$I9&gt;=BL$4,$I9&lt;BL$4+7),IF($K9="Deadline","◇","◆"),"")</f>
        <v/>
      </c>
      <c r="BM9" s="14" t="str">
        <f>IF(AND(ISNUMBER($I9),OR($K9="Milestone",$K9="Deadline"),$I9&gt;=BM$4,$I9&lt;BM$4+7),IF($K9="Deadline","◇","◆"),"")</f>
        <v/>
      </c>
      <c r="BN9" s="14" t="str">
        <f>IF(AND(ISNUMBER($I9),OR($K9="Milestone",$K9="Deadline"),$I9&gt;=BN$4,$I9&lt;BN$4+7),IF($K9="Deadline","◇","◆"),"")</f>
        <v/>
      </c>
      <c r="BO9" s="14" t="str">
        <f>IF(AND(ISNUMBER($I9),OR($K9="Milestone",$K9="Deadline"),$I9&gt;=BO$4,$I9&lt;BO$4+7),IF($K9="Deadline","◇","◆"),"")</f>
        <v/>
      </c>
      <c r="BP9" s="14" t="str">
        <f>IF(AND(ISNUMBER($I9),OR($K9="Milestone",$K9="Deadline"),$I9&gt;=BP$4,$I9&lt;BP$4+7),IF($K9="Deadline","◇","◆"),"")</f>
        <v/>
      </c>
      <c r="BQ9" s="14" t="str">
        <f>IF(AND(ISNUMBER($I9),OR($K9="Milestone",$K9="Deadline"),$I9&gt;=BQ$4,$I9&lt;BQ$4+7),IF($K9="Deadline","◇","◆"),"")</f>
        <v/>
      </c>
      <c r="BR9" s="14" t="str">
        <f>IF(AND(ISNUMBER($I9),OR($K9="Milestone",$K9="Deadline"),$I9&gt;=BR$4,$I9&lt;BR$4+7),IF($K9="Deadline","◇","◆"),"")</f>
        <v/>
      </c>
      <c r="BS9" s="14" t="str">
        <f>IF(AND(ISNUMBER($I9),OR($K9="Milestone",$K9="Deadline"),$I9&gt;=BS$4,$I9&lt;BS$4+7),IF($K9="Deadline","◇","◆"),"")</f>
        <v/>
      </c>
      <c r="BT9" s="14" t="str">
        <f>IF(AND(ISNUMBER($I9),OR($K9="Milestone",$K9="Deadline"),$I9&gt;=BT$4,$I9&lt;BT$4+7),IF($K9="Deadline","◇","◆"),"")</f>
        <v/>
      </c>
      <c r="BU9" s="14" t="str">
        <f>IF(AND(ISNUMBER($I9),OR($K9="Milestone",$K9="Deadline"),$I9&gt;=BU$4,$I9&lt;BU$4+7),IF($K9="Deadline","◇","◆"),"")</f>
        <v/>
      </c>
      <c r="BV9" s="14" t="str">
        <f>IF(AND(ISNUMBER($I9),OR($K9="Milestone",$K9="Deadline"),$I9&gt;=BV$4,$I9&lt;BV$4+7),IF($K9="Deadline","◇","◆"),"")</f>
        <v/>
      </c>
      <c r="BW9" s="14" t="str">
        <f>IF(AND(ISNUMBER($I9),OR($K9="Milestone",$K9="Deadline"),$I9&gt;=BW$4,$I9&lt;BW$4+7),IF($K9="Deadline","◇","◆"),"")</f>
        <v/>
      </c>
      <c r="BX9" s="14" t="str">
        <f>IF(AND(ISNUMBER($I9),OR($K9="Milestone",$K9="Deadline"),$I9&gt;=BX$4,$I9&lt;BX$4+7),IF($K9="Deadline","◇","◆"),"")</f>
        <v/>
      </c>
      <c r="BY9" s="14" t="str">
        <f>IF(AND(ISNUMBER($I9),OR($K9="Milestone",$K9="Deadline"),$I9&gt;=BY$4,$I9&lt;BY$4+7),IF($K9="Deadline","◇","◆"),"")</f>
        <v/>
      </c>
      <c r="BZ9" s="14" t="str">
        <f>IF(AND(ISNUMBER($I9),OR($K9="Milestone",$K9="Deadline"),$I9&gt;=BZ$4,$I9&lt;BZ$4+7),IF($K9="Deadline","◇","◆"),"")</f>
        <v/>
      </c>
      <c r="CA9" s="14" t="str">
        <f>IF(AND(ISNUMBER($I9),OR($K9="Milestone",$K9="Deadline"),$I9&gt;=CA$4,$I9&lt;CA$4+7),IF($K9="Deadline","◇","◆"),"")</f>
        <v/>
      </c>
      <c r="CB9" s="14" t="str">
        <f>IF(AND(ISNUMBER($I9),OR($K9="Milestone",$K9="Deadline"),$I9&gt;=CB$4,$I9&lt;CB$4+7),IF($K9="Deadline","◇","◆"),"")</f>
        <v/>
      </c>
      <c r="CC9" s="14" t="str">
        <f>IF(AND(ISNUMBER($I9),OR($K9="Milestone",$K9="Deadline"),$I9&gt;=CC$4,$I9&lt;CC$4+7),IF($K9="Deadline","◇","◆"),"")</f>
        <v/>
      </c>
      <c r="CD9" s="14" t="str">
        <f>IF(AND(ISNUMBER($I9),OR($K9="Milestone",$K9="Deadline"),$I9&gt;=CD$4,$I9&lt;CD$4+7),IF($K9="Deadline","◇","◆"),"")</f>
        <v/>
      </c>
      <c r="CE9" s="14" t="str">
        <f>IF(AND(ISNUMBER($I9),OR($K9="Milestone",$K9="Deadline"),$I9&gt;=CE$4,$I9&lt;CE$4+7),IF($K9="Deadline","◇","◆"),"")</f>
        <v/>
      </c>
      <c r="CF9" s="14" t="str">
        <f>IF(AND(ISNUMBER($I9),OR($K9="Milestone",$K9="Deadline"),$I9&gt;=CF$4,$I9&lt;CF$4+7),IF($K9="Deadline","◇","◆"),"")</f>
        <v/>
      </c>
      <c r="CG9" s="14" t="str">
        <f>IF(AND(ISNUMBER($I9),OR($K9="Milestone",$K9="Deadline"),$I9&gt;=CG$4,$I9&lt;CG$4+7),IF($K9="Deadline","◇","◆"),"")</f>
        <v/>
      </c>
      <c r="CH9" s="14" t="str">
        <f>IF(AND(ISNUMBER($I9),OR($K9="Milestone",$K9="Deadline"),$I9&gt;=CH$4,$I9&lt;CH$4+7),IF($K9="Deadline","◇","◆"),"")</f>
        <v/>
      </c>
      <c r="CI9" s="14" t="str">
        <f>IF(AND(ISNUMBER($I9),OR($K9="Milestone",$K9="Deadline"),$I9&gt;=CI$4,$I9&lt;CI$4+7),IF($K9="Deadline","◇","◆"),"")</f>
        <v/>
      </c>
      <c r="CJ9" s="14" t="str">
        <f>IF(AND(ISNUMBER($I9),OR($K9="Milestone",$K9="Deadline"),$I9&gt;=CJ$4,$I9&lt;CJ$4+7),IF($K9="Deadline","◇","◆"),"")</f>
        <v/>
      </c>
      <c r="CK9" s="14" t="str">
        <f>IF(AND(ISNUMBER($I9),OR($K9="Milestone",$K9="Deadline"),$I9&gt;=CK$4,$I9&lt;CK$4+7),IF($K9="Deadline","◇","◆"),"")</f>
        <v/>
      </c>
      <c r="CL9" s="14" t="str">
        <f>IF(AND(ISNUMBER($I9),OR($K9="Milestone",$K9="Deadline"),$I9&gt;=CL$4,$I9&lt;CL$4+7),IF($K9="Deadline","◇","◆"),"")</f>
        <v/>
      </c>
      <c r="CM9" s="14" t="str">
        <f>IF(AND(ISNUMBER($I9),OR($K9="Milestone",$K9="Deadline"),$I9&gt;=CM$4,$I9&lt;CM$4+7),IF($K9="Deadline","◇","◆"),"")</f>
        <v/>
      </c>
    </row>
    <row r="10" spans="1:91" ht="15" hidden="1" customHeight="1">
      <c r="A10" s="9" t="s">
        <v>79</v>
      </c>
      <c r="B10" s="9" t="s">
        <v>74</v>
      </c>
      <c r="C10" s="9" t="s">
        <v>63</v>
      </c>
      <c r="D10" s="9"/>
      <c r="E10" s="9"/>
      <c r="F10" s="9"/>
      <c r="G10" s="9" t="s">
        <v>80</v>
      </c>
      <c r="H10" s="9"/>
      <c r="I10" s="10">
        <v>46327</v>
      </c>
      <c r="J10" s="11">
        <f>I10</f>
        <v>46327</v>
      </c>
      <c r="K10" s="9" t="s">
        <v>68</v>
      </c>
      <c r="L10" s="9"/>
      <c r="M10" s="12"/>
      <c r="N10" s="9" t="s">
        <v>76</v>
      </c>
      <c r="O10" s="12">
        <f>IF(AND(ISNUMBER(I10),ISNUMBER(J10)),J10-I10+1,"")</f>
        <v>1</v>
      </c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4" t="str">
        <f>IF(AND(ISNUMBER($I10),OR($K10="Milestone",$K10="Deadline"),$I10&gt;=AO$4,$I10&lt;AO$4+7),IF($K10="Deadline","◇","◆"),"")</f>
        <v/>
      </c>
      <c r="AP10" s="14" t="str">
        <f>IF(AND(ISNUMBER($I10),OR($K10="Milestone",$K10="Deadline"),$I10&gt;=AP$4,$I10&lt;AP$4+7),IF($K10="Deadline","◇","◆"),"")</f>
        <v/>
      </c>
      <c r="AQ10" s="14" t="str">
        <f>IF(AND(ISNUMBER($I10),OR($K10="Milestone",$K10="Deadline"),$I10&gt;=AQ$4,$I10&lt;AQ$4+7),IF($K10="Deadline","◇","◆"),"")</f>
        <v>◆</v>
      </c>
      <c r="AR10" s="14" t="str">
        <f>IF(AND(ISNUMBER($I10),OR($K10="Milestone",$K10="Deadline"),$I10&gt;=AR$4,$I10&lt;AR$4+7),IF($K10="Deadline","◇","◆"),"")</f>
        <v/>
      </c>
      <c r="AS10" s="14" t="str">
        <f>IF(AND(ISNUMBER($I10),OR($K10="Milestone",$K10="Deadline"),$I10&gt;=AS$4,$I10&lt;AS$4+7),IF($K10="Deadline","◇","◆"),"")</f>
        <v/>
      </c>
      <c r="AT10" s="14" t="str">
        <f>IF(AND(ISNUMBER($I10),OR($K10="Milestone",$K10="Deadline"),$I10&gt;=AT$4,$I10&lt;AT$4+7),IF($K10="Deadline","◇","◆"),"")</f>
        <v/>
      </c>
      <c r="AU10" s="14" t="str">
        <f>IF(AND(ISNUMBER($I10),OR($K10="Milestone",$K10="Deadline"),$I10&gt;=AU$4,$I10&lt;AU$4+7),IF($K10="Deadline","◇","◆"),"")</f>
        <v/>
      </c>
      <c r="AV10" s="14" t="str">
        <f>IF(AND(ISNUMBER($I10),OR($K10="Milestone",$K10="Deadline"),$I10&gt;=AV$4,$I10&lt;AV$4+7),IF($K10="Deadline","◇","◆"),"")</f>
        <v/>
      </c>
      <c r="AW10" s="14" t="str">
        <f>IF(AND(ISNUMBER($I10),OR($K10="Milestone",$K10="Deadline"),$I10&gt;=AW$4,$I10&lt;AW$4+7),IF($K10="Deadline","◇","◆"),"")</f>
        <v/>
      </c>
      <c r="AX10" s="14" t="str">
        <f>IF(AND(ISNUMBER($I10),OR($K10="Milestone",$K10="Deadline"),$I10&gt;=AX$4,$I10&lt;AX$4+7),IF($K10="Deadline","◇","◆"),"")</f>
        <v/>
      </c>
      <c r="AY10" s="14" t="str">
        <f>IF(AND(ISNUMBER($I10),OR($K10="Milestone",$K10="Deadline"),$I10&gt;=AY$4,$I10&lt;AY$4+7),IF($K10="Deadline","◇","◆"),"")</f>
        <v/>
      </c>
      <c r="AZ10" s="14" t="str">
        <f>IF(AND(ISNUMBER($I10),OR($K10="Milestone",$K10="Deadline"),$I10&gt;=AZ$4,$I10&lt;AZ$4+7),IF($K10="Deadline","◇","◆"),"")</f>
        <v/>
      </c>
      <c r="BA10" s="14" t="str">
        <f>IF(AND(ISNUMBER($I10),OR($K10="Milestone",$K10="Deadline"),$I10&gt;=BA$4,$I10&lt;BA$4+7),IF($K10="Deadline","◇","◆"),"")</f>
        <v/>
      </c>
      <c r="BB10" s="14" t="str">
        <f>IF(AND(ISNUMBER($I10),OR($K10="Milestone",$K10="Deadline"),$I10&gt;=BB$4,$I10&lt;BB$4+7),IF($K10="Deadline","◇","◆"),"")</f>
        <v/>
      </c>
      <c r="BC10" s="14" t="str">
        <f>IF(AND(ISNUMBER($I10),OR($K10="Milestone",$K10="Deadline"),$I10&gt;=BC$4,$I10&lt;BC$4+7),IF($K10="Deadline","◇","◆"),"")</f>
        <v/>
      </c>
      <c r="BD10" s="14" t="str">
        <f>IF(AND(ISNUMBER($I10),OR($K10="Milestone",$K10="Deadline"),$I10&gt;=BD$4,$I10&lt;BD$4+7),IF($K10="Deadline","◇","◆"),"")</f>
        <v/>
      </c>
      <c r="BE10" s="14" t="str">
        <f>IF(AND(ISNUMBER($I10),OR($K10="Milestone",$K10="Deadline"),$I10&gt;=BE$4,$I10&lt;BE$4+7),IF($K10="Deadline","◇","◆"),"")</f>
        <v/>
      </c>
      <c r="BF10" s="14" t="str">
        <f>IF(AND(ISNUMBER($I10),OR($K10="Milestone",$K10="Deadline"),$I10&gt;=BF$4,$I10&lt;BF$4+7),IF($K10="Deadline","◇","◆"),"")</f>
        <v/>
      </c>
      <c r="BG10" s="14" t="str">
        <f>IF(AND(ISNUMBER($I10),OR($K10="Milestone",$K10="Deadline"),$I10&gt;=BG$4,$I10&lt;BG$4+7),IF($K10="Deadline","◇","◆"),"")</f>
        <v/>
      </c>
      <c r="BH10" s="14" t="str">
        <f>IF(AND(ISNUMBER($I10),OR($K10="Milestone",$K10="Deadline"),$I10&gt;=BH$4,$I10&lt;BH$4+7),IF($K10="Deadline","◇","◆"),"")</f>
        <v/>
      </c>
      <c r="BI10" s="14" t="str">
        <f>IF(AND(ISNUMBER($I10),OR($K10="Milestone",$K10="Deadline"),$I10&gt;=BI$4,$I10&lt;BI$4+7),IF($K10="Deadline","◇","◆"),"")</f>
        <v/>
      </c>
      <c r="BJ10" s="14" t="str">
        <f>IF(AND(ISNUMBER($I10),OR($K10="Milestone",$K10="Deadline"),$I10&gt;=BJ$4,$I10&lt;BJ$4+7),IF($K10="Deadline","◇","◆"),"")</f>
        <v/>
      </c>
      <c r="BK10" s="14" t="str">
        <f>IF(AND(ISNUMBER($I10),OR($K10="Milestone",$K10="Deadline"),$I10&gt;=BK$4,$I10&lt;BK$4+7),IF($K10="Deadline","◇","◆"),"")</f>
        <v/>
      </c>
      <c r="BL10" s="14" t="str">
        <f>IF(AND(ISNUMBER($I10),OR($K10="Milestone",$K10="Deadline"),$I10&gt;=BL$4,$I10&lt;BL$4+7),IF($K10="Deadline","◇","◆"),"")</f>
        <v/>
      </c>
      <c r="BM10" s="14" t="str">
        <f>IF(AND(ISNUMBER($I10),OR($K10="Milestone",$K10="Deadline"),$I10&gt;=BM$4,$I10&lt;BM$4+7),IF($K10="Deadline","◇","◆"),"")</f>
        <v/>
      </c>
      <c r="BN10" s="14" t="str">
        <f>IF(AND(ISNUMBER($I10),OR($K10="Milestone",$K10="Deadline"),$I10&gt;=BN$4,$I10&lt;BN$4+7),IF($K10="Deadline","◇","◆"),"")</f>
        <v/>
      </c>
      <c r="BO10" s="14" t="str">
        <f>IF(AND(ISNUMBER($I10),OR($K10="Milestone",$K10="Deadline"),$I10&gt;=BO$4,$I10&lt;BO$4+7),IF($K10="Deadline","◇","◆"),"")</f>
        <v/>
      </c>
      <c r="BP10" s="14" t="str">
        <f>IF(AND(ISNUMBER($I10),OR($K10="Milestone",$K10="Deadline"),$I10&gt;=BP$4,$I10&lt;BP$4+7),IF($K10="Deadline","◇","◆"),"")</f>
        <v/>
      </c>
      <c r="BQ10" s="14" t="str">
        <f>IF(AND(ISNUMBER($I10),OR($K10="Milestone",$K10="Deadline"),$I10&gt;=BQ$4,$I10&lt;BQ$4+7),IF($K10="Deadline","◇","◆"),"")</f>
        <v/>
      </c>
      <c r="BR10" s="14" t="str">
        <f>IF(AND(ISNUMBER($I10),OR($K10="Milestone",$K10="Deadline"),$I10&gt;=BR$4,$I10&lt;BR$4+7),IF($K10="Deadline","◇","◆"),"")</f>
        <v/>
      </c>
      <c r="BS10" s="14" t="str">
        <f>IF(AND(ISNUMBER($I10),OR($K10="Milestone",$K10="Deadline"),$I10&gt;=BS$4,$I10&lt;BS$4+7),IF($K10="Deadline","◇","◆"),"")</f>
        <v/>
      </c>
      <c r="BT10" s="14" t="str">
        <f>IF(AND(ISNUMBER($I10),OR($K10="Milestone",$K10="Deadline"),$I10&gt;=BT$4,$I10&lt;BT$4+7),IF($K10="Deadline","◇","◆"),"")</f>
        <v/>
      </c>
      <c r="BU10" s="14" t="str">
        <f>IF(AND(ISNUMBER($I10),OR($K10="Milestone",$K10="Deadline"),$I10&gt;=BU$4,$I10&lt;BU$4+7),IF($K10="Deadline","◇","◆"),"")</f>
        <v/>
      </c>
      <c r="BV10" s="14" t="str">
        <f>IF(AND(ISNUMBER($I10),OR($K10="Milestone",$K10="Deadline"),$I10&gt;=BV$4,$I10&lt;BV$4+7),IF($K10="Deadline","◇","◆"),"")</f>
        <v/>
      </c>
      <c r="BW10" s="14" t="str">
        <f>IF(AND(ISNUMBER($I10),OR($K10="Milestone",$K10="Deadline"),$I10&gt;=BW$4,$I10&lt;BW$4+7),IF($K10="Deadline","◇","◆"),"")</f>
        <v/>
      </c>
      <c r="BX10" s="14" t="str">
        <f>IF(AND(ISNUMBER($I10),OR($K10="Milestone",$K10="Deadline"),$I10&gt;=BX$4,$I10&lt;BX$4+7),IF($K10="Deadline","◇","◆"),"")</f>
        <v/>
      </c>
      <c r="BY10" s="14" t="str">
        <f>IF(AND(ISNUMBER($I10),OR($K10="Milestone",$K10="Deadline"),$I10&gt;=BY$4,$I10&lt;BY$4+7),IF($K10="Deadline","◇","◆"),"")</f>
        <v/>
      </c>
      <c r="BZ10" s="14" t="str">
        <f>IF(AND(ISNUMBER($I10),OR($K10="Milestone",$K10="Deadline"),$I10&gt;=BZ$4,$I10&lt;BZ$4+7),IF($K10="Deadline","◇","◆"),"")</f>
        <v/>
      </c>
      <c r="CA10" s="14" t="str">
        <f>IF(AND(ISNUMBER($I10),OR($K10="Milestone",$K10="Deadline"),$I10&gt;=CA$4,$I10&lt;CA$4+7),IF($K10="Deadline","◇","◆"),"")</f>
        <v/>
      </c>
      <c r="CB10" s="14" t="str">
        <f>IF(AND(ISNUMBER($I10),OR($K10="Milestone",$K10="Deadline"),$I10&gt;=CB$4,$I10&lt;CB$4+7),IF($K10="Deadline","◇","◆"),"")</f>
        <v/>
      </c>
      <c r="CC10" s="14" t="str">
        <f>IF(AND(ISNUMBER($I10),OR($K10="Milestone",$K10="Deadline"),$I10&gt;=CC$4,$I10&lt;CC$4+7),IF($K10="Deadline","◇","◆"),"")</f>
        <v/>
      </c>
      <c r="CD10" s="14" t="str">
        <f>IF(AND(ISNUMBER($I10),OR($K10="Milestone",$K10="Deadline"),$I10&gt;=CD$4,$I10&lt;CD$4+7),IF($K10="Deadline","◇","◆"),"")</f>
        <v/>
      </c>
      <c r="CE10" s="14" t="str">
        <f>IF(AND(ISNUMBER($I10),OR($K10="Milestone",$K10="Deadline"),$I10&gt;=CE$4,$I10&lt;CE$4+7),IF($K10="Deadline","◇","◆"),"")</f>
        <v/>
      </c>
      <c r="CF10" s="14" t="str">
        <f>IF(AND(ISNUMBER($I10),OR($K10="Milestone",$K10="Deadline"),$I10&gt;=CF$4,$I10&lt;CF$4+7),IF($K10="Deadline","◇","◆"),"")</f>
        <v/>
      </c>
      <c r="CG10" s="14" t="str">
        <f>IF(AND(ISNUMBER($I10),OR($K10="Milestone",$K10="Deadline"),$I10&gt;=CG$4,$I10&lt;CG$4+7),IF($K10="Deadline","◇","◆"),"")</f>
        <v/>
      </c>
      <c r="CH10" s="14" t="str">
        <f>IF(AND(ISNUMBER($I10),OR($K10="Milestone",$K10="Deadline"),$I10&gt;=CH$4,$I10&lt;CH$4+7),IF($K10="Deadline","◇","◆"),"")</f>
        <v/>
      </c>
      <c r="CI10" s="14" t="str">
        <f>IF(AND(ISNUMBER($I10),OR($K10="Milestone",$K10="Deadline"),$I10&gt;=CI$4,$I10&lt;CI$4+7),IF($K10="Deadline","◇","◆"),"")</f>
        <v/>
      </c>
      <c r="CJ10" s="14" t="str">
        <f>IF(AND(ISNUMBER($I10),OR($K10="Milestone",$K10="Deadline"),$I10&gt;=CJ$4,$I10&lt;CJ$4+7),IF($K10="Deadline","◇","◆"),"")</f>
        <v/>
      </c>
      <c r="CK10" s="14" t="str">
        <f>IF(AND(ISNUMBER($I10),OR($K10="Milestone",$K10="Deadline"),$I10&gt;=CK$4,$I10&lt;CK$4+7),IF($K10="Deadline","◇","◆"),"")</f>
        <v/>
      </c>
      <c r="CL10" s="14" t="str">
        <f>IF(AND(ISNUMBER($I10),OR($K10="Milestone",$K10="Deadline"),$I10&gt;=CL$4,$I10&lt;CL$4+7),IF($K10="Deadline","◇","◆"),"")</f>
        <v/>
      </c>
      <c r="CM10" s="14" t="str">
        <f>IF(AND(ISNUMBER($I10),OR($K10="Milestone",$K10="Deadline"),$I10&gt;=CM$4,$I10&lt;CM$4+7),IF($K10="Deadline","◇","◆"),"")</f>
        <v/>
      </c>
    </row>
    <row r="11" spans="1:91" ht="15" hidden="1" customHeight="1">
      <c r="A11" s="9" t="s">
        <v>81</v>
      </c>
      <c r="B11" s="9" t="s">
        <v>74</v>
      </c>
      <c r="C11" s="9" t="s">
        <v>63</v>
      </c>
      <c r="D11" s="9"/>
      <c r="E11" s="9"/>
      <c r="F11" s="9"/>
      <c r="G11" s="9" t="s">
        <v>82</v>
      </c>
      <c r="H11" s="9"/>
      <c r="I11" s="10">
        <v>46327</v>
      </c>
      <c r="J11" s="11">
        <f>I11</f>
        <v>46327</v>
      </c>
      <c r="K11" s="9" t="s">
        <v>68</v>
      </c>
      <c r="L11" s="9"/>
      <c r="M11" s="12"/>
      <c r="N11" s="9" t="s">
        <v>76</v>
      </c>
      <c r="O11" s="12">
        <f>IF(AND(ISNUMBER(I11),ISNUMBER(J11)),J11-I11+1,"")</f>
        <v>1</v>
      </c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4" t="str">
        <f>IF(AND(ISNUMBER($I11),OR($K11="Milestone",$K11="Deadline"),$I11&gt;=AO$4,$I11&lt;AO$4+7),IF($K11="Deadline","◇","◆"),"")</f>
        <v/>
      </c>
      <c r="AP11" s="14" t="str">
        <f>IF(AND(ISNUMBER($I11),OR($K11="Milestone",$K11="Deadline"),$I11&gt;=AP$4,$I11&lt;AP$4+7),IF($K11="Deadline","◇","◆"),"")</f>
        <v/>
      </c>
      <c r="AQ11" s="14" t="str">
        <f>IF(AND(ISNUMBER($I11),OR($K11="Milestone",$K11="Deadline"),$I11&gt;=AQ$4,$I11&lt;AQ$4+7),IF($K11="Deadline","◇","◆"),"")</f>
        <v>◆</v>
      </c>
      <c r="AR11" s="14" t="str">
        <f>IF(AND(ISNUMBER($I11),OR($K11="Milestone",$K11="Deadline"),$I11&gt;=AR$4,$I11&lt;AR$4+7),IF($K11="Deadline","◇","◆"),"")</f>
        <v/>
      </c>
      <c r="AS11" s="14" t="str">
        <f>IF(AND(ISNUMBER($I11),OR($K11="Milestone",$K11="Deadline"),$I11&gt;=AS$4,$I11&lt;AS$4+7),IF($K11="Deadline","◇","◆"),"")</f>
        <v/>
      </c>
      <c r="AT11" s="14" t="str">
        <f>IF(AND(ISNUMBER($I11),OR($K11="Milestone",$K11="Deadline"),$I11&gt;=AT$4,$I11&lt;AT$4+7),IF($K11="Deadline","◇","◆"),"")</f>
        <v/>
      </c>
      <c r="AU11" s="14" t="str">
        <f>IF(AND(ISNUMBER($I11),OR($K11="Milestone",$K11="Deadline"),$I11&gt;=AU$4,$I11&lt;AU$4+7),IF($K11="Deadline","◇","◆"),"")</f>
        <v/>
      </c>
      <c r="AV11" s="14" t="str">
        <f>IF(AND(ISNUMBER($I11),OR($K11="Milestone",$K11="Deadline"),$I11&gt;=AV$4,$I11&lt;AV$4+7),IF($K11="Deadline","◇","◆"),"")</f>
        <v/>
      </c>
      <c r="AW11" s="14" t="str">
        <f>IF(AND(ISNUMBER($I11),OR($K11="Milestone",$K11="Deadline"),$I11&gt;=AW$4,$I11&lt;AW$4+7),IF($K11="Deadline","◇","◆"),"")</f>
        <v/>
      </c>
      <c r="AX11" s="14" t="str">
        <f>IF(AND(ISNUMBER($I11),OR($K11="Milestone",$K11="Deadline"),$I11&gt;=AX$4,$I11&lt;AX$4+7),IF($K11="Deadline","◇","◆"),"")</f>
        <v/>
      </c>
      <c r="AY11" s="14" t="str">
        <f>IF(AND(ISNUMBER($I11),OR($K11="Milestone",$K11="Deadline"),$I11&gt;=AY$4,$I11&lt;AY$4+7),IF($K11="Deadline","◇","◆"),"")</f>
        <v/>
      </c>
      <c r="AZ11" s="14" t="str">
        <f>IF(AND(ISNUMBER($I11),OR($K11="Milestone",$K11="Deadline"),$I11&gt;=AZ$4,$I11&lt;AZ$4+7),IF($K11="Deadline","◇","◆"),"")</f>
        <v/>
      </c>
      <c r="BA11" s="14" t="str">
        <f>IF(AND(ISNUMBER($I11),OR($K11="Milestone",$K11="Deadline"),$I11&gt;=BA$4,$I11&lt;BA$4+7),IF($K11="Deadline","◇","◆"),"")</f>
        <v/>
      </c>
      <c r="BB11" s="14" t="str">
        <f>IF(AND(ISNUMBER($I11),OR($K11="Milestone",$K11="Deadline"),$I11&gt;=BB$4,$I11&lt;BB$4+7),IF($K11="Deadline","◇","◆"),"")</f>
        <v/>
      </c>
      <c r="BC11" s="14" t="str">
        <f>IF(AND(ISNUMBER($I11),OR($K11="Milestone",$K11="Deadline"),$I11&gt;=BC$4,$I11&lt;BC$4+7),IF($K11="Deadline","◇","◆"),"")</f>
        <v/>
      </c>
      <c r="BD11" s="14" t="str">
        <f>IF(AND(ISNUMBER($I11),OR($K11="Milestone",$K11="Deadline"),$I11&gt;=BD$4,$I11&lt;BD$4+7),IF($K11="Deadline","◇","◆"),"")</f>
        <v/>
      </c>
      <c r="BE11" s="14" t="str">
        <f>IF(AND(ISNUMBER($I11),OR($K11="Milestone",$K11="Deadline"),$I11&gt;=BE$4,$I11&lt;BE$4+7),IF($K11="Deadline","◇","◆"),"")</f>
        <v/>
      </c>
      <c r="BF11" s="14" t="str">
        <f>IF(AND(ISNUMBER($I11),OR($K11="Milestone",$K11="Deadline"),$I11&gt;=BF$4,$I11&lt;BF$4+7),IF($K11="Deadline","◇","◆"),"")</f>
        <v/>
      </c>
      <c r="BG11" s="14" t="str">
        <f>IF(AND(ISNUMBER($I11),OR($K11="Milestone",$K11="Deadline"),$I11&gt;=BG$4,$I11&lt;BG$4+7),IF($K11="Deadline","◇","◆"),"")</f>
        <v/>
      </c>
      <c r="BH11" s="14" t="str">
        <f>IF(AND(ISNUMBER($I11),OR($K11="Milestone",$K11="Deadline"),$I11&gt;=BH$4,$I11&lt;BH$4+7),IF($K11="Deadline","◇","◆"),"")</f>
        <v/>
      </c>
      <c r="BI11" s="14" t="str">
        <f>IF(AND(ISNUMBER($I11),OR($K11="Milestone",$K11="Deadline"),$I11&gt;=BI$4,$I11&lt;BI$4+7),IF($K11="Deadline","◇","◆"),"")</f>
        <v/>
      </c>
      <c r="BJ11" s="14" t="str">
        <f>IF(AND(ISNUMBER($I11),OR($K11="Milestone",$K11="Deadline"),$I11&gt;=BJ$4,$I11&lt;BJ$4+7),IF($K11="Deadline","◇","◆"),"")</f>
        <v/>
      </c>
      <c r="BK11" s="14" t="str">
        <f>IF(AND(ISNUMBER($I11),OR($K11="Milestone",$K11="Deadline"),$I11&gt;=BK$4,$I11&lt;BK$4+7),IF($K11="Deadline","◇","◆"),"")</f>
        <v/>
      </c>
      <c r="BL11" s="14" t="str">
        <f>IF(AND(ISNUMBER($I11),OR($K11="Milestone",$K11="Deadline"),$I11&gt;=BL$4,$I11&lt;BL$4+7),IF($K11="Deadline","◇","◆"),"")</f>
        <v/>
      </c>
      <c r="BM11" s="14" t="str">
        <f>IF(AND(ISNUMBER($I11),OR($K11="Milestone",$K11="Deadline"),$I11&gt;=BM$4,$I11&lt;BM$4+7),IF($K11="Deadline","◇","◆"),"")</f>
        <v/>
      </c>
      <c r="BN11" s="14" t="str">
        <f>IF(AND(ISNUMBER($I11),OR($K11="Milestone",$K11="Deadline"),$I11&gt;=BN$4,$I11&lt;BN$4+7),IF($K11="Deadline","◇","◆"),"")</f>
        <v/>
      </c>
      <c r="BO11" s="14" t="str">
        <f>IF(AND(ISNUMBER($I11),OR($K11="Milestone",$K11="Deadline"),$I11&gt;=BO$4,$I11&lt;BO$4+7),IF($K11="Deadline","◇","◆"),"")</f>
        <v/>
      </c>
      <c r="BP11" s="14" t="str">
        <f>IF(AND(ISNUMBER($I11),OR($K11="Milestone",$K11="Deadline"),$I11&gt;=BP$4,$I11&lt;BP$4+7),IF($K11="Deadline","◇","◆"),"")</f>
        <v/>
      </c>
      <c r="BQ11" s="14" t="str">
        <f>IF(AND(ISNUMBER($I11),OR($K11="Milestone",$K11="Deadline"),$I11&gt;=BQ$4,$I11&lt;BQ$4+7),IF($K11="Deadline","◇","◆"),"")</f>
        <v/>
      </c>
      <c r="BR11" s="14" t="str">
        <f>IF(AND(ISNUMBER($I11),OR($K11="Milestone",$K11="Deadline"),$I11&gt;=BR$4,$I11&lt;BR$4+7),IF($K11="Deadline","◇","◆"),"")</f>
        <v/>
      </c>
      <c r="BS11" s="14" t="str">
        <f>IF(AND(ISNUMBER($I11),OR($K11="Milestone",$K11="Deadline"),$I11&gt;=BS$4,$I11&lt;BS$4+7),IF($K11="Deadline","◇","◆"),"")</f>
        <v/>
      </c>
      <c r="BT11" s="14" t="str">
        <f>IF(AND(ISNUMBER($I11),OR($K11="Milestone",$K11="Deadline"),$I11&gt;=BT$4,$I11&lt;BT$4+7),IF($K11="Deadline","◇","◆"),"")</f>
        <v/>
      </c>
      <c r="BU11" s="14" t="str">
        <f>IF(AND(ISNUMBER($I11),OR($K11="Milestone",$K11="Deadline"),$I11&gt;=BU$4,$I11&lt;BU$4+7),IF($K11="Deadline","◇","◆"),"")</f>
        <v/>
      </c>
      <c r="BV11" s="14" t="str">
        <f>IF(AND(ISNUMBER($I11),OR($K11="Milestone",$K11="Deadline"),$I11&gt;=BV$4,$I11&lt;BV$4+7),IF($K11="Deadline","◇","◆"),"")</f>
        <v/>
      </c>
      <c r="BW11" s="14" t="str">
        <f>IF(AND(ISNUMBER($I11),OR($K11="Milestone",$K11="Deadline"),$I11&gt;=BW$4,$I11&lt;BW$4+7),IF($K11="Deadline","◇","◆"),"")</f>
        <v/>
      </c>
      <c r="BX11" s="14" t="str">
        <f>IF(AND(ISNUMBER($I11),OR($K11="Milestone",$K11="Deadline"),$I11&gt;=BX$4,$I11&lt;BX$4+7),IF($K11="Deadline","◇","◆"),"")</f>
        <v/>
      </c>
      <c r="BY11" s="14" t="str">
        <f>IF(AND(ISNUMBER($I11),OR($K11="Milestone",$K11="Deadline"),$I11&gt;=BY$4,$I11&lt;BY$4+7),IF($K11="Deadline","◇","◆"),"")</f>
        <v/>
      </c>
      <c r="BZ11" s="14" t="str">
        <f>IF(AND(ISNUMBER($I11),OR($K11="Milestone",$K11="Deadline"),$I11&gt;=BZ$4,$I11&lt;BZ$4+7),IF($K11="Deadline","◇","◆"),"")</f>
        <v/>
      </c>
      <c r="CA11" s="14" t="str">
        <f>IF(AND(ISNUMBER($I11),OR($K11="Milestone",$K11="Deadline"),$I11&gt;=CA$4,$I11&lt;CA$4+7),IF($K11="Deadline","◇","◆"),"")</f>
        <v/>
      </c>
      <c r="CB11" s="14" t="str">
        <f>IF(AND(ISNUMBER($I11),OR($K11="Milestone",$K11="Deadline"),$I11&gt;=CB$4,$I11&lt;CB$4+7),IF($K11="Deadline","◇","◆"),"")</f>
        <v/>
      </c>
      <c r="CC11" s="14" t="str">
        <f>IF(AND(ISNUMBER($I11),OR($K11="Milestone",$K11="Deadline"),$I11&gt;=CC$4,$I11&lt;CC$4+7),IF($K11="Deadline","◇","◆"),"")</f>
        <v/>
      </c>
      <c r="CD11" s="14" t="str">
        <f>IF(AND(ISNUMBER($I11),OR($K11="Milestone",$K11="Deadline"),$I11&gt;=CD$4,$I11&lt;CD$4+7),IF($K11="Deadline","◇","◆"),"")</f>
        <v/>
      </c>
      <c r="CE11" s="14" t="str">
        <f>IF(AND(ISNUMBER($I11),OR($K11="Milestone",$K11="Deadline"),$I11&gt;=CE$4,$I11&lt;CE$4+7),IF($K11="Deadline","◇","◆"),"")</f>
        <v/>
      </c>
      <c r="CF11" s="14" t="str">
        <f>IF(AND(ISNUMBER($I11),OR($K11="Milestone",$K11="Deadline"),$I11&gt;=CF$4,$I11&lt;CF$4+7),IF($K11="Deadline","◇","◆"),"")</f>
        <v/>
      </c>
      <c r="CG11" s="14" t="str">
        <f>IF(AND(ISNUMBER($I11),OR($K11="Milestone",$K11="Deadline"),$I11&gt;=CG$4,$I11&lt;CG$4+7),IF($K11="Deadline","◇","◆"),"")</f>
        <v/>
      </c>
      <c r="CH11" s="14" t="str">
        <f>IF(AND(ISNUMBER($I11),OR($K11="Milestone",$K11="Deadline"),$I11&gt;=CH$4,$I11&lt;CH$4+7),IF($K11="Deadline","◇","◆"),"")</f>
        <v/>
      </c>
      <c r="CI11" s="14" t="str">
        <f>IF(AND(ISNUMBER($I11),OR($K11="Milestone",$K11="Deadline"),$I11&gt;=CI$4,$I11&lt;CI$4+7),IF($K11="Deadline","◇","◆"),"")</f>
        <v/>
      </c>
      <c r="CJ11" s="14" t="str">
        <f>IF(AND(ISNUMBER($I11),OR($K11="Milestone",$K11="Deadline"),$I11&gt;=CJ$4,$I11&lt;CJ$4+7),IF($K11="Deadline","◇","◆"),"")</f>
        <v/>
      </c>
      <c r="CK11" s="14" t="str">
        <f>IF(AND(ISNUMBER($I11),OR($K11="Milestone",$K11="Deadline"),$I11&gt;=CK$4,$I11&lt;CK$4+7),IF($K11="Deadline","◇","◆"),"")</f>
        <v/>
      </c>
      <c r="CL11" s="14" t="str">
        <f>IF(AND(ISNUMBER($I11),OR($K11="Milestone",$K11="Deadline"),$I11&gt;=CL$4,$I11&lt;CL$4+7),IF($K11="Deadline","◇","◆"),"")</f>
        <v/>
      </c>
      <c r="CM11" s="14" t="str">
        <f>IF(AND(ISNUMBER($I11),OR($K11="Milestone",$K11="Deadline"),$I11&gt;=CM$4,$I11&lt;CM$4+7),IF($K11="Deadline","◇","◆"),"")</f>
        <v/>
      </c>
    </row>
    <row r="12" spans="1:91" ht="15" hidden="1" customHeight="1">
      <c r="A12" s="9" t="s">
        <v>83</v>
      </c>
      <c r="B12" s="9" t="s">
        <v>74</v>
      </c>
      <c r="C12" s="9" t="s">
        <v>63</v>
      </c>
      <c r="D12" s="9"/>
      <c r="E12" s="9"/>
      <c r="F12" s="9"/>
      <c r="G12" s="9" t="s">
        <v>84</v>
      </c>
      <c r="H12" s="9"/>
      <c r="I12" s="10">
        <v>46342</v>
      </c>
      <c r="J12" s="11">
        <f>I12</f>
        <v>46342</v>
      </c>
      <c r="K12" s="9" t="s">
        <v>85</v>
      </c>
      <c r="L12" s="9"/>
      <c r="M12" s="12"/>
      <c r="N12" s="9" t="s">
        <v>76</v>
      </c>
      <c r="O12" s="12">
        <f>IF(AND(ISNUMBER(I12),ISNUMBER(J12)),J12-I12+1,"")</f>
        <v>1</v>
      </c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4" t="str">
        <f>IF(AND(ISNUMBER($I12),OR($K12="Milestone",$K12="Deadline"),$I12&gt;=AO$4,$I12&lt;AO$4+7),IF($K12="Deadline","◇","◆"),"")</f>
        <v/>
      </c>
      <c r="AP12" s="14" t="str">
        <f>IF(AND(ISNUMBER($I12),OR($K12="Milestone",$K12="Deadline"),$I12&gt;=AP$4,$I12&lt;AP$4+7),IF($K12="Deadline","◇","◆"),"")</f>
        <v/>
      </c>
      <c r="AQ12" s="14" t="str">
        <f>IF(AND(ISNUMBER($I12),OR($K12="Milestone",$K12="Deadline"),$I12&gt;=AQ$4,$I12&lt;AQ$4+7),IF($K12="Deadline","◇","◆"),"")</f>
        <v/>
      </c>
      <c r="AR12" s="14" t="str">
        <f>IF(AND(ISNUMBER($I12),OR($K12="Milestone",$K12="Deadline"),$I12&gt;=AR$4,$I12&lt;AR$4+7),IF($K12="Deadline","◇","◆"),"")</f>
        <v/>
      </c>
      <c r="AS12" s="14" t="str">
        <f>IF(AND(ISNUMBER($I12),OR($K12="Milestone",$K12="Deadline"),$I12&gt;=AS$4,$I12&lt;AS$4+7),IF($K12="Deadline","◇","◆"),"")</f>
        <v/>
      </c>
      <c r="AT12" s="14" t="str">
        <f>IF(AND(ISNUMBER($I12),OR($K12="Milestone",$K12="Deadline"),$I12&gt;=AT$4,$I12&lt;AT$4+7),IF($K12="Deadline","◇","◆"),"")</f>
        <v>◇</v>
      </c>
      <c r="AU12" s="14" t="str">
        <f>IF(AND(ISNUMBER($I12),OR($K12="Milestone",$K12="Deadline"),$I12&gt;=AU$4,$I12&lt;AU$4+7),IF($K12="Deadline","◇","◆"),"")</f>
        <v/>
      </c>
      <c r="AV12" s="14" t="str">
        <f>IF(AND(ISNUMBER($I12),OR($K12="Milestone",$K12="Deadline"),$I12&gt;=AV$4,$I12&lt;AV$4+7),IF($K12="Deadline","◇","◆"),"")</f>
        <v/>
      </c>
      <c r="AW12" s="14" t="str">
        <f>IF(AND(ISNUMBER($I12),OR($K12="Milestone",$K12="Deadline"),$I12&gt;=AW$4,$I12&lt;AW$4+7),IF($K12="Deadline","◇","◆"),"")</f>
        <v/>
      </c>
      <c r="AX12" s="14" t="str">
        <f>IF(AND(ISNUMBER($I12),OR($K12="Milestone",$K12="Deadline"),$I12&gt;=AX$4,$I12&lt;AX$4+7),IF($K12="Deadline","◇","◆"),"")</f>
        <v/>
      </c>
      <c r="AY12" s="14" t="str">
        <f>IF(AND(ISNUMBER($I12),OR($K12="Milestone",$K12="Deadline"),$I12&gt;=AY$4,$I12&lt;AY$4+7),IF($K12="Deadline","◇","◆"),"")</f>
        <v/>
      </c>
      <c r="AZ12" s="14" t="str">
        <f>IF(AND(ISNUMBER($I12),OR($K12="Milestone",$K12="Deadline"),$I12&gt;=AZ$4,$I12&lt;AZ$4+7),IF($K12="Deadline","◇","◆"),"")</f>
        <v/>
      </c>
      <c r="BA12" s="14" t="str">
        <f>IF(AND(ISNUMBER($I12),OR($K12="Milestone",$K12="Deadline"),$I12&gt;=BA$4,$I12&lt;BA$4+7),IF($K12="Deadline","◇","◆"),"")</f>
        <v/>
      </c>
      <c r="BB12" s="14" t="str">
        <f>IF(AND(ISNUMBER($I12),OR($K12="Milestone",$K12="Deadline"),$I12&gt;=BB$4,$I12&lt;BB$4+7),IF($K12="Deadline","◇","◆"),"")</f>
        <v/>
      </c>
      <c r="BC12" s="14" t="str">
        <f>IF(AND(ISNUMBER($I12),OR($K12="Milestone",$K12="Deadline"),$I12&gt;=BC$4,$I12&lt;BC$4+7),IF($K12="Deadline","◇","◆"),"")</f>
        <v/>
      </c>
      <c r="BD12" s="14" t="str">
        <f>IF(AND(ISNUMBER($I12),OR($K12="Milestone",$K12="Deadline"),$I12&gt;=BD$4,$I12&lt;BD$4+7),IF($K12="Deadline","◇","◆"),"")</f>
        <v/>
      </c>
      <c r="BE12" s="14" t="str">
        <f>IF(AND(ISNUMBER($I12),OR($K12="Milestone",$K12="Deadline"),$I12&gt;=BE$4,$I12&lt;BE$4+7),IF($K12="Deadline","◇","◆"),"")</f>
        <v/>
      </c>
      <c r="BF12" s="14" t="str">
        <f>IF(AND(ISNUMBER($I12),OR($K12="Milestone",$K12="Deadline"),$I12&gt;=BF$4,$I12&lt;BF$4+7),IF($K12="Deadline","◇","◆"),"")</f>
        <v/>
      </c>
      <c r="BG12" s="14" t="str">
        <f>IF(AND(ISNUMBER($I12),OR($K12="Milestone",$K12="Deadline"),$I12&gt;=BG$4,$I12&lt;BG$4+7),IF($K12="Deadline","◇","◆"),"")</f>
        <v/>
      </c>
      <c r="BH12" s="14" t="str">
        <f>IF(AND(ISNUMBER($I12),OR($K12="Milestone",$K12="Deadline"),$I12&gt;=BH$4,$I12&lt;BH$4+7),IF($K12="Deadline","◇","◆"),"")</f>
        <v/>
      </c>
      <c r="BI12" s="14" t="str">
        <f>IF(AND(ISNUMBER($I12),OR($K12="Milestone",$K12="Deadline"),$I12&gt;=BI$4,$I12&lt;BI$4+7),IF($K12="Deadline","◇","◆"),"")</f>
        <v/>
      </c>
      <c r="BJ12" s="14" t="str">
        <f>IF(AND(ISNUMBER($I12),OR($K12="Milestone",$K12="Deadline"),$I12&gt;=BJ$4,$I12&lt;BJ$4+7),IF($K12="Deadline","◇","◆"),"")</f>
        <v/>
      </c>
      <c r="BK12" s="14" t="str">
        <f>IF(AND(ISNUMBER($I12),OR($K12="Milestone",$K12="Deadline"),$I12&gt;=BK$4,$I12&lt;BK$4+7),IF($K12="Deadline","◇","◆"),"")</f>
        <v/>
      </c>
      <c r="BL12" s="14" t="str">
        <f>IF(AND(ISNUMBER($I12),OR($K12="Milestone",$K12="Deadline"),$I12&gt;=BL$4,$I12&lt;BL$4+7),IF($K12="Deadline","◇","◆"),"")</f>
        <v/>
      </c>
      <c r="BM12" s="14" t="str">
        <f>IF(AND(ISNUMBER($I12),OR($K12="Milestone",$K12="Deadline"),$I12&gt;=BM$4,$I12&lt;BM$4+7),IF($K12="Deadline","◇","◆"),"")</f>
        <v/>
      </c>
      <c r="BN12" s="14" t="str">
        <f>IF(AND(ISNUMBER($I12),OR($K12="Milestone",$K12="Deadline"),$I12&gt;=BN$4,$I12&lt;BN$4+7),IF($K12="Deadline","◇","◆"),"")</f>
        <v/>
      </c>
      <c r="BO12" s="14" t="str">
        <f>IF(AND(ISNUMBER($I12),OR($K12="Milestone",$K12="Deadline"),$I12&gt;=BO$4,$I12&lt;BO$4+7),IF($K12="Deadline","◇","◆"),"")</f>
        <v/>
      </c>
      <c r="BP12" s="14" t="str">
        <f>IF(AND(ISNUMBER($I12),OR($K12="Milestone",$K12="Deadline"),$I12&gt;=BP$4,$I12&lt;BP$4+7),IF($K12="Deadline","◇","◆"),"")</f>
        <v/>
      </c>
      <c r="BQ12" s="14" t="str">
        <f>IF(AND(ISNUMBER($I12),OR($K12="Milestone",$K12="Deadline"),$I12&gt;=BQ$4,$I12&lt;BQ$4+7),IF($K12="Deadline","◇","◆"),"")</f>
        <v/>
      </c>
      <c r="BR12" s="14" t="str">
        <f>IF(AND(ISNUMBER($I12),OR($K12="Milestone",$K12="Deadline"),$I12&gt;=BR$4,$I12&lt;BR$4+7),IF($K12="Deadline","◇","◆"),"")</f>
        <v/>
      </c>
      <c r="BS12" s="14" t="str">
        <f>IF(AND(ISNUMBER($I12),OR($K12="Milestone",$K12="Deadline"),$I12&gt;=BS$4,$I12&lt;BS$4+7),IF($K12="Deadline","◇","◆"),"")</f>
        <v/>
      </c>
      <c r="BT12" s="14" t="str">
        <f>IF(AND(ISNUMBER($I12),OR($K12="Milestone",$K12="Deadline"),$I12&gt;=BT$4,$I12&lt;BT$4+7),IF($K12="Deadline","◇","◆"),"")</f>
        <v/>
      </c>
      <c r="BU12" s="14" t="str">
        <f>IF(AND(ISNUMBER($I12),OR($K12="Milestone",$K12="Deadline"),$I12&gt;=BU$4,$I12&lt;BU$4+7),IF($K12="Deadline","◇","◆"),"")</f>
        <v/>
      </c>
      <c r="BV12" s="14" t="str">
        <f>IF(AND(ISNUMBER($I12),OR($K12="Milestone",$K12="Deadline"),$I12&gt;=BV$4,$I12&lt;BV$4+7),IF($K12="Deadline","◇","◆"),"")</f>
        <v/>
      </c>
      <c r="BW12" s="14" t="str">
        <f>IF(AND(ISNUMBER($I12),OR($K12="Milestone",$K12="Deadline"),$I12&gt;=BW$4,$I12&lt;BW$4+7),IF($K12="Deadline","◇","◆"),"")</f>
        <v/>
      </c>
      <c r="BX12" s="14" t="str">
        <f>IF(AND(ISNUMBER($I12),OR($K12="Milestone",$K12="Deadline"),$I12&gt;=BX$4,$I12&lt;BX$4+7),IF($K12="Deadline","◇","◆"),"")</f>
        <v/>
      </c>
      <c r="BY12" s="14" t="str">
        <f>IF(AND(ISNUMBER($I12),OR($K12="Milestone",$K12="Deadline"),$I12&gt;=BY$4,$I12&lt;BY$4+7),IF($K12="Deadline","◇","◆"),"")</f>
        <v/>
      </c>
      <c r="BZ12" s="14" t="str">
        <f>IF(AND(ISNUMBER($I12),OR($K12="Milestone",$K12="Deadline"),$I12&gt;=BZ$4,$I12&lt;BZ$4+7),IF($K12="Deadline","◇","◆"),"")</f>
        <v/>
      </c>
      <c r="CA12" s="14" t="str">
        <f>IF(AND(ISNUMBER($I12),OR($K12="Milestone",$K12="Deadline"),$I12&gt;=CA$4,$I12&lt;CA$4+7),IF($K12="Deadline","◇","◆"),"")</f>
        <v/>
      </c>
      <c r="CB12" s="14" t="str">
        <f>IF(AND(ISNUMBER($I12),OR($K12="Milestone",$K12="Deadline"),$I12&gt;=CB$4,$I12&lt;CB$4+7),IF($K12="Deadline","◇","◆"),"")</f>
        <v/>
      </c>
      <c r="CC12" s="14" t="str">
        <f>IF(AND(ISNUMBER($I12),OR($K12="Milestone",$K12="Deadline"),$I12&gt;=CC$4,$I12&lt;CC$4+7),IF($K12="Deadline","◇","◆"),"")</f>
        <v/>
      </c>
      <c r="CD12" s="14" t="str">
        <f>IF(AND(ISNUMBER($I12),OR($K12="Milestone",$K12="Deadline"),$I12&gt;=CD$4,$I12&lt;CD$4+7),IF($K12="Deadline","◇","◆"),"")</f>
        <v/>
      </c>
      <c r="CE12" s="14" t="str">
        <f>IF(AND(ISNUMBER($I12),OR($K12="Milestone",$K12="Deadline"),$I12&gt;=CE$4,$I12&lt;CE$4+7),IF($K12="Deadline","◇","◆"),"")</f>
        <v/>
      </c>
      <c r="CF12" s="14" t="str">
        <f>IF(AND(ISNUMBER($I12),OR($K12="Milestone",$K12="Deadline"),$I12&gt;=CF$4,$I12&lt;CF$4+7),IF($K12="Deadline","◇","◆"),"")</f>
        <v/>
      </c>
      <c r="CG12" s="14" t="str">
        <f>IF(AND(ISNUMBER($I12),OR($K12="Milestone",$K12="Deadline"),$I12&gt;=CG$4,$I12&lt;CG$4+7),IF($K12="Deadline","◇","◆"),"")</f>
        <v/>
      </c>
      <c r="CH12" s="14" t="str">
        <f>IF(AND(ISNUMBER($I12),OR($K12="Milestone",$K12="Deadline"),$I12&gt;=CH$4,$I12&lt;CH$4+7),IF($K12="Deadline","◇","◆"),"")</f>
        <v/>
      </c>
      <c r="CI12" s="14" t="str">
        <f>IF(AND(ISNUMBER($I12),OR($K12="Milestone",$K12="Deadline"),$I12&gt;=CI$4,$I12&lt;CI$4+7),IF($K12="Deadline","◇","◆"),"")</f>
        <v/>
      </c>
      <c r="CJ12" s="14" t="str">
        <f>IF(AND(ISNUMBER($I12),OR($K12="Milestone",$K12="Deadline"),$I12&gt;=CJ$4,$I12&lt;CJ$4+7),IF($K12="Deadline","◇","◆"),"")</f>
        <v/>
      </c>
      <c r="CK12" s="14" t="str">
        <f>IF(AND(ISNUMBER($I12),OR($K12="Milestone",$K12="Deadline"),$I12&gt;=CK$4,$I12&lt;CK$4+7),IF($K12="Deadline","◇","◆"),"")</f>
        <v/>
      </c>
      <c r="CL12" s="14" t="str">
        <f>IF(AND(ISNUMBER($I12),OR($K12="Milestone",$K12="Deadline"),$I12&gt;=CL$4,$I12&lt;CL$4+7),IF($K12="Deadline","◇","◆"),"")</f>
        <v/>
      </c>
      <c r="CM12" s="14" t="str">
        <f>IF(AND(ISNUMBER($I12),OR($K12="Milestone",$K12="Deadline"),$I12&gt;=CM$4,$I12&lt;CM$4+7),IF($K12="Deadline","◇","◆"),"")</f>
        <v/>
      </c>
    </row>
    <row r="13" spans="1:91" ht="15" hidden="1" customHeight="1">
      <c r="A13" s="9" t="s">
        <v>86</v>
      </c>
      <c r="B13" s="9" t="s">
        <v>74</v>
      </c>
      <c r="C13" s="9" t="s">
        <v>63</v>
      </c>
      <c r="D13" s="9"/>
      <c r="E13" s="9"/>
      <c r="F13" s="9"/>
      <c r="G13" s="9" t="s">
        <v>87</v>
      </c>
      <c r="H13" s="9"/>
      <c r="I13" s="10">
        <v>46342</v>
      </c>
      <c r="J13" s="11">
        <f>I13</f>
        <v>46342</v>
      </c>
      <c r="K13" s="9" t="s">
        <v>85</v>
      </c>
      <c r="L13" s="9"/>
      <c r="M13" s="12"/>
      <c r="N13" s="9" t="s">
        <v>88</v>
      </c>
      <c r="O13" s="12">
        <f>IF(AND(ISNUMBER(I13),ISNUMBER(J13)),J13-I13+1,"")</f>
        <v>1</v>
      </c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4" t="str">
        <f>IF(AND(ISNUMBER($I13),OR($K13="Milestone",$K13="Deadline"),$I13&gt;=AO$4,$I13&lt;AO$4+7),IF($K13="Deadline","◇","◆"),"")</f>
        <v/>
      </c>
      <c r="AP13" s="14" t="str">
        <f>IF(AND(ISNUMBER($I13),OR($K13="Milestone",$K13="Deadline"),$I13&gt;=AP$4,$I13&lt;AP$4+7),IF($K13="Deadline","◇","◆"),"")</f>
        <v/>
      </c>
      <c r="AQ13" s="14" t="str">
        <f>IF(AND(ISNUMBER($I13),OR($K13="Milestone",$K13="Deadline"),$I13&gt;=AQ$4,$I13&lt;AQ$4+7),IF($K13="Deadline","◇","◆"),"")</f>
        <v/>
      </c>
      <c r="AR13" s="14" t="str">
        <f>IF(AND(ISNUMBER($I13),OR($K13="Milestone",$K13="Deadline"),$I13&gt;=AR$4,$I13&lt;AR$4+7),IF($K13="Deadline","◇","◆"),"")</f>
        <v/>
      </c>
      <c r="AS13" s="14" t="str">
        <f>IF(AND(ISNUMBER($I13),OR($K13="Milestone",$K13="Deadline"),$I13&gt;=AS$4,$I13&lt;AS$4+7),IF($K13="Deadline","◇","◆"),"")</f>
        <v/>
      </c>
      <c r="AT13" s="14" t="str">
        <f>IF(AND(ISNUMBER($I13),OR($K13="Milestone",$K13="Deadline"),$I13&gt;=AT$4,$I13&lt;AT$4+7),IF($K13="Deadline","◇","◆"),"")</f>
        <v>◇</v>
      </c>
      <c r="AU13" s="14" t="str">
        <f>IF(AND(ISNUMBER($I13),OR($K13="Milestone",$K13="Deadline"),$I13&gt;=AU$4,$I13&lt;AU$4+7),IF($K13="Deadline","◇","◆"),"")</f>
        <v/>
      </c>
      <c r="AV13" s="14" t="str">
        <f>IF(AND(ISNUMBER($I13),OR($K13="Milestone",$K13="Deadline"),$I13&gt;=AV$4,$I13&lt;AV$4+7),IF($K13="Deadline","◇","◆"),"")</f>
        <v/>
      </c>
      <c r="AW13" s="14" t="str">
        <f>IF(AND(ISNUMBER($I13),OR($K13="Milestone",$K13="Deadline"),$I13&gt;=AW$4,$I13&lt;AW$4+7),IF($K13="Deadline","◇","◆"),"")</f>
        <v/>
      </c>
      <c r="AX13" s="14" t="str">
        <f>IF(AND(ISNUMBER($I13),OR($K13="Milestone",$K13="Deadline"),$I13&gt;=AX$4,$I13&lt;AX$4+7),IF($K13="Deadline","◇","◆"),"")</f>
        <v/>
      </c>
      <c r="AY13" s="14" t="str">
        <f>IF(AND(ISNUMBER($I13),OR($K13="Milestone",$K13="Deadline"),$I13&gt;=AY$4,$I13&lt;AY$4+7),IF($K13="Deadline","◇","◆"),"")</f>
        <v/>
      </c>
      <c r="AZ13" s="14" t="str">
        <f>IF(AND(ISNUMBER($I13),OR($K13="Milestone",$K13="Deadline"),$I13&gt;=AZ$4,$I13&lt;AZ$4+7),IF($K13="Deadline","◇","◆"),"")</f>
        <v/>
      </c>
      <c r="BA13" s="14" t="str">
        <f>IF(AND(ISNUMBER($I13),OR($K13="Milestone",$K13="Deadline"),$I13&gt;=BA$4,$I13&lt;BA$4+7),IF($K13="Deadline","◇","◆"),"")</f>
        <v/>
      </c>
      <c r="BB13" s="14" t="str">
        <f>IF(AND(ISNUMBER($I13),OR($K13="Milestone",$K13="Deadline"),$I13&gt;=BB$4,$I13&lt;BB$4+7),IF($K13="Deadline","◇","◆"),"")</f>
        <v/>
      </c>
      <c r="BC13" s="14" t="str">
        <f>IF(AND(ISNUMBER($I13),OR($K13="Milestone",$K13="Deadline"),$I13&gt;=BC$4,$I13&lt;BC$4+7),IF($K13="Deadline","◇","◆"),"")</f>
        <v/>
      </c>
      <c r="BD13" s="14" t="str">
        <f>IF(AND(ISNUMBER($I13),OR($K13="Milestone",$K13="Deadline"),$I13&gt;=BD$4,$I13&lt;BD$4+7),IF($K13="Deadline","◇","◆"),"")</f>
        <v/>
      </c>
      <c r="BE13" s="14" t="str">
        <f>IF(AND(ISNUMBER($I13),OR($K13="Milestone",$K13="Deadline"),$I13&gt;=BE$4,$I13&lt;BE$4+7),IF($K13="Deadline","◇","◆"),"")</f>
        <v/>
      </c>
      <c r="BF13" s="14" t="str">
        <f>IF(AND(ISNUMBER($I13),OR($K13="Milestone",$K13="Deadline"),$I13&gt;=BF$4,$I13&lt;BF$4+7),IF($K13="Deadline","◇","◆"),"")</f>
        <v/>
      </c>
      <c r="BG13" s="14" t="str">
        <f>IF(AND(ISNUMBER($I13),OR($K13="Milestone",$K13="Deadline"),$I13&gt;=BG$4,$I13&lt;BG$4+7),IF($K13="Deadline","◇","◆"),"")</f>
        <v/>
      </c>
      <c r="BH13" s="14" t="str">
        <f>IF(AND(ISNUMBER($I13),OR($K13="Milestone",$K13="Deadline"),$I13&gt;=BH$4,$I13&lt;BH$4+7),IF($K13="Deadline","◇","◆"),"")</f>
        <v/>
      </c>
      <c r="BI13" s="14" t="str">
        <f>IF(AND(ISNUMBER($I13),OR($K13="Milestone",$K13="Deadline"),$I13&gt;=BI$4,$I13&lt;BI$4+7),IF($K13="Deadline","◇","◆"),"")</f>
        <v/>
      </c>
      <c r="BJ13" s="14" t="str">
        <f>IF(AND(ISNUMBER($I13),OR($K13="Milestone",$K13="Deadline"),$I13&gt;=BJ$4,$I13&lt;BJ$4+7),IF($K13="Deadline","◇","◆"),"")</f>
        <v/>
      </c>
      <c r="BK13" s="14" t="str">
        <f>IF(AND(ISNUMBER($I13),OR($K13="Milestone",$K13="Deadline"),$I13&gt;=BK$4,$I13&lt;BK$4+7),IF($K13="Deadline","◇","◆"),"")</f>
        <v/>
      </c>
      <c r="BL13" s="14" t="str">
        <f>IF(AND(ISNUMBER($I13),OR($K13="Milestone",$K13="Deadline"),$I13&gt;=BL$4,$I13&lt;BL$4+7),IF($K13="Deadline","◇","◆"),"")</f>
        <v/>
      </c>
      <c r="BM13" s="14" t="str">
        <f>IF(AND(ISNUMBER($I13),OR($K13="Milestone",$K13="Deadline"),$I13&gt;=BM$4,$I13&lt;BM$4+7),IF($K13="Deadline","◇","◆"),"")</f>
        <v/>
      </c>
      <c r="BN13" s="14" t="str">
        <f>IF(AND(ISNUMBER($I13),OR($K13="Milestone",$K13="Deadline"),$I13&gt;=BN$4,$I13&lt;BN$4+7),IF($K13="Deadline","◇","◆"),"")</f>
        <v/>
      </c>
      <c r="BO13" s="14" t="str">
        <f>IF(AND(ISNUMBER($I13),OR($K13="Milestone",$K13="Deadline"),$I13&gt;=BO$4,$I13&lt;BO$4+7),IF($K13="Deadline","◇","◆"),"")</f>
        <v/>
      </c>
      <c r="BP13" s="14" t="str">
        <f>IF(AND(ISNUMBER($I13),OR($K13="Milestone",$K13="Deadline"),$I13&gt;=BP$4,$I13&lt;BP$4+7),IF($K13="Deadline","◇","◆"),"")</f>
        <v/>
      </c>
      <c r="BQ13" s="14" t="str">
        <f>IF(AND(ISNUMBER($I13),OR($K13="Milestone",$K13="Deadline"),$I13&gt;=BQ$4,$I13&lt;BQ$4+7),IF($K13="Deadline","◇","◆"),"")</f>
        <v/>
      </c>
      <c r="BR13" s="14" t="str">
        <f>IF(AND(ISNUMBER($I13),OR($K13="Milestone",$K13="Deadline"),$I13&gt;=BR$4,$I13&lt;BR$4+7),IF($K13="Deadline","◇","◆"),"")</f>
        <v/>
      </c>
      <c r="BS13" s="14" t="str">
        <f>IF(AND(ISNUMBER($I13),OR($K13="Milestone",$K13="Deadline"),$I13&gt;=BS$4,$I13&lt;BS$4+7),IF($K13="Deadline","◇","◆"),"")</f>
        <v/>
      </c>
      <c r="BT13" s="14" t="str">
        <f>IF(AND(ISNUMBER($I13),OR($K13="Milestone",$K13="Deadline"),$I13&gt;=BT$4,$I13&lt;BT$4+7),IF($K13="Deadline","◇","◆"),"")</f>
        <v/>
      </c>
      <c r="BU13" s="14" t="str">
        <f>IF(AND(ISNUMBER($I13),OR($K13="Milestone",$K13="Deadline"),$I13&gt;=BU$4,$I13&lt;BU$4+7),IF($K13="Deadline","◇","◆"),"")</f>
        <v/>
      </c>
      <c r="BV13" s="14" t="str">
        <f>IF(AND(ISNUMBER($I13),OR($K13="Milestone",$K13="Deadline"),$I13&gt;=BV$4,$I13&lt;BV$4+7),IF($K13="Deadline","◇","◆"),"")</f>
        <v/>
      </c>
      <c r="BW13" s="14" t="str">
        <f>IF(AND(ISNUMBER($I13),OR($K13="Milestone",$K13="Deadline"),$I13&gt;=BW$4,$I13&lt;BW$4+7),IF($K13="Deadline","◇","◆"),"")</f>
        <v/>
      </c>
      <c r="BX13" s="14" t="str">
        <f>IF(AND(ISNUMBER($I13),OR($K13="Milestone",$K13="Deadline"),$I13&gt;=BX$4,$I13&lt;BX$4+7),IF($K13="Deadline","◇","◆"),"")</f>
        <v/>
      </c>
      <c r="BY13" s="14" t="str">
        <f>IF(AND(ISNUMBER($I13),OR($K13="Milestone",$K13="Deadline"),$I13&gt;=BY$4,$I13&lt;BY$4+7),IF($K13="Deadline","◇","◆"),"")</f>
        <v/>
      </c>
      <c r="BZ13" s="14" t="str">
        <f>IF(AND(ISNUMBER($I13),OR($K13="Milestone",$K13="Deadline"),$I13&gt;=BZ$4,$I13&lt;BZ$4+7),IF($K13="Deadline","◇","◆"),"")</f>
        <v/>
      </c>
      <c r="CA13" s="14" t="str">
        <f>IF(AND(ISNUMBER($I13),OR($K13="Milestone",$K13="Deadline"),$I13&gt;=CA$4,$I13&lt;CA$4+7),IF($K13="Deadline","◇","◆"),"")</f>
        <v/>
      </c>
      <c r="CB13" s="14" t="str">
        <f>IF(AND(ISNUMBER($I13),OR($K13="Milestone",$K13="Deadline"),$I13&gt;=CB$4,$I13&lt;CB$4+7),IF($K13="Deadline","◇","◆"),"")</f>
        <v/>
      </c>
      <c r="CC13" s="14" t="str">
        <f>IF(AND(ISNUMBER($I13),OR($K13="Milestone",$K13="Deadline"),$I13&gt;=CC$4,$I13&lt;CC$4+7),IF($K13="Deadline","◇","◆"),"")</f>
        <v/>
      </c>
      <c r="CD13" s="14" t="str">
        <f>IF(AND(ISNUMBER($I13),OR($K13="Milestone",$K13="Deadline"),$I13&gt;=CD$4,$I13&lt;CD$4+7),IF($K13="Deadline","◇","◆"),"")</f>
        <v/>
      </c>
      <c r="CE13" s="14" t="str">
        <f>IF(AND(ISNUMBER($I13),OR($K13="Milestone",$K13="Deadline"),$I13&gt;=CE$4,$I13&lt;CE$4+7),IF($K13="Deadline","◇","◆"),"")</f>
        <v/>
      </c>
      <c r="CF13" s="14" t="str">
        <f>IF(AND(ISNUMBER($I13),OR($K13="Milestone",$K13="Deadline"),$I13&gt;=CF$4,$I13&lt;CF$4+7),IF($K13="Deadline","◇","◆"),"")</f>
        <v/>
      </c>
      <c r="CG13" s="14" t="str">
        <f>IF(AND(ISNUMBER($I13),OR($K13="Milestone",$K13="Deadline"),$I13&gt;=CG$4,$I13&lt;CG$4+7),IF($K13="Deadline","◇","◆"),"")</f>
        <v/>
      </c>
      <c r="CH13" s="14" t="str">
        <f>IF(AND(ISNUMBER($I13),OR($K13="Milestone",$K13="Deadline"),$I13&gt;=CH$4,$I13&lt;CH$4+7),IF($K13="Deadline","◇","◆"),"")</f>
        <v/>
      </c>
      <c r="CI13" s="14" t="str">
        <f>IF(AND(ISNUMBER($I13),OR($K13="Milestone",$K13="Deadline"),$I13&gt;=CI$4,$I13&lt;CI$4+7),IF($K13="Deadline","◇","◆"),"")</f>
        <v/>
      </c>
      <c r="CJ13" s="14" t="str">
        <f>IF(AND(ISNUMBER($I13),OR($K13="Milestone",$K13="Deadline"),$I13&gt;=CJ$4,$I13&lt;CJ$4+7),IF($K13="Deadline","◇","◆"),"")</f>
        <v/>
      </c>
      <c r="CK13" s="14" t="str">
        <f>IF(AND(ISNUMBER($I13),OR($K13="Milestone",$K13="Deadline"),$I13&gt;=CK$4,$I13&lt;CK$4+7),IF($K13="Deadline","◇","◆"),"")</f>
        <v/>
      </c>
      <c r="CL13" s="14" t="str">
        <f>IF(AND(ISNUMBER($I13),OR($K13="Milestone",$K13="Deadline"),$I13&gt;=CL$4,$I13&lt;CL$4+7),IF($K13="Deadline","◇","◆"),"")</f>
        <v/>
      </c>
      <c r="CM13" s="14" t="str">
        <f>IF(AND(ISNUMBER($I13),OR($K13="Milestone",$K13="Deadline"),$I13&gt;=CM$4,$I13&lt;CM$4+7),IF($K13="Deadline","◇","◆"),"")</f>
        <v/>
      </c>
    </row>
    <row r="14" spans="1:91" ht="15" hidden="1" customHeight="1">
      <c r="A14" s="9" t="s">
        <v>89</v>
      </c>
      <c r="B14" s="9" t="s">
        <v>74</v>
      </c>
      <c r="C14" s="9" t="s">
        <v>63</v>
      </c>
      <c r="D14" s="9"/>
      <c r="E14" s="9"/>
      <c r="F14" s="9"/>
      <c r="G14" s="9" t="s">
        <v>90</v>
      </c>
      <c r="H14" s="9"/>
      <c r="I14" s="10">
        <v>46357</v>
      </c>
      <c r="J14" s="11">
        <f>I14</f>
        <v>46357</v>
      </c>
      <c r="K14" s="9" t="s">
        <v>85</v>
      </c>
      <c r="L14" s="9"/>
      <c r="M14" s="12"/>
      <c r="N14" s="9" t="s">
        <v>91</v>
      </c>
      <c r="O14" s="12">
        <f>IF(AND(ISNUMBER(I14),ISNUMBER(J14)),J14-I14+1,"")</f>
        <v>1</v>
      </c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4" t="str">
        <f>IF(AND(ISNUMBER($I14),OR($K14="Milestone",$K14="Deadline"),$I14&gt;=AO$4,$I14&lt;AO$4+7),IF($K14="Deadline","◇","◆"),"")</f>
        <v/>
      </c>
      <c r="AP14" s="14" t="str">
        <f>IF(AND(ISNUMBER($I14),OR($K14="Milestone",$K14="Deadline"),$I14&gt;=AP$4,$I14&lt;AP$4+7),IF($K14="Deadline","◇","◆"),"")</f>
        <v/>
      </c>
      <c r="AQ14" s="14" t="str">
        <f>IF(AND(ISNUMBER($I14),OR($K14="Milestone",$K14="Deadline"),$I14&gt;=AQ$4,$I14&lt;AQ$4+7),IF($K14="Deadline","◇","◆"),"")</f>
        <v/>
      </c>
      <c r="AR14" s="14" t="str">
        <f>IF(AND(ISNUMBER($I14),OR($K14="Milestone",$K14="Deadline"),$I14&gt;=AR$4,$I14&lt;AR$4+7),IF($K14="Deadline","◇","◆"),"")</f>
        <v/>
      </c>
      <c r="AS14" s="14" t="str">
        <f>IF(AND(ISNUMBER($I14),OR($K14="Milestone",$K14="Deadline"),$I14&gt;=AS$4,$I14&lt;AS$4+7),IF($K14="Deadline","◇","◆"),"")</f>
        <v/>
      </c>
      <c r="AT14" s="14" t="str">
        <f>IF(AND(ISNUMBER($I14),OR($K14="Milestone",$K14="Deadline"),$I14&gt;=AT$4,$I14&lt;AT$4+7),IF($K14="Deadline","◇","◆"),"")</f>
        <v/>
      </c>
      <c r="AU14" s="14" t="str">
        <f>IF(AND(ISNUMBER($I14),OR($K14="Milestone",$K14="Deadline"),$I14&gt;=AU$4,$I14&lt;AU$4+7),IF($K14="Deadline","◇","◆"),"")</f>
        <v/>
      </c>
      <c r="AV14" s="14" t="str">
        <f>IF(AND(ISNUMBER($I14),OR($K14="Milestone",$K14="Deadline"),$I14&gt;=AV$4,$I14&lt;AV$4+7),IF($K14="Deadline","◇","◆"),"")</f>
        <v>◇</v>
      </c>
      <c r="AW14" s="14" t="str">
        <f>IF(AND(ISNUMBER($I14),OR($K14="Milestone",$K14="Deadline"),$I14&gt;=AW$4,$I14&lt;AW$4+7),IF($K14="Deadline","◇","◆"),"")</f>
        <v/>
      </c>
      <c r="AX14" s="14" t="str">
        <f>IF(AND(ISNUMBER($I14),OR($K14="Milestone",$K14="Deadline"),$I14&gt;=AX$4,$I14&lt;AX$4+7),IF($K14="Deadline","◇","◆"),"")</f>
        <v/>
      </c>
      <c r="AY14" s="14" t="str">
        <f>IF(AND(ISNUMBER($I14),OR($K14="Milestone",$K14="Deadline"),$I14&gt;=AY$4,$I14&lt;AY$4+7),IF($K14="Deadline","◇","◆"),"")</f>
        <v/>
      </c>
      <c r="AZ14" s="14" t="str">
        <f>IF(AND(ISNUMBER($I14),OR($K14="Milestone",$K14="Deadline"),$I14&gt;=AZ$4,$I14&lt;AZ$4+7),IF($K14="Deadline","◇","◆"),"")</f>
        <v/>
      </c>
      <c r="BA14" s="14" t="str">
        <f>IF(AND(ISNUMBER($I14),OR($K14="Milestone",$K14="Deadline"),$I14&gt;=BA$4,$I14&lt;BA$4+7),IF($K14="Deadline","◇","◆"),"")</f>
        <v/>
      </c>
      <c r="BB14" s="14" t="str">
        <f>IF(AND(ISNUMBER($I14),OR($K14="Milestone",$K14="Deadline"),$I14&gt;=BB$4,$I14&lt;BB$4+7),IF($K14="Deadline","◇","◆"),"")</f>
        <v/>
      </c>
      <c r="BC14" s="14" t="str">
        <f>IF(AND(ISNUMBER($I14),OR($K14="Milestone",$K14="Deadline"),$I14&gt;=BC$4,$I14&lt;BC$4+7),IF($K14="Deadline","◇","◆"),"")</f>
        <v/>
      </c>
      <c r="BD14" s="14" t="str">
        <f>IF(AND(ISNUMBER($I14),OR($K14="Milestone",$K14="Deadline"),$I14&gt;=BD$4,$I14&lt;BD$4+7),IF($K14="Deadline","◇","◆"),"")</f>
        <v/>
      </c>
      <c r="BE14" s="14" t="str">
        <f>IF(AND(ISNUMBER($I14),OR($K14="Milestone",$K14="Deadline"),$I14&gt;=BE$4,$I14&lt;BE$4+7),IF($K14="Deadline","◇","◆"),"")</f>
        <v/>
      </c>
      <c r="BF14" s="14" t="str">
        <f>IF(AND(ISNUMBER($I14),OR($K14="Milestone",$K14="Deadline"),$I14&gt;=BF$4,$I14&lt;BF$4+7),IF($K14="Deadline","◇","◆"),"")</f>
        <v/>
      </c>
      <c r="BG14" s="14" t="str">
        <f>IF(AND(ISNUMBER($I14),OR($K14="Milestone",$K14="Deadline"),$I14&gt;=BG$4,$I14&lt;BG$4+7),IF($K14="Deadline","◇","◆"),"")</f>
        <v/>
      </c>
      <c r="BH14" s="14" t="str">
        <f>IF(AND(ISNUMBER($I14),OR($K14="Milestone",$K14="Deadline"),$I14&gt;=BH$4,$I14&lt;BH$4+7),IF($K14="Deadline","◇","◆"),"")</f>
        <v/>
      </c>
      <c r="BI14" s="14" t="str">
        <f>IF(AND(ISNUMBER($I14),OR($K14="Milestone",$K14="Deadline"),$I14&gt;=BI$4,$I14&lt;BI$4+7),IF($K14="Deadline","◇","◆"),"")</f>
        <v/>
      </c>
      <c r="BJ14" s="14" t="str">
        <f>IF(AND(ISNUMBER($I14),OR($K14="Milestone",$K14="Deadline"),$I14&gt;=BJ$4,$I14&lt;BJ$4+7),IF($K14="Deadline","◇","◆"),"")</f>
        <v/>
      </c>
      <c r="BK14" s="14" t="str">
        <f>IF(AND(ISNUMBER($I14),OR($K14="Milestone",$K14="Deadline"),$I14&gt;=BK$4,$I14&lt;BK$4+7),IF($K14="Deadline","◇","◆"),"")</f>
        <v/>
      </c>
      <c r="BL14" s="14" t="str">
        <f>IF(AND(ISNUMBER($I14),OR($K14="Milestone",$K14="Deadline"),$I14&gt;=BL$4,$I14&lt;BL$4+7),IF($K14="Deadline","◇","◆"),"")</f>
        <v/>
      </c>
      <c r="BM14" s="14" t="str">
        <f>IF(AND(ISNUMBER($I14),OR($K14="Milestone",$K14="Deadline"),$I14&gt;=BM$4,$I14&lt;BM$4+7),IF($K14="Deadline","◇","◆"),"")</f>
        <v/>
      </c>
      <c r="BN14" s="14" t="str">
        <f>IF(AND(ISNUMBER($I14),OR($K14="Milestone",$K14="Deadline"),$I14&gt;=BN$4,$I14&lt;BN$4+7),IF($K14="Deadline","◇","◆"),"")</f>
        <v/>
      </c>
      <c r="BO14" s="14" t="str">
        <f>IF(AND(ISNUMBER($I14),OR($K14="Milestone",$K14="Deadline"),$I14&gt;=BO$4,$I14&lt;BO$4+7),IF($K14="Deadline","◇","◆"),"")</f>
        <v/>
      </c>
      <c r="BP14" s="14" t="str">
        <f>IF(AND(ISNUMBER($I14),OR($K14="Milestone",$K14="Deadline"),$I14&gt;=BP$4,$I14&lt;BP$4+7),IF($K14="Deadline","◇","◆"),"")</f>
        <v/>
      </c>
      <c r="BQ14" s="14" t="str">
        <f>IF(AND(ISNUMBER($I14),OR($K14="Milestone",$K14="Deadline"),$I14&gt;=BQ$4,$I14&lt;BQ$4+7),IF($K14="Deadline","◇","◆"),"")</f>
        <v/>
      </c>
      <c r="BR14" s="14" t="str">
        <f>IF(AND(ISNUMBER($I14),OR($K14="Milestone",$K14="Deadline"),$I14&gt;=BR$4,$I14&lt;BR$4+7),IF($K14="Deadline","◇","◆"),"")</f>
        <v/>
      </c>
      <c r="BS14" s="14" t="str">
        <f>IF(AND(ISNUMBER($I14),OR($K14="Milestone",$K14="Deadline"),$I14&gt;=BS$4,$I14&lt;BS$4+7),IF($K14="Deadline","◇","◆"),"")</f>
        <v/>
      </c>
      <c r="BT14" s="14" t="str">
        <f>IF(AND(ISNUMBER($I14),OR($K14="Milestone",$K14="Deadline"),$I14&gt;=BT$4,$I14&lt;BT$4+7),IF($K14="Deadline","◇","◆"),"")</f>
        <v/>
      </c>
      <c r="BU14" s="14" t="str">
        <f>IF(AND(ISNUMBER($I14),OR($K14="Milestone",$K14="Deadline"),$I14&gt;=BU$4,$I14&lt;BU$4+7),IF($K14="Deadline","◇","◆"),"")</f>
        <v/>
      </c>
      <c r="BV14" s="14" t="str">
        <f>IF(AND(ISNUMBER($I14),OR($K14="Milestone",$K14="Deadline"),$I14&gt;=BV$4,$I14&lt;BV$4+7),IF($K14="Deadline","◇","◆"),"")</f>
        <v/>
      </c>
      <c r="BW14" s="14" t="str">
        <f>IF(AND(ISNUMBER($I14),OR($K14="Milestone",$K14="Deadline"),$I14&gt;=BW$4,$I14&lt;BW$4+7),IF($K14="Deadline","◇","◆"),"")</f>
        <v/>
      </c>
      <c r="BX14" s="14" t="str">
        <f>IF(AND(ISNUMBER($I14),OR($K14="Milestone",$K14="Deadline"),$I14&gt;=BX$4,$I14&lt;BX$4+7),IF($K14="Deadline","◇","◆"),"")</f>
        <v/>
      </c>
      <c r="BY14" s="14" t="str">
        <f>IF(AND(ISNUMBER($I14),OR($K14="Milestone",$K14="Deadline"),$I14&gt;=BY$4,$I14&lt;BY$4+7),IF($K14="Deadline","◇","◆"),"")</f>
        <v/>
      </c>
      <c r="BZ14" s="14" t="str">
        <f>IF(AND(ISNUMBER($I14),OR($K14="Milestone",$K14="Deadline"),$I14&gt;=BZ$4,$I14&lt;BZ$4+7),IF($K14="Deadline","◇","◆"),"")</f>
        <v/>
      </c>
      <c r="CA14" s="14" t="str">
        <f>IF(AND(ISNUMBER($I14),OR($K14="Milestone",$K14="Deadline"),$I14&gt;=CA$4,$I14&lt;CA$4+7),IF($K14="Deadline","◇","◆"),"")</f>
        <v/>
      </c>
      <c r="CB14" s="14" t="str">
        <f>IF(AND(ISNUMBER($I14),OR($K14="Milestone",$K14="Deadline"),$I14&gt;=CB$4,$I14&lt;CB$4+7),IF($K14="Deadline","◇","◆"),"")</f>
        <v/>
      </c>
      <c r="CC14" s="14" t="str">
        <f>IF(AND(ISNUMBER($I14),OR($K14="Milestone",$K14="Deadline"),$I14&gt;=CC$4,$I14&lt;CC$4+7),IF($K14="Deadline","◇","◆"),"")</f>
        <v/>
      </c>
      <c r="CD14" s="14" t="str">
        <f>IF(AND(ISNUMBER($I14),OR($K14="Milestone",$K14="Deadline"),$I14&gt;=CD$4,$I14&lt;CD$4+7),IF($K14="Deadline","◇","◆"),"")</f>
        <v/>
      </c>
      <c r="CE14" s="14" t="str">
        <f>IF(AND(ISNUMBER($I14),OR($K14="Milestone",$K14="Deadline"),$I14&gt;=CE$4,$I14&lt;CE$4+7),IF($K14="Deadline","◇","◆"),"")</f>
        <v/>
      </c>
      <c r="CF14" s="14" t="str">
        <f>IF(AND(ISNUMBER($I14),OR($K14="Milestone",$K14="Deadline"),$I14&gt;=CF$4,$I14&lt;CF$4+7),IF($K14="Deadline","◇","◆"),"")</f>
        <v/>
      </c>
      <c r="CG14" s="14" t="str">
        <f>IF(AND(ISNUMBER($I14),OR($K14="Milestone",$K14="Deadline"),$I14&gt;=CG$4,$I14&lt;CG$4+7),IF($K14="Deadline","◇","◆"),"")</f>
        <v/>
      </c>
      <c r="CH14" s="14" t="str">
        <f>IF(AND(ISNUMBER($I14),OR($K14="Milestone",$K14="Deadline"),$I14&gt;=CH$4,$I14&lt;CH$4+7),IF($K14="Deadline","◇","◆"),"")</f>
        <v/>
      </c>
      <c r="CI14" s="14" t="str">
        <f>IF(AND(ISNUMBER($I14),OR($K14="Milestone",$K14="Deadline"),$I14&gt;=CI$4,$I14&lt;CI$4+7),IF($K14="Deadline","◇","◆"),"")</f>
        <v/>
      </c>
      <c r="CJ14" s="14" t="str">
        <f>IF(AND(ISNUMBER($I14),OR($K14="Milestone",$K14="Deadline"),$I14&gt;=CJ$4,$I14&lt;CJ$4+7),IF($K14="Deadline","◇","◆"),"")</f>
        <v/>
      </c>
      <c r="CK14" s="14" t="str">
        <f>IF(AND(ISNUMBER($I14),OR($K14="Milestone",$K14="Deadline"),$I14&gt;=CK$4,$I14&lt;CK$4+7),IF($K14="Deadline","◇","◆"),"")</f>
        <v/>
      </c>
      <c r="CL14" s="14" t="str">
        <f>IF(AND(ISNUMBER($I14),OR($K14="Milestone",$K14="Deadline"),$I14&gt;=CL$4,$I14&lt;CL$4+7),IF($K14="Deadline","◇","◆"),"")</f>
        <v/>
      </c>
      <c r="CM14" s="14" t="str">
        <f>IF(AND(ISNUMBER($I14),OR($K14="Milestone",$K14="Deadline"),$I14&gt;=CM$4,$I14&lt;CM$4+7),IF($K14="Deadline","◇","◆"),"")</f>
        <v/>
      </c>
    </row>
    <row r="15" spans="1:91" ht="15" hidden="1" customHeight="1">
      <c r="A15" s="9" t="s">
        <v>92</v>
      </c>
      <c r="B15" s="9" t="s">
        <v>74</v>
      </c>
      <c r="C15" s="9" t="s">
        <v>93</v>
      </c>
      <c r="D15" s="9"/>
      <c r="E15" s="9"/>
      <c r="F15" s="9"/>
      <c r="G15" s="9" t="s">
        <v>94</v>
      </c>
      <c r="H15" s="9"/>
      <c r="I15" s="10">
        <v>46327</v>
      </c>
      <c r="J15" s="11">
        <f>I15</f>
        <v>46327</v>
      </c>
      <c r="K15" s="9" t="s">
        <v>68</v>
      </c>
      <c r="L15" s="9"/>
      <c r="M15" s="12"/>
      <c r="N15" s="9"/>
      <c r="O15" s="12">
        <f>IF(AND(ISNUMBER(I15),ISNUMBER(J15)),J15-I15+1,"")</f>
        <v>1</v>
      </c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4" t="str">
        <f>IF(AND(ISNUMBER($I15),OR($K15="Milestone",$K15="Deadline"),$I15&gt;=AO$4,$I15&lt;AO$4+7),IF($K15="Deadline","◇","◆"),"")</f>
        <v/>
      </c>
      <c r="AP15" s="14" t="str">
        <f>IF(AND(ISNUMBER($I15),OR($K15="Milestone",$K15="Deadline"),$I15&gt;=AP$4,$I15&lt;AP$4+7),IF($K15="Deadline","◇","◆"),"")</f>
        <v/>
      </c>
      <c r="AQ15" s="14" t="str">
        <f>IF(AND(ISNUMBER($I15),OR($K15="Milestone",$K15="Deadline"),$I15&gt;=AQ$4,$I15&lt;AQ$4+7),IF($K15="Deadline","◇","◆"),"")</f>
        <v>◆</v>
      </c>
      <c r="AR15" s="14" t="str">
        <f>IF(AND(ISNUMBER($I15),OR($K15="Milestone",$K15="Deadline"),$I15&gt;=AR$4,$I15&lt;AR$4+7),IF($K15="Deadline","◇","◆"),"")</f>
        <v/>
      </c>
      <c r="AS15" s="14" t="str">
        <f>IF(AND(ISNUMBER($I15),OR($K15="Milestone",$K15="Deadline"),$I15&gt;=AS$4,$I15&lt;AS$4+7),IF($K15="Deadline","◇","◆"),"")</f>
        <v/>
      </c>
      <c r="AT15" s="14" t="str">
        <f>IF(AND(ISNUMBER($I15),OR($K15="Milestone",$K15="Deadline"),$I15&gt;=AT$4,$I15&lt;AT$4+7),IF($K15="Deadline","◇","◆"),"")</f>
        <v/>
      </c>
      <c r="AU15" s="14" t="str">
        <f>IF(AND(ISNUMBER($I15),OR($K15="Milestone",$K15="Deadline"),$I15&gt;=AU$4,$I15&lt;AU$4+7),IF($K15="Deadline","◇","◆"),"")</f>
        <v/>
      </c>
      <c r="AV15" s="14" t="str">
        <f>IF(AND(ISNUMBER($I15),OR($K15="Milestone",$K15="Deadline"),$I15&gt;=AV$4,$I15&lt;AV$4+7),IF($K15="Deadline","◇","◆"),"")</f>
        <v/>
      </c>
      <c r="AW15" s="14" t="str">
        <f>IF(AND(ISNUMBER($I15),OR($K15="Milestone",$K15="Deadline"),$I15&gt;=AW$4,$I15&lt;AW$4+7),IF($K15="Deadline","◇","◆"),"")</f>
        <v/>
      </c>
      <c r="AX15" s="14" t="str">
        <f>IF(AND(ISNUMBER($I15),OR($K15="Milestone",$K15="Deadline"),$I15&gt;=AX$4,$I15&lt;AX$4+7),IF($K15="Deadline","◇","◆"),"")</f>
        <v/>
      </c>
      <c r="AY15" s="14" t="str">
        <f>IF(AND(ISNUMBER($I15),OR($K15="Milestone",$K15="Deadline"),$I15&gt;=AY$4,$I15&lt;AY$4+7),IF($K15="Deadline","◇","◆"),"")</f>
        <v/>
      </c>
      <c r="AZ15" s="14" t="str">
        <f>IF(AND(ISNUMBER($I15),OR($K15="Milestone",$K15="Deadline"),$I15&gt;=AZ$4,$I15&lt;AZ$4+7),IF($K15="Deadline","◇","◆"),"")</f>
        <v/>
      </c>
      <c r="BA15" s="14" t="str">
        <f>IF(AND(ISNUMBER($I15),OR($K15="Milestone",$K15="Deadline"),$I15&gt;=BA$4,$I15&lt;BA$4+7),IF($K15="Deadline","◇","◆"),"")</f>
        <v/>
      </c>
      <c r="BB15" s="14" t="str">
        <f>IF(AND(ISNUMBER($I15),OR($K15="Milestone",$K15="Deadline"),$I15&gt;=BB$4,$I15&lt;BB$4+7),IF($K15="Deadline","◇","◆"),"")</f>
        <v/>
      </c>
      <c r="BC15" s="14" t="str">
        <f>IF(AND(ISNUMBER($I15),OR($K15="Milestone",$K15="Deadline"),$I15&gt;=BC$4,$I15&lt;BC$4+7),IF($K15="Deadline","◇","◆"),"")</f>
        <v/>
      </c>
      <c r="BD15" s="14" t="str">
        <f>IF(AND(ISNUMBER($I15),OR($K15="Milestone",$K15="Deadline"),$I15&gt;=BD$4,$I15&lt;BD$4+7),IF($K15="Deadline","◇","◆"),"")</f>
        <v/>
      </c>
      <c r="BE15" s="14" t="str">
        <f>IF(AND(ISNUMBER($I15),OR($K15="Milestone",$K15="Deadline"),$I15&gt;=BE$4,$I15&lt;BE$4+7),IF($K15="Deadline","◇","◆"),"")</f>
        <v/>
      </c>
      <c r="BF15" s="14" t="str">
        <f>IF(AND(ISNUMBER($I15),OR($K15="Milestone",$K15="Deadline"),$I15&gt;=BF$4,$I15&lt;BF$4+7),IF($K15="Deadline","◇","◆"),"")</f>
        <v/>
      </c>
      <c r="BG15" s="14" t="str">
        <f>IF(AND(ISNUMBER($I15),OR($K15="Milestone",$K15="Deadline"),$I15&gt;=BG$4,$I15&lt;BG$4+7),IF($K15="Deadline","◇","◆"),"")</f>
        <v/>
      </c>
      <c r="BH15" s="14" t="str">
        <f>IF(AND(ISNUMBER($I15),OR($K15="Milestone",$K15="Deadline"),$I15&gt;=BH$4,$I15&lt;BH$4+7),IF($K15="Deadline","◇","◆"),"")</f>
        <v/>
      </c>
      <c r="BI15" s="14" t="str">
        <f>IF(AND(ISNUMBER($I15),OR($K15="Milestone",$K15="Deadline"),$I15&gt;=BI$4,$I15&lt;BI$4+7),IF($K15="Deadline","◇","◆"),"")</f>
        <v/>
      </c>
      <c r="BJ15" s="14" t="str">
        <f>IF(AND(ISNUMBER($I15),OR($K15="Milestone",$K15="Deadline"),$I15&gt;=BJ$4,$I15&lt;BJ$4+7),IF($K15="Deadline","◇","◆"),"")</f>
        <v/>
      </c>
      <c r="BK15" s="14" t="str">
        <f>IF(AND(ISNUMBER($I15),OR($K15="Milestone",$K15="Deadline"),$I15&gt;=BK$4,$I15&lt;BK$4+7),IF($K15="Deadline","◇","◆"),"")</f>
        <v/>
      </c>
      <c r="BL15" s="14" t="str">
        <f>IF(AND(ISNUMBER($I15),OR($K15="Milestone",$K15="Deadline"),$I15&gt;=BL$4,$I15&lt;BL$4+7),IF($K15="Deadline","◇","◆"),"")</f>
        <v/>
      </c>
      <c r="BM15" s="14" t="str">
        <f>IF(AND(ISNUMBER($I15),OR($K15="Milestone",$K15="Deadline"),$I15&gt;=BM$4,$I15&lt;BM$4+7),IF($K15="Deadline","◇","◆"),"")</f>
        <v/>
      </c>
      <c r="BN15" s="14" t="str">
        <f>IF(AND(ISNUMBER($I15),OR($K15="Milestone",$K15="Deadline"),$I15&gt;=BN$4,$I15&lt;BN$4+7),IF($K15="Deadline","◇","◆"),"")</f>
        <v/>
      </c>
      <c r="BO15" s="14" t="str">
        <f>IF(AND(ISNUMBER($I15),OR($K15="Milestone",$K15="Deadline"),$I15&gt;=BO$4,$I15&lt;BO$4+7),IF($K15="Deadline","◇","◆"),"")</f>
        <v/>
      </c>
      <c r="BP15" s="14" t="str">
        <f>IF(AND(ISNUMBER($I15),OR($K15="Milestone",$K15="Deadline"),$I15&gt;=BP$4,$I15&lt;BP$4+7),IF($K15="Deadline","◇","◆"),"")</f>
        <v/>
      </c>
      <c r="BQ15" s="14" t="str">
        <f>IF(AND(ISNUMBER($I15),OR($K15="Milestone",$K15="Deadline"),$I15&gt;=BQ$4,$I15&lt;BQ$4+7),IF($K15="Deadline","◇","◆"),"")</f>
        <v/>
      </c>
      <c r="BR15" s="14" t="str">
        <f>IF(AND(ISNUMBER($I15),OR($K15="Milestone",$K15="Deadline"),$I15&gt;=BR$4,$I15&lt;BR$4+7),IF($K15="Deadline","◇","◆"),"")</f>
        <v/>
      </c>
      <c r="BS15" s="14" t="str">
        <f>IF(AND(ISNUMBER($I15),OR($K15="Milestone",$K15="Deadline"),$I15&gt;=BS$4,$I15&lt;BS$4+7),IF($K15="Deadline","◇","◆"),"")</f>
        <v/>
      </c>
      <c r="BT15" s="14" t="str">
        <f>IF(AND(ISNUMBER($I15),OR($K15="Milestone",$K15="Deadline"),$I15&gt;=BT$4,$I15&lt;BT$4+7),IF($K15="Deadline","◇","◆"),"")</f>
        <v/>
      </c>
      <c r="BU15" s="14" t="str">
        <f>IF(AND(ISNUMBER($I15),OR($K15="Milestone",$K15="Deadline"),$I15&gt;=BU$4,$I15&lt;BU$4+7),IF($K15="Deadline","◇","◆"),"")</f>
        <v/>
      </c>
      <c r="BV15" s="14" t="str">
        <f>IF(AND(ISNUMBER($I15),OR($K15="Milestone",$K15="Deadline"),$I15&gt;=BV$4,$I15&lt;BV$4+7),IF($K15="Deadline","◇","◆"),"")</f>
        <v/>
      </c>
      <c r="BW15" s="14" t="str">
        <f>IF(AND(ISNUMBER($I15),OR($K15="Milestone",$K15="Deadline"),$I15&gt;=BW$4,$I15&lt;BW$4+7),IF($K15="Deadline","◇","◆"),"")</f>
        <v/>
      </c>
      <c r="BX15" s="14" t="str">
        <f>IF(AND(ISNUMBER($I15),OR($K15="Milestone",$K15="Deadline"),$I15&gt;=BX$4,$I15&lt;BX$4+7),IF($K15="Deadline","◇","◆"),"")</f>
        <v/>
      </c>
      <c r="BY15" s="14" t="str">
        <f>IF(AND(ISNUMBER($I15),OR($K15="Milestone",$K15="Deadline"),$I15&gt;=BY$4,$I15&lt;BY$4+7),IF($K15="Deadline","◇","◆"),"")</f>
        <v/>
      </c>
      <c r="BZ15" s="14" t="str">
        <f>IF(AND(ISNUMBER($I15),OR($K15="Milestone",$K15="Deadline"),$I15&gt;=BZ$4,$I15&lt;BZ$4+7),IF($K15="Deadline","◇","◆"),"")</f>
        <v/>
      </c>
      <c r="CA15" s="14" t="str">
        <f>IF(AND(ISNUMBER($I15),OR($K15="Milestone",$K15="Deadline"),$I15&gt;=CA$4,$I15&lt;CA$4+7),IF($K15="Deadline","◇","◆"),"")</f>
        <v/>
      </c>
      <c r="CB15" s="14" t="str">
        <f>IF(AND(ISNUMBER($I15),OR($K15="Milestone",$K15="Deadline"),$I15&gt;=CB$4,$I15&lt;CB$4+7),IF($K15="Deadline","◇","◆"),"")</f>
        <v/>
      </c>
      <c r="CC15" s="14" t="str">
        <f>IF(AND(ISNUMBER($I15),OR($K15="Milestone",$K15="Deadline"),$I15&gt;=CC$4,$I15&lt;CC$4+7),IF($K15="Deadline","◇","◆"),"")</f>
        <v/>
      </c>
      <c r="CD15" s="14" t="str">
        <f>IF(AND(ISNUMBER($I15),OR($K15="Milestone",$K15="Deadline"),$I15&gt;=CD$4,$I15&lt;CD$4+7),IF($K15="Deadline","◇","◆"),"")</f>
        <v/>
      </c>
      <c r="CE15" s="14" t="str">
        <f>IF(AND(ISNUMBER($I15),OR($K15="Milestone",$K15="Deadline"),$I15&gt;=CE$4,$I15&lt;CE$4+7),IF($K15="Deadline","◇","◆"),"")</f>
        <v/>
      </c>
      <c r="CF15" s="14" t="str">
        <f>IF(AND(ISNUMBER($I15),OR($K15="Milestone",$K15="Deadline"),$I15&gt;=CF$4,$I15&lt;CF$4+7),IF($K15="Deadline","◇","◆"),"")</f>
        <v/>
      </c>
      <c r="CG15" s="14" t="str">
        <f>IF(AND(ISNUMBER($I15),OR($K15="Milestone",$K15="Deadline"),$I15&gt;=CG$4,$I15&lt;CG$4+7),IF($K15="Deadline","◇","◆"),"")</f>
        <v/>
      </c>
      <c r="CH15" s="14" t="str">
        <f>IF(AND(ISNUMBER($I15),OR($K15="Milestone",$K15="Deadline"),$I15&gt;=CH$4,$I15&lt;CH$4+7),IF($K15="Deadline","◇","◆"),"")</f>
        <v/>
      </c>
      <c r="CI15" s="14" t="str">
        <f>IF(AND(ISNUMBER($I15),OR($K15="Milestone",$K15="Deadline"),$I15&gt;=CI$4,$I15&lt;CI$4+7),IF($K15="Deadline","◇","◆"),"")</f>
        <v/>
      </c>
      <c r="CJ15" s="14" t="str">
        <f>IF(AND(ISNUMBER($I15),OR($K15="Milestone",$K15="Deadline"),$I15&gt;=CJ$4,$I15&lt;CJ$4+7),IF($K15="Deadline","◇","◆"),"")</f>
        <v/>
      </c>
      <c r="CK15" s="14" t="str">
        <f>IF(AND(ISNUMBER($I15),OR($K15="Milestone",$K15="Deadline"),$I15&gt;=CK$4,$I15&lt;CK$4+7),IF($K15="Deadline","◇","◆"),"")</f>
        <v/>
      </c>
      <c r="CL15" s="14" t="str">
        <f>IF(AND(ISNUMBER($I15),OR($K15="Milestone",$K15="Deadline"),$I15&gt;=CL$4,$I15&lt;CL$4+7),IF($K15="Deadline","◇","◆"),"")</f>
        <v/>
      </c>
      <c r="CM15" s="14" t="str">
        <f>IF(AND(ISNUMBER($I15),OR($K15="Milestone",$K15="Deadline"),$I15&gt;=CM$4,$I15&lt;CM$4+7),IF($K15="Deadline","◇","◆"),"")</f>
        <v/>
      </c>
    </row>
    <row r="16" spans="1:91" ht="15" hidden="1" customHeight="1">
      <c r="A16" s="9" t="s">
        <v>95</v>
      </c>
      <c r="B16" s="9" t="s">
        <v>74</v>
      </c>
      <c r="C16" s="9" t="s">
        <v>93</v>
      </c>
      <c r="D16" s="9"/>
      <c r="E16" s="9"/>
      <c r="F16" s="9"/>
      <c r="G16" s="9" t="s">
        <v>96</v>
      </c>
      <c r="H16" s="9"/>
      <c r="I16" s="10">
        <v>46327</v>
      </c>
      <c r="J16" s="11">
        <f>I16</f>
        <v>46327</v>
      </c>
      <c r="K16" s="9" t="s">
        <v>68</v>
      </c>
      <c r="L16" s="9"/>
      <c r="M16" s="12"/>
      <c r="N16" s="9"/>
      <c r="O16" s="12">
        <f>IF(AND(ISNUMBER(I16),ISNUMBER(J16)),J16-I16+1,"")</f>
        <v>1</v>
      </c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4" t="str">
        <f>IF(AND(ISNUMBER($I16),OR($K16="Milestone",$K16="Deadline"),$I16&gt;=AO$4,$I16&lt;AO$4+7),IF($K16="Deadline","◇","◆"),"")</f>
        <v/>
      </c>
      <c r="AP16" s="14" t="str">
        <f>IF(AND(ISNUMBER($I16),OR($K16="Milestone",$K16="Deadline"),$I16&gt;=AP$4,$I16&lt;AP$4+7),IF($K16="Deadline","◇","◆"),"")</f>
        <v/>
      </c>
      <c r="AQ16" s="14" t="str">
        <f>IF(AND(ISNUMBER($I16),OR($K16="Milestone",$K16="Deadline"),$I16&gt;=AQ$4,$I16&lt;AQ$4+7),IF($K16="Deadline","◇","◆"),"")</f>
        <v>◆</v>
      </c>
      <c r="AR16" s="14" t="str">
        <f>IF(AND(ISNUMBER($I16),OR($K16="Milestone",$K16="Deadline"),$I16&gt;=AR$4,$I16&lt;AR$4+7),IF($K16="Deadline","◇","◆"),"")</f>
        <v/>
      </c>
      <c r="AS16" s="14" t="str">
        <f>IF(AND(ISNUMBER($I16),OR($K16="Milestone",$K16="Deadline"),$I16&gt;=AS$4,$I16&lt;AS$4+7),IF($K16="Deadline","◇","◆"),"")</f>
        <v/>
      </c>
      <c r="AT16" s="14" t="str">
        <f>IF(AND(ISNUMBER($I16),OR($K16="Milestone",$K16="Deadline"),$I16&gt;=AT$4,$I16&lt;AT$4+7),IF($K16="Deadline","◇","◆"),"")</f>
        <v/>
      </c>
      <c r="AU16" s="14" t="str">
        <f>IF(AND(ISNUMBER($I16),OR($K16="Milestone",$K16="Deadline"),$I16&gt;=AU$4,$I16&lt;AU$4+7),IF($K16="Deadline","◇","◆"),"")</f>
        <v/>
      </c>
      <c r="AV16" s="14" t="str">
        <f>IF(AND(ISNUMBER($I16),OR($K16="Milestone",$K16="Deadline"),$I16&gt;=AV$4,$I16&lt;AV$4+7),IF($K16="Deadline","◇","◆"),"")</f>
        <v/>
      </c>
      <c r="AW16" s="14" t="str">
        <f>IF(AND(ISNUMBER($I16),OR($K16="Milestone",$K16="Deadline"),$I16&gt;=AW$4,$I16&lt;AW$4+7),IF($K16="Deadline","◇","◆"),"")</f>
        <v/>
      </c>
      <c r="AX16" s="14" t="str">
        <f>IF(AND(ISNUMBER($I16),OR($K16="Milestone",$K16="Deadline"),$I16&gt;=AX$4,$I16&lt;AX$4+7),IF($K16="Deadline","◇","◆"),"")</f>
        <v/>
      </c>
      <c r="AY16" s="14" t="str">
        <f>IF(AND(ISNUMBER($I16),OR($K16="Milestone",$K16="Deadline"),$I16&gt;=AY$4,$I16&lt;AY$4+7),IF($K16="Deadline","◇","◆"),"")</f>
        <v/>
      </c>
      <c r="AZ16" s="14" t="str">
        <f>IF(AND(ISNUMBER($I16),OR($K16="Milestone",$K16="Deadline"),$I16&gt;=AZ$4,$I16&lt;AZ$4+7),IF($K16="Deadline","◇","◆"),"")</f>
        <v/>
      </c>
      <c r="BA16" s="14" t="str">
        <f>IF(AND(ISNUMBER($I16),OR($K16="Milestone",$K16="Deadline"),$I16&gt;=BA$4,$I16&lt;BA$4+7),IF($K16="Deadline","◇","◆"),"")</f>
        <v/>
      </c>
      <c r="BB16" s="14" t="str">
        <f>IF(AND(ISNUMBER($I16),OR($K16="Milestone",$K16="Deadline"),$I16&gt;=BB$4,$I16&lt;BB$4+7),IF($K16="Deadline","◇","◆"),"")</f>
        <v/>
      </c>
      <c r="BC16" s="14" t="str">
        <f>IF(AND(ISNUMBER($I16),OR($K16="Milestone",$K16="Deadline"),$I16&gt;=BC$4,$I16&lt;BC$4+7),IF($K16="Deadline","◇","◆"),"")</f>
        <v/>
      </c>
      <c r="BD16" s="14" t="str">
        <f>IF(AND(ISNUMBER($I16),OR($K16="Milestone",$K16="Deadline"),$I16&gt;=BD$4,$I16&lt;BD$4+7),IF($K16="Deadline","◇","◆"),"")</f>
        <v/>
      </c>
      <c r="BE16" s="14" t="str">
        <f>IF(AND(ISNUMBER($I16),OR($K16="Milestone",$K16="Deadline"),$I16&gt;=BE$4,$I16&lt;BE$4+7),IF($K16="Deadline","◇","◆"),"")</f>
        <v/>
      </c>
      <c r="BF16" s="14" t="str">
        <f>IF(AND(ISNUMBER($I16),OR($K16="Milestone",$K16="Deadline"),$I16&gt;=BF$4,$I16&lt;BF$4+7),IF($K16="Deadline","◇","◆"),"")</f>
        <v/>
      </c>
      <c r="BG16" s="14" t="str">
        <f>IF(AND(ISNUMBER($I16),OR($K16="Milestone",$K16="Deadline"),$I16&gt;=BG$4,$I16&lt;BG$4+7),IF($K16="Deadline","◇","◆"),"")</f>
        <v/>
      </c>
      <c r="BH16" s="14" t="str">
        <f>IF(AND(ISNUMBER($I16),OR($K16="Milestone",$K16="Deadline"),$I16&gt;=BH$4,$I16&lt;BH$4+7),IF($K16="Deadline","◇","◆"),"")</f>
        <v/>
      </c>
      <c r="BI16" s="14" t="str">
        <f>IF(AND(ISNUMBER($I16),OR($K16="Milestone",$K16="Deadline"),$I16&gt;=BI$4,$I16&lt;BI$4+7),IF($K16="Deadline","◇","◆"),"")</f>
        <v/>
      </c>
      <c r="BJ16" s="14" t="str">
        <f>IF(AND(ISNUMBER($I16),OR($K16="Milestone",$K16="Deadline"),$I16&gt;=BJ$4,$I16&lt;BJ$4+7),IF($K16="Deadline","◇","◆"),"")</f>
        <v/>
      </c>
      <c r="BK16" s="14" t="str">
        <f>IF(AND(ISNUMBER($I16),OR($K16="Milestone",$K16="Deadline"),$I16&gt;=BK$4,$I16&lt;BK$4+7),IF($K16="Deadline","◇","◆"),"")</f>
        <v/>
      </c>
      <c r="BL16" s="14" t="str">
        <f>IF(AND(ISNUMBER($I16),OR($K16="Milestone",$K16="Deadline"),$I16&gt;=BL$4,$I16&lt;BL$4+7),IF($K16="Deadline","◇","◆"),"")</f>
        <v/>
      </c>
      <c r="BM16" s="14" t="str">
        <f>IF(AND(ISNUMBER($I16),OR($K16="Milestone",$K16="Deadline"),$I16&gt;=BM$4,$I16&lt;BM$4+7),IF($K16="Deadline","◇","◆"),"")</f>
        <v/>
      </c>
      <c r="BN16" s="14" t="str">
        <f>IF(AND(ISNUMBER($I16),OR($K16="Milestone",$K16="Deadline"),$I16&gt;=BN$4,$I16&lt;BN$4+7),IF($K16="Deadline","◇","◆"),"")</f>
        <v/>
      </c>
      <c r="BO16" s="14" t="str">
        <f>IF(AND(ISNUMBER($I16),OR($K16="Milestone",$K16="Deadline"),$I16&gt;=BO$4,$I16&lt;BO$4+7),IF($K16="Deadline","◇","◆"),"")</f>
        <v/>
      </c>
      <c r="BP16" s="14" t="str">
        <f>IF(AND(ISNUMBER($I16),OR($K16="Milestone",$K16="Deadline"),$I16&gt;=BP$4,$I16&lt;BP$4+7),IF($K16="Deadline","◇","◆"),"")</f>
        <v/>
      </c>
      <c r="BQ16" s="14" t="str">
        <f>IF(AND(ISNUMBER($I16),OR($K16="Milestone",$K16="Deadline"),$I16&gt;=BQ$4,$I16&lt;BQ$4+7),IF($K16="Deadline","◇","◆"),"")</f>
        <v/>
      </c>
      <c r="BR16" s="14" t="str">
        <f>IF(AND(ISNUMBER($I16),OR($K16="Milestone",$K16="Deadline"),$I16&gt;=BR$4,$I16&lt;BR$4+7),IF($K16="Deadline","◇","◆"),"")</f>
        <v/>
      </c>
      <c r="BS16" s="14" t="str">
        <f>IF(AND(ISNUMBER($I16),OR($K16="Milestone",$K16="Deadline"),$I16&gt;=BS$4,$I16&lt;BS$4+7),IF($K16="Deadline","◇","◆"),"")</f>
        <v/>
      </c>
      <c r="BT16" s="14" t="str">
        <f>IF(AND(ISNUMBER($I16),OR($K16="Milestone",$K16="Deadline"),$I16&gt;=BT$4,$I16&lt;BT$4+7),IF($K16="Deadline","◇","◆"),"")</f>
        <v/>
      </c>
      <c r="BU16" s="14" t="str">
        <f>IF(AND(ISNUMBER($I16),OR($K16="Milestone",$K16="Deadline"),$I16&gt;=BU$4,$I16&lt;BU$4+7),IF($K16="Deadline","◇","◆"),"")</f>
        <v/>
      </c>
      <c r="BV16" s="14" t="str">
        <f>IF(AND(ISNUMBER($I16),OR($K16="Milestone",$K16="Deadline"),$I16&gt;=BV$4,$I16&lt;BV$4+7),IF($K16="Deadline","◇","◆"),"")</f>
        <v/>
      </c>
      <c r="BW16" s="14" t="str">
        <f>IF(AND(ISNUMBER($I16),OR($K16="Milestone",$K16="Deadline"),$I16&gt;=BW$4,$I16&lt;BW$4+7),IF($K16="Deadline","◇","◆"),"")</f>
        <v/>
      </c>
      <c r="BX16" s="14" t="str">
        <f>IF(AND(ISNUMBER($I16),OR($K16="Milestone",$K16="Deadline"),$I16&gt;=BX$4,$I16&lt;BX$4+7),IF($K16="Deadline","◇","◆"),"")</f>
        <v/>
      </c>
      <c r="BY16" s="14" t="str">
        <f>IF(AND(ISNUMBER($I16),OR($K16="Milestone",$K16="Deadline"),$I16&gt;=BY$4,$I16&lt;BY$4+7),IF($K16="Deadline","◇","◆"),"")</f>
        <v/>
      </c>
      <c r="BZ16" s="14" t="str">
        <f>IF(AND(ISNUMBER($I16),OR($K16="Milestone",$K16="Deadline"),$I16&gt;=BZ$4,$I16&lt;BZ$4+7),IF($K16="Deadline","◇","◆"),"")</f>
        <v/>
      </c>
      <c r="CA16" s="14" t="str">
        <f>IF(AND(ISNUMBER($I16),OR($K16="Milestone",$K16="Deadline"),$I16&gt;=CA$4,$I16&lt;CA$4+7),IF($K16="Deadline","◇","◆"),"")</f>
        <v/>
      </c>
      <c r="CB16" s="14" t="str">
        <f>IF(AND(ISNUMBER($I16),OR($K16="Milestone",$K16="Deadline"),$I16&gt;=CB$4,$I16&lt;CB$4+7),IF($K16="Deadline","◇","◆"),"")</f>
        <v/>
      </c>
      <c r="CC16" s="14" t="str">
        <f>IF(AND(ISNUMBER($I16),OR($K16="Milestone",$K16="Deadline"),$I16&gt;=CC$4,$I16&lt;CC$4+7),IF($K16="Deadline","◇","◆"),"")</f>
        <v/>
      </c>
      <c r="CD16" s="14" t="str">
        <f>IF(AND(ISNUMBER($I16),OR($K16="Milestone",$K16="Deadline"),$I16&gt;=CD$4,$I16&lt;CD$4+7),IF($K16="Deadline","◇","◆"),"")</f>
        <v/>
      </c>
      <c r="CE16" s="14" t="str">
        <f>IF(AND(ISNUMBER($I16),OR($K16="Milestone",$K16="Deadline"),$I16&gt;=CE$4,$I16&lt;CE$4+7),IF($K16="Deadline","◇","◆"),"")</f>
        <v/>
      </c>
      <c r="CF16" s="14" t="str">
        <f>IF(AND(ISNUMBER($I16),OR($K16="Milestone",$K16="Deadline"),$I16&gt;=CF$4,$I16&lt;CF$4+7),IF($K16="Deadline","◇","◆"),"")</f>
        <v/>
      </c>
      <c r="CG16" s="14" t="str">
        <f>IF(AND(ISNUMBER($I16),OR($K16="Milestone",$K16="Deadline"),$I16&gt;=CG$4,$I16&lt;CG$4+7),IF($K16="Deadline","◇","◆"),"")</f>
        <v/>
      </c>
      <c r="CH16" s="14" t="str">
        <f>IF(AND(ISNUMBER($I16),OR($K16="Milestone",$K16="Deadline"),$I16&gt;=CH$4,$I16&lt;CH$4+7),IF($K16="Deadline","◇","◆"),"")</f>
        <v/>
      </c>
      <c r="CI16" s="14" t="str">
        <f>IF(AND(ISNUMBER($I16),OR($K16="Milestone",$K16="Deadline"),$I16&gt;=CI$4,$I16&lt;CI$4+7),IF($K16="Deadline","◇","◆"),"")</f>
        <v/>
      </c>
      <c r="CJ16" s="14" t="str">
        <f>IF(AND(ISNUMBER($I16),OR($K16="Milestone",$K16="Deadline"),$I16&gt;=CJ$4,$I16&lt;CJ$4+7),IF($K16="Deadline","◇","◆"),"")</f>
        <v/>
      </c>
      <c r="CK16" s="14" t="str">
        <f>IF(AND(ISNUMBER($I16),OR($K16="Milestone",$K16="Deadline"),$I16&gt;=CK$4,$I16&lt;CK$4+7),IF($K16="Deadline","◇","◆"),"")</f>
        <v/>
      </c>
      <c r="CL16" s="14" t="str">
        <f>IF(AND(ISNUMBER($I16),OR($K16="Milestone",$K16="Deadline"),$I16&gt;=CL$4,$I16&lt;CL$4+7),IF($K16="Deadline","◇","◆"),"")</f>
        <v/>
      </c>
      <c r="CM16" s="14" t="str">
        <f>IF(AND(ISNUMBER($I16),OR($K16="Milestone",$K16="Deadline"),$I16&gt;=CM$4,$I16&lt;CM$4+7),IF($K16="Deadline","◇","◆"),"")</f>
        <v/>
      </c>
    </row>
    <row r="17" spans="1:91" ht="15" hidden="1" customHeight="1">
      <c r="A17" s="9" t="s">
        <v>97</v>
      </c>
      <c r="B17" s="9" t="s">
        <v>74</v>
      </c>
      <c r="C17" s="9" t="s">
        <v>93</v>
      </c>
      <c r="D17" s="9"/>
      <c r="E17" s="9"/>
      <c r="F17" s="9"/>
      <c r="G17" s="9" t="s">
        <v>98</v>
      </c>
      <c r="H17" s="9"/>
      <c r="I17" s="10">
        <v>46327</v>
      </c>
      <c r="J17" s="11">
        <f>I17</f>
        <v>46327</v>
      </c>
      <c r="K17" s="9" t="s">
        <v>68</v>
      </c>
      <c r="L17" s="9"/>
      <c r="M17" s="12"/>
      <c r="N17" s="9"/>
      <c r="O17" s="12">
        <f>IF(AND(ISNUMBER(I17),ISNUMBER(J17)),J17-I17+1,"")</f>
        <v>1</v>
      </c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4" t="str">
        <f>IF(AND(ISNUMBER($I17),OR($K17="Milestone",$K17="Deadline"),$I17&gt;=AO$4,$I17&lt;AO$4+7),IF($K17="Deadline","◇","◆"),"")</f>
        <v/>
      </c>
      <c r="AP17" s="14" t="str">
        <f>IF(AND(ISNUMBER($I17),OR($K17="Milestone",$K17="Deadline"),$I17&gt;=AP$4,$I17&lt;AP$4+7),IF($K17="Deadline","◇","◆"),"")</f>
        <v/>
      </c>
      <c r="AQ17" s="14" t="str">
        <f>IF(AND(ISNUMBER($I17),OR($K17="Milestone",$K17="Deadline"),$I17&gt;=AQ$4,$I17&lt;AQ$4+7),IF($K17="Deadline","◇","◆"),"")</f>
        <v>◆</v>
      </c>
      <c r="AR17" s="14" t="str">
        <f>IF(AND(ISNUMBER($I17),OR($K17="Milestone",$K17="Deadline"),$I17&gt;=AR$4,$I17&lt;AR$4+7),IF($K17="Deadline","◇","◆"),"")</f>
        <v/>
      </c>
      <c r="AS17" s="14" t="str">
        <f>IF(AND(ISNUMBER($I17),OR($K17="Milestone",$K17="Deadline"),$I17&gt;=AS$4,$I17&lt;AS$4+7),IF($K17="Deadline","◇","◆"),"")</f>
        <v/>
      </c>
      <c r="AT17" s="14" t="str">
        <f>IF(AND(ISNUMBER($I17),OR($K17="Milestone",$K17="Deadline"),$I17&gt;=AT$4,$I17&lt;AT$4+7),IF($K17="Deadline","◇","◆"),"")</f>
        <v/>
      </c>
      <c r="AU17" s="14" t="str">
        <f>IF(AND(ISNUMBER($I17),OR($K17="Milestone",$K17="Deadline"),$I17&gt;=AU$4,$I17&lt;AU$4+7),IF($K17="Deadline","◇","◆"),"")</f>
        <v/>
      </c>
      <c r="AV17" s="14" t="str">
        <f>IF(AND(ISNUMBER($I17),OR($K17="Milestone",$K17="Deadline"),$I17&gt;=AV$4,$I17&lt;AV$4+7),IF($K17="Deadline","◇","◆"),"")</f>
        <v/>
      </c>
      <c r="AW17" s="14" t="str">
        <f>IF(AND(ISNUMBER($I17),OR($K17="Milestone",$K17="Deadline"),$I17&gt;=AW$4,$I17&lt;AW$4+7),IF($K17="Deadline","◇","◆"),"")</f>
        <v/>
      </c>
      <c r="AX17" s="14" t="str">
        <f>IF(AND(ISNUMBER($I17),OR($K17="Milestone",$K17="Deadline"),$I17&gt;=AX$4,$I17&lt;AX$4+7),IF($K17="Deadline","◇","◆"),"")</f>
        <v/>
      </c>
      <c r="AY17" s="14" t="str">
        <f>IF(AND(ISNUMBER($I17),OR($K17="Milestone",$K17="Deadline"),$I17&gt;=AY$4,$I17&lt;AY$4+7),IF($K17="Deadline","◇","◆"),"")</f>
        <v/>
      </c>
      <c r="AZ17" s="14" t="str">
        <f>IF(AND(ISNUMBER($I17),OR($K17="Milestone",$K17="Deadline"),$I17&gt;=AZ$4,$I17&lt;AZ$4+7),IF($K17="Deadline","◇","◆"),"")</f>
        <v/>
      </c>
      <c r="BA17" s="14" t="str">
        <f>IF(AND(ISNUMBER($I17),OR($K17="Milestone",$K17="Deadline"),$I17&gt;=BA$4,$I17&lt;BA$4+7),IF($K17="Deadline","◇","◆"),"")</f>
        <v/>
      </c>
      <c r="BB17" s="14" t="str">
        <f>IF(AND(ISNUMBER($I17),OR($K17="Milestone",$K17="Deadline"),$I17&gt;=BB$4,$I17&lt;BB$4+7),IF($K17="Deadline","◇","◆"),"")</f>
        <v/>
      </c>
      <c r="BC17" s="14" t="str">
        <f>IF(AND(ISNUMBER($I17),OR($K17="Milestone",$K17="Deadline"),$I17&gt;=BC$4,$I17&lt;BC$4+7),IF($K17="Deadline","◇","◆"),"")</f>
        <v/>
      </c>
      <c r="BD17" s="14" t="str">
        <f>IF(AND(ISNUMBER($I17),OR($K17="Milestone",$K17="Deadline"),$I17&gt;=BD$4,$I17&lt;BD$4+7),IF($K17="Deadline","◇","◆"),"")</f>
        <v/>
      </c>
      <c r="BE17" s="14" t="str">
        <f>IF(AND(ISNUMBER($I17),OR($K17="Milestone",$K17="Deadline"),$I17&gt;=BE$4,$I17&lt;BE$4+7),IF($K17="Deadline","◇","◆"),"")</f>
        <v/>
      </c>
      <c r="BF17" s="14" t="str">
        <f>IF(AND(ISNUMBER($I17),OR($K17="Milestone",$K17="Deadline"),$I17&gt;=BF$4,$I17&lt;BF$4+7),IF($K17="Deadline","◇","◆"),"")</f>
        <v/>
      </c>
      <c r="BG17" s="14" t="str">
        <f>IF(AND(ISNUMBER($I17),OR($K17="Milestone",$K17="Deadline"),$I17&gt;=BG$4,$I17&lt;BG$4+7),IF($K17="Deadline","◇","◆"),"")</f>
        <v/>
      </c>
      <c r="BH17" s="14" t="str">
        <f>IF(AND(ISNUMBER($I17),OR($K17="Milestone",$K17="Deadline"),$I17&gt;=BH$4,$I17&lt;BH$4+7),IF($K17="Deadline","◇","◆"),"")</f>
        <v/>
      </c>
      <c r="BI17" s="14" t="str">
        <f>IF(AND(ISNUMBER($I17),OR($K17="Milestone",$K17="Deadline"),$I17&gt;=BI$4,$I17&lt;BI$4+7),IF($K17="Deadline","◇","◆"),"")</f>
        <v/>
      </c>
      <c r="BJ17" s="14" t="str">
        <f>IF(AND(ISNUMBER($I17),OR($K17="Milestone",$K17="Deadline"),$I17&gt;=BJ$4,$I17&lt;BJ$4+7),IF($K17="Deadline","◇","◆"),"")</f>
        <v/>
      </c>
      <c r="BK17" s="14" t="str">
        <f>IF(AND(ISNUMBER($I17),OR($K17="Milestone",$K17="Deadline"),$I17&gt;=BK$4,$I17&lt;BK$4+7),IF($K17="Deadline","◇","◆"),"")</f>
        <v/>
      </c>
      <c r="BL17" s="14" t="str">
        <f>IF(AND(ISNUMBER($I17),OR($K17="Milestone",$K17="Deadline"),$I17&gt;=BL$4,$I17&lt;BL$4+7),IF($K17="Deadline","◇","◆"),"")</f>
        <v/>
      </c>
      <c r="BM17" s="14" t="str">
        <f>IF(AND(ISNUMBER($I17),OR($K17="Milestone",$K17="Deadline"),$I17&gt;=BM$4,$I17&lt;BM$4+7),IF($K17="Deadline","◇","◆"),"")</f>
        <v/>
      </c>
      <c r="BN17" s="14" t="str">
        <f>IF(AND(ISNUMBER($I17),OR($K17="Milestone",$K17="Deadline"),$I17&gt;=BN$4,$I17&lt;BN$4+7),IF($K17="Deadline","◇","◆"),"")</f>
        <v/>
      </c>
      <c r="BO17" s="14" t="str">
        <f>IF(AND(ISNUMBER($I17),OR($K17="Milestone",$K17="Deadline"),$I17&gt;=BO$4,$I17&lt;BO$4+7),IF($K17="Deadline","◇","◆"),"")</f>
        <v/>
      </c>
      <c r="BP17" s="14" t="str">
        <f>IF(AND(ISNUMBER($I17),OR($K17="Milestone",$K17="Deadline"),$I17&gt;=BP$4,$I17&lt;BP$4+7),IF($K17="Deadline","◇","◆"),"")</f>
        <v/>
      </c>
      <c r="BQ17" s="14" t="str">
        <f>IF(AND(ISNUMBER($I17),OR($K17="Milestone",$K17="Deadline"),$I17&gt;=BQ$4,$I17&lt;BQ$4+7),IF($K17="Deadline","◇","◆"),"")</f>
        <v/>
      </c>
      <c r="BR17" s="14" t="str">
        <f>IF(AND(ISNUMBER($I17),OR($K17="Milestone",$K17="Deadline"),$I17&gt;=BR$4,$I17&lt;BR$4+7),IF($K17="Deadline","◇","◆"),"")</f>
        <v/>
      </c>
      <c r="BS17" s="14" t="str">
        <f>IF(AND(ISNUMBER($I17),OR($K17="Milestone",$K17="Deadline"),$I17&gt;=BS$4,$I17&lt;BS$4+7),IF($K17="Deadline","◇","◆"),"")</f>
        <v/>
      </c>
      <c r="BT17" s="14" t="str">
        <f>IF(AND(ISNUMBER($I17),OR($K17="Milestone",$K17="Deadline"),$I17&gt;=BT$4,$I17&lt;BT$4+7),IF($K17="Deadline","◇","◆"),"")</f>
        <v/>
      </c>
      <c r="BU17" s="14" t="str">
        <f>IF(AND(ISNUMBER($I17),OR($K17="Milestone",$K17="Deadline"),$I17&gt;=BU$4,$I17&lt;BU$4+7),IF($K17="Deadline","◇","◆"),"")</f>
        <v/>
      </c>
      <c r="BV17" s="14" t="str">
        <f>IF(AND(ISNUMBER($I17),OR($K17="Milestone",$K17="Deadline"),$I17&gt;=BV$4,$I17&lt;BV$4+7),IF($K17="Deadline","◇","◆"),"")</f>
        <v/>
      </c>
      <c r="BW17" s="14" t="str">
        <f>IF(AND(ISNUMBER($I17),OR($K17="Milestone",$K17="Deadline"),$I17&gt;=BW$4,$I17&lt;BW$4+7),IF($K17="Deadline","◇","◆"),"")</f>
        <v/>
      </c>
      <c r="BX17" s="14" t="str">
        <f>IF(AND(ISNUMBER($I17),OR($K17="Milestone",$K17="Deadline"),$I17&gt;=BX$4,$I17&lt;BX$4+7),IF($K17="Deadline","◇","◆"),"")</f>
        <v/>
      </c>
      <c r="BY17" s="14" t="str">
        <f>IF(AND(ISNUMBER($I17),OR($K17="Milestone",$K17="Deadline"),$I17&gt;=BY$4,$I17&lt;BY$4+7),IF($K17="Deadline","◇","◆"),"")</f>
        <v/>
      </c>
      <c r="BZ17" s="14" t="str">
        <f>IF(AND(ISNUMBER($I17),OR($K17="Milestone",$K17="Deadline"),$I17&gt;=BZ$4,$I17&lt;BZ$4+7),IF($K17="Deadline","◇","◆"),"")</f>
        <v/>
      </c>
      <c r="CA17" s="14" t="str">
        <f>IF(AND(ISNUMBER($I17),OR($K17="Milestone",$K17="Deadline"),$I17&gt;=CA$4,$I17&lt;CA$4+7),IF($K17="Deadline","◇","◆"),"")</f>
        <v/>
      </c>
      <c r="CB17" s="14" t="str">
        <f>IF(AND(ISNUMBER($I17),OR($K17="Milestone",$K17="Deadline"),$I17&gt;=CB$4,$I17&lt;CB$4+7),IF($K17="Deadline","◇","◆"),"")</f>
        <v/>
      </c>
      <c r="CC17" s="14" t="str">
        <f>IF(AND(ISNUMBER($I17),OR($K17="Milestone",$K17="Deadline"),$I17&gt;=CC$4,$I17&lt;CC$4+7),IF($K17="Deadline","◇","◆"),"")</f>
        <v/>
      </c>
      <c r="CD17" s="14" t="str">
        <f>IF(AND(ISNUMBER($I17),OR($K17="Milestone",$K17="Deadline"),$I17&gt;=CD$4,$I17&lt;CD$4+7),IF($K17="Deadline","◇","◆"),"")</f>
        <v/>
      </c>
      <c r="CE17" s="14" t="str">
        <f>IF(AND(ISNUMBER($I17),OR($K17="Milestone",$K17="Deadline"),$I17&gt;=CE$4,$I17&lt;CE$4+7),IF($K17="Deadline","◇","◆"),"")</f>
        <v/>
      </c>
      <c r="CF17" s="14" t="str">
        <f>IF(AND(ISNUMBER($I17),OR($K17="Milestone",$K17="Deadline"),$I17&gt;=CF$4,$I17&lt;CF$4+7),IF($K17="Deadline","◇","◆"),"")</f>
        <v/>
      </c>
      <c r="CG17" s="14" t="str">
        <f>IF(AND(ISNUMBER($I17),OR($K17="Milestone",$K17="Deadline"),$I17&gt;=CG$4,$I17&lt;CG$4+7),IF($K17="Deadline","◇","◆"),"")</f>
        <v/>
      </c>
      <c r="CH17" s="14" t="str">
        <f>IF(AND(ISNUMBER($I17),OR($K17="Milestone",$K17="Deadline"),$I17&gt;=CH$4,$I17&lt;CH$4+7),IF($K17="Deadline","◇","◆"),"")</f>
        <v/>
      </c>
      <c r="CI17" s="14" t="str">
        <f>IF(AND(ISNUMBER($I17),OR($K17="Milestone",$K17="Deadline"),$I17&gt;=CI$4,$I17&lt;CI$4+7),IF($K17="Deadline","◇","◆"),"")</f>
        <v/>
      </c>
      <c r="CJ17" s="14" t="str">
        <f>IF(AND(ISNUMBER($I17),OR($K17="Milestone",$K17="Deadline"),$I17&gt;=CJ$4,$I17&lt;CJ$4+7),IF($K17="Deadline","◇","◆"),"")</f>
        <v/>
      </c>
      <c r="CK17" s="14" t="str">
        <f>IF(AND(ISNUMBER($I17),OR($K17="Milestone",$K17="Deadline"),$I17&gt;=CK$4,$I17&lt;CK$4+7),IF($K17="Deadline","◇","◆"),"")</f>
        <v/>
      </c>
      <c r="CL17" s="14" t="str">
        <f>IF(AND(ISNUMBER($I17),OR($K17="Milestone",$K17="Deadline"),$I17&gt;=CL$4,$I17&lt;CL$4+7),IF($K17="Deadline","◇","◆"),"")</f>
        <v/>
      </c>
      <c r="CM17" s="14" t="str">
        <f>IF(AND(ISNUMBER($I17),OR($K17="Milestone",$K17="Deadline"),$I17&gt;=CM$4,$I17&lt;CM$4+7),IF($K17="Deadline","◇","◆"),"")</f>
        <v/>
      </c>
    </row>
    <row r="18" spans="1:91" ht="15" hidden="1" customHeight="1">
      <c r="A18" s="9" t="s">
        <v>99</v>
      </c>
      <c r="B18" s="9" t="s">
        <v>74</v>
      </c>
      <c r="C18" s="9" t="s">
        <v>93</v>
      </c>
      <c r="D18" s="9"/>
      <c r="E18" s="9"/>
      <c r="F18" s="9"/>
      <c r="G18" s="9" t="s">
        <v>100</v>
      </c>
      <c r="H18" s="9"/>
      <c r="I18" s="10">
        <v>46327</v>
      </c>
      <c r="J18" s="11">
        <f>I18</f>
        <v>46327</v>
      </c>
      <c r="K18" s="9" t="s">
        <v>68</v>
      </c>
      <c r="L18" s="9"/>
      <c r="M18" s="12"/>
      <c r="N18" s="9"/>
      <c r="O18" s="12">
        <f>IF(AND(ISNUMBER(I18),ISNUMBER(J18)),J18-I18+1,"")</f>
        <v>1</v>
      </c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4" t="str">
        <f>IF(AND(ISNUMBER($I18),OR($K18="Milestone",$K18="Deadline"),$I18&gt;=AO$4,$I18&lt;AO$4+7),IF($K18="Deadline","◇","◆"),"")</f>
        <v/>
      </c>
      <c r="AP18" s="14" t="str">
        <f>IF(AND(ISNUMBER($I18),OR($K18="Milestone",$K18="Deadline"),$I18&gt;=AP$4,$I18&lt;AP$4+7),IF($K18="Deadline","◇","◆"),"")</f>
        <v/>
      </c>
      <c r="AQ18" s="14" t="str">
        <f>IF(AND(ISNUMBER($I18),OR($K18="Milestone",$K18="Deadline"),$I18&gt;=AQ$4,$I18&lt;AQ$4+7),IF($K18="Deadline","◇","◆"),"")</f>
        <v>◆</v>
      </c>
      <c r="AR18" s="14" t="str">
        <f>IF(AND(ISNUMBER($I18),OR($K18="Milestone",$K18="Deadline"),$I18&gt;=AR$4,$I18&lt;AR$4+7),IF($K18="Deadline","◇","◆"),"")</f>
        <v/>
      </c>
      <c r="AS18" s="14" t="str">
        <f>IF(AND(ISNUMBER($I18),OR($K18="Milestone",$K18="Deadline"),$I18&gt;=AS$4,$I18&lt;AS$4+7),IF($K18="Deadline","◇","◆"),"")</f>
        <v/>
      </c>
      <c r="AT18" s="14" t="str">
        <f>IF(AND(ISNUMBER($I18),OR($K18="Milestone",$K18="Deadline"),$I18&gt;=AT$4,$I18&lt;AT$4+7),IF($K18="Deadline","◇","◆"),"")</f>
        <v/>
      </c>
      <c r="AU18" s="14" t="str">
        <f>IF(AND(ISNUMBER($I18),OR($K18="Milestone",$K18="Deadline"),$I18&gt;=AU$4,$I18&lt;AU$4+7),IF($K18="Deadline","◇","◆"),"")</f>
        <v/>
      </c>
      <c r="AV18" s="14" t="str">
        <f>IF(AND(ISNUMBER($I18),OR($K18="Milestone",$K18="Deadline"),$I18&gt;=AV$4,$I18&lt;AV$4+7),IF($K18="Deadline","◇","◆"),"")</f>
        <v/>
      </c>
      <c r="AW18" s="14" t="str">
        <f>IF(AND(ISNUMBER($I18),OR($K18="Milestone",$K18="Deadline"),$I18&gt;=AW$4,$I18&lt;AW$4+7),IF($K18="Deadline","◇","◆"),"")</f>
        <v/>
      </c>
      <c r="AX18" s="14" t="str">
        <f>IF(AND(ISNUMBER($I18),OR($K18="Milestone",$K18="Deadline"),$I18&gt;=AX$4,$I18&lt;AX$4+7),IF($K18="Deadline","◇","◆"),"")</f>
        <v/>
      </c>
      <c r="AY18" s="14" t="str">
        <f>IF(AND(ISNUMBER($I18),OR($K18="Milestone",$K18="Deadline"),$I18&gt;=AY$4,$I18&lt;AY$4+7),IF($K18="Deadline","◇","◆"),"")</f>
        <v/>
      </c>
      <c r="AZ18" s="14" t="str">
        <f>IF(AND(ISNUMBER($I18),OR($K18="Milestone",$K18="Deadline"),$I18&gt;=AZ$4,$I18&lt;AZ$4+7),IF($K18="Deadline","◇","◆"),"")</f>
        <v/>
      </c>
      <c r="BA18" s="14" t="str">
        <f>IF(AND(ISNUMBER($I18),OR($K18="Milestone",$K18="Deadline"),$I18&gt;=BA$4,$I18&lt;BA$4+7),IF($K18="Deadline","◇","◆"),"")</f>
        <v/>
      </c>
      <c r="BB18" s="14" t="str">
        <f>IF(AND(ISNUMBER($I18),OR($K18="Milestone",$K18="Deadline"),$I18&gt;=BB$4,$I18&lt;BB$4+7),IF($K18="Deadline","◇","◆"),"")</f>
        <v/>
      </c>
      <c r="BC18" s="14" t="str">
        <f>IF(AND(ISNUMBER($I18),OR($K18="Milestone",$K18="Deadline"),$I18&gt;=BC$4,$I18&lt;BC$4+7),IF($K18="Deadline","◇","◆"),"")</f>
        <v/>
      </c>
      <c r="BD18" s="14" t="str">
        <f>IF(AND(ISNUMBER($I18),OR($K18="Milestone",$K18="Deadline"),$I18&gt;=BD$4,$I18&lt;BD$4+7),IF($K18="Deadline","◇","◆"),"")</f>
        <v/>
      </c>
      <c r="BE18" s="14" t="str">
        <f>IF(AND(ISNUMBER($I18),OR($K18="Milestone",$K18="Deadline"),$I18&gt;=BE$4,$I18&lt;BE$4+7),IF($K18="Deadline","◇","◆"),"")</f>
        <v/>
      </c>
      <c r="BF18" s="14" t="str">
        <f>IF(AND(ISNUMBER($I18),OR($K18="Milestone",$K18="Deadline"),$I18&gt;=BF$4,$I18&lt;BF$4+7),IF($K18="Deadline","◇","◆"),"")</f>
        <v/>
      </c>
      <c r="BG18" s="14" t="str">
        <f>IF(AND(ISNUMBER($I18),OR($K18="Milestone",$K18="Deadline"),$I18&gt;=BG$4,$I18&lt;BG$4+7),IF($K18="Deadline","◇","◆"),"")</f>
        <v/>
      </c>
      <c r="BH18" s="14" t="str">
        <f>IF(AND(ISNUMBER($I18),OR($K18="Milestone",$K18="Deadline"),$I18&gt;=BH$4,$I18&lt;BH$4+7),IF($K18="Deadline","◇","◆"),"")</f>
        <v/>
      </c>
      <c r="BI18" s="14" t="str">
        <f>IF(AND(ISNUMBER($I18),OR($K18="Milestone",$K18="Deadline"),$I18&gt;=BI$4,$I18&lt;BI$4+7),IF($K18="Deadline","◇","◆"),"")</f>
        <v/>
      </c>
      <c r="BJ18" s="14" t="str">
        <f>IF(AND(ISNUMBER($I18),OR($K18="Milestone",$K18="Deadline"),$I18&gt;=BJ$4,$I18&lt;BJ$4+7),IF($K18="Deadline","◇","◆"),"")</f>
        <v/>
      </c>
      <c r="BK18" s="14" t="str">
        <f>IF(AND(ISNUMBER($I18),OR($K18="Milestone",$K18="Deadline"),$I18&gt;=BK$4,$I18&lt;BK$4+7),IF($K18="Deadline","◇","◆"),"")</f>
        <v/>
      </c>
      <c r="BL18" s="14" t="str">
        <f>IF(AND(ISNUMBER($I18),OR($K18="Milestone",$K18="Deadline"),$I18&gt;=BL$4,$I18&lt;BL$4+7),IF($K18="Deadline","◇","◆"),"")</f>
        <v/>
      </c>
      <c r="BM18" s="14" t="str">
        <f>IF(AND(ISNUMBER($I18),OR($K18="Milestone",$K18="Deadline"),$I18&gt;=BM$4,$I18&lt;BM$4+7),IF($K18="Deadline","◇","◆"),"")</f>
        <v/>
      </c>
      <c r="BN18" s="14" t="str">
        <f>IF(AND(ISNUMBER($I18),OR($K18="Milestone",$K18="Deadline"),$I18&gt;=BN$4,$I18&lt;BN$4+7),IF($K18="Deadline","◇","◆"),"")</f>
        <v/>
      </c>
      <c r="BO18" s="14" t="str">
        <f>IF(AND(ISNUMBER($I18),OR($K18="Milestone",$K18="Deadline"),$I18&gt;=BO$4,$I18&lt;BO$4+7),IF($K18="Deadline","◇","◆"),"")</f>
        <v/>
      </c>
      <c r="BP18" s="14" t="str">
        <f>IF(AND(ISNUMBER($I18),OR($K18="Milestone",$K18="Deadline"),$I18&gt;=BP$4,$I18&lt;BP$4+7),IF($K18="Deadline","◇","◆"),"")</f>
        <v/>
      </c>
      <c r="BQ18" s="14" t="str">
        <f>IF(AND(ISNUMBER($I18),OR($K18="Milestone",$K18="Deadline"),$I18&gt;=BQ$4,$I18&lt;BQ$4+7),IF($K18="Deadline","◇","◆"),"")</f>
        <v/>
      </c>
      <c r="BR18" s="14" t="str">
        <f>IF(AND(ISNUMBER($I18),OR($K18="Milestone",$K18="Deadline"),$I18&gt;=BR$4,$I18&lt;BR$4+7),IF($K18="Deadline","◇","◆"),"")</f>
        <v/>
      </c>
      <c r="BS18" s="14" t="str">
        <f>IF(AND(ISNUMBER($I18),OR($K18="Milestone",$K18="Deadline"),$I18&gt;=BS$4,$I18&lt;BS$4+7),IF($K18="Deadline","◇","◆"),"")</f>
        <v/>
      </c>
      <c r="BT18" s="14" t="str">
        <f>IF(AND(ISNUMBER($I18),OR($K18="Milestone",$K18="Deadline"),$I18&gt;=BT$4,$I18&lt;BT$4+7),IF($K18="Deadline","◇","◆"),"")</f>
        <v/>
      </c>
      <c r="BU18" s="14" t="str">
        <f>IF(AND(ISNUMBER($I18),OR($K18="Milestone",$K18="Deadline"),$I18&gt;=BU$4,$I18&lt;BU$4+7),IF($K18="Deadline","◇","◆"),"")</f>
        <v/>
      </c>
      <c r="BV18" s="14" t="str">
        <f>IF(AND(ISNUMBER($I18),OR($K18="Milestone",$K18="Deadline"),$I18&gt;=BV$4,$I18&lt;BV$4+7),IF($K18="Deadline","◇","◆"),"")</f>
        <v/>
      </c>
      <c r="BW18" s="14" t="str">
        <f>IF(AND(ISNUMBER($I18),OR($K18="Milestone",$K18="Deadline"),$I18&gt;=BW$4,$I18&lt;BW$4+7),IF($K18="Deadline","◇","◆"),"")</f>
        <v/>
      </c>
      <c r="BX18" s="14" t="str">
        <f>IF(AND(ISNUMBER($I18),OR($K18="Milestone",$K18="Deadline"),$I18&gt;=BX$4,$I18&lt;BX$4+7),IF($K18="Deadline","◇","◆"),"")</f>
        <v/>
      </c>
      <c r="BY18" s="14" t="str">
        <f>IF(AND(ISNUMBER($I18),OR($K18="Milestone",$K18="Deadline"),$I18&gt;=BY$4,$I18&lt;BY$4+7),IF($K18="Deadline","◇","◆"),"")</f>
        <v/>
      </c>
      <c r="BZ18" s="14" t="str">
        <f>IF(AND(ISNUMBER($I18),OR($K18="Milestone",$K18="Deadline"),$I18&gt;=BZ$4,$I18&lt;BZ$4+7),IF($K18="Deadline","◇","◆"),"")</f>
        <v/>
      </c>
      <c r="CA18" s="14" t="str">
        <f>IF(AND(ISNUMBER($I18),OR($K18="Milestone",$K18="Deadline"),$I18&gt;=CA$4,$I18&lt;CA$4+7),IF($K18="Deadline","◇","◆"),"")</f>
        <v/>
      </c>
      <c r="CB18" s="14" t="str">
        <f>IF(AND(ISNUMBER($I18),OR($K18="Milestone",$K18="Deadline"),$I18&gt;=CB$4,$I18&lt;CB$4+7),IF($K18="Deadline","◇","◆"),"")</f>
        <v/>
      </c>
      <c r="CC18" s="14" t="str">
        <f>IF(AND(ISNUMBER($I18),OR($K18="Milestone",$K18="Deadline"),$I18&gt;=CC$4,$I18&lt;CC$4+7),IF($K18="Deadline","◇","◆"),"")</f>
        <v/>
      </c>
      <c r="CD18" s="14" t="str">
        <f>IF(AND(ISNUMBER($I18),OR($K18="Milestone",$K18="Deadline"),$I18&gt;=CD$4,$I18&lt;CD$4+7),IF($K18="Deadline","◇","◆"),"")</f>
        <v/>
      </c>
      <c r="CE18" s="14" t="str">
        <f>IF(AND(ISNUMBER($I18),OR($K18="Milestone",$K18="Deadline"),$I18&gt;=CE$4,$I18&lt;CE$4+7),IF($K18="Deadline","◇","◆"),"")</f>
        <v/>
      </c>
      <c r="CF18" s="14" t="str">
        <f>IF(AND(ISNUMBER($I18),OR($K18="Milestone",$K18="Deadline"),$I18&gt;=CF$4,$I18&lt;CF$4+7),IF($K18="Deadline","◇","◆"),"")</f>
        <v/>
      </c>
      <c r="CG18" s="14" t="str">
        <f>IF(AND(ISNUMBER($I18),OR($K18="Milestone",$K18="Deadline"),$I18&gt;=CG$4,$I18&lt;CG$4+7),IF($K18="Deadline","◇","◆"),"")</f>
        <v/>
      </c>
      <c r="CH18" s="14" t="str">
        <f>IF(AND(ISNUMBER($I18),OR($K18="Milestone",$K18="Deadline"),$I18&gt;=CH$4,$I18&lt;CH$4+7),IF($K18="Deadline","◇","◆"),"")</f>
        <v/>
      </c>
      <c r="CI18" s="14" t="str">
        <f>IF(AND(ISNUMBER($I18),OR($K18="Milestone",$K18="Deadline"),$I18&gt;=CI$4,$I18&lt;CI$4+7),IF($K18="Deadline","◇","◆"),"")</f>
        <v/>
      </c>
      <c r="CJ18" s="14" t="str">
        <f>IF(AND(ISNUMBER($I18),OR($K18="Milestone",$K18="Deadline"),$I18&gt;=CJ$4,$I18&lt;CJ$4+7),IF($K18="Deadline","◇","◆"),"")</f>
        <v/>
      </c>
      <c r="CK18" s="14" t="str">
        <f>IF(AND(ISNUMBER($I18),OR($K18="Milestone",$K18="Deadline"),$I18&gt;=CK$4,$I18&lt;CK$4+7),IF($K18="Deadline","◇","◆"),"")</f>
        <v/>
      </c>
      <c r="CL18" s="14" t="str">
        <f>IF(AND(ISNUMBER($I18),OR($K18="Milestone",$K18="Deadline"),$I18&gt;=CL$4,$I18&lt;CL$4+7),IF($K18="Deadline","◇","◆"),"")</f>
        <v/>
      </c>
      <c r="CM18" s="14" t="str">
        <f>IF(AND(ISNUMBER($I18),OR($K18="Milestone",$K18="Deadline"),$I18&gt;=CM$4,$I18&lt;CM$4+7),IF($K18="Deadline","◇","◆"),"")</f>
        <v/>
      </c>
    </row>
    <row r="19" spans="1:91" ht="15" hidden="1" customHeight="1">
      <c r="A19" s="9" t="s">
        <v>101</v>
      </c>
      <c r="B19" s="9" t="s">
        <v>74</v>
      </c>
      <c r="C19" s="9" t="s">
        <v>93</v>
      </c>
      <c r="D19" s="9"/>
      <c r="E19" s="9"/>
      <c r="F19" s="9"/>
      <c r="G19" s="9" t="s">
        <v>102</v>
      </c>
      <c r="H19" s="9"/>
      <c r="I19" s="10">
        <v>46327</v>
      </c>
      <c r="J19" s="11">
        <f>I19</f>
        <v>46327</v>
      </c>
      <c r="K19" s="9" t="s">
        <v>68</v>
      </c>
      <c r="L19" s="9"/>
      <c r="M19" s="12"/>
      <c r="N19" s="9"/>
      <c r="O19" s="12">
        <f>IF(AND(ISNUMBER(I19),ISNUMBER(J19)),J19-I19+1,"")</f>
        <v>1</v>
      </c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4" t="str">
        <f>IF(AND(ISNUMBER($I19),OR($K19="Milestone",$K19="Deadline"),$I19&gt;=AO$4,$I19&lt;AO$4+7),IF($K19="Deadline","◇","◆"),"")</f>
        <v/>
      </c>
      <c r="AP19" s="14" t="str">
        <f>IF(AND(ISNUMBER($I19),OR($K19="Milestone",$K19="Deadline"),$I19&gt;=AP$4,$I19&lt;AP$4+7),IF($K19="Deadline","◇","◆"),"")</f>
        <v/>
      </c>
      <c r="AQ19" s="14" t="str">
        <f>IF(AND(ISNUMBER($I19),OR($K19="Milestone",$K19="Deadline"),$I19&gt;=AQ$4,$I19&lt;AQ$4+7),IF($K19="Deadline","◇","◆"),"")</f>
        <v>◆</v>
      </c>
      <c r="AR19" s="14" t="str">
        <f>IF(AND(ISNUMBER($I19),OR($K19="Milestone",$K19="Deadline"),$I19&gt;=AR$4,$I19&lt;AR$4+7),IF($K19="Deadline","◇","◆"),"")</f>
        <v/>
      </c>
      <c r="AS19" s="14" t="str">
        <f>IF(AND(ISNUMBER($I19),OR($K19="Milestone",$K19="Deadline"),$I19&gt;=AS$4,$I19&lt;AS$4+7),IF($K19="Deadline","◇","◆"),"")</f>
        <v/>
      </c>
      <c r="AT19" s="14" t="str">
        <f>IF(AND(ISNUMBER($I19),OR($K19="Milestone",$K19="Deadline"),$I19&gt;=AT$4,$I19&lt;AT$4+7),IF($K19="Deadline","◇","◆"),"")</f>
        <v/>
      </c>
      <c r="AU19" s="14" t="str">
        <f>IF(AND(ISNUMBER($I19),OR($K19="Milestone",$K19="Deadline"),$I19&gt;=AU$4,$I19&lt;AU$4+7),IF($K19="Deadline","◇","◆"),"")</f>
        <v/>
      </c>
      <c r="AV19" s="14" t="str">
        <f>IF(AND(ISNUMBER($I19),OR($K19="Milestone",$K19="Deadline"),$I19&gt;=AV$4,$I19&lt;AV$4+7),IF($K19="Deadline","◇","◆"),"")</f>
        <v/>
      </c>
      <c r="AW19" s="14" t="str">
        <f>IF(AND(ISNUMBER($I19),OR($K19="Milestone",$K19="Deadline"),$I19&gt;=AW$4,$I19&lt;AW$4+7),IF($K19="Deadline","◇","◆"),"")</f>
        <v/>
      </c>
      <c r="AX19" s="14" t="str">
        <f>IF(AND(ISNUMBER($I19),OR($K19="Milestone",$K19="Deadline"),$I19&gt;=AX$4,$I19&lt;AX$4+7),IF($K19="Deadline","◇","◆"),"")</f>
        <v/>
      </c>
      <c r="AY19" s="14" t="str">
        <f>IF(AND(ISNUMBER($I19),OR($K19="Milestone",$K19="Deadline"),$I19&gt;=AY$4,$I19&lt;AY$4+7),IF($K19="Deadline","◇","◆"),"")</f>
        <v/>
      </c>
      <c r="AZ19" s="14" t="str">
        <f>IF(AND(ISNUMBER($I19),OR($K19="Milestone",$K19="Deadline"),$I19&gt;=AZ$4,$I19&lt;AZ$4+7),IF($K19="Deadline","◇","◆"),"")</f>
        <v/>
      </c>
      <c r="BA19" s="14" t="str">
        <f>IF(AND(ISNUMBER($I19),OR($K19="Milestone",$K19="Deadline"),$I19&gt;=BA$4,$I19&lt;BA$4+7),IF($K19="Deadline","◇","◆"),"")</f>
        <v/>
      </c>
      <c r="BB19" s="14" t="str">
        <f>IF(AND(ISNUMBER($I19),OR($K19="Milestone",$K19="Deadline"),$I19&gt;=BB$4,$I19&lt;BB$4+7),IF($K19="Deadline","◇","◆"),"")</f>
        <v/>
      </c>
      <c r="BC19" s="14" t="str">
        <f>IF(AND(ISNUMBER($I19),OR($K19="Milestone",$K19="Deadline"),$I19&gt;=BC$4,$I19&lt;BC$4+7),IF($K19="Deadline","◇","◆"),"")</f>
        <v/>
      </c>
      <c r="BD19" s="14" t="str">
        <f>IF(AND(ISNUMBER($I19),OR($K19="Milestone",$K19="Deadline"),$I19&gt;=BD$4,$I19&lt;BD$4+7),IF($K19="Deadline","◇","◆"),"")</f>
        <v/>
      </c>
      <c r="BE19" s="14" t="str">
        <f>IF(AND(ISNUMBER($I19),OR($K19="Milestone",$K19="Deadline"),$I19&gt;=BE$4,$I19&lt;BE$4+7),IF($K19="Deadline","◇","◆"),"")</f>
        <v/>
      </c>
      <c r="BF19" s="14" t="str">
        <f>IF(AND(ISNUMBER($I19),OR($K19="Milestone",$K19="Deadline"),$I19&gt;=BF$4,$I19&lt;BF$4+7),IF($K19="Deadline","◇","◆"),"")</f>
        <v/>
      </c>
      <c r="BG19" s="14" t="str">
        <f>IF(AND(ISNUMBER($I19),OR($K19="Milestone",$K19="Deadline"),$I19&gt;=BG$4,$I19&lt;BG$4+7),IF($K19="Deadline","◇","◆"),"")</f>
        <v/>
      </c>
      <c r="BH19" s="14" t="str">
        <f>IF(AND(ISNUMBER($I19),OR($K19="Milestone",$K19="Deadline"),$I19&gt;=BH$4,$I19&lt;BH$4+7),IF($K19="Deadline","◇","◆"),"")</f>
        <v/>
      </c>
      <c r="BI19" s="14" t="str">
        <f>IF(AND(ISNUMBER($I19),OR($K19="Milestone",$K19="Deadline"),$I19&gt;=BI$4,$I19&lt;BI$4+7),IF($K19="Deadline","◇","◆"),"")</f>
        <v/>
      </c>
      <c r="BJ19" s="14" t="str">
        <f>IF(AND(ISNUMBER($I19),OR($K19="Milestone",$K19="Deadline"),$I19&gt;=BJ$4,$I19&lt;BJ$4+7),IF($K19="Deadline","◇","◆"),"")</f>
        <v/>
      </c>
      <c r="BK19" s="14" t="str">
        <f>IF(AND(ISNUMBER($I19),OR($K19="Milestone",$K19="Deadline"),$I19&gt;=BK$4,$I19&lt;BK$4+7),IF($K19="Deadline","◇","◆"),"")</f>
        <v/>
      </c>
      <c r="BL19" s="14" t="str">
        <f>IF(AND(ISNUMBER($I19),OR($K19="Milestone",$K19="Deadline"),$I19&gt;=BL$4,$I19&lt;BL$4+7),IF($K19="Deadline","◇","◆"),"")</f>
        <v/>
      </c>
      <c r="BM19" s="14" t="str">
        <f>IF(AND(ISNUMBER($I19),OR($K19="Milestone",$K19="Deadline"),$I19&gt;=BM$4,$I19&lt;BM$4+7),IF($K19="Deadline","◇","◆"),"")</f>
        <v/>
      </c>
      <c r="BN19" s="14" t="str">
        <f>IF(AND(ISNUMBER($I19),OR($K19="Milestone",$K19="Deadline"),$I19&gt;=BN$4,$I19&lt;BN$4+7),IF($K19="Deadline","◇","◆"),"")</f>
        <v/>
      </c>
      <c r="BO19" s="14" t="str">
        <f>IF(AND(ISNUMBER($I19),OR($K19="Milestone",$K19="Deadline"),$I19&gt;=BO$4,$I19&lt;BO$4+7),IF($K19="Deadline","◇","◆"),"")</f>
        <v/>
      </c>
      <c r="BP19" s="14" t="str">
        <f>IF(AND(ISNUMBER($I19),OR($K19="Milestone",$K19="Deadline"),$I19&gt;=BP$4,$I19&lt;BP$4+7),IF($K19="Deadline","◇","◆"),"")</f>
        <v/>
      </c>
      <c r="BQ19" s="14" t="str">
        <f>IF(AND(ISNUMBER($I19),OR($K19="Milestone",$K19="Deadline"),$I19&gt;=BQ$4,$I19&lt;BQ$4+7),IF($K19="Deadline","◇","◆"),"")</f>
        <v/>
      </c>
      <c r="BR19" s="14" t="str">
        <f>IF(AND(ISNUMBER($I19),OR($K19="Milestone",$K19="Deadline"),$I19&gt;=BR$4,$I19&lt;BR$4+7),IF($K19="Deadline","◇","◆"),"")</f>
        <v/>
      </c>
      <c r="BS19" s="14" t="str">
        <f>IF(AND(ISNUMBER($I19),OR($K19="Milestone",$K19="Deadline"),$I19&gt;=BS$4,$I19&lt;BS$4+7),IF($K19="Deadline","◇","◆"),"")</f>
        <v/>
      </c>
      <c r="BT19" s="14" t="str">
        <f>IF(AND(ISNUMBER($I19),OR($K19="Milestone",$K19="Deadline"),$I19&gt;=BT$4,$I19&lt;BT$4+7),IF($K19="Deadline","◇","◆"),"")</f>
        <v/>
      </c>
      <c r="BU19" s="14" t="str">
        <f>IF(AND(ISNUMBER($I19),OR($K19="Milestone",$K19="Deadline"),$I19&gt;=BU$4,$I19&lt;BU$4+7),IF($K19="Deadline","◇","◆"),"")</f>
        <v/>
      </c>
      <c r="BV19" s="14" t="str">
        <f>IF(AND(ISNUMBER($I19),OR($K19="Milestone",$K19="Deadline"),$I19&gt;=BV$4,$I19&lt;BV$4+7),IF($K19="Deadline","◇","◆"),"")</f>
        <v/>
      </c>
      <c r="BW19" s="14" t="str">
        <f>IF(AND(ISNUMBER($I19),OR($K19="Milestone",$K19="Deadline"),$I19&gt;=BW$4,$I19&lt;BW$4+7),IF($K19="Deadline","◇","◆"),"")</f>
        <v/>
      </c>
      <c r="BX19" s="14" t="str">
        <f>IF(AND(ISNUMBER($I19),OR($K19="Milestone",$K19="Deadline"),$I19&gt;=BX$4,$I19&lt;BX$4+7),IF($K19="Deadline","◇","◆"),"")</f>
        <v/>
      </c>
      <c r="BY19" s="14" t="str">
        <f>IF(AND(ISNUMBER($I19),OR($K19="Milestone",$K19="Deadline"),$I19&gt;=BY$4,$I19&lt;BY$4+7),IF($K19="Deadline","◇","◆"),"")</f>
        <v/>
      </c>
      <c r="BZ19" s="14" t="str">
        <f>IF(AND(ISNUMBER($I19),OR($K19="Milestone",$K19="Deadline"),$I19&gt;=BZ$4,$I19&lt;BZ$4+7),IF($K19="Deadline","◇","◆"),"")</f>
        <v/>
      </c>
      <c r="CA19" s="14" t="str">
        <f>IF(AND(ISNUMBER($I19),OR($K19="Milestone",$K19="Deadline"),$I19&gt;=CA$4,$I19&lt;CA$4+7),IF($K19="Deadline","◇","◆"),"")</f>
        <v/>
      </c>
      <c r="CB19" s="14" t="str">
        <f>IF(AND(ISNUMBER($I19),OR($K19="Milestone",$K19="Deadline"),$I19&gt;=CB$4,$I19&lt;CB$4+7),IF($K19="Deadline","◇","◆"),"")</f>
        <v/>
      </c>
      <c r="CC19" s="14" t="str">
        <f>IF(AND(ISNUMBER($I19),OR($K19="Milestone",$K19="Deadline"),$I19&gt;=CC$4,$I19&lt;CC$4+7),IF($K19="Deadline","◇","◆"),"")</f>
        <v/>
      </c>
      <c r="CD19" s="14" t="str">
        <f>IF(AND(ISNUMBER($I19),OR($K19="Milestone",$K19="Deadline"),$I19&gt;=CD$4,$I19&lt;CD$4+7),IF($K19="Deadline","◇","◆"),"")</f>
        <v/>
      </c>
      <c r="CE19" s="14" t="str">
        <f>IF(AND(ISNUMBER($I19),OR($K19="Milestone",$K19="Deadline"),$I19&gt;=CE$4,$I19&lt;CE$4+7),IF($K19="Deadline","◇","◆"),"")</f>
        <v/>
      </c>
      <c r="CF19" s="14" t="str">
        <f>IF(AND(ISNUMBER($I19),OR($K19="Milestone",$K19="Deadline"),$I19&gt;=CF$4,$I19&lt;CF$4+7),IF($K19="Deadline","◇","◆"),"")</f>
        <v/>
      </c>
      <c r="CG19" s="14" t="str">
        <f>IF(AND(ISNUMBER($I19),OR($K19="Milestone",$K19="Deadline"),$I19&gt;=CG$4,$I19&lt;CG$4+7),IF($K19="Deadline","◇","◆"),"")</f>
        <v/>
      </c>
      <c r="CH19" s="14" t="str">
        <f>IF(AND(ISNUMBER($I19),OR($K19="Milestone",$K19="Deadline"),$I19&gt;=CH$4,$I19&lt;CH$4+7),IF($K19="Deadline","◇","◆"),"")</f>
        <v/>
      </c>
      <c r="CI19" s="14" t="str">
        <f>IF(AND(ISNUMBER($I19),OR($K19="Milestone",$K19="Deadline"),$I19&gt;=CI$4,$I19&lt;CI$4+7),IF($K19="Deadline","◇","◆"),"")</f>
        <v/>
      </c>
      <c r="CJ19" s="14" t="str">
        <f>IF(AND(ISNUMBER($I19),OR($K19="Milestone",$K19="Deadline"),$I19&gt;=CJ$4,$I19&lt;CJ$4+7),IF($K19="Deadline","◇","◆"),"")</f>
        <v/>
      </c>
      <c r="CK19" s="14" t="str">
        <f>IF(AND(ISNUMBER($I19),OR($K19="Milestone",$K19="Deadline"),$I19&gt;=CK$4,$I19&lt;CK$4+7),IF($K19="Deadline","◇","◆"),"")</f>
        <v/>
      </c>
      <c r="CL19" s="14" t="str">
        <f>IF(AND(ISNUMBER($I19),OR($K19="Milestone",$K19="Deadline"),$I19&gt;=CL$4,$I19&lt;CL$4+7),IF($K19="Deadline","◇","◆"),"")</f>
        <v/>
      </c>
      <c r="CM19" s="14" t="str">
        <f>IF(AND(ISNUMBER($I19),OR($K19="Milestone",$K19="Deadline"),$I19&gt;=CM$4,$I19&lt;CM$4+7),IF($K19="Deadline","◇","◆"),"")</f>
        <v/>
      </c>
    </row>
    <row r="20" spans="1:91" ht="15" hidden="1" customHeight="1">
      <c r="A20" s="9" t="s">
        <v>103</v>
      </c>
      <c r="B20" s="9" t="s">
        <v>74</v>
      </c>
      <c r="C20" s="9" t="s">
        <v>93</v>
      </c>
      <c r="D20" s="9"/>
      <c r="E20" s="9"/>
      <c r="F20" s="9"/>
      <c r="G20" s="9" t="s">
        <v>104</v>
      </c>
      <c r="H20" s="9"/>
      <c r="I20" s="10">
        <v>46327</v>
      </c>
      <c r="J20" s="11">
        <f>I20</f>
        <v>46327</v>
      </c>
      <c r="K20" s="9" t="s">
        <v>68</v>
      </c>
      <c r="L20" s="9"/>
      <c r="M20" s="12"/>
      <c r="N20" s="9"/>
      <c r="O20" s="12">
        <f>IF(AND(ISNUMBER(I20),ISNUMBER(J20)),J20-I20+1,"")</f>
        <v>1</v>
      </c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4" t="str">
        <f>IF(AND(ISNUMBER($I20),OR($K20="Milestone",$K20="Deadline"),$I20&gt;=AO$4,$I20&lt;AO$4+7),IF($K20="Deadline","◇","◆"),"")</f>
        <v/>
      </c>
      <c r="AP20" s="14" t="str">
        <f>IF(AND(ISNUMBER($I20),OR($K20="Milestone",$K20="Deadline"),$I20&gt;=AP$4,$I20&lt;AP$4+7),IF($K20="Deadline","◇","◆"),"")</f>
        <v/>
      </c>
      <c r="AQ20" s="14" t="str">
        <f>IF(AND(ISNUMBER($I20),OR($K20="Milestone",$K20="Deadline"),$I20&gt;=AQ$4,$I20&lt;AQ$4+7),IF($K20="Deadline","◇","◆"),"")</f>
        <v>◆</v>
      </c>
      <c r="AR20" s="14" t="str">
        <f>IF(AND(ISNUMBER($I20),OR($K20="Milestone",$K20="Deadline"),$I20&gt;=AR$4,$I20&lt;AR$4+7),IF($K20="Deadline","◇","◆"),"")</f>
        <v/>
      </c>
      <c r="AS20" s="14" t="str">
        <f>IF(AND(ISNUMBER($I20),OR($K20="Milestone",$K20="Deadline"),$I20&gt;=AS$4,$I20&lt;AS$4+7),IF($K20="Deadline","◇","◆"),"")</f>
        <v/>
      </c>
      <c r="AT20" s="14" t="str">
        <f>IF(AND(ISNUMBER($I20),OR($K20="Milestone",$K20="Deadline"),$I20&gt;=AT$4,$I20&lt;AT$4+7),IF($K20="Deadline","◇","◆"),"")</f>
        <v/>
      </c>
      <c r="AU20" s="14" t="str">
        <f>IF(AND(ISNUMBER($I20),OR($K20="Milestone",$K20="Deadline"),$I20&gt;=AU$4,$I20&lt;AU$4+7),IF($K20="Deadline","◇","◆"),"")</f>
        <v/>
      </c>
      <c r="AV20" s="14" t="str">
        <f>IF(AND(ISNUMBER($I20),OR($K20="Milestone",$K20="Deadline"),$I20&gt;=AV$4,$I20&lt;AV$4+7),IF($K20="Deadline","◇","◆"),"")</f>
        <v/>
      </c>
      <c r="AW20" s="14" t="str">
        <f>IF(AND(ISNUMBER($I20),OR($K20="Milestone",$K20="Deadline"),$I20&gt;=AW$4,$I20&lt;AW$4+7),IF($K20="Deadline","◇","◆"),"")</f>
        <v/>
      </c>
      <c r="AX20" s="14" t="str">
        <f>IF(AND(ISNUMBER($I20),OR($K20="Milestone",$K20="Deadline"),$I20&gt;=AX$4,$I20&lt;AX$4+7),IF($K20="Deadline","◇","◆"),"")</f>
        <v/>
      </c>
      <c r="AY20" s="14" t="str">
        <f>IF(AND(ISNUMBER($I20),OR($K20="Milestone",$K20="Deadline"),$I20&gt;=AY$4,$I20&lt;AY$4+7),IF($K20="Deadline","◇","◆"),"")</f>
        <v/>
      </c>
      <c r="AZ20" s="14" t="str">
        <f>IF(AND(ISNUMBER($I20),OR($K20="Milestone",$K20="Deadline"),$I20&gt;=AZ$4,$I20&lt;AZ$4+7),IF($K20="Deadline","◇","◆"),"")</f>
        <v/>
      </c>
      <c r="BA20" s="14" t="str">
        <f>IF(AND(ISNUMBER($I20),OR($K20="Milestone",$K20="Deadline"),$I20&gt;=BA$4,$I20&lt;BA$4+7),IF($K20="Deadline","◇","◆"),"")</f>
        <v/>
      </c>
      <c r="BB20" s="14" t="str">
        <f>IF(AND(ISNUMBER($I20),OR($K20="Milestone",$K20="Deadline"),$I20&gt;=BB$4,$I20&lt;BB$4+7),IF($K20="Deadline","◇","◆"),"")</f>
        <v/>
      </c>
      <c r="BC20" s="14" t="str">
        <f>IF(AND(ISNUMBER($I20),OR($K20="Milestone",$K20="Deadline"),$I20&gt;=BC$4,$I20&lt;BC$4+7),IF($K20="Deadline","◇","◆"),"")</f>
        <v/>
      </c>
      <c r="BD20" s="14" t="str">
        <f>IF(AND(ISNUMBER($I20),OR($K20="Milestone",$K20="Deadline"),$I20&gt;=BD$4,$I20&lt;BD$4+7),IF($K20="Deadline","◇","◆"),"")</f>
        <v/>
      </c>
      <c r="BE20" s="14" t="str">
        <f>IF(AND(ISNUMBER($I20),OR($K20="Milestone",$K20="Deadline"),$I20&gt;=BE$4,$I20&lt;BE$4+7),IF($K20="Deadline","◇","◆"),"")</f>
        <v/>
      </c>
      <c r="BF20" s="14" t="str">
        <f>IF(AND(ISNUMBER($I20),OR($K20="Milestone",$K20="Deadline"),$I20&gt;=BF$4,$I20&lt;BF$4+7),IF($K20="Deadline","◇","◆"),"")</f>
        <v/>
      </c>
      <c r="BG20" s="14" t="str">
        <f>IF(AND(ISNUMBER($I20),OR($K20="Milestone",$K20="Deadline"),$I20&gt;=BG$4,$I20&lt;BG$4+7),IF($K20="Deadline","◇","◆"),"")</f>
        <v/>
      </c>
      <c r="BH20" s="14" t="str">
        <f>IF(AND(ISNUMBER($I20),OR($K20="Milestone",$K20="Deadline"),$I20&gt;=BH$4,$I20&lt;BH$4+7),IF($K20="Deadline","◇","◆"),"")</f>
        <v/>
      </c>
      <c r="BI20" s="14" t="str">
        <f>IF(AND(ISNUMBER($I20),OR($K20="Milestone",$K20="Deadline"),$I20&gt;=BI$4,$I20&lt;BI$4+7),IF($K20="Deadline","◇","◆"),"")</f>
        <v/>
      </c>
      <c r="BJ20" s="14" t="str">
        <f>IF(AND(ISNUMBER($I20),OR($K20="Milestone",$K20="Deadline"),$I20&gt;=BJ$4,$I20&lt;BJ$4+7),IF($K20="Deadline","◇","◆"),"")</f>
        <v/>
      </c>
      <c r="BK20" s="14" t="str">
        <f>IF(AND(ISNUMBER($I20),OR($K20="Milestone",$K20="Deadline"),$I20&gt;=BK$4,$I20&lt;BK$4+7),IF($K20="Deadline","◇","◆"),"")</f>
        <v/>
      </c>
      <c r="BL20" s="14" t="str">
        <f>IF(AND(ISNUMBER($I20),OR($K20="Milestone",$K20="Deadline"),$I20&gt;=BL$4,$I20&lt;BL$4+7),IF($K20="Deadline","◇","◆"),"")</f>
        <v/>
      </c>
      <c r="BM20" s="14" t="str">
        <f>IF(AND(ISNUMBER($I20),OR($K20="Milestone",$K20="Deadline"),$I20&gt;=BM$4,$I20&lt;BM$4+7),IF($K20="Deadline","◇","◆"),"")</f>
        <v/>
      </c>
      <c r="BN20" s="14" t="str">
        <f>IF(AND(ISNUMBER($I20),OR($K20="Milestone",$K20="Deadline"),$I20&gt;=BN$4,$I20&lt;BN$4+7),IF($K20="Deadline","◇","◆"),"")</f>
        <v/>
      </c>
      <c r="BO20" s="14" t="str">
        <f>IF(AND(ISNUMBER($I20),OR($K20="Milestone",$K20="Deadline"),$I20&gt;=BO$4,$I20&lt;BO$4+7),IF($K20="Deadline","◇","◆"),"")</f>
        <v/>
      </c>
      <c r="BP20" s="14" t="str">
        <f>IF(AND(ISNUMBER($I20),OR($K20="Milestone",$K20="Deadline"),$I20&gt;=BP$4,$I20&lt;BP$4+7),IF($K20="Deadline","◇","◆"),"")</f>
        <v/>
      </c>
      <c r="BQ20" s="14" t="str">
        <f>IF(AND(ISNUMBER($I20),OR($K20="Milestone",$K20="Deadline"),$I20&gt;=BQ$4,$I20&lt;BQ$4+7),IF($K20="Deadline","◇","◆"),"")</f>
        <v/>
      </c>
      <c r="BR20" s="14" t="str">
        <f>IF(AND(ISNUMBER($I20),OR($K20="Milestone",$K20="Deadline"),$I20&gt;=BR$4,$I20&lt;BR$4+7),IF($K20="Deadline","◇","◆"),"")</f>
        <v/>
      </c>
      <c r="BS20" s="14" t="str">
        <f>IF(AND(ISNUMBER($I20),OR($K20="Milestone",$K20="Deadline"),$I20&gt;=BS$4,$I20&lt;BS$4+7),IF($K20="Deadline","◇","◆"),"")</f>
        <v/>
      </c>
      <c r="BT20" s="14" t="str">
        <f>IF(AND(ISNUMBER($I20),OR($K20="Milestone",$K20="Deadline"),$I20&gt;=BT$4,$I20&lt;BT$4+7),IF($K20="Deadline","◇","◆"),"")</f>
        <v/>
      </c>
      <c r="BU20" s="14" t="str">
        <f>IF(AND(ISNUMBER($I20),OR($K20="Milestone",$K20="Deadline"),$I20&gt;=BU$4,$I20&lt;BU$4+7),IF($K20="Deadline","◇","◆"),"")</f>
        <v/>
      </c>
      <c r="BV20" s="14" t="str">
        <f>IF(AND(ISNUMBER($I20),OR($K20="Milestone",$K20="Deadline"),$I20&gt;=BV$4,$I20&lt;BV$4+7),IF($K20="Deadline","◇","◆"),"")</f>
        <v/>
      </c>
      <c r="BW20" s="14" t="str">
        <f>IF(AND(ISNUMBER($I20),OR($K20="Milestone",$K20="Deadline"),$I20&gt;=BW$4,$I20&lt;BW$4+7),IF($K20="Deadline","◇","◆"),"")</f>
        <v/>
      </c>
      <c r="BX20" s="14" t="str">
        <f>IF(AND(ISNUMBER($I20),OR($K20="Milestone",$K20="Deadline"),$I20&gt;=BX$4,$I20&lt;BX$4+7),IF($K20="Deadline","◇","◆"),"")</f>
        <v/>
      </c>
      <c r="BY20" s="14" t="str">
        <f>IF(AND(ISNUMBER($I20),OR($K20="Milestone",$K20="Deadline"),$I20&gt;=BY$4,$I20&lt;BY$4+7),IF($K20="Deadline","◇","◆"),"")</f>
        <v/>
      </c>
      <c r="BZ20" s="14" t="str">
        <f>IF(AND(ISNUMBER($I20),OR($K20="Milestone",$K20="Deadline"),$I20&gt;=BZ$4,$I20&lt;BZ$4+7),IF($K20="Deadline","◇","◆"),"")</f>
        <v/>
      </c>
      <c r="CA20" s="14" t="str">
        <f>IF(AND(ISNUMBER($I20),OR($K20="Milestone",$K20="Deadline"),$I20&gt;=CA$4,$I20&lt;CA$4+7),IF($K20="Deadline","◇","◆"),"")</f>
        <v/>
      </c>
      <c r="CB20" s="14" t="str">
        <f>IF(AND(ISNUMBER($I20),OR($K20="Milestone",$K20="Deadline"),$I20&gt;=CB$4,$I20&lt;CB$4+7),IF($K20="Deadline","◇","◆"),"")</f>
        <v/>
      </c>
      <c r="CC20" s="14" t="str">
        <f>IF(AND(ISNUMBER($I20),OR($K20="Milestone",$K20="Deadline"),$I20&gt;=CC$4,$I20&lt;CC$4+7),IF($K20="Deadline","◇","◆"),"")</f>
        <v/>
      </c>
      <c r="CD20" s="14" t="str">
        <f>IF(AND(ISNUMBER($I20),OR($K20="Milestone",$K20="Deadline"),$I20&gt;=CD$4,$I20&lt;CD$4+7),IF($K20="Deadline","◇","◆"),"")</f>
        <v/>
      </c>
      <c r="CE20" s="14" t="str">
        <f>IF(AND(ISNUMBER($I20),OR($K20="Milestone",$K20="Deadline"),$I20&gt;=CE$4,$I20&lt;CE$4+7),IF($K20="Deadline","◇","◆"),"")</f>
        <v/>
      </c>
      <c r="CF20" s="14" t="str">
        <f>IF(AND(ISNUMBER($I20),OR($K20="Milestone",$K20="Deadline"),$I20&gt;=CF$4,$I20&lt;CF$4+7),IF($K20="Deadline","◇","◆"),"")</f>
        <v/>
      </c>
      <c r="CG20" s="14" t="str">
        <f>IF(AND(ISNUMBER($I20),OR($K20="Milestone",$K20="Deadline"),$I20&gt;=CG$4,$I20&lt;CG$4+7),IF($K20="Deadline","◇","◆"),"")</f>
        <v/>
      </c>
      <c r="CH20" s="14" t="str">
        <f>IF(AND(ISNUMBER($I20),OR($K20="Milestone",$K20="Deadline"),$I20&gt;=CH$4,$I20&lt;CH$4+7),IF($K20="Deadline","◇","◆"),"")</f>
        <v/>
      </c>
      <c r="CI20" s="14" t="str">
        <f>IF(AND(ISNUMBER($I20),OR($K20="Milestone",$K20="Deadline"),$I20&gt;=CI$4,$I20&lt;CI$4+7),IF($K20="Deadline","◇","◆"),"")</f>
        <v/>
      </c>
      <c r="CJ20" s="14" t="str">
        <f>IF(AND(ISNUMBER($I20),OR($K20="Milestone",$K20="Deadline"),$I20&gt;=CJ$4,$I20&lt;CJ$4+7),IF($K20="Deadline","◇","◆"),"")</f>
        <v/>
      </c>
      <c r="CK20" s="14" t="str">
        <f>IF(AND(ISNUMBER($I20),OR($K20="Milestone",$K20="Deadline"),$I20&gt;=CK$4,$I20&lt;CK$4+7),IF($K20="Deadline","◇","◆"),"")</f>
        <v/>
      </c>
      <c r="CL20" s="14" t="str">
        <f>IF(AND(ISNUMBER($I20),OR($K20="Milestone",$K20="Deadline"),$I20&gt;=CL$4,$I20&lt;CL$4+7),IF($K20="Deadline","◇","◆"),"")</f>
        <v/>
      </c>
      <c r="CM20" s="14" t="str">
        <f>IF(AND(ISNUMBER($I20),OR($K20="Milestone",$K20="Deadline"),$I20&gt;=CM$4,$I20&lt;CM$4+7),IF($K20="Deadline","◇","◆"),"")</f>
        <v/>
      </c>
    </row>
    <row r="21" spans="1:91" ht="15" hidden="1" customHeight="1">
      <c r="A21" s="9" t="s">
        <v>105</v>
      </c>
      <c r="B21" s="9" t="s">
        <v>74</v>
      </c>
      <c r="C21" s="9" t="s">
        <v>93</v>
      </c>
      <c r="D21" s="9"/>
      <c r="E21" s="9"/>
      <c r="F21" s="9"/>
      <c r="G21" s="9" t="s">
        <v>106</v>
      </c>
      <c r="H21" s="9"/>
      <c r="I21" s="10">
        <v>46327</v>
      </c>
      <c r="J21" s="11">
        <f>I21</f>
        <v>46327</v>
      </c>
      <c r="K21" s="9" t="s">
        <v>68</v>
      </c>
      <c r="L21" s="9"/>
      <c r="M21" s="12"/>
      <c r="N21" s="9"/>
      <c r="O21" s="12">
        <f>IF(AND(ISNUMBER(I21),ISNUMBER(J21)),J21-I21+1,"")</f>
        <v>1</v>
      </c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4" t="str">
        <f>IF(AND(ISNUMBER($I21),OR($K21="Milestone",$K21="Deadline"),$I21&gt;=AO$4,$I21&lt;AO$4+7),IF($K21="Deadline","◇","◆"),"")</f>
        <v/>
      </c>
      <c r="AP21" s="14" t="str">
        <f>IF(AND(ISNUMBER($I21),OR($K21="Milestone",$K21="Deadline"),$I21&gt;=AP$4,$I21&lt;AP$4+7),IF($K21="Deadline","◇","◆"),"")</f>
        <v/>
      </c>
      <c r="AQ21" s="14" t="str">
        <f>IF(AND(ISNUMBER($I21),OR($K21="Milestone",$K21="Deadline"),$I21&gt;=AQ$4,$I21&lt;AQ$4+7),IF($K21="Deadline","◇","◆"),"")</f>
        <v>◆</v>
      </c>
      <c r="AR21" s="14" t="str">
        <f>IF(AND(ISNUMBER($I21),OR($K21="Milestone",$K21="Deadline"),$I21&gt;=AR$4,$I21&lt;AR$4+7),IF($K21="Deadline","◇","◆"),"")</f>
        <v/>
      </c>
      <c r="AS21" s="14" t="str">
        <f>IF(AND(ISNUMBER($I21),OR($K21="Milestone",$K21="Deadline"),$I21&gt;=AS$4,$I21&lt;AS$4+7),IF($K21="Deadline","◇","◆"),"")</f>
        <v/>
      </c>
      <c r="AT21" s="14" t="str">
        <f>IF(AND(ISNUMBER($I21),OR($K21="Milestone",$K21="Deadline"),$I21&gt;=AT$4,$I21&lt;AT$4+7),IF($K21="Deadline","◇","◆"),"")</f>
        <v/>
      </c>
      <c r="AU21" s="14" t="str">
        <f>IF(AND(ISNUMBER($I21),OR($K21="Milestone",$K21="Deadline"),$I21&gt;=AU$4,$I21&lt;AU$4+7),IF($K21="Deadline","◇","◆"),"")</f>
        <v/>
      </c>
      <c r="AV21" s="14" t="str">
        <f>IF(AND(ISNUMBER($I21),OR($K21="Milestone",$K21="Deadline"),$I21&gt;=AV$4,$I21&lt;AV$4+7),IF($K21="Deadline","◇","◆"),"")</f>
        <v/>
      </c>
      <c r="AW21" s="14" t="str">
        <f>IF(AND(ISNUMBER($I21),OR($K21="Milestone",$K21="Deadline"),$I21&gt;=AW$4,$I21&lt;AW$4+7),IF($K21="Deadline","◇","◆"),"")</f>
        <v/>
      </c>
      <c r="AX21" s="14" t="str">
        <f>IF(AND(ISNUMBER($I21),OR($K21="Milestone",$K21="Deadline"),$I21&gt;=AX$4,$I21&lt;AX$4+7),IF($K21="Deadline","◇","◆"),"")</f>
        <v/>
      </c>
      <c r="AY21" s="14" t="str">
        <f>IF(AND(ISNUMBER($I21),OR($K21="Milestone",$K21="Deadline"),$I21&gt;=AY$4,$I21&lt;AY$4+7),IF($K21="Deadline","◇","◆"),"")</f>
        <v/>
      </c>
      <c r="AZ21" s="14" t="str">
        <f>IF(AND(ISNUMBER($I21),OR($K21="Milestone",$K21="Deadline"),$I21&gt;=AZ$4,$I21&lt;AZ$4+7),IF($K21="Deadline","◇","◆"),"")</f>
        <v/>
      </c>
      <c r="BA21" s="14" t="str">
        <f>IF(AND(ISNUMBER($I21),OR($K21="Milestone",$K21="Deadline"),$I21&gt;=BA$4,$I21&lt;BA$4+7),IF($K21="Deadline","◇","◆"),"")</f>
        <v/>
      </c>
      <c r="BB21" s="14" t="str">
        <f>IF(AND(ISNUMBER($I21),OR($K21="Milestone",$K21="Deadline"),$I21&gt;=BB$4,$I21&lt;BB$4+7),IF($K21="Deadline","◇","◆"),"")</f>
        <v/>
      </c>
      <c r="BC21" s="14" t="str">
        <f>IF(AND(ISNUMBER($I21),OR($K21="Milestone",$K21="Deadline"),$I21&gt;=BC$4,$I21&lt;BC$4+7),IF($K21="Deadline","◇","◆"),"")</f>
        <v/>
      </c>
      <c r="BD21" s="14" t="str">
        <f>IF(AND(ISNUMBER($I21),OR($K21="Milestone",$K21="Deadline"),$I21&gt;=BD$4,$I21&lt;BD$4+7),IF($K21="Deadline","◇","◆"),"")</f>
        <v/>
      </c>
      <c r="BE21" s="14" t="str">
        <f>IF(AND(ISNUMBER($I21),OR($K21="Milestone",$K21="Deadline"),$I21&gt;=BE$4,$I21&lt;BE$4+7),IF($K21="Deadline","◇","◆"),"")</f>
        <v/>
      </c>
      <c r="BF21" s="14" t="str">
        <f>IF(AND(ISNUMBER($I21),OR($K21="Milestone",$K21="Deadline"),$I21&gt;=BF$4,$I21&lt;BF$4+7),IF($K21="Deadline","◇","◆"),"")</f>
        <v/>
      </c>
      <c r="BG21" s="14" t="str">
        <f>IF(AND(ISNUMBER($I21),OR($K21="Milestone",$K21="Deadline"),$I21&gt;=BG$4,$I21&lt;BG$4+7),IF($K21="Deadline","◇","◆"),"")</f>
        <v/>
      </c>
      <c r="BH21" s="14" t="str">
        <f>IF(AND(ISNUMBER($I21),OR($K21="Milestone",$K21="Deadline"),$I21&gt;=BH$4,$I21&lt;BH$4+7),IF($K21="Deadline","◇","◆"),"")</f>
        <v/>
      </c>
      <c r="BI21" s="14" t="str">
        <f>IF(AND(ISNUMBER($I21),OR($K21="Milestone",$K21="Deadline"),$I21&gt;=BI$4,$I21&lt;BI$4+7),IF($K21="Deadline","◇","◆"),"")</f>
        <v/>
      </c>
      <c r="BJ21" s="14" t="str">
        <f>IF(AND(ISNUMBER($I21),OR($K21="Milestone",$K21="Deadline"),$I21&gt;=BJ$4,$I21&lt;BJ$4+7),IF($K21="Deadline","◇","◆"),"")</f>
        <v/>
      </c>
      <c r="BK21" s="14" t="str">
        <f>IF(AND(ISNUMBER($I21),OR($K21="Milestone",$K21="Deadline"),$I21&gt;=BK$4,$I21&lt;BK$4+7),IF($K21="Deadline","◇","◆"),"")</f>
        <v/>
      </c>
      <c r="BL21" s="14" t="str">
        <f>IF(AND(ISNUMBER($I21),OR($K21="Milestone",$K21="Deadline"),$I21&gt;=BL$4,$I21&lt;BL$4+7),IF($K21="Deadline","◇","◆"),"")</f>
        <v/>
      </c>
      <c r="BM21" s="14" t="str">
        <f>IF(AND(ISNUMBER($I21),OR($K21="Milestone",$K21="Deadline"),$I21&gt;=BM$4,$I21&lt;BM$4+7),IF($K21="Deadline","◇","◆"),"")</f>
        <v/>
      </c>
      <c r="BN21" s="14" t="str">
        <f>IF(AND(ISNUMBER($I21),OR($K21="Milestone",$K21="Deadline"),$I21&gt;=BN$4,$I21&lt;BN$4+7),IF($K21="Deadline","◇","◆"),"")</f>
        <v/>
      </c>
      <c r="BO21" s="14" t="str">
        <f>IF(AND(ISNUMBER($I21),OR($K21="Milestone",$K21="Deadline"),$I21&gt;=BO$4,$I21&lt;BO$4+7),IF($K21="Deadline","◇","◆"),"")</f>
        <v/>
      </c>
      <c r="BP21" s="14" t="str">
        <f>IF(AND(ISNUMBER($I21),OR($K21="Milestone",$K21="Deadline"),$I21&gt;=BP$4,$I21&lt;BP$4+7),IF($K21="Deadline","◇","◆"),"")</f>
        <v/>
      </c>
      <c r="BQ21" s="14" t="str">
        <f>IF(AND(ISNUMBER($I21),OR($K21="Milestone",$K21="Deadline"),$I21&gt;=BQ$4,$I21&lt;BQ$4+7),IF($K21="Deadline","◇","◆"),"")</f>
        <v/>
      </c>
      <c r="BR21" s="14" t="str">
        <f>IF(AND(ISNUMBER($I21),OR($K21="Milestone",$K21="Deadline"),$I21&gt;=BR$4,$I21&lt;BR$4+7),IF($K21="Deadline","◇","◆"),"")</f>
        <v/>
      </c>
      <c r="BS21" s="14" t="str">
        <f>IF(AND(ISNUMBER($I21),OR($K21="Milestone",$K21="Deadline"),$I21&gt;=BS$4,$I21&lt;BS$4+7),IF($K21="Deadline","◇","◆"),"")</f>
        <v/>
      </c>
      <c r="BT21" s="14" t="str">
        <f>IF(AND(ISNUMBER($I21),OR($K21="Milestone",$K21="Deadline"),$I21&gt;=BT$4,$I21&lt;BT$4+7),IF($K21="Deadline","◇","◆"),"")</f>
        <v/>
      </c>
      <c r="BU21" s="14" t="str">
        <f>IF(AND(ISNUMBER($I21),OR($K21="Milestone",$K21="Deadline"),$I21&gt;=BU$4,$I21&lt;BU$4+7),IF($K21="Deadline","◇","◆"),"")</f>
        <v/>
      </c>
      <c r="BV21" s="14" t="str">
        <f>IF(AND(ISNUMBER($I21),OR($K21="Milestone",$K21="Deadline"),$I21&gt;=BV$4,$I21&lt;BV$4+7),IF($K21="Deadline","◇","◆"),"")</f>
        <v/>
      </c>
      <c r="BW21" s="14" t="str">
        <f>IF(AND(ISNUMBER($I21),OR($K21="Milestone",$K21="Deadline"),$I21&gt;=BW$4,$I21&lt;BW$4+7),IF($K21="Deadline","◇","◆"),"")</f>
        <v/>
      </c>
      <c r="BX21" s="14" t="str">
        <f>IF(AND(ISNUMBER($I21),OR($K21="Milestone",$K21="Deadline"),$I21&gt;=BX$4,$I21&lt;BX$4+7),IF($K21="Deadline","◇","◆"),"")</f>
        <v/>
      </c>
      <c r="BY21" s="14" t="str">
        <f>IF(AND(ISNUMBER($I21),OR($K21="Milestone",$K21="Deadline"),$I21&gt;=BY$4,$I21&lt;BY$4+7),IF($K21="Deadline","◇","◆"),"")</f>
        <v/>
      </c>
      <c r="BZ21" s="14" t="str">
        <f>IF(AND(ISNUMBER($I21),OR($K21="Milestone",$K21="Deadline"),$I21&gt;=BZ$4,$I21&lt;BZ$4+7),IF($K21="Deadline","◇","◆"),"")</f>
        <v/>
      </c>
      <c r="CA21" s="14" t="str">
        <f>IF(AND(ISNUMBER($I21),OR($K21="Milestone",$K21="Deadline"),$I21&gt;=CA$4,$I21&lt;CA$4+7),IF($K21="Deadline","◇","◆"),"")</f>
        <v/>
      </c>
      <c r="CB21" s="14" t="str">
        <f>IF(AND(ISNUMBER($I21),OR($K21="Milestone",$K21="Deadline"),$I21&gt;=CB$4,$I21&lt;CB$4+7),IF($K21="Deadline","◇","◆"),"")</f>
        <v/>
      </c>
      <c r="CC21" s="14" t="str">
        <f>IF(AND(ISNUMBER($I21),OR($K21="Milestone",$K21="Deadline"),$I21&gt;=CC$4,$I21&lt;CC$4+7),IF($K21="Deadline","◇","◆"),"")</f>
        <v/>
      </c>
      <c r="CD21" s="14" t="str">
        <f>IF(AND(ISNUMBER($I21),OR($K21="Milestone",$K21="Deadline"),$I21&gt;=CD$4,$I21&lt;CD$4+7),IF($K21="Deadline","◇","◆"),"")</f>
        <v/>
      </c>
      <c r="CE21" s="14" t="str">
        <f>IF(AND(ISNUMBER($I21),OR($K21="Milestone",$K21="Deadline"),$I21&gt;=CE$4,$I21&lt;CE$4+7),IF($K21="Deadline","◇","◆"),"")</f>
        <v/>
      </c>
      <c r="CF21" s="14" t="str">
        <f>IF(AND(ISNUMBER($I21),OR($K21="Milestone",$K21="Deadline"),$I21&gt;=CF$4,$I21&lt;CF$4+7),IF($K21="Deadline","◇","◆"),"")</f>
        <v/>
      </c>
      <c r="CG21" s="14" t="str">
        <f>IF(AND(ISNUMBER($I21),OR($K21="Milestone",$K21="Deadline"),$I21&gt;=CG$4,$I21&lt;CG$4+7),IF($K21="Deadline","◇","◆"),"")</f>
        <v/>
      </c>
      <c r="CH21" s="14" t="str">
        <f>IF(AND(ISNUMBER($I21),OR($K21="Milestone",$K21="Deadline"),$I21&gt;=CH$4,$I21&lt;CH$4+7),IF($K21="Deadline","◇","◆"),"")</f>
        <v/>
      </c>
      <c r="CI21" s="14" t="str">
        <f>IF(AND(ISNUMBER($I21),OR($K21="Milestone",$K21="Deadline"),$I21&gt;=CI$4,$I21&lt;CI$4+7),IF($K21="Deadline","◇","◆"),"")</f>
        <v/>
      </c>
      <c r="CJ21" s="14" t="str">
        <f>IF(AND(ISNUMBER($I21),OR($K21="Milestone",$K21="Deadline"),$I21&gt;=CJ$4,$I21&lt;CJ$4+7),IF($K21="Deadline","◇","◆"),"")</f>
        <v/>
      </c>
      <c r="CK21" s="14" t="str">
        <f>IF(AND(ISNUMBER($I21),OR($K21="Milestone",$K21="Deadline"),$I21&gt;=CK$4,$I21&lt;CK$4+7),IF($K21="Deadline","◇","◆"),"")</f>
        <v/>
      </c>
      <c r="CL21" s="14" t="str">
        <f>IF(AND(ISNUMBER($I21),OR($K21="Milestone",$K21="Deadline"),$I21&gt;=CL$4,$I21&lt;CL$4+7),IF($K21="Deadline","◇","◆"),"")</f>
        <v/>
      </c>
      <c r="CM21" s="14" t="str">
        <f>IF(AND(ISNUMBER($I21),OR($K21="Milestone",$K21="Deadline"),$I21&gt;=CM$4,$I21&lt;CM$4+7),IF($K21="Deadline","◇","◆"),"")</f>
        <v/>
      </c>
    </row>
    <row r="22" spans="1:91" ht="15" hidden="1" customHeight="1">
      <c r="A22" s="9" t="s">
        <v>107</v>
      </c>
      <c r="B22" s="9" t="s">
        <v>74</v>
      </c>
      <c r="C22" s="9" t="s">
        <v>93</v>
      </c>
      <c r="D22" s="9"/>
      <c r="E22" s="9"/>
      <c r="F22" s="9"/>
      <c r="G22" s="9" t="s">
        <v>108</v>
      </c>
      <c r="H22" s="9"/>
      <c r="I22" s="10">
        <v>46327</v>
      </c>
      <c r="J22" s="11">
        <f>I22</f>
        <v>46327</v>
      </c>
      <c r="K22" s="9" t="s">
        <v>68</v>
      </c>
      <c r="L22" s="9"/>
      <c r="M22" s="12"/>
      <c r="N22" s="9"/>
      <c r="O22" s="12">
        <f>IF(AND(ISNUMBER(I22),ISNUMBER(J22)),J22-I22+1,"")</f>
        <v>1</v>
      </c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4" t="str">
        <f>IF(AND(ISNUMBER($I22),OR($K22="Milestone",$K22="Deadline"),$I22&gt;=AO$4,$I22&lt;AO$4+7),IF($K22="Deadline","◇","◆"),"")</f>
        <v/>
      </c>
      <c r="AP22" s="14" t="str">
        <f>IF(AND(ISNUMBER($I22),OR($K22="Milestone",$K22="Deadline"),$I22&gt;=AP$4,$I22&lt;AP$4+7),IF($K22="Deadline","◇","◆"),"")</f>
        <v/>
      </c>
      <c r="AQ22" s="14" t="str">
        <f>IF(AND(ISNUMBER($I22),OR($K22="Milestone",$K22="Deadline"),$I22&gt;=AQ$4,$I22&lt;AQ$4+7),IF($K22="Deadline","◇","◆"),"")</f>
        <v>◆</v>
      </c>
      <c r="AR22" s="14" t="str">
        <f>IF(AND(ISNUMBER($I22),OR($K22="Milestone",$K22="Deadline"),$I22&gt;=AR$4,$I22&lt;AR$4+7),IF($K22="Deadline","◇","◆"),"")</f>
        <v/>
      </c>
      <c r="AS22" s="14" t="str">
        <f>IF(AND(ISNUMBER($I22),OR($K22="Milestone",$K22="Deadline"),$I22&gt;=AS$4,$I22&lt;AS$4+7),IF($K22="Deadline","◇","◆"),"")</f>
        <v/>
      </c>
      <c r="AT22" s="14" t="str">
        <f>IF(AND(ISNUMBER($I22),OR($K22="Milestone",$K22="Deadline"),$I22&gt;=AT$4,$I22&lt;AT$4+7),IF($K22="Deadline","◇","◆"),"")</f>
        <v/>
      </c>
      <c r="AU22" s="14" t="str">
        <f>IF(AND(ISNUMBER($I22),OR($K22="Milestone",$K22="Deadline"),$I22&gt;=AU$4,$I22&lt;AU$4+7),IF($K22="Deadline","◇","◆"),"")</f>
        <v/>
      </c>
      <c r="AV22" s="14" t="str">
        <f>IF(AND(ISNUMBER($I22),OR($K22="Milestone",$K22="Deadline"),$I22&gt;=AV$4,$I22&lt;AV$4+7),IF($K22="Deadline","◇","◆"),"")</f>
        <v/>
      </c>
      <c r="AW22" s="14" t="str">
        <f>IF(AND(ISNUMBER($I22),OR($K22="Milestone",$K22="Deadline"),$I22&gt;=AW$4,$I22&lt;AW$4+7),IF($K22="Deadline","◇","◆"),"")</f>
        <v/>
      </c>
      <c r="AX22" s="14" t="str">
        <f>IF(AND(ISNUMBER($I22),OR($K22="Milestone",$K22="Deadline"),$I22&gt;=AX$4,$I22&lt;AX$4+7),IF($K22="Deadline","◇","◆"),"")</f>
        <v/>
      </c>
      <c r="AY22" s="14" t="str">
        <f>IF(AND(ISNUMBER($I22),OR($K22="Milestone",$K22="Deadline"),$I22&gt;=AY$4,$I22&lt;AY$4+7),IF($K22="Deadline","◇","◆"),"")</f>
        <v/>
      </c>
      <c r="AZ22" s="14" t="str">
        <f>IF(AND(ISNUMBER($I22),OR($K22="Milestone",$K22="Deadline"),$I22&gt;=AZ$4,$I22&lt;AZ$4+7),IF($K22="Deadline","◇","◆"),"")</f>
        <v/>
      </c>
      <c r="BA22" s="14" t="str">
        <f>IF(AND(ISNUMBER($I22),OR($K22="Milestone",$K22="Deadline"),$I22&gt;=BA$4,$I22&lt;BA$4+7),IF($K22="Deadline","◇","◆"),"")</f>
        <v/>
      </c>
      <c r="BB22" s="14" t="str">
        <f>IF(AND(ISNUMBER($I22),OR($K22="Milestone",$K22="Deadline"),$I22&gt;=BB$4,$I22&lt;BB$4+7),IF($K22="Deadline","◇","◆"),"")</f>
        <v/>
      </c>
      <c r="BC22" s="14" t="str">
        <f>IF(AND(ISNUMBER($I22),OR($K22="Milestone",$K22="Deadline"),$I22&gt;=BC$4,$I22&lt;BC$4+7),IF($K22="Deadline","◇","◆"),"")</f>
        <v/>
      </c>
      <c r="BD22" s="14" t="str">
        <f>IF(AND(ISNUMBER($I22),OR($K22="Milestone",$K22="Deadline"),$I22&gt;=BD$4,$I22&lt;BD$4+7),IF($K22="Deadline","◇","◆"),"")</f>
        <v/>
      </c>
      <c r="BE22" s="14" t="str">
        <f>IF(AND(ISNUMBER($I22),OR($K22="Milestone",$K22="Deadline"),$I22&gt;=BE$4,$I22&lt;BE$4+7),IF($K22="Deadline","◇","◆"),"")</f>
        <v/>
      </c>
      <c r="BF22" s="14" t="str">
        <f>IF(AND(ISNUMBER($I22),OR($K22="Milestone",$K22="Deadline"),$I22&gt;=BF$4,$I22&lt;BF$4+7),IF($K22="Deadline","◇","◆"),"")</f>
        <v/>
      </c>
      <c r="BG22" s="14" t="str">
        <f>IF(AND(ISNUMBER($I22),OR($K22="Milestone",$K22="Deadline"),$I22&gt;=BG$4,$I22&lt;BG$4+7),IF($K22="Deadline","◇","◆"),"")</f>
        <v/>
      </c>
      <c r="BH22" s="14" t="str">
        <f>IF(AND(ISNUMBER($I22),OR($K22="Milestone",$K22="Deadline"),$I22&gt;=BH$4,$I22&lt;BH$4+7),IF($K22="Deadline","◇","◆"),"")</f>
        <v/>
      </c>
      <c r="BI22" s="14" t="str">
        <f>IF(AND(ISNUMBER($I22),OR($K22="Milestone",$K22="Deadline"),$I22&gt;=BI$4,$I22&lt;BI$4+7),IF($K22="Deadline","◇","◆"),"")</f>
        <v/>
      </c>
      <c r="BJ22" s="14" t="str">
        <f>IF(AND(ISNUMBER($I22),OR($K22="Milestone",$K22="Deadline"),$I22&gt;=BJ$4,$I22&lt;BJ$4+7),IF($K22="Deadline","◇","◆"),"")</f>
        <v/>
      </c>
      <c r="BK22" s="14" t="str">
        <f>IF(AND(ISNUMBER($I22),OR($K22="Milestone",$K22="Deadline"),$I22&gt;=BK$4,$I22&lt;BK$4+7),IF($K22="Deadline","◇","◆"),"")</f>
        <v/>
      </c>
      <c r="BL22" s="14" t="str">
        <f>IF(AND(ISNUMBER($I22),OR($K22="Milestone",$K22="Deadline"),$I22&gt;=BL$4,$I22&lt;BL$4+7),IF($K22="Deadline","◇","◆"),"")</f>
        <v/>
      </c>
      <c r="BM22" s="14" t="str">
        <f>IF(AND(ISNUMBER($I22),OR($K22="Milestone",$K22="Deadline"),$I22&gt;=BM$4,$I22&lt;BM$4+7),IF($K22="Deadline","◇","◆"),"")</f>
        <v/>
      </c>
      <c r="BN22" s="14" t="str">
        <f>IF(AND(ISNUMBER($I22),OR($K22="Milestone",$K22="Deadline"),$I22&gt;=BN$4,$I22&lt;BN$4+7),IF($K22="Deadline","◇","◆"),"")</f>
        <v/>
      </c>
      <c r="BO22" s="14" t="str">
        <f>IF(AND(ISNUMBER($I22),OR($K22="Milestone",$K22="Deadline"),$I22&gt;=BO$4,$I22&lt;BO$4+7),IF($K22="Deadline","◇","◆"),"")</f>
        <v/>
      </c>
      <c r="BP22" s="14" t="str">
        <f>IF(AND(ISNUMBER($I22),OR($K22="Milestone",$K22="Deadline"),$I22&gt;=BP$4,$I22&lt;BP$4+7),IF($K22="Deadline","◇","◆"),"")</f>
        <v/>
      </c>
      <c r="BQ22" s="14" t="str">
        <f>IF(AND(ISNUMBER($I22),OR($K22="Milestone",$K22="Deadline"),$I22&gt;=BQ$4,$I22&lt;BQ$4+7),IF($K22="Deadline","◇","◆"),"")</f>
        <v/>
      </c>
      <c r="BR22" s="14" t="str">
        <f>IF(AND(ISNUMBER($I22),OR($K22="Milestone",$K22="Deadline"),$I22&gt;=BR$4,$I22&lt;BR$4+7),IF($K22="Deadline","◇","◆"),"")</f>
        <v/>
      </c>
      <c r="BS22" s="14" t="str">
        <f>IF(AND(ISNUMBER($I22),OR($K22="Milestone",$K22="Deadline"),$I22&gt;=BS$4,$I22&lt;BS$4+7),IF($K22="Deadline","◇","◆"),"")</f>
        <v/>
      </c>
      <c r="BT22" s="14" t="str">
        <f>IF(AND(ISNUMBER($I22),OR($K22="Milestone",$K22="Deadline"),$I22&gt;=BT$4,$I22&lt;BT$4+7),IF($K22="Deadline","◇","◆"),"")</f>
        <v/>
      </c>
      <c r="BU22" s="14" t="str">
        <f>IF(AND(ISNUMBER($I22),OR($K22="Milestone",$K22="Deadline"),$I22&gt;=BU$4,$I22&lt;BU$4+7),IF($K22="Deadline","◇","◆"),"")</f>
        <v/>
      </c>
      <c r="BV22" s="14" t="str">
        <f>IF(AND(ISNUMBER($I22),OR($K22="Milestone",$K22="Deadline"),$I22&gt;=BV$4,$I22&lt;BV$4+7),IF($K22="Deadline","◇","◆"),"")</f>
        <v/>
      </c>
      <c r="BW22" s="14" t="str">
        <f>IF(AND(ISNUMBER($I22),OR($K22="Milestone",$K22="Deadline"),$I22&gt;=BW$4,$I22&lt;BW$4+7),IF($K22="Deadline","◇","◆"),"")</f>
        <v/>
      </c>
      <c r="BX22" s="14" t="str">
        <f>IF(AND(ISNUMBER($I22),OR($K22="Milestone",$K22="Deadline"),$I22&gt;=BX$4,$I22&lt;BX$4+7),IF($K22="Deadline","◇","◆"),"")</f>
        <v/>
      </c>
      <c r="BY22" s="14" t="str">
        <f>IF(AND(ISNUMBER($I22),OR($K22="Milestone",$K22="Deadline"),$I22&gt;=BY$4,$I22&lt;BY$4+7),IF($K22="Deadline","◇","◆"),"")</f>
        <v/>
      </c>
      <c r="BZ22" s="14" t="str">
        <f>IF(AND(ISNUMBER($I22),OR($K22="Milestone",$K22="Deadline"),$I22&gt;=BZ$4,$I22&lt;BZ$4+7),IF($K22="Deadline","◇","◆"),"")</f>
        <v/>
      </c>
      <c r="CA22" s="14" t="str">
        <f>IF(AND(ISNUMBER($I22),OR($K22="Milestone",$K22="Deadline"),$I22&gt;=CA$4,$I22&lt;CA$4+7),IF($K22="Deadline","◇","◆"),"")</f>
        <v/>
      </c>
      <c r="CB22" s="14" t="str">
        <f>IF(AND(ISNUMBER($I22),OR($K22="Milestone",$K22="Deadline"),$I22&gt;=CB$4,$I22&lt;CB$4+7),IF($K22="Deadline","◇","◆"),"")</f>
        <v/>
      </c>
      <c r="CC22" s="14" t="str">
        <f>IF(AND(ISNUMBER($I22),OR($K22="Milestone",$K22="Deadline"),$I22&gt;=CC$4,$I22&lt;CC$4+7),IF($K22="Deadline","◇","◆"),"")</f>
        <v/>
      </c>
      <c r="CD22" s="14" t="str">
        <f>IF(AND(ISNUMBER($I22),OR($K22="Milestone",$K22="Deadline"),$I22&gt;=CD$4,$I22&lt;CD$4+7),IF($K22="Deadline","◇","◆"),"")</f>
        <v/>
      </c>
      <c r="CE22" s="14" t="str">
        <f>IF(AND(ISNUMBER($I22),OR($K22="Milestone",$K22="Deadline"),$I22&gt;=CE$4,$I22&lt;CE$4+7),IF($K22="Deadline","◇","◆"),"")</f>
        <v/>
      </c>
      <c r="CF22" s="14" t="str">
        <f>IF(AND(ISNUMBER($I22),OR($K22="Milestone",$K22="Deadline"),$I22&gt;=CF$4,$I22&lt;CF$4+7),IF($K22="Deadline","◇","◆"),"")</f>
        <v/>
      </c>
      <c r="CG22" s="14" t="str">
        <f>IF(AND(ISNUMBER($I22),OR($K22="Milestone",$K22="Deadline"),$I22&gt;=CG$4,$I22&lt;CG$4+7),IF($K22="Deadline","◇","◆"),"")</f>
        <v/>
      </c>
      <c r="CH22" s="14" t="str">
        <f>IF(AND(ISNUMBER($I22),OR($K22="Milestone",$K22="Deadline"),$I22&gt;=CH$4,$I22&lt;CH$4+7),IF($K22="Deadline","◇","◆"),"")</f>
        <v/>
      </c>
      <c r="CI22" s="14" t="str">
        <f>IF(AND(ISNUMBER($I22),OR($K22="Milestone",$K22="Deadline"),$I22&gt;=CI$4,$I22&lt;CI$4+7),IF($K22="Deadline","◇","◆"),"")</f>
        <v/>
      </c>
      <c r="CJ22" s="14" t="str">
        <f>IF(AND(ISNUMBER($I22),OR($K22="Milestone",$K22="Deadline"),$I22&gt;=CJ$4,$I22&lt;CJ$4+7),IF($K22="Deadline","◇","◆"),"")</f>
        <v/>
      </c>
      <c r="CK22" s="14" t="str">
        <f>IF(AND(ISNUMBER($I22),OR($K22="Milestone",$K22="Deadline"),$I22&gt;=CK$4,$I22&lt;CK$4+7),IF($K22="Deadline","◇","◆"),"")</f>
        <v/>
      </c>
      <c r="CL22" s="14" t="str">
        <f>IF(AND(ISNUMBER($I22),OR($K22="Milestone",$K22="Deadline"),$I22&gt;=CL$4,$I22&lt;CL$4+7),IF($K22="Deadline","◇","◆"),"")</f>
        <v/>
      </c>
      <c r="CM22" s="14" t="str">
        <f>IF(AND(ISNUMBER($I22),OR($K22="Milestone",$K22="Deadline"),$I22&gt;=CM$4,$I22&lt;CM$4+7),IF($K22="Deadline","◇","◆"),"")</f>
        <v/>
      </c>
    </row>
    <row r="23" spans="1:91" ht="15" hidden="1" customHeight="1">
      <c r="A23" s="9" t="s">
        <v>109</v>
      </c>
      <c r="B23" s="9" t="s">
        <v>74</v>
      </c>
      <c r="C23" s="9" t="s">
        <v>93</v>
      </c>
      <c r="D23" s="9"/>
      <c r="E23" s="9"/>
      <c r="F23" s="9"/>
      <c r="G23" s="9" t="s">
        <v>110</v>
      </c>
      <c r="H23" s="9"/>
      <c r="I23" s="10">
        <v>46327</v>
      </c>
      <c r="J23" s="11">
        <f>I23</f>
        <v>46327</v>
      </c>
      <c r="K23" s="9" t="s">
        <v>68</v>
      </c>
      <c r="L23" s="9"/>
      <c r="M23" s="12"/>
      <c r="N23" s="9"/>
      <c r="O23" s="12">
        <f>IF(AND(ISNUMBER(I23),ISNUMBER(J23)),J23-I23+1,"")</f>
        <v>1</v>
      </c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4" t="str">
        <f>IF(AND(ISNUMBER($I23),OR($K23="Milestone",$K23="Deadline"),$I23&gt;=AO$4,$I23&lt;AO$4+7),IF($K23="Deadline","◇","◆"),"")</f>
        <v/>
      </c>
      <c r="AP23" s="14" t="str">
        <f>IF(AND(ISNUMBER($I23),OR($K23="Milestone",$K23="Deadline"),$I23&gt;=AP$4,$I23&lt;AP$4+7),IF($K23="Deadline","◇","◆"),"")</f>
        <v/>
      </c>
      <c r="AQ23" s="14" t="str">
        <f>IF(AND(ISNUMBER($I23),OR($K23="Milestone",$K23="Deadline"),$I23&gt;=AQ$4,$I23&lt;AQ$4+7),IF($K23="Deadline","◇","◆"),"")</f>
        <v>◆</v>
      </c>
      <c r="AR23" s="14" t="str">
        <f>IF(AND(ISNUMBER($I23),OR($K23="Milestone",$K23="Deadline"),$I23&gt;=AR$4,$I23&lt;AR$4+7),IF($K23="Deadline","◇","◆"),"")</f>
        <v/>
      </c>
      <c r="AS23" s="14" t="str">
        <f>IF(AND(ISNUMBER($I23),OR($K23="Milestone",$K23="Deadline"),$I23&gt;=AS$4,$I23&lt;AS$4+7),IF($K23="Deadline","◇","◆"),"")</f>
        <v/>
      </c>
      <c r="AT23" s="14" t="str">
        <f>IF(AND(ISNUMBER($I23),OR($K23="Milestone",$K23="Deadline"),$I23&gt;=AT$4,$I23&lt;AT$4+7),IF($K23="Deadline","◇","◆"),"")</f>
        <v/>
      </c>
      <c r="AU23" s="14" t="str">
        <f>IF(AND(ISNUMBER($I23),OR($K23="Milestone",$K23="Deadline"),$I23&gt;=AU$4,$I23&lt;AU$4+7),IF($K23="Deadline","◇","◆"),"")</f>
        <v/>
      </c>
      <c r="AV23" s="14" t="str">
        <f>IF(AND(ISNUMBER($I23),OR($K23="Milestone",$K23="Deadline"),$I23&gt;=AV$4,$I23&lt;AV$4+7),IF($K23="Deadline","◇","◆"),"")</f>
        <v/>
      </c>
      <c r="AW23" s="14" t="str">
        <f>IF(AND(ISNUMBER($I23),OR($K23="Milestone",$K23="Deadline"),$I23&gt;=AW$4,$I23&lt;AW$4+7),IF($K23="Deadline","◇","◆"),"")</f>
        <v/>
      </c>
      <c r="AX23" s="14" t="str">
        <f>IF(AND(ISNUMBER($I23),OR($K23="Milestone",$K23="Deadline"),$I23&gt;=AX$4,$I23&lt;AX$4+7),IF($K23="Deadline","◇","◆"),"")</f>
        <v/>
      </c>
      <c r="AY23" s="14" t="str">
        <f>IF(AND(ISNUMBER($I23),OR($K23="Milestone",$K23="Deadline"),$I23&gt;=AY$4,$I23&lt;AY$4+7),IF($K23="Deadline","◇","◆"),"")</f>
        <v/>
      </c>
      <c r="AZ23" s="14" t="str">
        <f>IF(AND(ISNUMBER($I23),OR($K23="Milestone",$K23="Deadline"),$I23&gt;=AZ$4,$I23&lt;AZ$4+7),IF($K23="Deadline","◇","◆"),"")</f>
        <v/>
      </c>
      <c r="BA23" s="14" t="str">
        <f>IF(AND(ISNUMBER($I23),OR($K23="Milestone",$K23="Deadline"),$I23&gt;=BA$4,$I23&lt;BA$4+7),IF($K23="Deadline","◇","◆"),"")</f>
        <v/>
      </c>
      <c r="BB23" s="14" t="str">
        <f>IF(AND(ISNUMBER($I23),OR($K23="Milestone",$K23="Deadline"),$I23&gt;=BB$4,$I23&lt;BB$4+7),IF($K23="Deadline","◇","◆"),"")</f>
        <v/>
      </c>
      <c r="BC23" s="14" t="str">
        <f>IF(AND(ISNUMBER($I23),OR($K23="Milestone",$K23="Deadline"),$I23&gt;=BC$4,$I23&lt;BC$4+7),IF($K23="Deadline","◇","◆"),"")</f>
        <v/>
      </c>
      <c r="BD23" s="14" t="str">
        <f>IF(AND(ISNUMBER($I23),OR($K23="Milestone",$K23="Deadline"),$I23&gt;=BD$4,$I23&lt;BD$4+7),IF($K23="Deadline","◇","◆"),"")</f>
        <v/>
      </c>
      <c r="BE23" s="14" t="str">
        <f>IF(AND(ISNUMBER($I23),OR($K23="Milestone",$K23="Deadline"),$I23&gt;=BE$4,$I23&lt;BE$4+7),IF($K23="Deadline","◇","◆"),"")</f>
        <v/>
      </c>
      <c r="BF23" s="14" t="str">
        <f>IF(AND(ISNUMBER($I23),OR($K23="Milestone",$K23="Deadline"),$I23&gt;=BF$4,$I23&lt;BF$4+7),IF($K23="Deadline","◇","◆"),"")</f>
        <v/>
      </c>
      <c r="BG23" s="14" t="str">
        <f>IF(AND(ISNUMBER($I23),OR($K23="Milestone",$K23="Deadline"),$I23&gt;=BG$4,$I23&lt;BG$4+7),IF($K23="Deadline","◇","◆"),"")</f>
        <v/>
      </c>
      <c r="BH23" s="14" t="str">
        <f>IF(AND(ISNUMBER($I23),OR($K23="Milestone",$K23="Deadline"),$I23&gt;=BH$4,$I23&lt;BH$4+7),IF($K23="Deadline","◇","◆"),"")</f>
        <v/>
      </c>
      <c r="BI23" s="14" t="str">
        <f>IF(AND(ISNUMBER($I23),OR($K23="Milestone",$K23="Deadline"),$I23&gt;=BI$4,$I23&lt;BI$4+7),IF($K23="Deadline","◇","◆"),"")</f>
        <v/>
      </c>
      <c r="BJ23" s="14" t="str">
        <f>IF(AND(ISNUMBER($I23),OR($K23="Milestone",$K23="Deadline"),$I23&gt;=BJ$4,$I23&lt;BJ$4+7),IF($K23="Deadline","◇","◆"),"")</f>
        <v/>
      </c>
      <c r="BK23" s="14" t="str">
        <f>IF(AND(ISNUMBER($I23),OR($K23="Milestone",$K23="Deadline"),$I23&gt;=BK$4,$I23&lt;BK$4+7),IF($K23="Deadline","◇","◆"),"")</f>
        <v/>
      </c>
      <c r="BL23" s="14" t="str">
        <f>IF(AND(ISNUMBER($I23),OR($K23="Milestone",$K23="Deadline"),$I23&gt;=BL$4,$I23&lt;BL$4+7),IF($K23="Deadline","◇","◆"),"")</f>
        <v/>
      </c>
      <c r="BM23" s="14" t="str">
        <f>IF(AND(ISNUMBER($I23),OR($K23="Milestone",$K23="Deadline"),$I23&gt;=BM$4,$I23&lt;BM$4+7),IF($K23="Deadline","◇","◆"),"")</f>
        <v/>
      </c>
      <c r="BN23" s="14" t="str">
        <f>IF(AND(ISNUMBER($I23),OR($K23="Milestone",$K23="Deadline"),$I23&gt;=BN$4,$I23&lt;BN$4+7),IF($K23="Deadline","◇","◆"),"")</f>
        <v/>
      </c>
      <c r="BO23" s="14" t="str">
        <f>IF(AND(ISNUMBER($I23),OR($K23="Milestone",$K23="Deadline"),$I23&gt;=BO$4,$I23&lt;BO$4+7),IF($K23="Deadline","◇","◆"),"")</f>
        <v/>
      </c>
      <c r="BP23" s="14" t="str">
        <f>IF(AND(ISNUMBER($I23),OR($K23="Milestone",$K23="Deadline"),$I23&gt;=BP$4,$I23&lt;BP$4+7),IF($K23="Deadline","◇","◆"),"")</f>
        <v/>
      </c>
      <c r="BQ23" s="14" t="str">
        <f>IF(AND(ISNUMBER($I23),OR($K23="Milestone",$K23="Deadline"),$I23&gt;=BQ$4,$I23&lt;BQ$4+7),IF($K23="Deadline","◇","◆"),"")</f>
        <v/>
      </c>
      <c r="BR23" s="14" t="str">
        <f>IF(AND(ISNUMBER($I23),OR($K23="Milestone",$K23="Deadline"),$I23&gt;=BR$4,$I23&lt;BR$4+7),IF($K23="Deadline","◇","◆"),"")</f>
        <v/>
      </c>
      <c r="BS23" s="14" t="str">
        <f>IF(AND(ISNUMBER($I23),OR($K23="Milestone",$K23="Deadline"),$I23&gt;=BS$4,$I23&lt;BS$4+7),IF($K23="Deadline","◇","◆"),"")</f>
        <v/>
      </c>
      <c r="BT23" s="14" t="str">
        <f>IF(AND(ISNUMBER($I23),OR($K23="Milestone",$K23="Deadline"),$I23&gt;=BT$4,$I23&lt;BT$4+7),IF($K23="Deadline","◇","◆"),"")</f>
        <v/>
      </c>
      <c r="BU23" s="14" t="str">
        <f>IF(AND(ISNUMBER($I23),OR($K23="Milestone",$K23="Deadline"),$I23&gt;=BU$4,$I23&lt;BU$4+7),IF($K23="Deadline","◇","◆"),"")</f>
        <v/>
      </c>
      <c r="BV23" s="14" t="str">
        <f>IF(AND(ISNUMBER($I23),OR($K23="Milestone",$K23="Deadline"),$I23&gt;=BV$4,$I23&lt;BV$4+7),IF($K23="Deadline","◇","◆"),"")</f>
        <v/>
      </c>
      <c r="BW23" s="14" t="str">
        <f>IF(AND(ISNUMBER($I23),OR($K23="Milestone",$K23="Deadline"),$I23&gt;=BW$4,$I23&lt;BW$4+7),IF($K23="Deadline","◇","◆"),"")</f>
        <v/>
      </c>
      <c r="BX23" s="14" t="str">
        <f>IF(AND(ISNUMBER($I23),OR($K23="Milestone",$K23="Deadline"),$I23&gt;=BX$4,$I23&lt;BX$4+7),IF($K23="Deadline","◇","◆"),"")</f>
        <v/>
      </c>
      <c r="BY23" s="14" t="str">
        <f>IF(AND(ISNUMBER($I23),OR($K23="Milestone",$K23="Deadline"),$I23&gt;=BY$4,$I23&lt;BY$4+7),IF($K23="Deadline","◇","◆"),"")</f>
        <v/>
      </c>
      <c r="BZ23" s="14" t="str">
        <f>IF(AND(ISNUMBER($I23),OR($K23="Milestone",$K23="Deadline"),$I23&gt;=BZ$4,$I23&lt;BZ$4+7),IF($K23="Deadline","◇","◆"),"")</f>
        <v/>
      </c>
      <c r="CA23" s="14" t="str">
        <f>IF(AND(ISNUMBER($I23),OR($K23="Milestone",$K23="Deadline"),$I23&gt;=CA$4,$I23&lt;CA$4+7),IF($K23="Deadline","◇","◆"),"")</f>
        <v/>
      </c>
      <c r="CB23" s="14" t="str">
        <f>IF(AND(ISNUMBER($I23),OR($K23="Milestone",$K23="Deadline"),$I23&gt;=CB$4,$I23&lt;CB$4+7),IF($K23="Deadline","◇","◆"),"")</f>
        <v/>
      </c>
      <c r="CC23" s="14" t="str">
        <f>IF(AND(ISNUMBER($I23),OR($K23="Milestone",$K23="Deadline"),$I23&gt;=CC$4,$I23&lt;CC$4+7),IF($K23="Deadline","◇","◆"),"")</f>
        <v/>
      </c>
      <c r="CD23" s="14" t="str">
        <f>IF(AND(ISNUMBER($I23),OR($K23="Milestone",$K23="Deadline"),$I23&gt;=CD$4,$I23&lt;CD$4+7),IF($K23="Deadline","◇","◆"),"")</f>
        <v/>
      </c>
      <c r="CE23" s="14" t="str">
        <f>IF(AND(ISNUMBER($I23),OR($K23="Milestone",$K23="Deadline"),$I23&gt;=CE$4,$I23&lt;CE$4+7),IF($K23="Deadline","◇","◆"),"")</f>
        <v/>
      </c>
      <c r="CF23" s="14" t="str">
        <f>IF(AND(ISNUMBER($I23),OR($K23="Milestone",$K23="Deadline"),$I23&gt;=CF$4,$I23&lt;CF$4+7),IF($K23="Deadline","◇","◆"),"")</f>
        <v/>
      </c>
      <c r="CG23" s="14" t="str">
        <f>IF(AND(ISNUMBER($I23),OR($K23="Milestone",$K23="Deadline"),$I23&gt;=CG$4,$I23&lt;CG$4+7),IF($K23="Deadline","◇","◆"),"")</f>
        <v/>
      </c>
      <c r="CH23" s="14" t="str">
        <f>IF(AND(ISNUMBER($I23),OR($K23="Milestone",$K23="Deadline"),$I23&gt;=CH$4,$I23&lt;CH$4+7),IF($K23="Deadline","◇","◆"),"")</f>
        <v/>
      </c>
      <c r="CI23" s="14" t="str">
        <f>IF(AND(ISNUMBER($I23),OR($K23="Milestone",$K23="Deadline"),$I23&gt;=CI$4,$I23&lt;CI$4+7),IF($K23="Deadline","◇","◆"),"")</f>
        <v/>
      </c>
      <c r="CJ23" s="14" t="str">
        <f>IF(AND(ISNUMBER($I23),OR($K23="Milestone",$K23="Deadline"),$I23&gt;=CJ$4,$I23&lt;CJ$4+7),IF($K23="Deadline","◇","◆"),"")</f>
        <v/>
      </c>
      <c r="CK23" s="14" t="str">
        <f>IF(AND(ISNUMBER($I23),OR($K23="Milestone",$K23="Deadline"),$I23&gt;=CK$4,$I23&lt;CK$4+7),IF($K23="Deadline","◇","◆"),"")</f>
        <v/>
      </c>
      <c r="CL23" s="14" t="str">
        <f>IF(AND(ISNUMBER($I23),OR($K23="Milestone",$K23="Deadline"),$I23&gt;=CL$4,$I23&lt;CL$4+7),IF($K23="Deadline","◇","◆"),"")</f>
        <v/>
      </c>
      <c r="CM23" s="14" t="str">
        <f>IF(AND(ISNUMBER($I23),OR($K23="Milestone",$K23="Deadline"),$I23&gt;=CM$4,$I23&lt;CM$4+7),IF($K23="Deadline","◇","◆"),"")</f>
        <v/>
      </c>
    </row>
    <row r="24" spans="1:91" ht="15" hidden="1" customHeight="1">
      <c r="A24" s="9" t="s">
        <v>111</v>
      </c>
      <c r="B24" s="9" t="s">
        <v>74</v>
      </c>
      <c r="C24" s="9" t="s">
        <v>93</v>
      </c>
      <c r="D24" s="9"/>
      <c r="E24" s="9"/>
      <c r="F24" s="9"/>
      <c r="G24" s="9" t="s">
        <v>112</v>
      </c>
      <c r="H24" s="9"/>
      <c r="I24" s="10">
        <v>46327</v>
      </c>
      <c r="J24" s="11">
        <f>I24</f>
        <v>46327</v>
      </c>
      <c r="K24" s="9" t="s">
        <v>68</v>
      </c>
      <c r="L24" s="9"/>
      <c r="M24" s="12"/>
      <c r="N24" s="9"/>
      <c r="O24" s="12">
        <f>IF(AND(ISNUMBER(I24),ISNUMBER(J24)),J24-I24+1,"")</f>
        <v>1</v>
      </c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4" t="str">
        <f>IF(AND(ISNUMBER($I24),OR($K24="Milestone",$K24="Deadline"),$I24&gt;=AO$4,$I24&lt;AO$4+7),IF($K24="Deadline","◇","◆"),"")</f>
        <v/>
      </c>
      <c r="AP24" s="14" t="str">
        <f>IF(AND(ISNUMBER($I24),OR($K24="Milestone",$K24="Deadline"),$I24&gt;=AP$4,$I24&lt;AP$4+7),IF($K24="Deadline","◇","◆"),"")</f>
        <v/>
      </c>
      <c r="AQ24" s="14" t="str">
        <f>IF(AND(ISNUMBER($I24),OR($K24="Milestone",$K24="Deadline"),$I24&gt;=AQ$4,$I24&lt;AQ$4+7),IF($K24="Deadline","◇","◆"),"")</f>
        <v>◆</v>
      </c>
      <c r="AR24" s="14" t="str">
        <f>IF(AND(ISNUMBER($I24),OR($K24="Milestone",$K24="Deadline"),$I24&gt;=AR$4,$I24&lt;AR$4+7),IF($K24="Deadline","◇","◆"),"")</f>
        <v/>
      </c>
      <c r="AS24" s="14" t="str">
        <f>IF(AND(ISNUMBER($I24),OR($K24="Milestone",$K24="Deadline"),$I24&gt;=AS$4,$I24&lt;AS$4+7),IF($K24="Deadline","◇","◆"),"")</f>
        <v/>
      </c>
      <c r="AT24" s="14" t="str">
        <f>IF(AND(ISNUMBER($I24),OR($K24="Milestone",$K24="Deadline"),$I24&gt;=AT$4,$I24&lt;AT$4+7),IF($K24="Deadline","◇","◆"),"")</f>
        <v/>
      </c>
      <c r="AU24" s="14" t="str">
        <f>IF(AND(ISNUMBER($I24),OR($K24="Milestone",$K24="Deadline"),$I24&gt;=AU$4,$I24&lt;AU$4+7),IF($K24="Deadline","◇","◆"),"")</f>
        <v/>
      </c>
      <c r="AV24" s="14" t="str">
        <f>IF(AND(ISNUMBER($I24),OR($K24="Milestone",$K24="Deadline"),$I24&gt;=AV$4,$I24&lt;AV$4+7),IF($K24="Deadline","◇","◆"),"")</f>
        <v/>
      </c>
      <c r="AW24" s="14" t="str">
        <f>IF(AND(ISNUMBER($I24),OR($K24="Milestone",$K24="Deadline"),$I24&gt;=AW$4,$I24&lt;AW$4+7),IF($K24="Deadline","◇","◆"),"")</f>
        <v/>
      </c>
      <c r="AX24" s="14" t="str">
        <f>IF(AND(ISNUMBER($I24),OR($K24="Milestone",$K24="Deadline"),$I24&gt;=AX$4,$I24&lt;AX$4+7),IF($K24="Deadline","◇","◆"),"")</f>
        <v/>
      </c>
      <c r="AY24" s="14" t="str">
        <f>IF(AND(ISNUMBER($I24),OR($K24="Milestone",$K24="Deadline"),$I24&gt;=AY$4,$I24&lt;AY$4+7),IF($K24="Deadline","◇","◆"),"")</f>
        <v/>
      </c>
      <c r="AZ24" s="14" t="str">
        <f>IF(AND(ISNUMBER($I24),OR($K24="Milestone",$K24="Deadline"),$I24&gt;=AZ$4,$I24&lt;AZ$4+7),IF($K24="Deadline","◇","◆"),"")</f>
        <v/>
      </c>
      <c r="BA24" s="14" t="str">
        <f>IF(AND(ISNUMBER($I24),OR($K24="Milestone",$K24="Deadline"),$I24&gt;=BA$4,$I24&lt;BA$4+7),IF($K24="Deadline","◇","◆"),"")</f>
        <v/>
      </c>
      <c r="BB24" s="14" t="str">
        <f>IF(AND(ISNUMBER($I24),OR($K24="Milestone",$K24="Deadline"),$I24&gt;=BB$4,$I24&lt;BB$4+7),IF($K24="Deadline","◇","◆"),"")</f>
        <v/>
      </c>
      <c r="BC24" s="14" t="str">
        <f>IF(AND(ISNUMBER($I24),OR($K24="Milestone",$K24="Deadline"),$I24&gt;=BC$4,$I24&lt;BC$4+7),IF($K24="Deadline","◇","◆"),"")</f>
        <v/>
      </c>
      <c r="BD24" s="14" t="str">
        <f>IF(AND(ISNUMBER($I24),OR($K24="Milestone",$K24="Deadline"),$I24&gt;=BD$4,$I24&lt;BD$4+7),IF($K24="Deadline","◇","◆"),"")</f>
        <v/>
      </c>
      <c r="BE24" s="14" t="str">
        <f>IF(AND(ISNUMBER($I24),OR($K24="Milestone",$K24="Deadline"),$I24&gt;=BE$4,$I24&lt;BE$4+7),IF($K24="Deadline","◇","◆"),"")</f>
        <v/>
      </c>
      <c r="BF24" s="14" t="str">
        <f>IF(AND(ISNUMBER($I24),OR($K24="Milestone",$K24="Deadline"),$I24&gt;=BF$4,$I24&lt;BF$4+7),IF($K24="Deadline","◇","◆"),"")</f>
        <v/>
      </c>
      <c r="BG24" s="14" t="str">
        <f>IF(AND(ISNUMBER($I24),OR($K24="Milestone",$K24="Deadline"),$I24&gt;=BG$4,$I24&lt;BG$4+7),IF($K24="Deadline","◇","◆"),"")</f>
        <v/>
      </c>
      <c r="BH24" s="14" t="str">
        <f>IF(AND(ISNUMBER($I24),OR($K24="Milestone",$K24="Deadline"),$I24&gt;=BH$4,$I24&lt;BH$4+7),IF($K24="Deadline","◇","◆"),"")</f>
        <v/>
      </c>
      <c r="BI24" s="14" t="str">
        <f>IF(AND(ISNUMBER($I24),OR($K24="Milestone",$K24="Deadline"),$I24&gt;=BI$4,$I24&lt;BI$4+7),IF($K24="Deadline","◇","◆"),"")</f>
        <v/>
      </c>
      <c r="BJ24" s="14" t="str">
        <f>IF(AND(ISNUMBER($I24),OR($K24="Milestone",$K24="Deadline"),$I24&gt;=BJ$4,$I24&lt;BJ$4+7),IF($K24="Deadline","◇","◆"),"")</f>
        <v/>
      </c>
      <c r="BK24" s="14" t="str">
        <f>IF(AND(ISNUMBER($I24),OR($K24="Milestone",$K24="Deadline"),$I24&gt;=BK$4,$I24&lt;BK$4+7),IF($K24="Deadline","◇","◆"),"")</f>
        <v/>
      </c>
      <c r="BL24" s="14" t="str">
        <f>IF(AND(ISNUMBER($I24),OR($K24="Milestone",$K24="Deadline"),$I24&gt;=BL$4,$I24&lt;BL$4+7),IF($K24="Deadline","◇","◆"),"")</f>
        <v/>
      </c>
      <c r="BM24" s="14" t="str">
        <f>IF(AND(ISNUMBER($I24),OR($K24="Milestone",$K24="Deadline"),$I24&gt;=BM$4,$I24&lt;BM$4+7),IF($K24="Deadline","◇","◆"),"")</f>
        <v/>
      </c>
      <c r="BN24" s="14" t="str">
        <f>IF(AND(ISNUMBER($I24),OR($K24="Milestone",$K24="Deadline"),$I24&gt;=BN$4,$I24&lt;BN$4+7),IF($K24="Deadline","◇","◆"),"")</f>
        <v/>
      </c>
      <c r="BO24" s="14" t="str">
        <f>IF(AND(ISNUMBER($I24),OR($K24="Milestone",$K24="Deadline"),$I24&gt;=BO$4,$I24&lt;BO$4+7),IF($K24="Deadline","◇","◆"),"")</f>
        <v/>
      </c>
      <c r="BP24" s="14" t="str">
        <f>IF(AND(ISNUMBER($I24),OR($K24="Milestone",$K24="Deadline"),$I24&gt;=BP$4,$I24&lt;BP$4+7),IF($K24="Deadline","◇","◆"),"")</f>
        <v/>
      </c>
      <c r="BQ24" s="14" t="str">
        <f>IF(AND(ISNUMBER($I24),OR($K24="Milestone",$K24="Deadline"),$I24&gt;=BQ$4,$I24&lt;BQ$4+7),IF($K24="Deadline","◇","◆"),"")</f>
        <v/>
      </c>
      <c r="BR24" s="14" t="str">
        <f>IF(AND(ISNUMBER($I24),OR($K24="Milestone",$K24="Deadline"),$I24&gt;=BR$4,$I24&lt;BR$4+7),IF($K24="Deadline","◇","◆"),"")</f>
        <v/>
      </c>
      <c r="BS24" s="14" t="str">
        <f>IF(AND(ISNUMBER($I24),OR($K24="Milestone",$K24="Deadline"),$I24&gt;=BS$4,$I24&lt;BS$4+7),IF($K24="Deadline","◇","◆"),"")</f>
        <v/>
      </c>
      <c r="BT24" s="14" t="str">
        <f>IF(AND(ISNUMBER($I24),OR($K24="Milestone",$K24="Deadline"),$I24&gt;=BT$4,$I24&lt;BT$4+7),IF($K24="Deadline","◇","◆"),"")</f>
        <v/>
      </c>
      <c r="BU24" s="14" t="str">
        <f>IF(AND(ISNUMBER($I24),OR($K24="Milestone",$K24="Deadline"),$I24&gt;=BU$4,$I24&lt;BU$4+7),IF($K24="Deadline","◇","◆"),"")</f>
        <v/>
      </c>
      <c r="BV24" s="14" t="str">
        <f>IF(AND(ISNUMBER($I24),OR($K24="Milestone",$K24="Deadline"),$I24&gt;=BV$4,$I24&lt;BV$4+7),IF($K24="Deadline","◇","◆"),"")</f>
        <v/>
      </c>
      <c r="BW24" s="14" t="str">
        <f>IF(AND(ISNUMBER($I24),OR($K24="Milestone",$K24="Deadline"),$I24&gt;=BW$4,$I24&lt;BW$4+7),IF($K24="Deadline","◇","◆"),"")</f>
        <v/>
      </c>
      <c r="BX24" s="14" t="str">
        <f>IF(AND(ISNUMBER($I24),OR($K24="Milestone",$K24="Deadline"),$I24&gt;=BX$4,$I24&lt;BX$4+7),IF($K24="Deadline","◇","◆"),"")</f>
        <v/>
      </c>
      <c r="BY24" s="14" t="str">
        <f>IF(AND(ISNUMBER($I24),OR($K24="Milestone",$K24="Deadline"),$I24&gt;=BY$4,$I24&lt;BY$4+7),IF($K24="Deadline","◇","◆"),"")</f>
        <v/>
      </c>
      <c r="BZ24" s="14" t="str">
        <f>IF(AND(ISNUMBER($I24),OR($K24="Milestone",$K24="Deadline"),$I24&gt;=BZ$4,$I24&lt;BZ$4+7),IF($K24="Deadline","◇","◆"),"")</f>
        <v/>
      </c>
      <c r="CA24" s="14" t="str">
        <f>IF(AND(ISNUMBER($I24),OR($K24="Milestone",$K24="Deadline"),$I24&gt;=CA$4,$I24&lt;CA$4+7),IF($K24="Deadline","◇","◆"),"")</f>
        <v/>
      </c>
      <c r="CB24" s="14" t="str">
        <f>IF(AND(ISNUMBER($I24),OR($K24="Milestone",$K24="Deadline"),$I24&gt;=CB$4,$I24&lt;CB$4+7),IF($K24="Deadline","◇","◆"),"")</f>
        <v/>
      </c>
      <c r="CC24" s="14" t="str">
        <f>IF(AND(ISNUMBER($I24),OR($K24="Milestone",$K24="Deadline"),$I24&gt;=CC$4,$I24&lt;CC$4+7),IF($K24="Deadline","◇","◆"),"")</f>
        <v/>
      </c>
      <c r="CD24" s="14" t="str">
        <f>IF(AND(ISNUMBER($I24),OR($K24="Milestone",$K24="Deadline"),$I24&gt;=CD$4,$I24&lt;CD$4+7),IF($K24="Deadline","◇","◆"),"")</f>
        <v/>
      </c>
      <c r="CE24" s="14" t="str">
        <f>IF(AND(ISNUMBER($I24),OR($K24="Milestone",$K24="Deadline"),$I24&gt;=CE$4,$I24&lt;CE$4+7),IF($K24="Deadline","◇","◆"),"")</f>
        <v/>
      </c>
      <c r="CF24" s="14" t="str">
        <f>IF(AND(ISNUMBER($I24),OR($K24="Milestone",$K24="Deadline"),$I24&gt;=CF$4,$I24&lt;CF$4+7),IF($K24="Deadline","◇","◆"),"")</f>
        <v/>
      </c>
      <c r="CG24" s="14" t="str">
        <f>IF(AND(ISNUMBER($I24),OR($K24="Milestone",$K24="Deadline"),$I24&gt;=CG$4,$I24&lt;CG$4+7),IF($K24="Deadline","◇","◆"),"")</f>
        <v/>
      </c>
      <c r="CH24" s="14" t="str">
        <f>IF(AND(ISNUMBER($I24),OR($K24="Milestone",$K24="Deadline"),$I24&gt;=CH$4,$I24&lt;CH$4+7),IF($K24="Deadline","◇","◆"),"")</f>
        <v/>
      </c>
      <c r="CI24" s="14" t="str">
        <f>IF(AND(ISNUMBER($I24),OR($K24="Milestone",$K24="Deadline"),$I24&gt;=CI$4,$I24&lt;CI$4+7),IF($K24="Deadline","◇","◆"),"")</f>
        <v/>
      </c>
      <c r="CJ24" s="14" t="str">
        <f>IF(AND(ISNUMBER($I24),OR($K24="Milestone",$K24="Deadline"),$I24&gt;=CJ$4,$I24&lt;CJ$4+7),IF($K24="Deadline","◇","◆"),"")</f>
        <v/>
      </c>
      <c r="CK24" s="14" t="str">
        <f>IF(AND(ISNUMBER($I24),OR($K24="Milestone",$K24="Deadline"),$I24&gt;=CK$4,$I24&lt;CK$4+7),IF($K24="Deadline","◇","◆"),"")</f>
        <v/>
      </c>
      <c r="CL24" s="14" t="str">
        <f>IF(AND(ISNUMBER($I24),OR($K24="Milestone",$K24="Deadline"),$I24&gt;=CL$4,$I24&lt;CL$4+7),IF($K24="Deadline","◇","◆"),"")</f>
        <v/>
      </c>
      <c r="CM24" s="14" t="str">
        <f>IF(AND(ISNUMBER($I24),OR($K24="Milestone",$K24="Deadline"),$I24&gt;=CM$4,$I24&lt;CM$4+7),IF($K24="Deadline","◇","◆"),"")</f>
        <v/>
      </c>
    </row>
    <row r="25" spans="1:91" ht="15" hidden="1" customHeight="1">
      <c r="A25" s="9" t="s">
        <v>113</v>
      </c>
      <c r="B25" s="9" t="s">
        <v>74</v>
      </c>
      <c r="C25" s="9" t="s">
        <v>93</v>
      </c>
      <c r="D25" s="9"/>
      <c r="E25" s="9"/>
      <c r="F25" s="9"/>
      <c r="G25" s="9" t="s">
        <v>114</v>
      </c>
      <c r="H25" s="9"/>
      <c r="I25" s="10">
        <v>46327</v>
      </c>
      <c r="J25" s="11">
        <f>I25</f>
        <v>46327</v>
      </c>
      <c r="K25" s="9" t="s">
        <v>68</v>
      </c>
      <c r="L25" s="9"/>
      <c r="M25" s="12"/>
      <c r="N25" s="9"/>
      <c r="O25" s="12">
        <f>IF(AND(ISNUMBER(I25),ISNUMBER(J25)),J25-I25+1,"")</f>
        <v>1</v>
      </c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4" t="str">
        <f>IF(AND(ISNUMBER($I25),OR($K25="Milestone",$K25="Deadline"),$I25&gt;=AO$4,$I25&lt;AO$4+7),IF($K25="Deadline","◇","◆"),"")</f>
        <v/>
      </c>
      <c r="AP25" s="14" t="str">
        <f>IF(AND(ISNUMBER($I25),OR($K25="Milestone",$K25="Deadline"),$I25&gt;=AP$4,$I25&lt;AP$4+7),IF($K25="Deadline","◇","◆"),"")</f>
        <v/>
      </c>
      <c r="AQ25" s="14" t="str">
        <f>IF(AND(ISNUMBER($I25),OR($K25="Milestone",$K25="Deadline"),$I25&gt;=AQ$4,$I25&lt;AQ$4+7),IF($K25="Deadline","◇","◆"),"")</f>
        <v>◆</v>
      </c>
      <c r="AR25" s="14" t="str">
        <f>IF(AND(ISNUMBER($I25),OR($K25="Milestone",$K25="Deadline"),$I25&gt;=AR$4,$I25&lt;AR$4+7),IF($K25="Deadline","◇","◆"),"")</f>
        <v/>
      </c>
      <c r="AS25" s="14" t="str">
        <f>IF(AND(ISNUMBER($I25),OR($K25="Milestone",$K25="Deadline"),$I25&gt;=AS$4,$I25&lt;AS$4+7),IF($K25="Deadline","◇","◆"),"")</f>
        <v/>
      </c>
      <c r="AT25" s="14" t="str">
        <f>IF(AND(ISNUMBER($I25),OR($K25="Milestone",$K25="Deadline"),$I25&gt;=AT$4,$I25&lt;AT$4+7),IF($K25="Deadline","◇","◆"),"")</f>
        <v/>
      </c>
      <c r="AU25" s="14" t="str">
        <f>IF(AND(ISNUMBER($I25),OR($K25="Milestone",$K25="Deadline"),$I25&gt;=AU$4,$I25&lt;AU$4+7),IF($K25="Deadline","◇","◆"),"")</f>
        <v/>
      </c>
      <c r="AV25" s="14" t="str">
        <f>IF(AND(ISNUMBER($I25),OR($K25="Milestone",$K25="Deadline"),$I25&gt;=AV$4,$I25&lt;AV$4+7),IF($K25="Deadline","◇","◆"),"")</f>
        <v/>
      </c>
      <c r="AW25" s="14" t="str">
        <f>IF(AND(ISNUMBER($I25),OR($K25="Milestone",$K25="Deadline"),$I25&gt;=AW$4,$I25&lt;AW$4+7),IF($K25="Deadline","◇","◆"),"")</f>
        <v/>
      </c>
      <c r="AX25" s="14" t="str">
        <f>IF(AND(ISNUMBER($I25),OR($K25="Milestone",$K25="Deadline"),$I25&gt;=AX$4,$I25&lt;AX$4+7),IF($K25="Deadline","◇","◆"),"")</f>
        <v/>
      </c>
      <c r="AY25" s="14" t="str">
        <f>IF(AND(ISNUMBER($I25),OR($K25="Milestone",$K25="Deadline"),$I25&gt;=AY$4,$I25&lt;AY$4+7),IF($K25="Deadline","◇","◆"),"")</f>
        <v/>
      </c>
      <c r="AZ25" s="14" t="str">
        <f>IF(AND(ISNUMBER($I25),OR($K25="Milestone",$K25="Deadline"),$I25&gt;=AZ$4,$I25&lt;AZ$4+7),IF($K25="Deadline","◇","◆"),"")</f>
        <v/>
      </c>
      <c r="BA25" s="14" t="str">
        <f>IF(AND(ISNUMBER($I25),OR($K25="Milestone",$K25="Deadline"),$I25&gt;=BA$4,$I25&lt;BA$4+7),IF($K25="Deadline","◇","◆"),"")</f>
        <v/>
      </c>
      <c r="BB25" s="14" t="str">
        <f>IF(AND(ISNUMBER($I25),OR($K25="Milestone",$K25="Deadline"),$I25&gt;=BB$4,$I25&lt;BB$4+7),IF($K25="Deadline","◇","◆"),"")</f>
        <v/>
      </c>
      <c r="BC25" s="14" t="str">
        <f>IF(AND(ISNUMBER($I25),OR($K25="Milestone",$K25="Deadline"),$I25&gt;=BC$4,$I25&lt;BC$4+7),IF($K25="Deadline","◇","◆"),"")</f>
        <v/>
      </c>
      <c r="BD25" s="14" t="str">
        <f>IF(AND(ISNUMBER($I25),OR($K25="Milestone",$K25="Deadline"),$I25&gt;=BD$4,$I25&lt;BD$4+7),IF($K25="Deadline","◇","◆"),"")</f>
        <v/>
      </c>
      <c r="BE25" s="14" t="str">
        <f>IF(AND(ISNUMBER($I25),OR($K25="Milestone",$K25="Deadline"),$I25&gt;=BE$4,$I25&lt;BE$4+7),IF($K25="Deadline","◇","◆"),"")</f>
        <v/>
      </c>
      <c r="BF25" s="14" t="str">
        <f>IF(AND(ISNUMBER($I25),OR($K25="Milestone",$K25="Deadline"),$I25&gt;=BF$4,$I25&lt;BF$4+7),IF($K25="Deadline","◇","◆"),"")</f>
        <v/>
      </c>
      <c r="BG25" s="14" t="str">
        <f>IF(AND(ISNUMBER($I25),OR($K25="Milestone",$K25="Deadline"),$I25&gt;=BG$4,$I25&lt;BG$4+7),IF($K25="Deadline","◇","◆"),"")</f>
        <v/>
      </c>
      <c r="BH25" s="14" t="str">
        <f>IF(AND(ISNUMBER($I25),OR($K25="Milestone",$K25="Deadline"),$I25&gt;=BH$4,$I25&lt;BH$4+7),IF($K25="Deadline","◇","◆"),"")</f>
        <v/>
      </c>
      <c r="BI25" s="14" t="str">
        <f>IF(AND(ISNUMBER($I25),OR($K25="Milestone",$K25="Deadline"),$I25&gt;=BI$4,$I25&lt;BI$4+7),IF($K25="Deadline","◇","◆"),"")</f>
        <v/>
      </c>
      <c r="BJ25" s="14" t="str">
        <f>IF(AND(ISNUMBER($I25),OR($K25="Milestone",$K25="Deadline"),$I25&gt;=BJ$4,$I25&lt;BJ$4+7),IF($K25="Deadline","◇","◆"),"")</f>
        <v/>
      </c>
      <c r="BK25" s="14" t="str">
        <f>IF(AND(ISNUMBER($I25),OR($K25="Milestone",$K25="Deadline"),$I25&gt;=BK$4,$I25&lt;BK$4+7),IF($K25="Deadline","◇","◆"),"")</f>
        <v/>
      </c>
      <c r="BL25" s="14" t="str">
        <f>IF(AND(ISNUMBER($I25),OR($K25="Milestone",$K25="Deadline"),$I25&gt;=BL$4,$I25&lt;BL$4+7),IF($K25="Deadline","◇","◆"),"")</f>
        <v/>
      </c>
      <c r="BM25" s="14" t="str">
        <f>IF(AND(ISNUMBER($I25),OR($K25="Milestone",$K25="Deadline"),$I25&gt;=BM$4,$I25&lt;BM$4+7),IF($K25="Deadline","◇","◆"),"")</f>
        <v/>
      </c>
      <c r="BN25" s="14" t="str">
        <f>IF(AND(ISNUMBER($I25),OR($K25="Milestone",$K25="Deadline"),$I25&gt;=BN$4,$I25&lt;BN$4+7),IF($K25="Deadline","◇","◆"),"")</f>
        <v/>
      </c>
      <c r="BO25" s="14" t="str">
        <f>IF(AND(ISNUMBER($I25),OR($K25="Milestone",$K25="Deadline"),$I25&gt;=BO$4,$I25&lt;BO$4+7),IF($K25="Deadline","◇","◆"),"")</f>
        <v/>
      </c>
      <c r="BP25" s="14" t="str">
        <f>IF(AND(ISNUMBER($I25),OR($K25="Milestone",$K25="Deadline"),$I25&gt;=BP$4,$I25&lt;BP$4+7),IF($K25="Deadline","◇","◆"),"")</f>
        <v/>
      </c>
      <c r="BQ25" s="14" t="str">
        <f>IF(AND(ISNUMBER($I25),OR($K25="Milestone",$K25="Deadline"),$I25&gt;=BQ$4,$I25&lt;BQ$4+7),IF($K25="Deadline","◇","◆"),"")</f>
        <v/>
      </c>
      <c r="BR25" s="14" t="str">
        <f>IF(AND(ISNUMBER($I25),OR($K25="Milestone",$K25="Deadline"),$I25&gt;=BR$4,$I25&lt;BR$4+7),IF($K25="Deadline","◇","◆"),"")</f>
        <v/>
      </c>
      <c r="BS25" s="14" t="str">
        <f>IF(AND(ISNUMBER($I25),OR($K25="Milestone",$K25="Deadline"),$I25&gt;=BS$4,$I25&lt;BS$4+7),IF($K25="Deadline","◇","◆"),"")</f>
        <v/>
      </c>
      <c r="BT25" s="14" t="str">
        <f>IF(AND(ISNUMBER($I25),OR($K25="Milestone",$K25="Deadline"),$I25&gt;=BT$4,$I25&lt;BT$4+7),IF($K25="Deadline","◇","◆"),"")</f>
        <v/>
      </c>
      <c r="BU25" s="14" t="str">
        <f>IF(AND(ISNUMBER($I25),OR($K25="Milestone",$K25="Deadline"),$I25&gt;=BU$4,$I25&lt;BU$4+7),IF($K25="Deadline","◇","◆"),"")</f>
        <v/>
      </c>
      <c r="BV25" s="14" t="str">
        <f>IF(AND(ISNUMBER($I25),OR($K25="Milestone",$K25="Deadline"),$I25&gt;=BV$4,$I25&lt;BV$4+7),IF($K25="Deadline","◇","◆"),"")</f>
        <v/>
      </c>
      <c r="BW25" s="14" t="str">
        <f>IF(AND(ISNUMBER($I25),OR($K25="Milestone",$K25="Deadline"),$I25&gt;=BW$4,$I25&lt;BW$4+7),IF($K25="Deadline","◇","◆"),"")</f>
        <v/>
      </c>
      <c r="BX25" s="14" t="str">
        <f>IF(AND(ISNUMBER($I25),OR($K25="Milestone",$K25="Deadline"),$I25&gt;=BX$4,$I25&lt;BX$4+7),IF($K25="Deadline","◇","◆"),"")</f>
        <v/>
      </c>
      <c r="BY25" s="14" t="str">
        <f>IF(AND(ISNUMBER($I25),OR($K25="Milestone",$K25="Deadline"),$I25&gt;=BY$4,$I25&lt;BY$4+7),IF($K25="Deadline","◇","◆"),"")</f>
        <v/>
      </c>
      <c r="BZ25" s="14" t="str">
        <f>IF(AND(ISNUMBER($I25),OR($K25="Milestone",$K25="Deadline"),$I25&gt;=BZ$4,$I25&lt;BZ$4+7),IF($K25="Deadline","◇","◆"),"")</f>
        <v/>
      </c>
      <c r="CA25" s="14" t="str">
        <f>IF(AND(ISNUMBER($I25),OR($K25="Milestone",$K25="Deadline"),$I25&gt;=CA$4,$I25&lt;CA$4+7),IF($K25="Deadline","◇","◆"),"")</f>
        <v/>
      </c>
      <c r="CB25" s="14" t="str">
        <f>IF(AND(ISNUMBER($I25),OR($K25="Milestone",$K25="Deadline"),$I25&gt;=CB$4,$I25&lt;CB$4+7),IF($K25="Deadline","◇","◆"),"")</f>
        <v/>
      </c>
      <c r="CC25" s="14" t="str">
        <f>IF(AND(ISNUMBER($I25),OR($K25="Milestone",$K25="Deadline"),$I25&gt;=CC$4,$I25&lt;CC$4+7),IF($K25="Deadline","◇","◆"),"")</f>
        <v/>
      </c>
      <c r="CD25" s="14" t="str">
        <f>IF(AND(ISNUMBER($I25),OR($K25="Milestone",$K25="Deadline"),$I25&gt;=CD$4,$I25&lt;CD$4+7),IF($K25="Deadline","◇","◆"),"")</f>
        <v/>
      </c>
      <c r="CE25" s="14" t="str">
        <f>IF(AND(ISNUMBER($I25),OR($K25="Milestone",$K25="Deadline"),$I25&gt;=CE$4,$I25&lt;CE$4+7),IF($K25="Deadline","◇","◆"),"")</f>
        <v/>
      </c>
      <c r="CF25" s="14" t="str">
        <f>IF(AND(ISNUMBER($I25),OR($K25="Milestone",$K25="Deadline"),$I25&gt;=CF$4,$I25&lt;CF$4+7),IF($K25="Deadline","◇","◆"),"")</f>
        <v/>
      </c>
      <c r="CG25" s="14" t="str">
        <f>IF(AND(ISNUMBER($I25),OR($K25="Milestone",$K25="Deadline"),$I25&gt;=CG$4,$I25&lt;CG$4+7),IF($K25="Deadline","◇","◆"),"")</f>
        <v/>
      </c>
      <c r="CH25" s="14" t="str">
        <f>IF(AND(ISNUMBER($I25),OR($K25="Milestone",$K25="Deadline"),$I25&gt;=CH$4,$I25&lt;CH$4+7),IF($K25="Deadline","◇","◆"),"")</f>
        <v/>
      </c>
      <c r="CI25" s="14" t="str">
        <f>IF(AND(ISNUMBER($I25),OR($K25="Milestone",$K25="Deadline"),$I25&gt;=CI$4,$I25&lt;CI$4+7),IF($K25="Deadline","◇","◆"),"")</f>
        <v/>
      </c>
      <c r="CJ25" s="14" t="str">
        <f>IF(AND(ISNUMBER($I25),OR($K25="Milestone",$K25="Deadline"),$I25&gt;=CJ$4,$I25&lt;CJ$4+7),IF($K25="Deadline","◇","◆"),"")</f>
        <v/>
      </c>
      <c r="CK25" s="14" t="str">
        <f>IF(AND(ISNUMBER($I25),OR($K25="Milestone",$K25="Deadline"),$I25&gt;=CK$4,$I25&lt;CK$4+7),IF($K25="Deadline","◇","◆"),"")</f>
        <v/>
      </c>
      <c r="CL25" s="14" t="str">
        <f>IF(AND(ISNUMBER($I25),OR($K25="Milestone",$K25="Deadline"),$I25&gt;=CL$4,$I25&lt;CL$4+7),IF($K25="Deadline","◇","◆"),"")</f>
        <v/>
      </c>
      <c r="CM25" s="14" t="str">
        <f>IF(AND(ISNUMBER($I25),OR($K25="Milestone",$K25="Deadline"),$I25&gt;=CM$4,$I25&lt;CM$4+7),IF($K25="Deadline","◇","◆"),"")</f>
        <v/>
      </c>
    </row>
    <row r="26" spans="1:91" ht="15" hidden="1" customHeight="1">
      <c r="A26" s="15" t="s">
        <v>115</v>
      </c>
      <c r="B26" s="15" t="s">
        <v>116</v>
      </c>
      <c r="C26" s="15" t="s">
        <v>117</v>
      </c>
      <c r="D26" s="15"/>
      <c r="E26" s="15"/>
      <c r="F26" s="15"/>
      <c r="G26" s="15" t="s">
        <v>118</v>
      </c>
      <c r="H26" s="15"/>
      <c r="I26" s="16">
        <v>46418</v>
      </c>
      <c r="J26" s="17">
        <f>I26</f>
        <v>46418</v>
      </c>
      <c r="K26" s="15" t="s">
        <v>68</v>
      </c>
      <c r="L26" s="15"/>
      <c r="M26" s="18"/>
      <c r="N26" s="15" t="s">
        <v>119</v>
      </c>
      <c r="O26" s="18">
        <f>IF(AND(ISNUMBER(I26),ISNUMBER(J26)),J26-I26+1,"")</f>
        <v>1</v>
      </c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4" t="str">
        <f>IF(AND(ISNUMBER($I26),OR($K26="Milestone",$K26="Deadline"),$I26&gt;=AO$4,$I26&lt;AO$4+7),IF($K26="Deadline","◇","◆"),"")</f>
        <v/>
      </c>
      <c r="AP26" s="14" t="str">
        <f>IF(AND(ISNUMBER($I26),OR($K26="Milestone",$K26="Deadline"),$I26&gt;=AP$4,$I26&lt;AP$4+7),IF($K26="Deadline","◇","◆"),"")</f>
        <v/>
      </c>
      <c r="AQ26" s="14" t="str">
        <f>IF(AND(ISNUMBER($I26),OR($K26="Milestone",$K26="Deadline"),$I26&gt;=AQ$4,$I26&lt;AQ$4+7),IF($K26="Deadline","◇","◆"),"")</f>
        <v/>
      </c>
      <c r="AR26" s="14" t="str">
        <f>IF(AND(ISNUMBER($I26),OR($K26="Milestone",$K26="Deadline"),$I26&gt;=AR$4,$I26&lt;AR$4+7),IF($K26="Deadline","◇","◆"),"")</f>
        <v/>
      </c>
      <c r="AS26" s="14" t="str">
        <f>IF(AND(ISNUMBER($I26),OR($K26="Milestone",$K26="Deadline"),$I26&gt;=AS$4,$I26&lt;AS$4+7),IF($K26="Deadline","◇","◆"),"")</f>
        <v/>
      </c>
      <c r="AT26" s="14" t="str">
        <f>IF(AND(ISNUMBER($I26),OR($K26="Milestone",$K26="Deadline"),$I26&gt;=AT$4,$I26&lt;AT$4+7),IF($K26="Deadline","◇","◆"),"")</f>
        <v/>
      </c>
      <c r="AU26" s="14" t="str">
        <f>IF(AND(ISNUMBER($I26),OR($K26="Milestone",$K26="Deadline"),$I26&gt;=AU$4,$I26&lt;AU$4+7),IF($K26="Deadline","◇","◆"),"")</f>
        <v/>
      </c>
      <c r="AV26" s="14" t="str">
        <f>IF(AND(ISNUMBER($I26),OR($K26="Milestone",$K26="Deadline"),$I26&gt;=AV$4,$I26&lt;AV$4+7),IF($K26="Deadline","◇","◆"),"")</f>
        <v/>
      </c>
      <c r="AW26" s="14" t="str">
        <f>IF(AND(ISNUMBER($I26),OR($K26="Milestone",$K26="Deadline"),$I26&gt;=AW$4,$I26&lt;AW$4+7),IF($K26="Deadline","◇","◆"),"")</f>
        <v/>
      </c>
      <c r="AX26" s="14" t="str">
        <f>IF(AND(ISNUMBER($I26),OR($K26="Milestone",$K26="Deadline"),$I26&gt;=AX$4,$I26&lt;AX$4+7),IF($K26="Deadline","◇","◆"),"")</f>
        <v/>
      </c>
      <c r="AY26" s="14" t="str">
        <f>IF(AND(ISNUMBER($I26),OR($K26="Milestone",$K26="Deadline"),$I26&gt;=AY$4,$I26&lt;AY$4+7),IF($K26="Deadline","◇","◆"),"")</f>
        <v/>
      </c>
      <c r="AZ26" s="14" t="str">
        <f>IF(AND(ISNUMBER($I26),OR($K26="Milestone",$K26="Deadline"),$I26&gt;=AZ$4,$I26&lt;AZ$4+7),IF($K26="Deadline","◇","◆"),"")</f>
        <v/>
      </c>
      <c r="BA26" s="14" t="str">
        <f>IF(AND(ISNUMBER($I26),OR($K26="Milestone",$K26="Deadline"),$I26&gt;=BA$4,$I26&lt;BA$4+7),IF($K26="Deadline","◇","◆"),"")</f>
        <v/>
      </c>
      <c r="BB26" s="14" t="str">
        <f>IF(AND(ISNUMBER($I26),OR($K26="Milestone",$K26="Deadline"),$I26&gt;=BB$4,$I26&lt;BB$4+7),IF($K26="Deadline","◇","◆"),"")</f>
        <v/>
      </c>
      <c r="BC26" s="14" t="str">
        <f>IF(AND(ISNUMBER($I26),OR($K26="Milestone",$K26="Deadline"),$I26&gt;=BC$4,$I26&lt;BC$4+7),IF($K26="Deadline","◇","◆"),"")</f>
        <v/>
      </c>
      <c r="BD26" s="14" t="str">
        <f>IF(AND(ISNUMBER($I26),OR($K26="Milestone",$K26="Deadline"),$I26&gt;=BD$4,$I26&lt;BD$4+7),IF($K26="Deadline","◇","◆"),"")</f>
        <v>◆</v>
      </c>
      <c r="BE26" s="14" t="str">
        <f>IF(AND(ISNUMBER($I26),OR($K26="Milestone",$K26="Deadline"),$I26&gt;=BE$4,$I26&lt;BE$4+7),IF($K26="Deadline","◇","◆"),"")</f>
        <v/>
      </c>
      <c r="BF26" s="14" t="str">
        <f>IF(AND(ISNUMBER($I26),OR($K26="Milestone",$K26="Deadline"),$I26&gt;=BF$4,$I26&lt;BF$4+7),IF($K26="Deadline","◇","◆"),"")</f>
        <v/>
      </c>
      <c r="BG26" s="14" t="str">
        <f>IF(AND(ISNUMBER($I26),OR($K26="Milestone",$K26="Deadline"),$I26&gt;=BG$4,$I26&lt;BG$4+7),IF($K26="Deadline","◇","◆"),"")</f>
        <v/>
      </c>
      <c r="BH26" s="14" t="str">
        <f>IF(AND(ISNUMBER($I26),OR($K26="Milestone",$K26="Deadline"),$I26&gt;=BH$4,$I26&lt;BH$4+7),IF($K26="Deadline","◇","◆"),"")</f>
        <v/>
      </c>
      <c r="BI26" s="14" t="str">
        <f>IF(AND(ISNUMBER($I26),OR($K26="Milestone",$K26="Deadline"),$I26&gt;=BI$4,$I26&lt;BI$4+7),IF($K26="Deadline","◇","◆"),"")</f>
        <v/>
      </c>
      <c r="BJ26" s="14" t="str">
        <f>IF(AND(ISNUMBER($I26),OR($K26="Milestone",$K26="Deadline"),$I26&gt;=BJ$4,$I26&lt;BJ$4+7),IF($K26="Deadline","◇","◆"),"")</f>
        <v/>
      </c>
      <c r="BK26" s="14" t="str">
        <f>IF(AND(ISNUMBER($I26),OR($K26="Milestone",$K26="Deadline"),$I26&gt;=BK$4,$I26&lt;BK$4+7),IF($K26="Deadline","◇","◆"),"")</f>
        <v/>
      </c>
      <c r="BL26" s="14" t="str">
        <f>IF(AND(ISNUMBER($I26),OR($K26="Milestone",$K26="Deadline"),$I26&gt;=BL$4,$I26&lt;BL$4+7),IF($K26="Deadline","◇","◆"),"")</f>
        <v/>
      </c>
      <c r="BM26" s="14" t="str">
        <f>IF(AND(ISNUMBER($I26),OR($K26="Milestone",$K26="Deadline"),$I26&gt;=BM$4,$I26&lt;BM$4+7),IF($K26="Deadline","◇","◆"),"")</f>
        <v/>
      </c>
      <c r="BN26" s="14" t="str">
        <f>IF(AND(ISNUMBER($I26),OR($K26="Milestone",$K26="Deadline"),$I26&gt;=BN$4,$I26&lt;BN$4+7),IF($K26="Deadline","◇","◆"),"")</f>
        <v/>
      </c>
      <c r="BO26" s="14" t="str">
        <f>IF(AND(ISNUMBER($I26),OR($K26="Milestone",$K26="Deadline"),$I26&gt;=BO$4,$I26&lt;BO$4+7),IF($K26="Deadline","◇","◆"),"")</f>
        <v/>
      </c>
      <c r="BP26" s="14" t="str">
        <f>IF(AND(ISNUMBER($I26),OR($K26="Milestone",$K26="Deadline"),$I26&gt;=BP$4,$I26&lt;BP$4+7),IF($K26="Deadline","◇","◆"),"")</f>
        <v/>
      </c>
      <c r="BQ26" s="14" t="str">
        <f>IF(AND(ISNUMBER($I26),OR($K26="Milestone",$K26="Deadline"),$I26&gt;=BQ$4,$I26&lt;BQ$4+7),IF($K26="Deadline","◇","◆"),"")</f>
        <v/>
      </c>
      <c r="BR26" s="14" t="str">
        <f>IF(AND(ISNUMBER($I26),OR($K26="Milestone",$K26="Deadline"),$I26&gt;=BR$4,$I26&lt;BR$4+7),IF($K26="Deadline","◇","◆"),"")</f>
        <v/>
      </c>
      <c r="BS26" s="14" t="str">
        <f>IF(AND(ISNUMBER($I26),OR($K26="Milestone",$K26="Deadline"),$I26&gt;=BS$4,$I26&lt;BS$4+7),IF($K26="Deadline","◇","◆"),"")</f>
        <v/>
      </c>
      <c r="BT26" s="14" t="str">
        <f>IF(AND(ISNUMBER($I26),OR($K26="Milestone",$K26="Deadline"),$I26&gt;=BT$4,$I26&lt;BT$4+7),IF($K26="Deadline","◇","◆"),"")</f>
        <v/>
      </c>
      <c r="BU26" s="14" t="str">
        <f>IF(AND(ISNUMBER($I26),OR($K26="Milestone",$K26="Deadline"),$I26&gt;=BU$4,$I26&lt;BU$4+7),IF($K26="Deadline","◇","◆"),"")</f>
        <v/>
      </c>
      <c r="BV26" s="14" t="str">
        <f>IF(AND(ISNUMBER($I26),OR($K26="Milestone",$K26="Deadline"),$I26&gt;=BV$4,$I26&lt;BV$4+7),IF($K26="Deadline","◇","◆"),"")</f>
        <v/>
      </c>
      <c r="BW26" s="14" t="str">
        <f>IF(AND(ISNUMBER($I26),OR($K26="Milestone",$K26="Deadline"),$I26&gt;=BW$4,$I26&lt;BW$4+7),IF($K26="Deadline","◇","◆"),"")</f>
        <v/>
      </c>
      <c r="BX26" s="14" t="str">
        <f>IF(AND(ISNUMBER($I26),OR($K26="Milestone",$K26="Deadline"),$I26&gt;=BX$4,$I26&lt;BX$4+7),IF($K26="Deadline","◇","◆"),"")</f>
        <v/>
      </c>
      <c r="BY26" s="14" t="str">
        <f>IF(AND(ISNUMBER($I26),OR($K26="Milestone",$K26="Deadline"),$I26&gt;=BY$4,$I26&lt;BY$4+7),IF($K26="Deadline","◇","◆"),"")</f>
        <v/>
      </c>
      <c r="BZ26" s="14" t="str">
        <f>IF(AND(ISNUMBER($I26),OR($K26="Milestone",$K26="Deadline"),$I26&gt;=BZ$4,$I26&lt;BZ$4+7),IF($K26="Deadline","◇","◆"),"")</f>
        <v/>
      </c>
      <c r="CA26" s="14" t="str">
        <f>IF(AND(ISNUMBER($I26),OR($K26="Milestone",$K26="Deadline"),$I26&gt;=CA$4,$I26&lt;CA$4+7),IF($K26="Deadline","◇","◆"),"")</f>
        <v/>
      </c>
      <c r="CB26" s="14" t="str">
        <f>IF(AND(ISNUMBER($I26),OR($K26="Milestone",$K26="Deadline"),$I26&gt;=CB$4,$I26&lt;CB$4+7),IF($K26="Deadline","◇","◆"),"")</f>
        <v/>
      </c>
      <c r="CC26" s="14" t="str">
        <f>IF(AND(ISNUMBER($I26),OR($K26="Milestone",$K26="Deadline"),$I26&gt;=CC$4,$I26&lt;CC$4+7),IF($K26="Deadline","◇","◆"),"")</f>
        <v/>
      </c>
      <c r="CD26" s="14" t="str">
        <f>IF(AND(ISNUMBER($I26),OR($K26="Milestone",$K26="Deadline"),$I26&gt;=CD$4,$I26&lt;CD$4+7),IF($K26="Deadline","◇","◆"),"")</f>
        <v/>
      </c>
      <c r="CE26" s="14" t="str">
        <f>IF(AND(ISNUMBER($I26),OR($K26="Milestone",$K26="Deadline"),$I26&gt;=CE$4,$I26&lt;CE$4+7),IF($K26="Deadline","◇","◆"),"")</f>
        <v/>
      </c>
      <c r="CF26" s="14" t="str">
        <f>IF(AND(ISNUMBER($I26),OR($K26="Milestone",$K26="Deadline"),$I26&gt;=CF$4,$I26&lt;CF$4+7),IF($K26="Deadline","◇","◆"),"")</f>
        <v/>
      </c>
      <c r="CG26" s="14" t="str">
        <f>IF(AND(ISNUMBER($I26),OR($K26="Milestone",$K26="Deadline"),$I26&gt;=CG$4,$I26&lt;CG$4+7),IF($K26="Deadline","◇","◆"),"")</f>
        <v/>
      </c>
      <c r="CH26" s="14" t="str">
        <f>IF(AND(ISNUMBER($I26),OR($K26="Milestone",$K26="Deadline"),$I26&gt;=CH$4,$I26&lt;CH$4+7),IF($K26="Deadline","◇","◆"),"")</f>
        <v/>
      </c>
      <c r="CI26" s="14" t="str">
        <f>IF(AND(ISNUMBER($I26),OR($K26="Milestone",$K26="Deadline"),$I26&gt;=CI$4,$I26&lt;CI$4+7),IF($K26="Deadline","◇","◆"),"")</f>
        <v/>
      </c>
      <c r="CJ26" s="14" t="str">
        <f>IF(AND(ISNUMBER($I26),OR($K26="Milestone",$K26="Deadline"),$I26&gt;=CJ$4,$I26&lt;CJ$4+7),IF($K26="Deadline","◇","◆"),"")</f>
        <v/>
      </c>
      <c r="CK26" s="14" t="str">
        <f>IF(AND(ISNUMBER($I26),OR($K26="Milestone",$K26="Deadline"),$I26&gt;=CK$4,$I26&lt;CK$4+7),IF($K26="Deadline","◇","◆"),"")</f>
        <v/>
      </c>
      <c r="CL26" s="14" t="str">
        <f>IF(AND(ISNUMBER($I26),OR($K26="Milestone",$K26="Deadline"),$I26&gt;=CL$4,$I26&lt;CL$4+7),IF($K26="Deadline","◇","◆"),"")</f>
        <v/>
      </c>
      <c r="CM26" s="14" t="str">
        <f>IF(AND(ISNUMBER($I26),OR($K26="Milestone",$K26="Deadline"),$I26&gt;=CM$4,$I26&lt;CM$4+7),IF($K26="Deadline","◇","◆"),"")</f>
        <v/>
      </c>
    </row>
    <row r="27" spans="1:91" ht="15" hidden="1" customHeight="1">
      <c r="A27" s="15" t="s">
        <v>120</v>
      </c>
      <c r="B27" s="15" t="s">
        <v>116</v>
      </c>
      <c r="C27" s="15" t="s">
        <v>117</v>
      </c>
      <c r="D27" s="15"/>
      <c r="E27" s="15"/>
      <c r="F27" s="15"/>
      <c r="G27" s="15" t="s">
        <v>121</v>
      </c>
      <c r="H27" s="15"/>
      <c r="I27" s="16">
        <v>46477</v>
      </c>
      <c r="J27" s="17">
        <f>I27</f>
        <v>46477</v>
      </c>
      <c r="K27" s="15" t="s">
        <v>68</v>
      </c>
      <c r="L27" s="15"/>
      <c r="M27" s="18"/>
      <c r="N27" s="15" t="s">
        <v>122</v>
      </c>
      <c r="O27" s="18">
        <f>IF(AND(ISNUMBER(I27),ISNUMBER(J27)),J27-I27+1,"")</f>
        <v>1</v>
      </c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4" t="str">
        <f>IF(AND(ISNUMBER($I27),OR($K27="Milestone",$K27="Deadline"),$I27&gt;=AO$4,$I27&lt;AO$4+7),IF($K27="Deadline","◇","◆"),"")</f>
        <v/>
      </c>
      <c r="AP27" s="14" t="str">
        <f>IF(AND(ISNUMBER($I27),OR($K27="Milestone",$K27="Deadline"),$I27&gt;=AP$4,$I27&lt;AP$4+7),IF($K27="Deadline","◇","◆"),"")</f>
        <v/>
      </c>
      <c r="AQ27" s="14" t="str">
        <f>IF(AND(ISNUMBER($I27),OR($K27="Milestone",$K27="Deadline"),$I27&gt;=AQ$4,$I27&lt;AQ$4+7),IF($K27="Deadline","◇","◆"),"")</f>
        <v/>
      </c>
      <c r="AR27" s="14" t="str">
        <f>IF(AND(ISNUMBER($I27),OR($K27="Milestone",$K27="Deadline"),$I27&gt;=AR$4,$I27&lt;AR$4+7),IF($K27="Deadline","◇","◆"),"")</f>
        <v/>
      </c>
      <c r="AS27" s="14" t="str">
        <f>IF(AND(ISNUMBER($I27),OR($K27="Milestone",$K27="Deadline"),$I27&gt;=AS$4,$I27&lt;AS$4+7),IF($K27="Deadline","◇","◆"),"")</f>
        <v/>
      </c>
      <c r="AT27" s="14" t="str">
        <f>IF(AND(ISNUMBER($I27),OR($K27="Milestone",$K27="Deadline"),$I27&gt;=AT$4,$I27&lt;AT$4+7),IF($K27="Deadline","◇","◆"),"")</f>
        <v/>
      </c>
      <c r="AU27" s="14" t="str">
        <f>IF(AND(ISNUMBER($I27),OR($K27="Milestone",$K27="Deadline"),$I27&gt;=AU$4,$I27&lt;AU$4+7),IF($K27="Deadline","◇","◆"),"")</f>
        <v/>
      </c>
      <c r="AV27" s="14" t="str">
        <f>IF(AND(ISNUMBER($I27),OR($K27="Milestone",$K27="Deadline"),$I27&gt;=AV$4,$I27&lt;AV$4+7),IF($K27="Deadline","◇","◆"),"")</f>
        <v/>
      </c>
      <c r="AW27" s="14" t="str">
        <f>IF(AND(ISNUMBER($I27),OR($K27="Milestone",$K27="Deadline"),$I27&gt;=AW$4,$I27&lt;AW$4+7),IF($K27="Deadline","◇","◆"),"")</f>
        <v/>
      </c>
      <c r="AX27" s="14" t="str">
        <f>IF(AND(ISNUMBER($I27),OR($K27="Milestone",$K27="Deadline"),$I27&gt;=AX$4,$I27&lt;AX$4+7),IF($K27="Deadline","◇","◆"),"")</f>
        <v/>
      </c>
      <c r="AY27" s="14" t="str">
        <f>IF(AND(ISNUMBER($I27),OR($K27="Milestone",$K27="Deadline"),$I27&gt;=AY$4,$I27&lt;AY$4+7),IF($K27="Deadline","◇","◆"),"")</f>
        <v/>
      </c>
      <c r="AZ27" s="14" t="str">
        <f>IF(AND(ISNUMBER($I27),OR($K27="Milestone",$K27="Deadline"),$I27&gt;=AZ$4,$I27&lt;AZ$4+7),IF($K27="Deadline","◇","◆"),"")</f>
        <v/>
      </c>
      <c r="BA27" s="14" t="str">
        <f>IF(AND(ISNUMBER($I27),OR($K27="Milestone",$K27="Deadline"),$I27&gt;=BA$4,$I27&lt;BA$4+7),IF($K27="Deadline","◇","◆"),"")</f>
        <v/>
      </c>
      <c r="BB27" s="14" t="str">
        <f>IF(AND(ISNUMBER($I27),OR($K27="Milestone",$K27="Deadline"),$I27&gt;=BB$4,$I27&lt;BB$4+7),IF($K27="Deadline","◇","◆"),"")</f>
        <v/>
      </c>
      <c r="BC27" s="14" t="str">
        <f>IF(AND(ISNUMBER($I27),OR($K27="Milestone",$K27="Deadline"),$I27&gt;=BC$4,$I27&lt;BC$4+7),IF($K27="Deadline","◇","◆"),"")</f>
        <v/>
      </c>
      <c r="BD27" s="14" t="str">
        <f>IF(AND(ISNUMBER($I27),OR($K27="Milestone",$K27="Deadline"),$I27&gt;=BD$4,$I27&lt;BD$4+7),IF($K27="Deadline","◇","◆"),"")</f>
        <v/>
      </c>
      <c r="BE27" s="14" t="str">
        <f>IF(AND(ISNUMBER($I27),OR($K27="Milestone",$K27="Deadline"),$I27&gt;=BE$4,$I27&lt;BE$4+7),IF($K27="Deadline","◇","◆"),"")</f>
        <v/>
      </c>
      <c r="BF27" s="14" t="str">
        <f>IF(AND(ISNUMBER($I27),OR($K27="Milestone",$K27="Deadline"),$I27&gt;=BF$4,$I27&lt;BF$4+7),IF($K27="Deadline","◇","◆"),"")</f>
        <v/>
      </c>
      <c r="BG27" s="14" t="str">
        <f>IF(AND(ISNUMBER($I27),OR($K27="Milestone",$K27="Deadline"),$I27&gt;=BG$4,$I27&lt;BG$4+7),IF($K27="Deadline","◇","◆"),"")</f>
        <v/>
      </c>
      <c r="BH27" s="14" t="str">
        <f>IF(AND(ISNUMBER($I27),OR($K27="Milestone",$K27="Deadline"),$I27&gt;=BH$4,$I27&lt;BH$4+7),IF($K27="Deadline","◇","◆"),"")</f>
        <v/>
      </c>
      <c r="BI27" s="14" t="str">
        <f>IF(AND(ISNUMBER($I27),OR($K27="Milestone",$K27="Deadline"),$I27&gt;=BI$4,$I27&lt;BI$4+7),IF($K27="Deadline","◇","◆"),"")</f>
        <v/>
      </c>
      <c r="BJ27" s="14" t="str">
        <f>IF(AND(ISNUMBER($I27),OR($K27="Milestone",$K27="Deadline"),$I27&gt;=BJ$4,$I27&lt;BJ$4+7),IF($K27="Deadline","◇","◆"),"")</f>
        <v/>
      </c>
      <c r="BK27" s="14" t="str">
        <f>IF(AND(ISNUMBER($I27),OR($K27="Milestone",$K27="Deadline"),$I27&gt;=BK$4,$I27&lt;BK$4+7),IF($K27="Deadline","◇","◆"),"")</f>
        <v/>
      </c>
      <c r="BL27" s="14" t="str">
        <f>IF(AND(ISNUMBER($I27),OR($K27="Milestone",$K27="Deadline"),$I27&gt;=BL$4,$I27&lt;BL$4+7),IF($K27="Deadline","◇","◆"),"")</f>
        <v/>
      </c>
      <c r="BM27" s="14" t="str">
        <f>IF(AND(ISNUMBER($I27),OR($K27="Milestone",$K27="Deadline"),$I27&gt;=BM$4,$I27&lt;BM$4+7),IF($K27="Deadline","◇","◆"),"")</f>
        <v>◆</v>
      </c>
      <c r="BN27" s="14" t="str">
        <f>IF(AND(ISNUMBER($I27),OR($K27="Milestone",$K27="Deadline"),$I27&gt;=BN$4,$I27&lt;BN$4+7),IF($K27="Deadline","◇","◆"),"")</f>
        <v/>
      </c>
      <c r="BO27" s="14" t="str">
        <f>IF(AND(ISNUMBER($I27),OR($K27="Milestone",$K27="Deadline"),$I27&gt;=BO$4,$I27&lt;BO$4+7),IF($K27="Deadline","◇","◆"),"")</f>
        <v/>
      </c>
      <c r="BP27" s="14" t="str">
        <f>IF(AND(ISNUMBER($I27),OR($K27="Milestone",$K27="Deadline"),$I27&gt;=BP$4,$I27&lt;BP$4+7),IF($K27="Deadline","◇","◆"),"")</f>
        <v/>
      </c>
      <c r="BQ27" s="14" t="str">
        <f>IF(AND(ISNUMBER($I27),OR($K27="Milestone",$K27="Deadline"),$I27&gt;=BQ$4,$I27&lt;BQ$4+7),IF($K27="Deadline","◇","◆"),"")</f>
        <v/>
      </c>
      <c r="BR27" s="14" t="str">
        <f>IF(AND(ISNUMBER($I27),OR($K27="Milestone",$K27="Deadline"),$I27&gt;=BR$4,$I27&lt;BR$4+7),IF($K27="Deadline","◇","◆"),"")</f>
        <v/>
      </c>
      <c r="BS27" s="14" t="str">
        <f>IF(AND(ISNUMBER($I27),OR($K27="Milestone",$K27="Deadline"),$I27&gt;=BS$4,$I27&lt;BS$4+7),IF($K27="Deadline","◇","◆"),"")</f>
        <v/>
      </c>
      <c r="BT27" s="14" t="str">
        <f>IF(AND(ISNUMBER($I27),OR($K27="Milestone",$K27="Deadline"),$I27&gt;=BT$4,$I27&lt;BT$4+7),IF($K27="Deadline","◇","◆"),"")</f>
        <v/>
      </c>
      <c r="BU27" s="14" t="str">
        <f>IF(AND(ISNUMBER($I27),OR($K27="Milestone",$K27="Deadline"),$I27&gt;=BU$4,$I27&lt;BU$4+7),IF($K27="Deadline","◇","◆"),"")</f>
        <v/>
      </c>
      <c r="BV27" s="14" t="str">
        <f>IF(AND(ISNUMBER($I27),OR($K27="Milestone",$K27="Deadline"),$I27&gt;=BV$4,$I27&lt;BV$4+7),IF($K27="Deadline","◇","◆"),"")</f>
        <v/>
      </c>
      <c r="BW27" s="14" t="str">
        <f>IF(AND(ISNUMBER($I27),OR($K27="Milestone",$K27="Deadline"),$I27&gt;=BW$4,$I27&lt;BW$4+7),IF($K27="Deadline","◇","◆"),"")</f>
        <v/>
      </c>
      <c r="BX27" s="14" t="str">
        <f>IF(AND(ISNUMBER($I27),OR($K27="Milestone",$K27="Deadline"),$I27&gt;=BX$4,$I27&lt;BX$4+7),IF($K27="Deadline","◇","◆"),"")</f>
        <v/>
      </c>
      <c r="BY27" s="14" t="str">
        <f>IF(AND(ISNUMBER($I27),OR($K27="Milestone",$K27="Deadline"),$I27&gt;=BY$4,$I27&lt;BY$4+7),IF($K27="Deadline","◇","◆"),"")</f>
        <v/>
      </c>
      <c r="BZ27" s="14" t="str">
        <f>IF(AND(ISNUMBER($I27),OR($K27="Milestone",$K27="Deadline"),$I27&gt;=BZ$4,$I27&lt;BZ$4+7),IF($K27="Deadline","◇","◆"),"")</f>
        <v/>
      </c>
      <c r="CA27" s="14" t="str">
        <f>IF(AND(ISNUMBER($I27),OR($K27="Milestone",$K27="Deadline"),$I27&gt;=CA$4,$I27&lt;CA$4+7),IF($K27="Deadline","◇","◆"),"")</f>
        <v/>
      </c>
      <c r="CB27" s="14" t="str">
        <f>IF(AND(ISNUMBER($I27),OR($K27="Milestone",$K27="Deadline"),$I27&gt;=CB$4,$I27&lt;CB$4+7),IF($K27="Deadline","◇","◆"),"")</f>
        <v/>
      </c>
      <c r="CC27" s="14" t="str">
        <f>IF(AND(ISNUMBER($I27),OR($K27="Milestone",$K27="Deadline"),$I27&gt;=CC$4,$I27&lt;CC$4+7),IF($K27="Deadline","◇","◆"),"")</f>
        <v/>
      </c>
      <c r="CD27" s="14" t="str">
        <f>IF(AND(ISNUMBER($I27),OR($K27="Milestone",$K27="Deadline"),$I27&gt;=CD$4,$I27&lt;CD$4+7),IF($K27="Deadline","◇","◆"),"")</f>
        <v/>
      </c>
      <c r="CE27" s="14" t="str">
        <f>IF(AND(ISNUMBER($I27),OR($K27="Milestone",$K27="Deadline"),$I27&gt;=CE$4,$I27&lt;CE$4+7),IF($K27="Deadline","◇","◆"),"")</f>
        <v/>
      </c>
      <c r="CF27" s="14" t="str">
        <f>IF(AND(ISNUMBER($I27),OR($K27="Milestone",$K27="Deadline"),$I27&gt;=CF$4,$I27&lt;CF$4+7),IF($K27="Deadline","◇","◆"),"")</f>
        <v/>
      </c>
      <c r="CG27" s="14" t="str">
        <f>IF(AND(ISNUMBER($I27),OR($K27="Milestone",$K27="Deadline"),$I27&gt;=CG$4,$I27&lt;CG$4+7),IF($K27="Deadline","◇","◆"),"")</f>
        <v/>
      </c>
      <c r="CH27" s="14" t="str">
        <f>IF(AND(ISNUMBER($I27),OR($K27="Milestone",$K27="Deadline"),$I27&gt;=CH$4,$I27&lt;CH$4+7),IF($K27="Deadline","◇","◆"),"")</f>
        <v/>
      </c>
      <c r="CI27" s="14" t="str">
        <f>IF(AND(ISNUMBER($I27),OR($K27="Milestone",$K27="Deadline"),$I27&gt;=CI$4,$I27&lt;CI$4+7),IF($K27="Deadline","◇","◆"),"")</f>
        <v/>
      </c>
      <c r="CJ27" s="14" t="str">
        <f>IF(AND(ISNUMBER($I27),OR($K27="Milestone",$K27="Deadline"),$I27&gt;=CJ$4,$I27&lt;CJ$4+7),IF($K27="Deadline","◇","◆"),"")</f>
        <v/>
      </c>
      <c r="CK27" s="14" t="str">
        <f>IF(AND(ISNUMBER($I27),OR($K27="Milestone",$K27="Deadline"),$I27&gt;=CK$4,$I27&lt;CK$4+7),IF($K27="Deadline","◇","◆"),"")</f>
        <v/>
      </c>
      <c r="CL27" s="14" t="str">
        <f>IF(AND(ISNUMBER($I27),OR($K27="Milestone",$K27="Deadline"),$I27&gt;=CL$4,$I27&lt;CL$4+7),IF($K27="Deadline","◇","◆"),"")</f>
        <v/>
      </c>
      <c r="CM27" s="14" t="str">
        <f>IF(AND(ISNUMBER($I27),OR($K27="Milestone",$K27="Deadline"),$I27&gt;=CM$4,$I27&lt;CM$4+7),IF($K27="Deadline","◇","◆"),"")</f>
        <v/>
      </c>
    </row>
    <row r="28" spans="1:91" ht="15" hidden="1" customHeight="1">
      <c r="A28" s="15" t="s">
        <v>123</v>
      </c>
      <c r="B28" s="15" t="s">
        <v>116</v>
      </c>
      <c r="C28" s="15" t="s">
        <v>117</v>
      </c>
      <c r="D28" s="15"/>
      <c r="E28" s="15"/>
      <c r="F28" s="15"/>
      <c r="G28" s="15" t="s">
        <v>124</v>
      </c>
      <c r="H28" s="15"/>
      <c r="I28" s="16">
        <v>46568</v>
      </c>
      <c r="J28" s="17">
        <f>I28</f>
        <v>46568</v>
      </c>
      <c r="K28" s="15" t="s">
        <v>68</v>
      </c>
      <c r="L28" s="15"/>
      <c r="M28" s="18"/>
      <c r="N28" s="15" t="s">
        <v>122</v>
      </c>
      <c r="O28" s="18">
        <f>IF(AND(ISNUMBER(I28),ISNUMBER(J28)),J28-I28+1,"")</f>
        <v>1</v>
      </c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4" t="str">
        <f>IF(AND(ISNUMBER($I28),OR($K28="Milestone",$K28="Deadline"),$I28&gt;=AO$4,$I28&lt;AO$4+7),IF($K28="Deadline","◇","◆"),"")</f>
        <v/>
      </c>
      <c r="AP28" s="14" t="str">
        <f>IF(AND(ISNUMBER($I28),OR($K28="Milestone",$K28="Deadline"),$I28&gt;=AP$4,$I28&lt;AP$4+7),IF($K28="Deadline","◇","◆"),"")</f>
        <v/>
      </c>
      <c r="AQ28" s="14" t="str">
        <f>IF(AND(ISNUMBER($I28),OR($K28="Milestone",$K28="Deadline"),$I28&gt;=AQ$4,$I28&lt;AQ$4+7),IF($K28="Deadline","◇","◆"),"")</f>
        <v/>
      </c>
      <c r="AR28" s="14" t="str">
        <f>IF(AND(ISNUMBER($I28),OR($K28="Milestone",$K28="Deadline"),$I28&gt;=AR$4,$I28&lt;AR$4+7),IF($K28="Deadline","◇","◆"),"")</f>
        <v/>
      </c>
      <c r="AS28" s="14" t="str">
        <f>IF(AND(ISNUMBER($I28),OR($K28="Milestone",$K28="Deadline"),$I28&gt;=AS$4,$I28&lt;AS$4+7),IF($K28="Deadline","◇","◆"),"")</f>
        <v/>
      </c>
      <c r="AT28" s="14" t="str">
        <f>IF(AND(ISNUMBER($I28),OR($K28="Milestone",$K28="Deadline"),$I28&gt;=AT$4,$I28&lt;AT$4+7),IF($K28="Deadline","◇","◆"),"")</f>
        <v/>
      </c>
      <c r="AU28" s="14" t="str">
        <f>IF(AND(ISNUMBER($I28),OR($K28="Milestone",$K28="Deadline"),$I28&gt;=AU$4,$I28&lt;AU$4+7),IF($K28="Deadline","◇","◆"),"")</f>
        <v/>
      </c>
      <c r="AV28" s="14" t="str">
        <f>IF(AND(ISNUMBER($I28),OR($K28="Milestone",$K28="Deadline"),$I28&gt;=AV$4,$I28&lt;AV$4+7),IF($K28="Deadline","◇","◆"),"")</f>
        <v/>
      </c>
      <c r="AW28" s="14" t="str">
        <f>IF(AND(ISNUMBER($I28),OR($K28="Milestone",$K28="Deadline"),$I28&gt;=AW$4,$I28&lt;AW$4+7),IF($K28="Deadline","◇","◆"),"")</f>
        <v/>
      </c>
      <c r="AX28" s="14" t="str">
        <f>IF(AND(ISNUMBER($I28),OR($K28="Milestone",$K28="Deadline"),$I28&gt;=AX$4,$I28&lt;AX$4+7),IF($K28="Deadline","◇","◆"),"")</f>
        <v/>
      </c>
      <c r="AY28" s="14" t="str">
        <f>IF(AND(ISNUMBER($I28),OR($K28="Milestone",$K28="Deadline"),$I28&gt;=AY$4,$I28&lt;AY$4+7),IF($K28="Deadline","◇","◆"),"")</f>
        <v/>
      </c>
      <c r="AZ28" s="14" t="str">
        <f>IF(AND(ISNUMBER($I28),OR($K28="Milestone",$K28="Deadline"),$I28&gt;=AZ$4,$I28&lt;AZ$4+7),IF($K28="Deadline","◇","◆"),"")</f>
        <v/>
      </c>
      <c r="BA28" s="14" t="str">
        <f>IF(AND(ISNUMBER($I28),OR($K28="Milestone",$K28="Deadline"),$I28&gt;=BA$4,$I28&lt;BA$4+7),IF($K28="Deadline","◇","◆"),"")</f>
        <v/>
      </c>
      <c r="BB28" s="14" t="str">
        <f>IF(AND(ISNUMBER($I28),OR($K28="Milestone",$K28="Deadline"),$I28&gt;=BB$4,$I28&lt;BB$4+7),IF($K28="Deadline","◇","◆"),"")</f>
        <v/>
      </c>
      <c r="BC28" s="14" t="str">
        <f>IF(AND(ISNUMBER($I28),OR($K28="Milestone",$K28="Deadline"),$I28&gt;=BC$4,$I28&lt;BC$4+7),IF($K28="Deadline","◇","◆"),"")</f>
        <v/>
      </c>
      <c r="BD28" s="14" t="str">
        <f>IF(AND(ISNUMBER($I28),OR($K28="Milestone",$K28="Deadline"),$I28&gt;=BD$4,$I28&lt;BD$4+7),IF($K28="Deadline","◇","◆"),"")</f>
        <v/>
      </c>
      <c r="BE28" s="14" t="str">
        <f>IF(AND(ISNUMBER($I28),OR($K28="Milestone",$K28="Deadline"),$I28&gt;=BE$4,$I28&lt;BE$4+7),IF($K28="Deadline","◇","◆"),"")</f>
        <v/>
      </c>
      <c r="BF28" s="14" t="str">
        <f>IF(AND(ISNUMBER($I28),OR($K28="Milestone",$K28="Deadline"),$I28&gt;=BF$4,$I28&lt;BF$4+7),IF($K28="Deadline","◇","◆"),"")</f>
        <v/>
      </c>
      <c r="BG28" s="14" t="str">
        <f>IF(AND(ISNUMBER($I28),OR($K28="Milestone",$K28="Deadline"),$I28&gt;=BG$4,$I28&lt;BG$4+7),IF($K28="Deadline","◇","◆"),"")</f>
        <v/>
      </c>
      <c r="BH28" s="14" t="str">
        <f>IF(AND(ISNUMBER($I28),OR($K28="Milestone",$K28="Deadline"),$I28&gt;=BH$4,$I28&lt;BH$4+7),IF($K28="Deadline","◇","◆"),"")</f>
        <v/>
      </c>
      <c r="BI28" s="14" t="str">
        <f>IF(AND(ISNUMBER($I28),OR($K28="Milestone",$K28="Deadline"),$I28&gt;=BI$4,$I28&lt;BI$4+7),IF($K28="Deadline","◇","◆"),"")</f>
        <v/>
      </c>
      <c r="BJ28" s="14" t="str">
        <f>IF(AND(ISNUMBER($I28),OR($K28="Milestone",$K28="Deadline"),$I28&gt;=BJ$4,$I28&lt;BJ$4+7),IF($K28="Deadline","◇","◆"),"")</f>
        <v/>
      </c>
      <c r="BK28" s="14" t="str">
        <f>IF(AND(ISNUMBER($I28),OR($K28="Milestone",$K28="Deadline"),$I28&gt;=BK$4,$I28&lt;BK$4+7),IF($K28="Deadline","◇","◆"),"")</f>
        <v/>
      </c>
      <c r="BL28" s="14" t="str">
        <f>IF(AND(ISNUMBER($I28),OR($K28="Milestone",$K28="Deadline"),$I28&gt;=BL$4,$I28&lt;BL$4+7),IF($K28="Deadline","◇","◆"),"")</f>
        <v/>
      </c>
      <c r="BM28" s="14" t="str">
        <f>IF(AND(ISNUMBER($I28),OR($K28="Milestone",$K28="Deadline"),$I28&gt;=BM$4,$I28&lt;BM$4+7),IF($K28="Deadline","◇","◆"),"")</f>
        <v/>
      </c>
      <c r="BN28" s="14" t="str">
        <f>IF(AND(ISNUMBER($I28),OR($K28="Milestone",$K28="Deadline"),$I28&gt;=BN$4,$I28&lt;BN$4+7),IF($K28="Deadline","◇","◆"),"")</f>
        <v/>
      </c>
      <c r="BO28" s="14" t="str">
        <f>IF(AND(ISNUMBER($I28),OR($K28="Milestone",$K28="Deadline"),$I28&gt;=BO$4,$I28&lt;BO$4+7),IF($K28="Deadline","◇","◆"),"")</f>
        <v/>
      </c>
      <c r="BP28" s="14" t="str">
        <f>IF(AND(ISNUMBER($I28),OR($K28="Milestone",$K28="Deadline"),$I28&gt;=BP$4,$I28&lt;BP$4+7),IF($K28="Deadline","◇","◆"),"")</f>
        <v/>
      </c>
      <c r="BQ28" s="14" t="str">
        <f>IF(AND(ISNUMBER($I28),OR($K28="Milestone",$K28="Deadline"),$I28&gt;=BQ$4,$I28&lt;BQ$4+7),IF($K28="Deadline","◇","◆"),"")</f>
        <v/>
      </c>
      <c r="BR28" s="14" t="str">
        <f>IF(AND(ISNUMBER($I28),OR($K28="Milestone",$K28="Deadline"),$I28&gt;=BR$4,$I28&lt;BR$4+7),IF($K28="Deadline","◇","◆"),"")</f>
        <v/>
      </c>
      <c r="BS28" s="14" t="str">
        <f>IF(AND(ISNUMBER($I28),OR($K28="Milestone",$K28="Deadline"),$I28&gt;=BS$4,$I28&lt;BS$4+7),IF($K28="Deadline","◇","◆"),"")</f>
        <v/>
      </c>
      <c r="BT28" s="14" t="str">
        <f>IF(AND(ISNUMBER($I28),OR($K28="Milestone",$K28="Deadline"),$I28&gt;=BT$4,$I28&lt;BT$4+7),IF($K28="Deadline","◇","◆"),"")</f>
        <v/>
      </c>
      <c r="BU28" s="14" t="str">
        <f>IF(AND(ISNUMBER($I28),OR($K28="Milestone",$K28="Deadline"),$I28&gt;=BU$4,$I28&lt;BU$4+7),IF($K28="Deadline","◇","◆"),"")</f>
        <v/>
      </c>
      <c r="BV28" s="14" t="str">
        <f>IF(AND(ISNUMBER($I28),OR($K28="Milestone",$K28="Deadline"),$I28&gt;=BV$4,$I28&lt;BV$4+7),IF($K28="Deadline","◇","◆"),"")</f>
        <v/>
      </c>
      <c r="BW28" s="14" t="str">
        <f>IF(AND(ISNUMBER($I28),OR($K28="Milestone",$K28="Deadline"),$I28&gt;=BW$4,$I28&lt;BW$4+7),IF($K28="Deadline","◇","◆"),"")</f>
        <v/>
      </c>
      <c r="BX28" s="14" t="str">
        <f>IF(AND(ISNUMBER($I28),OR($K28="Milestone",$K28="Deadline"),$I28&gt;=BX$4,$I28&lt;BX$4+7),IF($K28="Deadline","◇","◆"),"")</f>
        <v/>
      </c>
      <c r="BY28" s="14" t="str">
        <f>IF(AND(ISNUMBER($I28),OR($K28="Milestone",$K28="Deadline"),$I28&gt;=BY$4,$I28&lt;BY$4+7),IF($K28="Deadline","◇","◆"),"")</f>
        <v/>
      </c>
      <c r="BZ28" s="14" t="str">
        <f>IF(AND(ISNUMBER($I28),OR($K28="Milestone",$K28="Deadline"),$I28&gt;=BZ$4,$I28&lt;BZ$4+7),IF($K28="Deadline","◇","◆"),"")</f>
        <v>◆</v>
      </c>
      <c r="CA28" s="14" t="str">
        <f>IF(AND(ISNUMBER($I28),OR($K28="Milestone",$K28="Deadline"),$I28&gt;=CA$4,$I28&lt;CA$4+7),IF($K28="Deadline","◇","◆"),"")</f>
        <v/>
      </c>
      <c r="CB28" s="14" t="str">
        <f>IF(AND(ISNUMBER($I28),OR($K28="Milestone",$K28="Deadline"),$I28&gt;=CB$4,$I28&lt;CB$4+7),IF($K28="Deadline","◇","◆"),"")</f>
        <v/>
      </c>
      <c r="CC28" s="14" t="str">
        <f>IF(AND(ISNUMBER($I28),OR($K28="Milestone",$K28="Deadline"),$I28&gt;=CC$4,$I28&lt;CC$4+7),IF($K28="Deadline","◇","◆"),"")</f>
        <v/>
      </c>
      <c r="CD28" s="14" t="str">
        <f>IF(AND(ISNUMBER($I28),OR($K28="Milestone",$K28="Deadline"),$I28&gt;=CD$4,$I28&lt;CD$4+7),IF($K28="Deadline","◇","◆"),"")</f>
        <v/>
      </c>
      <c r="CE28" s="14" t="str">
        <f>IF(AND(ISNUMBER($I28),OR($K28="Milestone",$K28="Deadline"),$I28&gt;=CE$4,$I28&lt;CE$4+7),IF($K28="Deadline","◇","◆"),"")</f>
        <v/>
      </c>
      <c r="CF28" s="14" t="str">
        <f>IF(AND(ISNUMBER($I28),OR($K28="Milestone",$K28="Deadline"),$I28&gt;=CF$4,$I28&lt;CF$4+7),IF($K28="Deadline","◇","◆"),"")</f>
        <v/>
      </c>
      <c r="CG28" s="14" t="str">
        <f>IF(AND(ISNUMBER($I28),OR($K28="Milestone",$K28="Deadline"),$I28&gt;=CG$4,$I28&lt;CG$4+7),IF($K28="Deadline","◇","◆"),"")</f>
        <v/>
      </c>
      <c r="CH28" s="14" t="str">
        <f>IF(AND(ISNUMBER($I28),OR($K28="Milestone",$K28="Deadline"),$I28&gt;=CH$4,$I28&lt;CH$4+7),IF($K28="Deadline","◇","◆"),"")</f>
        <v/>
      </c>
      <c r="CI28" s="14" t="str">
        <f>IF(AND(ISNUMBER($I28),OR($K28="Milestone",$K28="Deadline"),$I28&gt;=CI$4,$I28&lt;CI$4+7),IF($K28="Deadline","◇","◆"),"")</f>
        <v/>
      </c>
      <c r="CJ28" s="14" t="str">
        <f>IF(AND(ISNUMBER($I28),OR($K28="Milestone",$K28="Deadline"),$I28&gt;=CJ$4,$I28&lt;CJ$4+7),IF($K28="Deadline","◇","◆"),"")</f>
        <v/>
      </c>
      <c r="CK28" s="14" t="str">
        <f>IF(AND(ISNUMBER($I28),OR($K28="Milestone",$K28="Deadline"),$I28&gt;=CK$4,$I28&lt;CK$4+7),IF($K28="Deadline","◇","◆"),"")</f>
        <v/>
      </c>
      <c r="CL28" s="14" t="str">
        <f>IF(AND(ISNUMBER($I28),OR($K28="Milestone",$K28="Deadline"),$I28&gt;=CL$4,$I28&lt;CL$4+7),IF($K28="Deadline","◇","◆"),"")</f>
        <v/>
      </c>
      <c r="CM28" s="14" t="str">
        <f>IF(AND(ISNUMBER($I28),OR($K28="Milestone",$K28="Deadline"),$I28&gt;=CM$4,$I28&lt;CM$4+7),IF($K28="Deadline","◇","◆"),"")</f>
        <v/>
      </c>
    </row>
    <row r="29" spans="1:91" ht="15" hidden="1" customHeight="1">
      <c r="A29" s="15" t="s">
        <v>125</v>
      </c>
      <c r="B29" s="15" t="s">
        <v>116</v>
      </c>
      <c r="C29" s="15" t="s">
        <v>117</v>
      </c>
      <c r="D29" s="15"/>
      <c r="E29" s="15"/>
      <c r="F29" s="15"/>
      <c r="G29" s="15" t="s">
        <v>126</v>
      </c>
      <c r="H29" s="15"/>
      <c r="I29" s="16">
        <v>46630</v>
      </c>
      <c r="J29" s="17">
        <f>I29</f>
        <v>46630</v>
      </c>
      <c r="K29" s="15" t="s">
        <v>68</v>
      </c>
      <c r="L29" s="15"/>
      <c r="M29" s="18"/>
      <c r="N29" s="15" t="s">
        <v>122</v>
      </c>
      <c r="O29" s="18">
        <f>IF(AND(ISNUMBER(I29),ISNUMBER(J29)),J29-I29+1,"")</f>
        <v>1</v>
      </c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4" t="str">
        <f>IF(AND(ISNUMBER($I29),OR($K29="Milestone",$K29="Deadline"),$I29&gt;=AO$4,$I29&lt;AO$4+7),IF($K29="Deadline","◇","◆"),"")</f>
        <v/>
      </c>
      <c r="AP29" s="14" t="str">
        <f>IF(AND(ISNUMBER($I29),OR($K29="Milestone",$K29="Deadline"),$I29&gt;=AP$4,$I29&lt;AP$4+7),IF($K29="Deadline","◇","◆"),"")</f>
        <v/>
      </c>
      <c r="AQ29" s="14" t="str">
        <f>IF(AND(ISNUMBER($I29),OR($K29="Milestone",$K29="Deadline"),$I29&gt;=AQ$4,$I29&lt;AQ$4+7),IF($K29="Deadline","◇","◆"),"")</f>
        <v/>
      </c>
      <c r="AR29" s="14" t="str">
        <f>IF(AND(ISNUMBER($I29),OR($K29="Milestone",$K29="Deadline"),$I29&gt;=AR$4,$I29&lt;AR$4+7),IF($K29="Deadline","◇","◆"),"")</f>
        <v/>
      </c>
      <c r="AS29" s="14" t="str">
        <f>IF(AND(ISNUMBER($I29),OR($K29="Milestone",$K29="Deadline"),$I29&gt;=AS$4,$I29&lt;AS$4+7),IF($K29="Deadline","◇","◆"),"")</f>
        <v/>
      </c>
      <c r="AT29" s="14" t="str">
        <f>IF(AND(ISNUMBER($I29),OR($K29="Milestone",$K29="Deadline"),$I29&gt;=AT$4,$I29&lt;AT$4+7),IF($K29="Deadline","◇","◆"),"")</f>
        <v/>
      </c>
      <c r="AU29" s="14" t="str">
        <f>IF(AND(ISNUMBER($I29),OR($K29="Milestone",$K29="Deadline"),$I29&gt;=AU$4,$I29&lt;AU$4+7),IF($K29="Deadline","◇","◆"),"")</f>
        <v/>
      </c>
      <c r="AV29" s="14" t="str">
        <f>IF(AND(ISNUMBER($I29),OR($K29="Milestone",$K29="Deadline"),$I29&gt;=AV$4,$I29&lt;AV$4+7),IF($K29="Deadline","◇","◆"),"")</f>
        <v/>
      </c>
      <c r="AW29" s="14" t="str">
        <f>IF(AND(ISNUMBER($I29),OR($K29="Milestone",$K29="Deadline"),$I29&gt;=AW$4,$I29&lt;AW$4+7),IF($K29="Deadline","◇","◆"),"")</f>
        <v/>
      </c>
      <c r="AX29" s="14" t="str">
        <f>IF(AND(ISNUMBER($I29),OR($K29="Milestone",$K29="Deadline"),$I29&gt;=AX$4,$I29&lt;AX$4+7),IF($K29="Deadline","◇","◆"),"")</f>
        <v/>
      </c>
      <c r="AY29" s="14" t="str">
        <f>IF(AND(ISNUMBER($I29),OR($K29="Milestone",$K29="Deadline"),$I29&gt;=AY$4,$I29&lt;AY$4+7),IF($K29="Deadline","◇","◆"),"")</f>
        <v/>
      </c>
      <c r="AZ29" s="14" t="str">
        <f>IF(AND(ISNUMBER($I29),OR($K29="Milestone",$K29="Deadline"),$I29&gt;=AZ$4,$I29&lt;AZ$4+7),IF($K29="Deadline","◇","◆"),"")</f>
        <v/>
      </c>
      <c r="BA29" s="14" t="str">
        <f>IF(AND(ISNUMBER($I29),OR($K29="Milestone",$K29="Deadline"),$I29&gt;=BA$4,$I29&lt;BA$4+7),IF($K29="Deadline","◇","◆"),"")</f>
        <v/>
      </c>
      <c r="BB29" s="14" t="str">
        <f>IF(AND(ISNUMBER($I29),OR($K29="Milestone",$K29="Deadline"),$I29&gt;=BB$4,$I29&lt;BB$4+7),IF($K29="Deadline","◇","◆"),"")</f>
        <v/>
      </c>
      <c r="BC29" s="14" t="str">
        <f>IF(AND(ISNUMBER($I29),OR($K29="Milestone",$K29="Deadline"),$I29&gt;=BC$4,$I29&lt;BC$4+7),IF($K29="Deadline","◇","◆"),"")</f>
        <v/>
      </c>
      <c r="BD29" s="14" t="str">
        <f>IF(AND(ISNUMBER($I29),OR($K29="Milestone",$K29="Deadline"),$I29&gt;=BD$4,$I29&lt;BD$4+7),IF($K29="Deadline","◇","◆"),"")</f>
        <v/>
      </c>
      <c r="BE29" s="14" t="str">
        <f>IF(AND(ISNUMBER($I29),OR($K29="Milestone",$K29="Deadline"),$I29&gt;=BE$4,$I29&lt;BE$4+7),IF($K29="Deadline","◇","◆"),"")</f>
        <v/>
      </c>
      <c r="BF29" s="14" t="str">
        <f>IF(AND(ISNUMBER($I29),OR($K29="Milestone",$K29="Deadline"),$I29&gt;=BF$4,$I29&lt;BF$4+7),IF($K29="Deadline","◇","◆"),"")</f>
        <v/>
      </c>
      <c r="BG29" s="14" t="str">
        <f>IF(AND(ISNUMBER($I29),OR($K29="Milestone",$K29="Deadline"),$I29&gt;=BG$4,$I29&lt;BG$4+7),IF($K29="Deadline","◇","◆"),"")</f>
        <v/>
      </c>
      <c r="BH29" s="14" t="str">
        <f>IF(AND(ISNUMBER($I29),OR($K29="Milestone",$K29="Deadline"),$I29&gt;=BH$4,$I29&lt;BH$4+7),IF($K29="Deadline","◇","◆"),"")</f>
        <v/>
      </c>
      <c r="BI29" s="14" t="str">
        <f>IF(AND(ISNUMBER($I29),OR($K29="Milestone",$K29="Deadline"),$I29&gt;=BI$4,$I29&lt;BI$4+7),IF($K29="Deadline","◇","◆"),"")</f>
        <v/>
      </c>
      <c r="BJ29" s="14" t="str">
        <f>IF(AND(ISNUMBER($I29),OR($K29="Milestone",$K29="Deadline"),$I29&gt;=BJ$4,$I29&lt;BJ$4+7),IF($K29="Deadline","◇","◆"),"")</f>
        <v/>
      </c>
      <c r="BK29" s="14" t="str">
        <f>IF(AND(ISNUMBER($I29),OR($K29="Milestone",$K29="Deadline"),$I29&gt;=BK$4,$I29&lt;BK$4+7),IF($K29="Deadline","◇","◆"),"")</f>
        <v/>
      </c>
      <c r="BL29" s="14" t="str">
        <f>IF(AND(ISNUMBER($I29),OR($K29="Milestone",$K29="Deadline"),$I29&gt;=BL$4,$I29&lt;BL$4+7),IF($K29="Deadline","◇","◆"),"")</f>
        <v/>
      </c>
      <c r="BM29" s="14" t="str">
        <f>IF(AND(ISNUMBER($I29),OR($K29="Milestone",$K29="Deadline"),$I29&gt;=BM$4,$I29&lt;BM$4+7),IF($K29="Deadline","◇","◆"),"")</f>
        <v/>
      </c>
      <c r="BN29" s="14" t="str">
        <f>IF(AND(ISNUMBER($I29),OR($K29="Milestone",$K29="Deadline"),$I29&gt;=BN$4,$I29&lt;BN$4+7),IF($K29="Deadline","◇","◆"),"")</f>
        <v/>
      </c>
      <c r="BO29" s="14" t="str">
        <f>IF(AND(ISNUMBER($I29),OR($K29="Milestone",$K29="Deadline"),$I29&gt;=BO$4,$I29&lt;BO$4+7),IF($K29="Deadline","◇","◆"),"")</f>
        <v/>
      </c>
      <c r="BP29" s="14" t="str">
        <f>IF(AND(ISNUMBER($I29),OR($K29="Milestone",$K29="Deadline"),$I29&gt;=BP$4,$I29&lt;BP$4+7),IF($K29="Deadline","◇","◆"),"")</f>
        <v/>
      </c>
      <c r="BQ29" s="14" t="str">
        <f>IF(AND(ISNUMBER($I29),OR($K29="Milestone",$K29="Deadline"),$I29&gt;=BQ$4,$I29&lt;BQ$4+7),IF($K29="Deadline","◇","◆"),"")</f>
        <v/>
      </c>
      <c r="BR29" s="14" t="str">
        <f>IF(AND(ISNUMBER($I29),OR($K29="Milestone",$K29="Deadline"),$I29&gt;=BR$4,$I29&lt;BR$4+7),IF($K29="Deadline","◇","◆"),"")</f>
        <v/>
      </c>
      <c r="BS29" s="14" t="str">
        <f>IF(AND(ISNUMBER($I29),OR($K29="Milestone",$K29="Deadline"),$I29&gt;=BS$4,$I29&lt;BS$4+7),IF($K29="Deadline","◇","◆"),"")</f>
        <v/>
      </c>
      <c r="BT29" s="14" t="str">
        <f>IF(AND(ISNUMBER($I29),OR($K29="Milestone",$K29="Deadline"),$I29&gt;=BT$4,$I29&lt;BT$4+7),IF($K29="Deadline","◇","◆"),"")</f>
        <v/>
      </c>
      <c r="BU29" s="14" t="str">
        <f>IF(AND(ISNUMBER($I29),OR($K29="Milestone",$K29="Deadline"),$I29&gt;=BU$4,$I29&lt;BU$4+7),IF($K29="Deadline","◇","◆"),"")</f>
        <v/>
      </c>
      <c r="BV29" s="14" t="str">
        <f>IF(AND(ISNUMBER($I29),OR($K29="Milestone",$K29="Deadline"),$I29&gt;=BV$4,$I29&lt;BV$4+7),IF($K29="Deadline","◇","◆"),"")</f>
        <v/>
      </c>
      <c r="BW29" s="14" t="str">
        <f>IF(AND(ISNUMBER($I29),OR($K29="Milestone",$K29="Deadline"),$I29&gt;=BW$4,$I29&lt;BW$4+7),IF($K29="Deadline","◇","◆"),"")</f>
        <v/>
      </c>
      <c r="BX29" s="14" t="str">
        <f>IF(AND(ISNUMBER($I29),OR($K29="Milestone",$K29="Deadline"),$I29&gt;=BX$4,$I29&lt;BX$4+7),IF($K29="Deadline","◇","◆"),"")</f>
        <v/>
      </c>
      <c r="BY29" s="14" t="str">
        <f>IF(AND(ISNUMBER($I29),OR($K29="Milestone",$K29="Deadline"),$I29&gt;=BY$4,$I29&lt;BY$4+7),IF($K29="Deadline","◇","◆"),"")</f>
        <v/>
      </c>
      <c r="BZ29" s="14" t="str">
        <f>IF(AND(ISNUMBER($I29),OR($K29="Milestone",$K29="Deadline"),$I29&gt;=BZ$4,$I29&lt;BZ$4+7),IF($K29="Deadline","◇","◆"),"")</f>
        <v/>
      </c>
      <c r="CA29" s="14" t="str">
        <f>IF(AND(ISNUMBER($I29),OR($K29="Milestone",$K29="Deadline"),$I29&gt;=CA$4,$I29&lt;CA$4+7),IF($K29="Deadline","◇","◆"),"")</f>
        <v/>
      </c>
      <c r="CB29" s="14" t="str">
        <f>IF(AND(ISNUMBER($I29),OR($K29="Milestone",$K29="Deadline"),$I29&gt;=CB$4,$I29&lt;CB$4+7),IF($K29="Deadline","◇","◆"),"")</f>
        <v/>
      </c>
      <c r="CC29" s="14" t="str">
        <f>IF(AND(ISNUMBER($I29),OR($K29="Milestone",$K29="Deadline"),$I29&gt;=CC$4,$I29&lt;CC$4+7),IF($K29="Deadline","◇","◆"),"")</f>
        <v/>
      </c>
      <c r="CD29" s="14" t="str">
        <f>IF(AND(ISNUMBER($I29),OR($K29="Milestone",$K29="Deadline"),$I29&gt;=CD$4,$I29&lt;CD$4+7),IF($K29="Deadline","◇","◆"),"")</f>
        <v/>
      </c>
      <c r="CE29" s="14" t="str">
        <f>IF(AND(ISNUMBER($I29),OR($K29="Milestone",$K29="Deadline"),$I29&gt;=CE$4,$I29&lt;CE$4+7),IF($K29="Deadline","◇","◆"),"")</f>
        <v/>
      </c>
      <c r="CF29" s="14" t="str">
        <f>IF(AND(ISNUMBER($I29),OR($K29="Milestone",$K29="Deadline"),$I29&gt;=CF$4,$I29&lt;CF$4+7),IF($K29="Deadline","◇","◆"),"")</f>
        <v/>
      </c>
      <c r="CG29" s="14" t="str">
        <f>IF(AND(ISNUMBER($I29),OR($K29="Milestone",$K29="Deadline"),$I29&gt;=CG$4,$I29&lt;CG$4+7),IF($K29="Deadline","◇","◆"),"")</f>
        <v/>
      </c>
      <c r="CH29" s="14" t="str">
        <f>IF(AND(ISNUMBER($I29),OR($K29="Milestone",$K29="Deadline"),$I29&gt;=CH$4,$I29&lt;CH$4+7),IF($K29="Deadline","◇","◆"),"")</f>
        <v/>
      </c>
      <c r="CI29" s="14" t="str">
        <f>IF(AND(ISNUMBER($I29),OR($K29="Milestone",$K29="Deadline"),$I29&gt;=CI$4,$I29&lt;CI$4+7),IF($K29="Deadline","◇","◆"),"")</f>
        <v>◆</v>
      </c>
      <c r="CJ29" s="14" t="str">
        <f>IF(AND(ISNUMBER($I29),OR($K29="Milestone",$K29="Deadline"),$I29&gt;=CJ$4,$I29&lt;CJ$4+7),IF($K29="Deadline","◇","◆"),"")</f>
        <v/>
      </c>
      <c r="CK29" s="14" t="str">
        <f>IF(AND(ISNUMBER($I29),OR($K29="Milestone",$K29="Deadline"),$I29&gt;=CK$4,$I29&lt;CK$4+7),IF($K29="Deadline","◇","◆"),"")</f>
        <v/>
      </c>
      <c r="CL29" s="14" t="str">
        <f>IF(AND(ISNUMBER($I29),OR($K29="Milestone",$K29="Deadline"),$I29&gt;=CL$4,$I29&lt;CL$4+7),IF($K29="Deadline","◇","◆"),"")</f>
        <v/>
      </c>
      <c r="CM29" s="14" t="str">
        <f>IF(AND(ISNUMBER($I29),OR($K29="Milestone",$K29="Deadline"),$I29&gt;=CM$4,$I29&lt;CM$4+7),IF($K29="Deadline","◇","◆"),"")</f>
        <v/>
      </c>
    </row>
    <row r="30" spans="1:91" ht="15" hidden="1" customHeight="1">
      <c r="A30" s="15" t="s">
        <v>127</v>
      </c>
      <c r="B30" s="15" t="s">
        <v>116</v>
      </c>
      <c r="C30" s="15" t="s">
        <v>117</v>
      </c>
      <c r="D30" s="15"/>
      <c r="E30" s="15"/>
      <c r="F30" s="15"/>
      <c r="G30" s="15" t="s">
        <v>128</v>
      </c>
      <c r="H30" s="15"/>
      <c r="I30" s="16">
        <v>46691</v>
      </c>
      <c r="J30" s="17">
        <f>I30</f>
        <v>46691</v>
      </c>
      <c r="K30" s="15" t="s">
        <v>68</v>
      </c>
      <c r="L30" s="15"/>
      <c r="M30" s="18"/>
      <c r="N30" s="15" t="s">
        <v>129</v>
      </c>
      <c r="O30" s="18">
        <f>IF(AND(ISNUMBER(I30),ISNUMBER(J30)),J30-I30+1,"")</f>
        <v>1</v>
      </c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4" t="str">
        <f>IF(AND(ISNUMBER($I30),OR($K30="Milestone",$K30="Deadline"),$I30&gt;=AO$4,$I30&lt;AO$4+7),IF($K30="Deadline","◇","◆"),"")</f>
        <v/>
      </c>
      <c r="AP30" s="14" t="str">
        <f>IF(AND(ISNUMBER($I30),OR($K30="Milestone",$K30="Deadline"),$I30&gt;=AP$4,$I30&lt;AP$4+7),IF($K30="Deadline","◇","◆"),"")</f>
        <v/>
      </c>
      <c r="AQ30" s="14" t="str">
        <f>IF(AND(ISNUMBER($I30),OR($K30="Milestone",$K30="Deadline"),$I30&gt;=AQ$4,$I30&lt;AQ$4+7),IF($K30="Deadline","◇","◆"),"")</f>
        <v/>
      </c>
      <c r="AR30" s="14" t="str">
        <f>IF(AND(ISNUMBER($I30),OR($K30="Milestone",$K30="Deadline"),$I30&gt;=AR$4,$I30&lt;AR$4+7),IF($K30="Deadline","◇","◆"),"")</f>
        <v/>
      </c>
      <c r="AS30" s="14" t="str">
        <f>IF(AND(ISNUMBER($I30),OR($K30="Milestone",$K30="Deadline"),$I30&gt;=AS$4,$I30&lt;AS$4+7),IF($K30="Deadline","◇","◆"),"")</f>
        <v/>
      </c>
      <c r="AT30" s="14" t="str">
        <f>IF(AND(ISNUMBER($I30),OR($K30="Milestone",$K30="Deadline"),$I30&gt;=AT$4,$I30&lt;AT$4+7),IF($K30="Deadline","◇","◆"),"")</f>
        <v/>
      </c>
      <c r="AU30" s="14" t="str">
        <f>IF(AND(ISNUMBER($I30),OR($K30="Milestone",$K30="Deadline"),$I30&gt;=AU$4,$I30&lt;AU$4+7),IF($K30="Deadline","◇","◆"),"")</f>
        <v/>
      </c>
      <c r="AV30" s="14" t="str">
        <f>IF(AND(ISNUMBER($I30),OR($K30="Milestone",$K30="Deadline"),$I30&gt;=AV$4,$I30&lt;AV$4+7),IF($K30="Deadline","◇","◆"),"")</f>
        <v/>
      </c>
      <c r="AW30" s="14" t="str">
        <f>IF(AND(ISNUMBER($I30),OR($K30="Milestone",$K30="Deadline"),$I30&gt;=AW$4,$I30&lt;AW$4+7),IF($K30="Deadline","◇","◆"),"")</f>
        <v/>
      </c>
      <c r="AX30" s="14" t="str">
        <f>IF(AND(ISNUMBER($I30),OR($K30="Milestone",$K30="Deadline"),$I30&gt;=AX$4,$I30&lt;AX$4+7),IF($K30="Deadline","◇","◆"),"")</f>
        <v/>
      </c>
      <c r="AY30" s="14" t="str">
        <f>IF(AND(ISNUMBER($I30),OR($K30="Milestone",$K30="Deadline"),$I30&gt;=AY$4,$I30&lt;AY$4+7),IF($K30="Deadline","◇","◆"),"")</f>
        <v/>
      </c>
      <c r="AZ30" s="14" t="str">
        <f>IF(AND(ISNUMBER($I30),OR($K30="Milestone",$K30="Deadline"),$I30&gt;=AZ$4,$I30&lt;AZ$4+7),IF($K30="Deadline","◇","◆"),"")</f>
        <v/>
      </c>
      <c r="BA30" s="14" t="str">
        <f>IF(AND(ISNUMBER($I30),OR($K30="Milestone",$K30="Deadline"),$I30&gt;=BA$4,$I30&lt;BA$4+7),IF($K30="Deadline","◇","◆"),"")</f>
        <v/>
      </c>
      <c r="BB30" s="14" t="str">
        <f>IF(AND(ISNUMBER($I30),OR($K30="Milestone",$K30="Deadline"),$I30&gt;=BB$4,$I30&lt;BB$4+7),IF($K30="Deadline","◇","◆"),"")</f>
        <v/>
      </c>
      <c r="BC30" s="14" t="str">
        <f>IF(AND(ISNUMBER($I30),OR($K30="Milestone",$K30="Deadline"),$I30&gt;=BC$4,$I30&lt;BC$4+7),IF($K30="Deadline","◇","◆"),"")</f>
        <v/>
      </c>
      <c r="BD30" s="14" t="str">
        <f>IF(AND(ISNUMBER($I30),OR($K30="Milestone",$K30="Deadline"),$I30&gt;=BD$4,$I30&lt;BD$4+7),IF($K30="Deadline","◇","◆"),"")</f>
        <v/>
      </c>
      <c r="BE30" s="14" t="str">
        <f>IF(AND(ISNUMBER($I30),OR($K30="Milestone",$K30="Deadline"),$I30&gt;=BE$4,$I30&lt;BE$4+7),IF($K30="Deadline","◇","◆"),"")</f>
        <v/>
      </c>
      <c r="BF30" s="14" t="str">
        <f>IF(AND(ISNUMBER($I30),OR($K30="Milestone",$K30="Deadline"),$I30&gt;=BF$4,$I30&lt;BF$4+7),IF($K30="Deadline","◇","◆"),"")</f>
        <v/>
      </c>
      <c r="BG30" s="14" t="str">
        <f>IF(AND(ISNUMBER($I30),OR($K30="Milestone",$K30="Deadline"),$I30&gt;=BG$4,$I30&lt;BG$4+7),IF($K30="Deadline","◇","◆"),"")</f>
        <v/>
      </c>
      <c r="BH30" s="14" t="str">
        <f>IF(AND(ISNUMBER($I30),OR($K30="Milestone",$K30="Deadline"),$I30&gt;=BH$4,$I30&lt;BH$4+7),IF($K30="Deadline","◇","◆"),"")</f>
        <v/>
      </c>
      <c r="BI30" s="14" t="str">
        <f>IF(AND(ISNUMBER($I30),OR($K30="Milestone",$K30="Deadline"),$I30&gt;=BI$4,$I30&lt;BI$4+7),IF($K30="Deadline","◇","◆"),"")</f>
        <v/>
      </c>
      <c r="BJ30" s="14" t="str">
        <f>IF(AND(ISNUMBER($I30),OR($K30="Milestone",$K30="Deadline"),$I30&gt;=BJ$4,$I30&lt;BJ$4+7),IF($K30="Deadline","◇","◆"),"")</f>
        <v/>
      </c>
      <c r="BK30" s="14" t="str">
        <f>IF(AND(ISNUMBER($I30),OR($K30="Milestone",$K30="Deadline"),$I30&gt;=BK$4,$I30&lt;BK$4+7),IF($K30="Deadline","◇","◆"),"")</f>
        <v/>
      </c>
      <c r="BL30" s="14" t="str">
        <f>IF(AND(ISNUMBER($I30),OR($K30="Milestone",$K30="Deadline"),$I30&gt;=BL$4,$I30&lt;BL$4+7),IF($K30="Deadline","◇","◆"),"")</f>
        <v/>
      </c>
      <c r="BM30" s="14" t="str">
        <f>IF(AND(ISNUMBER($I30),OR($K30="Milestone",$K30="Deadline"),$I30&gt;=BM$4,$I30&lt;BM$4+7),IF($K30="Deadline","◇","◆"),"")</f>
        <v/>
      </c>
      <c r="BN30" s="14" t="str">
        <f>IF(AND(ISNUMBER($I30),OR($K30="Milestone",$K30="Deadline"),$I30&gt;=BN$4,$I30&lt;BN$4+7),IF($K30="Deadline","◇","◆"),"")</f>
        <v/>
      </c>
      <c r="BO30" s="14" t="str">
        <f>IF(AND(ISNUMBER($I30),OR($K30="Milestone",$K30="Deadline"),$I30&gt;=BO$4,$I30&lt;BO$4+7),IF($K30="Deadline","◇","◆"),"")</f>
        <v/>
      </c>
      <c r="BP30" s="14" t="str">
        <f>IF(AND(ISNUMBER($I30),OR($K30="Milestone",$K30="Deadline"),$I30&gt;=BP$4,$I30&lt;BP$4+7),IF($K30="Deadline","◇","◆"),"")</f>
        <v/>
      </c>
      <c r="BQ30" s="14" t="str">
        <f>IF(AND(ISNUMBER($I30),OR($K30="Milestone",$K30="Deadline"),$I30&gt;=BQ$4,$I30&lt;BQ$4+7),IF($K30="Deadline","◇","◆"),"")</f>
        <v/>
      </c>
      <c r="BR30" s="14" t="str">
        <f>IF(AND(ISNUMBER($I30),OR($K30="Milestone",$K30="Deadline"),$I30&gt;=BR$4,$I30&lt;BR$4+7),IF($K30="Deadline","◇","◆"),"")</f>
        <v/>
      </c>
      <c r="BS30" s="14" t="str">
        <f>IF(AND(ISNUMBER($I30),OR($K30="Milestone",$K30="Deadline"),$I30&gt;=BS$4,$I30&lt;BS$4+7),IF($K30="Deadline","◇","◆"),"")</f>
        <v/>
      </c>
      <c r="BT30" s="14" t="str">
        <f>IF(AND(ISNUMBER($I30),OR($K30="Milestone",$K30="Deadline"),$I30&gt;=BT$4,$I30&lt;BT$4+7),IF($K30="Deadline","◇","◆"),"")</f>
        <v/>
      </c>
      <c r="BU30" s="14" t="str">
        <f>IF(AND(ISNUMBER($I30),OR($K30="Milestone",$K30="Deadline"),$I30&gt;=BU$4,$I30&lt;BU$4+7),IF($K30="Deadline","◇","◆"),"")</f>
        <v/>
      </c>
      <c r="BV30" s="14" t="str">
        <f>IF(AND(ISNUMBER($I30),OR($K30="Milestone",$K30="Deadline"),$I30&gt;=BV$4,$I30&lt;BV$4+7),IF($K30="Deadline","◇","◆"),"")</f>
        <v/>
      </c>
      <c r="BW30" s="14" t="str">
        <f>IF(AND(ISNUMBER($I30),OR($K30="Milestone",$K30="Deadline"),$I30&gt;=BW$4,$I30&lt;BW$4+7),IF($K30="Deadline","◇","◆"),"")</f>
        <v/>
      </c>
      <c r="BX30" s="14" t="str">
        <f>IF(AND(ISNUMBER($I30),OR($K30="Milestone",$K30="Deadline"),$I30&gt;=BX$4,$I30&lt;BX$4+7),IF($K30="Deadline","◇","◆"),"")</f>
        <v/>
      </c>
      <c r="BY30" s="14" t="str">
        <f>IF(AND(ISNUMBER($I30),OR($K30="Milestone",$K30="Deadline"),$I30&gt;=BY$4,$I30&lt;BY$4+7),IF($K30="Deadline","◇","◆"),"")</f>
        <v/>
      </c>
      <c r="BZ30" s="14" t="str">
        <f>IF(AND(ISNUMBER($I30),OR($K30="Milestone",$K30="Deadline"),$I30&gt;=BZ$4,$I30&lt;BZ$4+7),IF($K30="Deadline","◇","◆"),"")</f>
        <v/>
      </c>
      <c r="CA30" s="14" t="str">
        <f>IF(AND(ISNUMBER($I30),OR($K30="Milestone",$K30="Deadline"),$I30&gt;=CA$4,$I30&lt;CA$4+7),IF($K30="Deadline","◇","◆"),"")</f>
        <v/>
      </c>
      <c r="CB30" s="14" t="str">
        <f>IF(AND(ISNUMBER($I30),OR($K30="Milestone",$K30="Deadline"),$I30&gt;=CB$4,$I30&lt;CB$4+7),IF($K30="Deadline","◇","◆"),"")</f>
        <v/>
      </c>
      <c r="CC30" s="14" t="str">
        <f>IF(AND(ISNUMBER($I30),OR($K30="Milestone",$K30="Deadline"),$I30&gt;=CC$4,$I30&lt;CC$4+7),IF($K30="Deadline","◇","◆"),"")</f>
        <v/>
      </c>
      <c r="CD30" s="14" t="str">
        <f>IF(AND(ISNUMBER($I30),OR($K30="Milestone",$K30="Deadline"),$I30&gt;=CD$4,$I30&lt;CD$4+7),IF($K30="Deadline","◇","◆"),"")</f>
        <v/>
      </c>
      <c r="CE30" s="14" t="str">
        <f>IF(AND(ISNUMBER($I30),OR($K30="Milestone",$K30="Deadline"),$I30&gt;=CE$4,$I30&lt;CE$4+7),IF($K30="Deadline","◇","◆"),"")</f>
        <v/>
      </c>
      <c r="CF30" s="14" t="str">
        <f>IF(AND(ISNUMBER($I30),OR($K30="Milestone",$K30="Deadline"),$I30&gt;=CF$4,$I30&lt;CF$4+7),IF($K30="Deadline","◇","◆"),"")</f>
        <v/>
      </c>
      <c r="CG30" s="14" t="str">
        <f>IF(AND(ISNUMBER($I30),OR($K30="Milestone",$K30="Deadline"),$I30&gt;=CG$4,$I30&lt;CG$4+7),IF($K30="Deadline","◇","◆"),"")</f>
        <v/>
      </c>
      <c r="CH30" s="14" t="str">
        <f>IF(AND(ISNUMBER($I30),OR($K30="Milestone",$K30="Deadline"),$I30&gt;=CH$4,$I30&lt;CH$4+7),IF($K30="Deadline","◇","◆"),"")</f>
        <v/>
      </c>
      <c r="CI30" s="14" t="str">
        <f>IF(AND(ISNUMBER($I30),OR($K30="Milestone",$K30="Deadline"),$I30&gt;=CI$4,$I30&lt;CI$4+7),IF($K30="Deadline","◇","◆"),"")</f>
        <v/>
      </c>
      <c r="CJ30" s="14" t="str">
        <f>IF(AND(ISNUMBER($I30),OR($K30="Milestone",$K30="Deadline"),$I30&gt;=CJ$4,$I30&lt;CJ$4+7),IF($K30="Deadline","◇","◆"),"")</f>
        <v/>
      </c>
      <c r="CK30" s="14" t="str">
        <f>IF(AND(ISNUMBER($I30),OR($K30="Milestone",$K30="Deadline"),$I30&gt;=CK$4,$I30&lt;CK$4+7),IF($K30="Deadline","◇","◆"),"")</f>
        <v/>
      </c>
      <c r="CL30" s="14" t="str">
        <f>IF(AND(ISNUMBER($I30),OR($K30="Milestone",$K30="Deadline"),$I30&gt;=CL$4,$I30&lt;CL$4+7),IF($K30="Deadline","◇","◆"),"")</f>
        <v/>
      </c>
      <c r="CM30" s="14" t="str">
        <f>IF(AND(ISNUMBER($I30),OR($K30="Milestone",$K30="Deadline"),$I30&gt;=CM$4,$I30&lt;CM$4+7),IF($K30="Deadline","◇","◆"),"")</f>
        <v/>
      </c>
    </row>
    <row r="31" spans="1:91" ht="15" hidden="1" customHeight="1">
      <c r="A31" s="15" t="s">
        <v>130</v>
      </c>
      <c r="B31" s="15" t="s">
        <v>116</v>
      </c>
      <c r="C31" s="15" t="s">
        <v>117</v>
      </c>
      <c r="D31" s="15"/>
      <c r="E31" s="15"/>
      <c r="F31" s="15"/>
      <c r="G31" s="15" t="s">
        <v>131</v>
      </c>
      <c r="H31" s="15"/>
      <c r="I31" s="16">
        <v>46752</v>
      </c>
      <c r="J31" s="17">
        <f>I31</f>
        <v>46752</v>
      </c>
      <c r="K31" s="15" t="s">
        <v>68</v>
      </c>
      <c r="L31" s="15"/>
      <c r="M31" s="18"/>
      <c r="N31" s="15" t="s">
        <v>132</v>
      </c>
      <c r="O31" s="18">
        <f>IF(AND(ISNUMBER(I31),ISNUMBER(J31)),J31-I31+1,"")</f>
        <v>1</v>
      </c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4" t="str">
        <f>IF(AND(ISNUMBER($I31),OR($K31="Milestone",$K31="Deadline"),$I31&gt;=AO$4,$I31&lt;AO$4+7),IF($K31="Deadline","◇","◆"),"")</f>
        <v/>
      </c>
      <c r="AP31" s="14" t="str">
        <f>IF(AND(ISNUMBER($I31),OR($K31="Milestone",$K31="Deadline"),$I31&gt;=AP$4,$I31&lt;AP$4+7),IF($K31="Deadline","◇","◆"),"")</f>
        <v/>
      </c>
      <c r="AQ31" s="14" t="str">
        <f>IF(AND(ISNUMBER($I31),OR($K31="Milestone",$K31="Deadline"),$I31&gt;=AQ$4,$I31&lt;AQ$4+7),IF($K31="Deadline","◇","◆"),"")</f>
        <v/>
      </c>
      <c r="AR31" s="14" t="str">
        <f>IF(AND(ISNUMBER($I31),OR($K31="Milestone",$K31="Deadline"),$I31&gt;=AR$4,$I31&lt;AR$4+7),IF($K31="Deadline","◇","◆"),"")</f>
        <v/>
      </c>
      <c r="AS31" s="14" t="str">
        <f>IF(AND(ISNUMBER($I31),OR($K31="Milestone",$K31="Deadline"),$I31&gt;=AS$4,$I31&lt;AS$4+7),IF($K31="Deadline","◇","◆"),"")</f>
        <v/>
      </c>
      <c r="AT31" s="14" t="str">
        <f>IF(AND(ISNUMBER($I31),OR($K31="Milestone",$K31="Deadline"),$I31&gt;=AT$4,$I31&lt;AT$4+7),IF($K31="Deadline","◇","◆"),"")</f>
        <v/>
      </c>
      <c r="AU31" s="14" t="str">
        <f>IF(AND(ISNUMBER($I31),OR($K31="Milestone",$K31="Deadline"),$I31&gt;=AU$4,$I31&lt;AU$4+7),IF($K31="Deadline","◇","◆"),"")</f>
        <v/>
      </c>
      <c r="AV31" s="14" t="str">
        <f>IF(AND(ISNUMBER($I31),OR($K31="Milestone",$K31="Deadline"),$I31&gt;=AV$4,$I31&lt;AV$4+7),IF($K31="Deadline","◇","◆"),"")</f>
        <v/>
      </c>
      <c r="AW31" s="14" t="str">
        <f>IF(AND(ISNUMBER($I31),OR($K31="Milestone",$K31="Deadline"),$I31&gt;=AW$4,$I31&lt;AW$4+7),IF($K31="Deadline","◇","◆"),"")</f>
        <v/>
      </c>
      <c r="AX31" s="14" t="str">
        <f>IF(AND(ISNUMBER($I31),OR($K31="Milestone",$K31="Deadline"),$I31&gt;=AX$4,$I31&lt;AX$4+7),IF($K31="Deadline","◇","◆"),"")</f>
        <v/>
      </c>
      <c r="AY31" s="14" t="str">
        <f>IF(AND(ISNUMBER($I31),OR($K31="Milestone",$K31="Deadline"),$I31&gt;=AY$4,$I31&lt;AY$4+7),IF($K31="Deadline","◇","◆"),"")</f>
        <v/>
      </c>
      <c r="AZ31" s="14" t="str">
        <f>IF(AND(ISNUMBER($I31),OR($K31="Milestone",$K31="Deadline"),$I31&gt;=AZ$4,$I31&lt;AZ$4+7),IF($K31="Deadline","◇","◆"),"")</f>
        <v/>
      </c>
      <c r="BA31" s="14" t="str">
        <f>IF(AND(ISNUMBER($I31),OR($K31="Milestone",$K31="Deadline"),$I31&gt;=BA$4,$I31&lt;BA$4+7),IF($K31="Deadline","◇","◆"),"")</f>
        <v/>
      </c>
      <c r="BB31" s="14" t="str">
        <f>IF(AND(ISNUMBER($I31),OR($K31="Milestone",$K31="Deadline"),$I31&gt;=BB$4,$I31&lt;BB$4+7),IF($K31="Deadline","◇","◆"),"")</f>
        <v/>
      </c>
      <c r="BC31" s="14" t="str">
        <f>IF(AND(ISNUMBER($I31),OR($K31="Milestone",$K31="Deadline"),$I31&gt;=BC$4,$I31&lt;BC$4+7),IF($K31="Deadline","◇","◆"),"")</f>
        <v/>
      </c>
      <c r="BD31" s="14" t="str">
        <f>IF(AND(ISNUMBER($I31),OR($K31="Milestone",$K31="Deadline"),$I31&gt;=BD$4,$I31&lt;BD$4+7),IF($K31="Deadline","◇","◆"),"")</f>
        <v/>
      </c>
      <c r="BE31" s="14" t="str">
        <f>IF(AND(ISNUMBER($I31),OR($K31="Milestone",$K31="Deadline"),$I31&gt;=BE$4,$I31&lt;BE$4+7),IF($K31="Deadline","◇","◆"),"")</f>
        <v/>
      </c>
      <c r="BF31" s="14" t="str">
        <f>IF(AND(ISNUMBER($I31),OR($K31="Milestone",$K31="Deadline"),$I31&gt;=BF$4,$I31&lt;BF$4+7),IF($K31="Deadline","◇","◆"),"")</f>
        <v/>
      </c>
      <c r="BG31" s="14" t="str">
        <f>IF(AND(ISNUMBER($I31),OR($K31="Milestone",$K31="Deadline"),$I31&gt;=BG$4,$I31&lt;BG$4+7),IF($K31="Deadline","◇","◆"),"")</f>
        <v/>
      </c>
      <c r="BH31" s="14" t="str">
        <f>IF(AND(ISNUMBER($I31),OR($K31="Milestone",$K31="Deadline"),$I31&gt;=BH$4,$I31&lt;BH$4+7),IF($K31="Deadline","◇","◆"),"")</f>
        <v/>
      </c>
      <c r="BI31" s="14" t="str">
        <f>IF(AND(ISNUMBER($I31),OR($K31="Milestone",$K31="Deadline"),$I31&gt;=BI$4,$I31&lt;BI$4+7),IF($K31="Deadline","◇","◆"),"")</f>
        <v/>
      </c>
      <c r="BJ31" s="14" t="str">
        <f>IF(AND(ISNUMBER($I31),OR($K31="Milestone",$K31="Deadline"),$I31&gt;=BJ$4,$I31&lt;BJ$4+7),IF($K31="Deadline","◇","◆"),"")</f>
        <v/>
      </c>
      <c r="BK31" s="14" t="str">
        <f>IF(AND(ISNUMBER($I31),OR($K31="Milestone",$K31="Deadline"),$I31&gt;=BK$4,$I31&lt;BK$4+7),IF($K31="Deadline","◇","◆"),"")</f>
        <v/>
      </c>
      <c r="BL31" s="14" t="str">
        <f>IF(AND(ISNUMBER($I31),OR($K31="Milestone",$K31="Deadline"),$I31&gt;=BL$4,$I31&lt;BL$4+7),IF($K31="Deadline","◇","◆"),"")</f>
        <v/>
      </c>
      <c r="BM31" s="14" t="str">
        <f>IF(AND(ISNUMBER($I31),OR($K31="Milestone",$K31="Deadline"),$I31&gt;=BM$4,$I31&lt;BM$4+7),IF($K31="Deadline","◇","◆"),"")</f>
        <v/>
      </c>
      <c r="BN31" s="14" t="str">
        <f>IF(AND(ISNUMBER($I31),OR($K31="Milestone",$K31="Deadline"),$I31&gt;=BN$4,$I31&lt;BN$4+7),IF($K31="Deadline","◇","◆"),"")</f>
        <v/>
      </c>
      <c r="BO31" s="14" t="str">
        <f>IF(AND(ISNUMBER($I31),OR($K31="Milestone",$K31="Deadline"),$I31&gt;=BO$4,$I31&lt;BO$4+7),IF($K31="Deadline","◇","◆"),"")</f>
        <v/>
      </c>
      <c r="BP31" s="14" t="str">
        <f>IF(AND(ISNUMBER($I31),OR($K31="Milestone",$K31="Deadline"),$I31&gt;=BP$4,$I31&lt;BP$4+7),IF($K31="Deadline","◇","◆"),"")</f>
        <v/>
      </c>
      <c r="BQ31" s="14" t="str">
        <f>IF(AND(ISNUMBER($I31),OR($K31="Milestone",$K31="Deadline"),$I31&gt;=BQ$4,$I31&lt;BQ$4+7),IF($K31="Deadline","◇","◆"),"")</f>
        <v/>
      </c>
      <c r="BR31" s="14" t="str">
        <f>IF(AND(ISNUMBER($I31),OR($K31="Milestone",$K31="Deadline"),$I31&gt;=BR$4,$I31&lt;BR$4+7),IF($K31="Deadline","◇","◆"),"")</f>
        <v/>
      </c>
      <c r="BS31" s="14" t="str">
        <f>IF(AND(ISNUMBER($I31),OR($K31="Milestone",$K31="Deadline"),$I31&gt;=BS$4,$I31&lt;BS$4+7),IF($K31="Deadline","◇","◆"),"")</f>
        <v/>
      </c>
      <c r="BT31" s="14" t="str">
        <f>IF(AND(ISNUMBER($I31),OR($K31="Milestone",$K31="Deadline"),$I31&gt;=BT$4,$I31&lt;BT$4+7),IF($K31="Deadline","◇","◆"),"")</f>
        <v/>
      </c>
      <c r="BU31" s="14" t="str">
        <f>IF(AND(ISNUMBER($I31),OR($K31="Milestone",$K31="Deadline"),$I31&gt;=BU$4,$I31&lt;BU$4+7),IF($K31="Deadline","◇","◆"),"")</f>
        <v/>
      </c>
      <c r="BV31" s="14" t="str">
        <f>IF(AND(ISNUMBER($I31),OR($K31="Milestone",$K31="Deadline"),$I31&gt;=BV$4,$I31&lt;BV$4+7),IF($K31="Deadline","◇","◆"),"")</f>
        <v/>
      </c>
      <c r="BW31" s="14" t="str">
        <f>IF(AND(ISNUMBER($I31),OR($K31="Milestone",$K31="Deadline"),$I31&gt;=BW$4,$I31&lt;BW$4+7),IF($K31="Deadline","◇","◆"),"")</f>
        <v/>
      </c>
      <c r="BX31" s="14" t="str">
        <f>IF(AND(ISNUMBER($I31),OR($K31="Milestone",$K31="Deadline"),$I31&gt;=BX$4,$I31&lt;BX$4+7),IF($K31="Deadline","◇","◆"),"")</f>
        <v/>
      </c>
      <c r="BY31" s="14" t="str">
        <f>IF(AND(ISNUMBER($I31),OR($K31="Milestone",$K31="Deadline"),$I31&gt;=BY$4,$I31&lt;BY$4+7),IF($K31="Deadline","◇","◆"),"")</f>
        <v/>
      </c>
      <c r="BZ31" s="14" t="str">
        <f>IF(AND(ISNUMBER($I31),OR($K31="Milestone",$K31="Deadline"),$I31&gt;=BZ$4,$I31&lt;BZ$4+7),IF($K31="Deadline","◇","◆"),"")</f>
        <v/>
      </c>
      <c r="CA31" s="14" t="str">
        <f>IF(AND(ISNUMBER($I31),OR($K31="Milestone",$K31="Deadline"),$I31&gt;=CA$4,$I31&lt;CA$4+7),IF($K31="Deadline","◇","◆"),"")</f>
        <v/>
      </c>
      <c r="CB31" s="14" t="str">
        <f>IF(AND(ISNUMBER($I31),OR($K31="Milestone",$K31="Deadline"),$I31&gt;=CB$4,$I31&lt;CB$4+7),IF($K31="Deadline","◇","◆"),"")</f>
        <v/>
      </c>
      <c r="CC31" s="14" t="str">
        <f>IF(AND(ISNUMBER($I31),OR($K31="Milestone",$K31="Deadline"),$I31&gt;=CC$4,$I31&lt;CC$4+7),IF($K31="Deadline","◇","◆"),"")</f>
        <v/>
      </c>
      <c r="CD31" s="14" t="str">
        <f>IF(AND(ISNUMBER($I31),OR($K31="Milestone",$K31="Deadline"),$I31&gt;=CD$4,$I31&lt;CD$4+7),IF($K31="Deadline","◇","◆"),"")</f>
        <v/>
      </c>
      <c r="CE31" s="14" t="str">
        <f>IF(AND(ISNUMBER($I31),OR($K31="Milestone",$K31="Deadline"),$I31&gt;=CE$4,$I31&lt;CE$4+7),IF($K31="Deadline","◇","◆"),"")</f>
        <v/>
      </c>
      <c r="CF31" s="14" t="str">
        <f>IF(AND(ISNUMBER($I31),OR($K31="Milestone",$K31="Deadline"),$I31&gt;=CF$4,$I31&lt;CF$4+7),IF($K31="Deadline","◇","◆"),"")</f>
        <v/>
      </c>
      <c r="CG31" s="14" t="str">
        <f>IF(AND(ISNUMBER($I31),OR($K31="Milestone",$K31="Deadline"),$I31&gt;=CG$4,$I31&lt;CG$4+7),IF($K31="Deadline","◇","◆"),"")</f>
        <v/>
      </c>
      <c r="CH31" s="14" t="str">
        <f>IF(AND(ISNUMBER($I31),OR($K31="Milestone",$K31="Deadline"),$I31&gt;=CH$4,$I31&lt;CH$4+7),IF($K31="Deadline","◇","◆"),"")</f>
        <v/>
      </c>
      <c r="CI31" s="14" t="str">
        <f>IF(AND(ISNUMBER($I31),OR($K31="Milestone",$K31="Deadline"),$I31&gt;=CI$4,$I31&lt;CI$4+7),IF($K31="Deadline","◇","◆"),"")</f>
        <v/>
      </c>
      <c r="CJ31" s="14" t="str">
        <f>IF(AND(ISNUMBER($I31),OR($K31="Milestone",$K31="Deadline"),$I31&gt;=CJ$4,$I31&lt;CJ$4+7),IF($K31="Deadline","◇","◆"),"")</f>
        <v/>
      </c>
      <c r="CK31" s="14" t="str">
        <f>IF(AND(ISNUMBER($I31),OR($K31="Milestone",$K31="Deadline"),$I31&gt;=CK$4,$I31&lt;CK$4+7),IF($K31="Deadline","◇","◆"),"")</f>
        <v/>
      </c>
      <c r="CL31" s="14" t="str">
        <f>IF(AND(ISNUMBER($I31),OR($K31="Milestone",$K31="Deadline"),$I31&gt;=CL$4,$I31&lt;CL$4+7),IF($K31="Deadline","◇","◆"),"")</f>
        <v/>
      </c>
      <c r="CM31" s="14" t="str">
        <f>IF(AND(ISNUMBER($I31),OR($K31="Milestone",$K31="Deadline"),$I31&gt;=CM$4,$I31&lt;CM$4+7),IF($K31="Deadline","◇","◆"),"")</f>
        <v/>
      </c>
    </row>
    <row r="32" spans="1:91" ht="15" hidden="1" customHeight="1">
      <c r="A32" s="15" t="s">
        <v>133</v>
      </c>
      <c r="B32" s="15" t="s">
        <v>116</v>
      </c>
      <c r="C32" s="15" t="s">
        <v>117</v>
      </c>
      <c r="D32" s="15"/>
      <c r="E32" s="15"/>
      <c r="F32" s="15"/>
      <c r="G32" s="15" t="s">
        <v>134</v>
      </c>
      <c r="H32" s="15"/>
      <c r="I32" s="16">
        <v>46507</v>
      </c>
      <c r="J32" s="17">
        <f>I32</f>
        <v>46507</v>
      </c>
      <c r="K32" s="15" t="s">
        <v>85</v>
      </c>
      <c r="L32" s="15"/>
      <c r="M32" s="18"/>
      <c r="N32" s="15" t="s">
        <v>135</v>
      </c>
      <c r="O32" s="18">
        <f>IF(AND(ISNUMBER(I32),ISNUMBER(J32)),J32-I32+1,"")</f>
        <v>1</v>
      </c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4" t="str">
        <f>IF(AND(ISNUMBER($I32),OR($K32="Milestone",$K32="Deadline"),$I32&gt;=AO$4,$I32&lt;AO$4+7),IF($K32="Deadline","◇","◆"),"")</f>
        <v/>
      </c>
      <c r="AP32" s="14" t="str">
        <f>IF(AND(ISNUMBER($I32),OR($K32="Milestone",$K32="Deadline"),$I32&gt;=AP$4,$I32&lt;AP$4+7),IF($K32="Deadline","◇","◆"),"")</f>
        <v/>
      </c>
      <c r="AQ32" s="14" t="str">
        <f>IF(AND(ISNUMBER($I32),OR($K32="Milestone",$K32="Deadline"),$I32&gt;=AQ$4,$I32&lt;AQ$4+7),IF($K32="Deadline","◇","◆"),"")</f>
        <v/>
      </c>
      <c r="AR32" s="14" t="str">
        <f>IF(AND(ISNUMBER($I32),OR($K32="Milestone",$K32="Deadline"),$I32&gt;=AR$4,$I32&lt;AR$4+7),IF($K32="Deadline","◇","◆"),"")</f>
        <v/>
      </c>
      <c r="AS32" s="14" t="str">
        <f>IF(AND(ISNUMBER($I32),OR($K32="Milestone",$K32="Deadline"),$I32&gt;=AS$4,$I32&lt;AS$4+7),IF($K32="Deadline","◇","◆"),"")</f>
        <v/>
      </c>
      <c r="AT32" s="14" t="str">
        <f>IF(AND(ISNUMBER($I32),OR($K32="Milestone",$K32="Deadline"),$I32&gt;=AT$4,$I32&lt;AT$4+7),IF($K32="Deadline","◇","◆"),"")</f>
        <v/>
      </c>
      <c r="AU32" s="14" t="str">
        <f>IF(AND(ISNUMBER($I32),OR($K32="Milestone",$K32="Deadline"),$I32&gt;=AU$4,$I32&lt;AU$4+7),IF($K32="Deadline","◇","◆"),"")</f>
        <v/>
      </c>
      <c r="AV32" s="14" t="str">
        <f>IF(AND(ISNUMBER($I32),OR($K32="Milestone",$K32="Deadline"),$I32&gt;=AV$4,$I32&lt;AV$4+7),IF($K32="Deadline","◇","◆"),"")</f>
        <v/>
      </c>
      <c r="AW32" s="14" t="str">
        <f>IF(AND(ISNUMBER($I32),OR($K32="Milestone",$K32="Deadline"),$I32&gt;=AW$4,$I32&lt;AW$4+7),IF($K32="Deadline","◇","◆"),"")</f>
        <v/>
      </c>
      <c r="AX32" s="14" t="str">
        <f>IF(AND(ISNUMBER($I32),OR($K32="Milestone",$K32="Deadline"),$I32&gt;=AX$4,$I32&lt;AX$4+7),IF($K32="Deadline","◇","◆"),"")</f>
        <v/>
      </c>
      <c r="AY32" s="14" t="str">
        <f>IF(AND(ISNUMBER($I32),OR($K32="Milestone",$K32="Deadline"),$I32&gt;=AY$4,$I32&lt;AY$4+7),IF($K32="Deadline","◇","◆"),"")</f>
        <v/>
      </c>
      <c r="AZ32" s="14" t="str">
        <f>IF(AND(ISNUMBER($I32),OR($K32="Milestone",$K32="Deadline"),$I32&gt;=AZ$4,$I32&lt;AZ$4+7),IF($K32="Deadline","◇","◆"),"")</f>
        <v/>
      </c>
      <c r="BA32" s="14" t="str">
        <f>IF(AND(ISNUMBER($I32),OR($K32="Milestone",$K32="Deadline"),$I32&gt;=BA$4,$I32&lt;BA$4+7),IF($K32="Deadline","◇","◆"),"")</f>
        <v/>
      </c>
      <c r="BB32" s="14" t="str">
        <f>IF(AND(ISNUMBER($I32),OR($K32="Milestone",$K32="Deadline"),$I32&gt;=BB$4,$I32&lt;BB$4+7),IF($K32="Deadline","◇","◆"),"")</f>
        <v/>
      </c>
      <c r="BC32" s="14" t="str">
        <f>IF(AND(ISNUMBER($I32),OR($K32="Milestone",$K32="Deadline"),$I32&gt;=BC$4,$I32&lt;BC$4+7),IF($K32="Deadline","◇","◆"),"")</f>
        <v/>
      </c>
      <c r="BD32" s="14" t="str">
        <f>IF(AND(ISNUMBER($I32),OR($K32="Milestone",$K32="Deadline"),$I32&gt;=BD$4,$I32&lt;BD$4+7),IF($K32="Deadline","◇","◆"),"")</f>
        <v/>
      </c>
      <c r="BE32" s="14" t="str">
        <f>IF(AND(ISNUMBER($I32),OR($K32="Milestone",$K32="Deadline"),$I32&gt;=BE$4,$I32&lt;BE$4+7),IF($K32="Deadline","◇","◆"),"")</f>
        <v/>
      </c>
      <c r="BF32" s="14" t="str">
        <f>IF(AND(ISNUMBER($I32),OR($K32="Milestone",$K32="Deadline"),$I32&gt;=BF$4,$I32&lt;BF$4+7),IF($K32="Deadline","◇","◆"),"")</f>
        <v/>
      </c>
      <c r="BG32" s="14" t="str">
        <f>IF(AND(ISNUMBER($I32),OR($K32="Milestone",$K32="Deadline"),$I32&gt;=BG$4,$I32&lt;BG$4+7),IF($K32="Deadline","◇","◆"),"")</f>
        <v/>
      </c>
      <c r="BH32" s="14" t="str">
        <f>IF(AND(ISNUMBER($I32),OR($K32="Milestone",$K32="Deadline"),$I32&gt;=BH$4,$I32&lt;BH$4+7),IF($K32="Deadline","◇","◆"),"")</f>
        <v/>
      </c>
      <c r="BI32" s="14" t="str">
        <f>IF(AND(ISNUMBER($I32),OR($K32="Milestone",$K32="Deadline"),$I32&gt;=BI$4,$I32&lt;BI$4+7),IF($K32="Deadline","◇","◆"),"")</f>
        <v/>
      </c>
      <c r="BJ32" s="14" t="str">
        <f>IF(AND(ISNUMBER($I32),OR($K32="Milestone",$K32="Deadline"),$I32&gt;=BJ$4,$I32&lt;BJ$4+7),IF($K32="Deadline","◇","◆"),"")</f>
        <v/>
      </c>
      <c r="BK32" s="14" t="str">
        <f>IF(AND(ISNUMBER($I32),OR($K32="Milestone",$K32="Deadline"),$I32&gt;=BK$4,$I32&lt;BK$4+7),IF($K32="Deadline","◇","◆"),"")</f>
        <v/>
      </c>
      <c r="BL32" s="14" t="str">
        <f>IF(AND(ISNUMBER($I32),OR($K32="Milestone",$K32="Deadline"),$I32&gt;=BL$4,$I32&lt;BL$4+7),IF($K32="Deadline","◇","◆"),"")</f>
        <v/>
      </c>
      <c r="BM32" s="14" t="str">
        <f>IF(AND(ISNUMBER($I32),OR($K32="Milestone",$K32="Deadline"),$I32&gt;=BM$4,$I32&lt;BM$4+7),IF($K32="Deadline","◇","◆"),"")</f>
        <v/>
      </c>
      <c r="BN32" s="14" t="str">
        <f>IF(AND(ISNUMBER($I32),OR($K32="Milestone",$K32="Deadline"),$I32&gt;=BN$4,$I32&lt;BN$4+7),IF($K32="Deadline","◇","◆"),"")</f>
        <v/>
      </c>
      <c r="BO32" s="14" t="str">
        <f>IF(AND(ISNUMBER($I32),OR($K32="Milestone",$K32="Deadline"),$I32&gt;=BO$4,$I32&lt;BO$4+7),IF($K32="Deadline","◇","◆"),"")</f>
        <v/>
      </c>
      <c r="BP32" s="14" t="str">
        <f>IF(AND(ISNUMBER($I32),OR($K32="Milestone",$K32="Deadline"),$I32&gt;=BP$4,$I32&lt;BP$4+7),IF($K32="Deadline","◇","◆"),"")</f>
        <v/>
      </c>
      <c r="BQ32" s="14" t="str">
        <f>IF(AND(ISNUMBER($I32),OR($K32="Milestone",$K32="Deadline"),$I32&gt;=BQ$4,$I32&lt;BQ$4+7),IF($K32="Deadline","◇","◆"),"")</f>
        <v>◇</v>
      </c>
      <c r="BR32" s="14" t="str">
        <f>IF(AND(ISNUMBER($I32),OR($K32="Milestone",$K32="Deadline"),$I32&gt;=BR$4,$I32&lt;BR$4+7),IF($K32="Deadline","◇","◆"),"")</f>
        <v/>
      </c>
      <c r="BS32" s="14" t="str">
        <f>IF(AND(ISNUMBER($I32),OR($K32="Milestone",$K32="Deadline"),$I32&gt;=BS$4,$I32&lt;BS$4+7),IF($K32="Deadline","◇","◆"),"")</f>
        <v/>
      </c>
      <c r="BT32" s="14" t="str">
        <f>IF(AND(ISNUMBER($I32),OR($K32="Milestone",$K32="Deadline"),$I32&gt;=BT$4,$I32&lt;BT$4+7),IF($K32="Deadline","◇","◆"),"")</f>
        <v/>
      </c>
      <c r="BU32" s="14" t="str">
        <f>IF(AND(ISNUMBER($I32),OR($K32="Milestone",$K32="Deadline"),$I32&gt;=BU$4,$I32&lt;BU$4+7),IF($K32="Deadline","◇","◆"),"")</f>
        <v/>
      </c>
      <c r="BV32" s="14" t="str">
        <f>IF(AND(ISNUMBER($I32),OR($K32="Milestone",$K32="Deadline"),$I32&gt;=BV$4,$I32&lt;BV$4+7),IF($K32="Deadline","◇","◆"),"")</f>
        <v/>
      </c>
      <c r="BW32" s="14" t="str">
        <f>IF(AND(ISNUMBER($I32),OR($K32="Milestone",$K32="Deadline"),$I32&gt;=BW$4,$I32&lt;BW$4+7),IF($K32="Deadline","◇","◆"),"")</f>
        <v/>
      </c>
      <c r="BX32" s="14" t="str">
        <f>IF(AND(ISNUMBER($I32),OR($K32="Milestone",$K32="Deadline"),$I32&gt;=BX$4,$I32&lt;BX$4+7),IF($K32="Deadline","◇","◆"),"")</f>
        <v/>
      </c>
      <c r="BY32" s="14" t="str">
        <f>IF(AND(ISNUMBER($I32),OR($K32="Milestone",$K32="Deadline"),$I32&gt;=BY$4,$I32&lt;BY$4+7),IF($K32="Deadline","◇","◆"),"")</f>
        <v/>
      </c>
      <c r="BZ32" s="14" t="str">
        <f>IF(AND(ISNUMBER($I32),OR($K32="Milestone",$K32="Deadline"),$I32&gt;=BZ$4,$I32&lt;BZ$4+7),IF($K32="Deadline","◇","◆"),"")</f>
        <v/>
      </c>
      <c r="CA32" s="14" t="str">
        <f>IF(AND(ISNUMBER($I32),OR($K32="Milestone",$K32="Deadline"),$I32&gt;=CA$4,$I32&lt;CA$4+7),IF($K32="Deadline","◇","◆"),"")</f>
        <v/>
      </c>
      <c r="CB32" s="14" t="str">
        <f>IF(AND(ISNUMBER($I32),OR($K32="Milestone",$K32="Deadline"),$I32&gt;=CB$4,$I32&lt;CB$4+7),IF($K32="Deadline","◇","◆"),"")</f>
        <v/>
      </c>
      <c r="CC32" s="14" t="str">
        <f>IF(AND(ISNUMBER($I32),OR($K32="Milestone",$K32="Deadline"),$I32&gt;=CC$4,$I32&lt;CC$4+7),IF($K32="Deadline","◇","◆"),"")</f>
        <v/>
      </c>
      <c r="CD32" s="14" t="str">
        <f>IF(AND(ISNUMBER($I32),OR($K32="Milestone",$K32="Deadline"),$I32&gt;=CD$4,$I32&lt;CD$4+7),IF($K32="Deadline","◇","◆"),"")</f>
        <v/>
      </c>
      <c r="CE32" s="14" t="str">
        <f>IF(AND(ISNUMBER($I32),OR($K32="Milestone",$K32="Deadline"),$I32&gt;=CE$4,$I32&lt;CE$4+7),IF($K32="Deadline","◇","◆"),"")</f>
        <v/>
      </c>
      <c r="CF32" s="14" t="str">
        <f>IF(AND(ISNUMBER($I32),OR($K32="Milestone",$K32="Deadline"),$I32&gt;=CF$4,$I32&lt;CF$4+7),IF($K32="Deadline","◇","◆"),"")</f>
        <v/>
      </c>
      <c r="CG32" s="14" t="str">
        <f>IF(AND(ISNUMBER($I32),OR($K32="Milestone",$K32="Deadline"),$I32&gt;=CG$4,$I32&lt;CG$4+7),IF($K32="Deadline","◇","◆"),"")</f>
        <v/>
      </c>
      <c r="CH32" s="14" t="str">
        <f>IF(AND(ISNUMBER($I32),OR($K32="Milestone",$K32="Deadline"),$I32&gt;=CH$4,$I32&lt;CH$4+7),IF($K32="Deadline","◇","◆"),"")</f>
        <v/>
      </c>
      <c r="CI32" s="14" t="str">
        <f>IF(AND(ISNUMBER($I32),OR($K32="Milestone",$K32="Deadline"),$I32&gt;=CI$4,$I32&lt;CI$4+7),IF($K32="Deadline","◇","◆"),"")</f>
        <v/>
      </c>
      <c r="CJ32" s="14" t="str">
        <f>IF(AND(ISNUMBER($I32),OR($K32="Milestone",$K32="Deadline"),$I32&gt;=CJ$4,$I32&lt;CJ$4+7),IF($K32="Deadline","◇","◆"),"")</f>
        <v/>
      </c>
      <c r="CK32" s="14" t="str">
        <f>IF(AND(ISNUMBER($I32),OR($K32="Milestone",$K32="Deadline"),$I32&gt;=CK$4,$I32&lt;CK$4+7),IF($K32="Deadline","◇","◆"),"")</f>
        <v/>
      </c>
      <c r="CL32" s="14" t="str">
        <f>IF(AND(ISNUMBER($I32),OR($K32="Milestone",$K32="Deadline"),$I32&gt;=CL$4,$I32&lt;CL$4+7),IF($K32="Deadline","◇","◆"),"")</f>
        <v/>
      </c>
      <c r="CM32" s="14" t="str">
        <f>IF(AND(ISNUMBER($I32),OR($K32="Milestone",$K32="Deadline"),$I32&gt;=CM$4,$I32&lt;CM$4+7),IF($K32="Deadline","◇","◆"),"")</f>
        <v/>
      </c>
    </row>
    <row r="33" spans="1:91" ht="15" hidden="1" customHeight="1">
      <c r="A33" s="19" t="s">
        <v>136</v>
      </c>
      <c r="B33" s="19" t="s">
        <v>137</v>
      </c>
      <c r="C33" s="19" t="s">
        <v>63</v>
      </c>
      <c r="D33" s="19"/>
      <c r="E33" s="19"/>
      <c r="F33" s="19" t="s">
        <v>138</v>
      </c>
      <c r="G33" s="19" t="s">
        <v>139</v>
      </c>
      <c r="H33" s="19">
        <v>7</v>
      </c>
      <c r="I33" s="20">
        <v>46335</v>
      </c>
      <c r="J33" s="21">
        <f>IF(AND(ISNUMBER(I33),ISNUMBER(H33)),I33+H33-1,"")</f>
        <v>46341</v>
      </c>
      <c r="K33" s="19" t="s">
        <v>27</v>
      </c>
      <c r="L33" s="19"/>
      <c r="M33" s="22"/>
      <c r="N33" s="19"/>
      <c r="O33" s="22">
        <f>IF(AND(ISNUMBER(I33),ISNUMBER(J33)),J33-I33+1,"")</f>
        <v>7</v>
      </c>
      <c r="P33" s="13"/>
      <c r="Q33" s="13"/>
      <c r="R33" s="13"/>
      <c r="S33" s="13"/>
      <c r="T33" s="13"/>
      <c r="U33" s="13" t="s">
        <v>140</v>
      </c>
      <c r="V33" s="13" t="s">
        <v>140</v>
      </c>
      <c r="W33" s="13"/>
      <c r="X33" s="13" t="s">
        <v>140</v>
      </c>
      <c r="Y33" s="13"/>
      <c r="Z33" s="13" t="s">
        <v>140</v>
      </c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4" t="str">
        <f>IF(AND(ISNUMBER($I33),OR($K33="Milestone",$K33="Deadline"),$I33&gt;=AO$4,$I33&lt;AO$4+7),IF($K33="Deadline","◇","◆"),"")</f>
        <v/>
      </c>
      <c r="AP33" s="14" t="str">
        <f>IF(AND(ISNUMBER($I33),OR($K33="Milestone",$K33="Deadline"),$I33&gt;=AP$4,$I33&lt;AP$4+7),IF($K33="Deadline","◇","◆"),"")</f>
        <v/>
      </c>
      <c r="AQ33" s="14" t="str">
        <f>IF(AND(ISNUMBER($I33),OR($K33="Milestone",$K33="Deadline"),$I33&gt;=AQ$4,$I33&lt;AQ$4+7),IF($K33="Deadline","◇","◆"),"")</f>
        <v/>
      </c>
      <c r="AR33" s="14" t="str">
        <f>IF(AND(ISNUMBER($I33),OR($K33="Milestone",$K33="Deadline"),$I33&gt;=AR$4,$I33&lt;AR$4+7),IF($K33="Deadline","◇","◆"),"")</f>
        <v/>
      </c>
      <c r="AS33" s="14" t="str">
        <f>IF(AND(ISNUMBER($I33),OR($K33="Milestone",$K33="Deadline"),$I33&gt;=AS$4,$I33&lt;AS$4+7),IF($K33="Deadline","◇","◆"),"")</f>
        <v/>
      </c>
      <c r="AT33" s="14" t="str">
        <f>IF(AND(ISNUMBER($I33),OR($K33="Milestone",$K33="Deadline"),$I33&gt;=AT$4,$I33&lt;AT$4+7),IF($K33="Deadline","◇","◆"),"")</f>
        <v/>
      </c>
      <c r="AU33" s="14" t="str">
        <f>IF(AND(ISNUMBER($I33),OR($K33="Milestone",$K33="Deadline"),$I33&gt;=AU$4,$I33&lt;AU$4+7),IF($K33="Deadline","◇","◆"),"")</f>
        <v/>
      </c>
      <c r="AV33" s="14" t="str">
        <f>IF(AND(ISNUMBER($I33),OR($K33="Milestone",$K33="Deadline"),$I33&gt;=AV$4,$I33&lt;AV$4+7),IF($K33="Deadline","◇","◆"),"")</f>
        <v/>
      </c>
      <c r="AW33" s="14" t="str">
        <f>IF(AND(ISNUMBER($I33),OR($K33="Milestone",$K33="Deadline"),$I33&gt;=AW$4,$I33&lt;AW$4+7),IF($K33="Deadline","◇","◆"),"")</f>
        <v/>
      </c>
      <c r="AX33" s="14" t="str">
        <f>IF(AND(ISNUMBER($I33),OR($K33="Milestone",$K33="Deadline"),$I33&gt;=AX$4,$I33&lt;AX$4+7),IF($K33="Deadline","◇","◆"),"")</f>
        <v/>
      </c>
      <c r="AY33" s="14" t="str">
        <f>IF(AND(ISNUMBER($I33),OR($K33="Milestone",$K33="Deadline"),$I33&gt;=AY$4,$I33&lt;AY$4+7),IF($K33="Deadline","◇","◆"),"")</f>
        <v/>
      </c>
      <c r="AZ33" s="14" t="str">
        <f>IF(AND(ISNUMBER($I33),OR($K33="Milestone",$K33="Deadline"),$I33&gt;=AZ$4,$I33&lt;AZ$4+7),IF($K33="Deadline","◇","◆"),"")</f>
        <v/>
      </c>
      <c r="BA33" s="14" t="str">
        <f>IF(AND(ISNUMBER($I33),OR($K33="Milestone",$K33="Deadline"),$I33&gt;=BA$4,$I33&lt;BA$4+7),IF($K33="Deadline","◇","◆"),"")</f>
        <v/>
      </c>
      <c r="BB33" s="14" t="str">
        <f>IF(AND(ISNUMBER($I33),OR($K33="Milestone",$K33="Deadline"),$I33&gt;=BB$4,$I33&lt;BB$4+7),IF($K33="Deadline","◇","◆"),"")</f>
        <v/>
      </c>
      <c r="BC33" s="14" t="str">
        <f>IF(AND(ISNUMBER($I33),OR($K33="Milestone",$K33="Deadline"),$I33&gt;=BC$4,$I33&lt;BC$4+7),IF($K33="Deadline","◇","◆"),"")</f>
        <v/>
      </c>
      <c r="BD33" s="14" t="str">
        <f>IF(AND(ISNUMBER($I33),OR($K33="Milestone",$K33="Deadline"),$I33&gt;=BD$4,$I33&lt;BD$4+7),IF($K33="Deadline","◇","◆"),"")</f>
        <v/>
      </c>
      <c r="BE33" s="14" t="str">
        <f>IF(AND(ISNUMBER($I33),OR($K33="Milestone",$K33="Deadline"),$I33&gt;=BE$4,$I33&lt;BE$4+7),IF($K33="Deadline","◇","◆"),"")</f>
        <v/>
      </c>
      <c r="BF33" s="14" t="str">
        <f>IF(AND(ISNUMBER($I33),OR($K33="Milestone",$K33="Deadline"),$I33&gt;=BF$4,$I33&lt;BF$4+7),IF($K33="Deadline","◇","◆"),"")</f>
        <v/>
      </c>
      <c r="BG33" s="14" t="str">
        <f>IF(AND(ISNUMBER($I33),OR($K33="Milestone",$K33="Deadline"),$I33&gt;=BG$4,$I33&lt;BG$4+7),IF($K33="Deadline","◇","◆"),"")</f>
        <v/>
      </c>
      <c r="BH33" s="14" t="str">
        <f>IF(AND(ISNUMBER($I33),OR($K33="Milestone",$K33="Deadline"),$I33&gt;=BH$4,$I33&lt;BH$4+7),IF($K33="Deadline","◇","◆"),"")</f>
        <v/>
      </c>
      <c r="BI33" s="14" t="str">
        <f>IF(AND(ISNUMBER($I33),OR($K33="Milestone",$K33="Deadline"),$I33&gt;=BI$4,$I33&lt;BI$4+7),IF($K33="Deadline","◇","◆"),"")</f>
        <v/>
      </c>
      <c r="BJ33" s="14" t="str">
        <f>IF(AND(ISNUMBER($I33),OR($K33="Milestone",$K33="Deadline"),$I33&gt;=BJ$4,$I33&lt;BJ$4+7),IF($K33="Deadline","◇","◆"),"")</f>
        <v/>
      </c>
      <c r="BK33" s="14" t="str">
        <f>IF(AND(ISNUMBER($I33),OR($K33="Milestone",$K33="Deadline"),$I33&gt;=BK$4,$I33&lt;BK$4+7),IF($K33="Deadline","◇","◆"),"")</f>
        <v/>
      </c>
      <c r="BL33" s="14" t="str">
        <f>IF(AND(ISNUMBER($I33),OR($K33="Milestone",$K33="Deadline"),$I33&gt;=BL$4,$I33&lt;BL$4+7),IF($K33="Deadline","◇","◆"),"")</f>
        <v/>
      </c>
      <c r="BM33" s="14" t="str">
        <f>IF(AND(ISNUMBER($I33),OR($K33="Milestone",$K33="Deadline"),$I33&gt;=BM$4,$I33&lt;BM$4+7),IF($K33="Deadline","◇","◆"),"")</f>
        <v/>
      </c>
      <c r="BN33" s="14" t="str">
        <f>IF(AND(ISNUMBER($I33),OR($K33="Milestone",$K33="Deadline"),$I33&gt;=BN$4,$I33&lt;BN$4+7),IF($K33="Deadline","◇","◆"),"")</f>
        <v/>
      </c>
      <c r="BO33" s="14" t="str">
        <f>IF(AND(ISNUMBER($I33),OR($K33="Milestone",$K33="Deadline"),$I33&gt;=BO$4,$I33&lt;BO$4+7),IF($K33="Deadline","◇","◆"),"")</f>
        <v/>
      </c>
      <c r="BP33" s="14" t="str">
        <f>IF(AND(ISNUMBER($I33),OR($K33="Milestone",$K33="Deadline"),$I33&gt;=BP$4,$I33&lt;BP$4+7),IF($K33="Deadline","◇","◆"),"")</f>
        <v/>
      </c>
      <c r="BQ33" s="14" t="str">
        <f>IF(AND(ISNUMBER($I33),OR($K33="Milestone",$K33="Deadline"),$I33&gt;=BQ$4,$I33&lt;BQ$4+7),IF($K33="Deadline","◇","◆"),"")</f>
        <v/>
      </c>
      <c r="BR33" s="14" t="str">
        <f>IF(AND(ISNUMBER($I33),OR($K33="Milestone",$K33="Deadline"),$I33&gt;=BR$4,$I33&lt;BR$4+7),IF($K33="Deadline","◇","◆"),"")</f>
        <v/>
      </c>
      <c r="BS33" s="14" t="str">
        <f>IF(AND(ISNUMBER($I33),OR($K33="Milestone",$K33="Deadline"),$I33&gt;=BS$4,$I33&lt;BS$4+7),IF($K33="Deadline","◇","◆"),"")</f>
        <v/>
      </c>
      <c r="BT33" s="14" t="str">
        <f>IF(AND(ISNUMBER($I33),OR($K33="Milestone",$K33="Deadline"),$I33&gt;=BT$4,$I33&lt;BT$4+7),IF($K33="Deadline","◇","◆"),"")</f>
        <v/>
      </c>
      <c r="BU33" s="14" t="str">
        <f>IF(AND(ISNUMBER($I33),OR($K33="Milestone",$K33="Deadline"),$I33&gt;=BU$4,$I33&lt;BU$4+7),IF($K33="Deadline","◇","◆"),"")</f>
        <v/>
      </c>
      <c r="BV33" s="14" t="str">
        <f>IF(AND(ISNUMBER($I33),OR($K33="Milestone",$K33="Deadline"),$I33&gt;=BV$4,$I33&lt;BV$4+7),IF($K33="Deadline","◇","◆"),"")</f>
        <v/>
      </c>
      <c r="BW33" s="14" t="str">
        <f>IF(AND(ISNUMBER($I33),OR($K33="Milestone",$K33="Deadline"),$I33&gt;=BW$4,$I33&lt;BW$4+7),IF($K33="Deadline","◇","◆"),"")</f>
        <v/>
      </c>
      <c r="BX33" s="14" t="str">
        <f>IF(AND(ISNUMBER($I33),OR($K33="Milestone",$K33="Deadline"),$I33&gt;=BX$4,$I33&lt;BX$4+7),IF($K33="Deadline","◇","◆"),"")</f>
        <v/>
      </c>
      <c r="BY33" s="14" t="str">
        <f>IF(AND(ISNUMBER($I33),OR($K33="Milestone",$K33="Deadline"),$I33&gt;=BY$4,$I33&lt;BY$4+7),IF($K33="Deadline","◇","◆"),"")</f>
        <v/>
      </c>
      <c r="BZ33" s="14" t="str">
        <f>IF(AND(ISNUMBER($I33),OR($K33="Milestone",$K33="Deadline"),$I33&gt;=BZ$4,$I33&lt;BZ$4+7),IF($K33="Deadline","◇","◆"),"")</f>
        <v/>
      </c>
      <c r="CA33" s="14" t="str">
        <f>IF(AND(ISNUMBER($I33),OR($K33="Milestone",$K33="Deadline"),$I33&gt;=CA$4,$I33&lt;CA$4+7),IF($K33="Deadline","◇","◆"),"")</f>
        <v/>
      </c>
      <c r="CB33" s="14" t="str">
        <f>IF(AND(ISNUMBER($I33),OR($K33="Milestone",$K33="Deadline"),$I33&gt;=CB$4,$I33&lt;CB$4+7),IF($K33="Deadline","◇","◆"),"")</f>
        <v/>
      </c>
      <c r="CC33" s="14" t="str">
        <f>IF(AND(ISNUMBER($I33),OR($K33="Milestone",$K33="Deadline"),$I33&gt;=CC$4,$I33&lt;CC$4+7),IF($K33="Deadline","◇","◆"),"")</f>
        <v/>
      </c>
      <c r="CD33" s="14" t="str">
        <f>IF(AND(ISNUMBER($I33),OR($K33="Milestone",$K33="Deadline"),$I33&gt;=CD$4,$I33&lt;CD$4+7),IF($K33="Deadline","◇","◆"),"")</f>
        <v/>
      </c>
      <c r="CE33" s="14" t="str">
        <f>IF(AND(ISNUMBER($I33),OR($K33="Milestone",$K33="Deadline"),$I33&gt;=CE$4,$I33&lt;CE$4+7),IF($K33="Deadline","◇","◆"),"")</f>
        <v/>
      </c>
      <c r="CF33" s="14" t="str">
        <f>IF(AND(ISNUMBER($I33),OR($K33="Milestone",$K33="Deadline"),$I33&gt;=CF$4,$I33&lt;CF$4+7),IF($K33="Deadline","◇","◆"),"")</f>
        <v/>
      </c>
      <c r="CG33" s="14" t="str">
        <f>IF(AND(ISNUMBER($I33),OR($K33="Milestone",$K33="Deadline"),$I33&gt;=CG$4,$I33&lt;CG$4+7),IF($K33="Deadline","◇","◆"),"")</f>
        <v/>
      </c>
      <c r="CH33" s="14" t="str">
        <f>IF(AND(ISNUMBER($I33),OR($K33="Milestone",$K33="Deadline"),$I33&gt;=CH$4,$I33&lt;CH$4+7),IF($K33="Deadline","◇","◆"),"")</f>
        <v/>
      </c>
      <c r="CI33" s="14" t="str">
        <f>IF(AND(ISNUMBER($I33),OR($K33="Milestone",$K33="Deadline"),$I33&gt;=CI$4,$I33&lt;CI$4+7),IF($K33="Deadline","◇","◆"),"")</f>
        <v/>
      </c>
      <c r="CJ33" s="14" t="str">
        <f>IF(AND(ISNUMBER($I33),OR($K33="Milestone",$K33="Deadline"),$I33&gt;=CJ$4,$I33&lt;CJ$4+7),IF($K33="Deadline","◇","◆"),"")</f>
        <v/>
      </c>
      <c r="CK33" s="14" t="str">
        <f>IF(AND(ISNUMBER($I33),OR($K33="Milestone",$K33="Deadline"),$I33&gt;=CK$4,$I33&lt;CK$4+7),IF($K33="Deadline","◇","◆"),"")</f>
        <v/>
      </c>
      <c r="CL33" s="14" t="str">
        <f>IF(AND(ISNUMBER($I33),OR($K33="Milestone",$K33="Deadline"),$I33&gt;=CL$4,$I33&lt;CL$4+7),IF($K33="Deadline","◇","◆"),"")</f>
        <v/>
      </c>
      <c r="CM33" s="14" t="str">
        <f>IF(AND(ISNUMBER($I33),OR($K33="Milestone",$K33="Deadline"),$I33&gt;=CM$4,$I33&lt;CM$4+7),IF($K33="Deadline","◇","◆"),"")</f>
        <v/>
      </c>
    </row>
    <row r="34" spans="1:91" ht="15" hidden="1" customHeight="1">
      <c r="A34" s="19" t="s">
        <v>141</v>
      </c>
      <c r="B34" s="19" t="s">
        <v>137</v>
      </c>
      <c r="C34" s="19" t="s">
        <v>63</v>
      </c>
      <c r="D34" s="19"/>
      <c r="E34" s="19"/>
      <c r="F34" s="19" t="s">
        <v>138</v>
      </c>
      <c r="G34" s="19" t="s">
        <v>142</v>
      </c>
      <c r="H34" s="19">
        <v>7</v>
      </c>
      <c r="I34" s="23">
        <f>MAX($C$2,J33+1,J42+1)</f>
        <v>46349</v>
      </c>
      <c r="J34" s="21">
        <f>IF(AND(ISNUMBER(I34),ISNUMBER(H34)),I34+H34-1,"")</f>
        <v>46355</v>
      </c>
      <c r="K34" s="19" t="s">
        <v>27</v>
      </c>
      <c r="L34" s="19" t="s">
        <v>136</v>
      </c>
      <c r="M34" s="22" t="s">
        <v>143</v>
      </c>
      <c r="N34" s="19"/>
      <c r="O34" s="22">
        <f>IF(AND(ISNUMBER(I34),ISNUMBER(J34)),J34-I34+1,"")</f>
        <v>7</v>
      </c>
      <c r="P34" s="13"/>
      <c r="Q34" s="13"/>
      <c r="R34" s="13"/>
      <c r="S34" s="13"/>
      <c r="T34" s="13"/>
      <c r="U34" s="13" t="s">
        <v>140</v>
      </c>
      <c r="V34" s="13" t="s">
        <v>140</v>
      </c>
      <c r="W34" s="13"/>
      <c r="X34" s="13" t="s">
        <v>140</v>
      </c>
      <c r="Y34" s="13"/>
      <c r="Z34" s="13"/>
      <c r="AA34" s="13"/>
      <c r="AB34" s="13"/>
      <c r="AC34" s="13"/>
      <c r="AD34" s="13"/>
      <c r="AE34" s="13" t="s">
        <v>140</v>
      </c>
      <c r="AF34" s="13"/>
      <c r="AG34" s="13"/>
      <c r="AH34" s="13"/>
      <c r="AI34" s="13"/>
      <c r="AJ34" s="13"/>
      <c r="AK34" s="13"/>
      <c r="AL34" s="13"/>
      <c r="AM34" s="13"/>
      <c r="AN34" s="13"/>
      <c r="AO34" s="14" t="str">
        <f>IF(AND(ISNUMBER($I34),OR($K34="Milestone",$K34="Deadline"),$I34&gt;=AO$4,$I34&lt;AO$4+7),IF($K34="Deadline","◇","◆"),"")</f>
        <v/>
      </c>
      <c r="AP34" s="14" t="str">
        <f>IF(AND(ISNUMBER($I34),OR($K34="Milestone",$K34="Deadline"),$I34&gt;=AP$4,$I34&lt;AP$4+7),IF($K34="Deadline","◇","◆"),"")</f>
        <v/>
      </c>
      <c r="AQ34" s="14" t="str">
        <f>IF(AND(ISNUMBER($I34),OR($K34="Milestone",$K34="Deadline"),$I34&gt;=AQ$4,$I34&lt;AQ$4+7),IF($K34="Deadline","◇","◆"),"")</f>
        <v/>
      </c>
      <c r="AR34" s="14" t="str">
        <f>IF(AND(ISNUMBER($I34),OR($K34="Milestone",$K34="Deadline"),$I34&gt;=AR$4,$I34&lt;AR$4+7),IF($K34="Deadline","◇","◆"),"")</f>
        <v/>
      </c>
      <c r="AS34" s="14" t="str">
        <f>IF(AND(ISNUMBER($I34),OR($K34="Milestone",$K34="Deadline"),$I34&gt;=AS$4,$I34&lt;AS$4+7),IF($K34="Deadline","◇","◆"),"")</f>
        <v/>
      </c>
      <c r="AT34" s="14" t="str">
        <f>IF(AND(ISNUMBER($I34),OR($K34="Milestone",$K34="Deadline"),$I34&gt;=AT$4,$I34&lt;AT$4+7),IF($K34="Deadline","◇","◆"),"")</f>
        <v/>
      </c>
      <c r="AU34" s="14" t="str">
        <f>IF(AND(ISNUMBER($I34),OR($K34="Milestone",$K34="Deadline"),$I34&gt;=AU$4,$I34&lt;AU$4+7),IF($K34="Deadline","◇","◆"),"")</f>
        <v/>
      </c>
      <c r="AV34" s="14" t="str">
        <f>IF(AND(ISNUMBER($I34),OR($K34="Milestone",$K34="Deadline"),$I34&gt;=AV$4,$I34&lt;AV$4+7),IF($K34="Deadline","◇","◆"),"")</f>
        <v/>
      </c>
      <c r="AW34" s="14" t="str">
        <f>IF(AND(ISNUMBER($I34),OR($K34="Milestone",$K34="Deadline"),$I34&gt;=AW$4,$I34&lt;AW$4+7),IF($K34="Deadline","◇","◆"),"")</f>
        <v/>
      </c>
      <c r="AX34" s="14" t="str">
        <f>IF(AND(ISNUMBER($I34),OR($K34="Milestone",$K34="Deadline"),$I34&gt;=AX$4,$I34&lt;AX$4+7),IF($K34="Deadline","◇","◆"),"")</f>
        <v/>
      </c>
      <c r="AY34" s="14" t="str">
        <f>IF(AND(ISNUMBER($I34),OR($K34="Milestone",$K34="Deadline"),$I34&gt;=AY$4,$I34&lt;AY$4+7),IF($K34="Deadline","◇","◆"),"")</f>
        <v/>
      </c>
      <c r="AZ34" s="14" t="str">
        <f>IF(AND(ISNUMBER($I34),OR($K34="Milestone",$K34="Deadline"),$I34&gt;=AZ$4,$I34&lt;AZ$4+7),IF($K34="Deadline","◇","◆"),"")</f>
        <v/>
      </c>
      <c r="BA34" s="14" t="str">
        <f>IF(AND(ISNUMBER($I34),OR($K34="Milestone",$K34="Deadline"),$I34&gt;=BA$4,$I34&lt;BA$4+7),IF($K34="Deadline","◇","◆"),"")</f>
        <v/>
      </c>
      <c r="BB34" s="14" t="str">
        <f>IF(AND(ISNUMBER($I34),OR($K34="Milestone",$K34="Deadline"),$I34&gt;=BB$4,$I34&lt;BB$4+7),IF($K34="Deadline","◇","◆"),"")</f>
        <v/>
      </c>
      <c r="BC34" s="14" t="str">
        <f>IF(AND(ISNUMBER($I34),OR($K34="Milestone",$K34="Deadline"),$I34&gt;=BC$4,$I34&lt;BC$4+7),IF($K34="Deadline","◇","◆"),"")</f>
        <v/>
      </c>
      <c r="BD34" s="14" t="str">
        <f>IF(AND(ISNUMBER($I34),OR($K34="Milestone",$K34="Deadline"),$I34&gt;=BD$4,$I34&lt;BD$4+7),IF($K34="Deadline","◇","◆"),"")</f>
        <v/>
      </c>
      <c r="BE34" s="14" t="str">
        <f>IF(AND(ISNUMBER($I34),OR($K34="Milestone",$K34="Deadline"),$I34&gt;=BE$4,$I34&lt;BE$4+7),IF($K34="Deadline","◇","◆"),"")</f>
        <v/>
      </c>
      <c r="BF34" s="14" t="str">
        <f>IF(AND(ISNUMBER($I34),OR($K34="Milestone",$K34="Deadline"),$I34&gt;=BF$4,$I34&lt;BF$4+7),IF($K34="Deadline","◇","◆"),"")</f>
        <v/>
      </c>
      <c r="BG34" s="14" t="str">
        <f>IF(AND(ISNUMBER($I34),OR($K34="Milestone",$K34="Deadline"),$I34&gt;=BG$4,$I34&lt;BG$4+7),IF($K34="Deadline","◇","◆"),"")</f>
        <v/>
      </c>
      <c r="BH34" s="14" t="str">
        <f>IF(AND(ISNUMBER($I34),OR($K34="Milestone",$K34="Deadline"),$I34&gt;=BH$4,$I34&lt;BH$4+7),IF($K34="Deadline","◇","◆"),"")</f>
        <v/>
      </c>
      <c r="BI34" s="14" t="str">
        <f>IF(AND(ISNUMBER($I34),OR($K34="Milestone",$K34="Deadline"),$I34&gt;=BI$4,$I34&lt;BI$4+7),IF($K34="Deadline","◇","◆"),"")</f>
        <v/>
      </c>
      <c r="BJ34" s="14" t="str">
        <f>IF(AND(ISNUMBER($I34),OR($K34="Milestone",$K34="Deadline"),$I34&gt;=BJ$4,$I34&lt;BJ$4+7),IF($K34="Deadline","◇","◆"),"")</f>
        <v/>
      </c>
      <c r="BK34" s="14" t="str">
        <f>IF(AND(ISNUMBER($I34),OR($K34="Milestone",$K34="Deadline"),$I34&gt;=BK$4,$I34&lt;BK$4+7),IF($K34="Deadline","◇","◆"),"")</f>
        <v/>
      </c>
      <c r="BL34" s="14" t="str">
        <f>IF(AND(ISNUMBER($I34),OR($K34="Milestone",$K34="Deadline"),$I34&gt;=BL$4,$I34&lt;BL$4+7),IF($K34="Deadline","◇","◆"),"")</f>
        <v/>
      </c>
      <c r="BM34" s="14" t="str">
        <f>IF(AND(ISNUMBER($I34),OR($K34="Milestone",$K34="Deadline"),$I34&gt;=BM$4,$I34&lt;BM$4+7),IF($K34="Deadline","◇","◆"),"")</f>
        <v/>
      </c>
      <c r="BN34" s="14" t="str">
        <f>IF(AND(ISNUMBER($I34),OR($K34="Milestone",$K34="Deadline"),$I34&gt;=BN$4,$I34&lt;BN$4+7),IF($K34="Deadline","◇","◆"),"")</f>
        <v/>
      </c>
      <c r="BO34" s="14" t="str">
        <f>IF(AND(ISNUMBER($I34),OR($K34="Milestone",$K34="Deadline"),$I34&gt;=BO$4,$I34&lt;BO$4+7),IF($K34="Deadline","◇","◆"),"")</f>
        <v/>
      </c>
      <c r="BP34" s="14" t="str">
        <f>IF(AND(ISNUMBER($I34),OR($K34="Milestone",$K34="Deadline"),$I34&gt;=BP$4,$I34&lt;BP$4+7),IF($K34="Deadline","◇","◆"),"")</f>
        <v/>
      </c>
      <c r="BQ34" s="14" t="str">
        <f>IF(AND(ISNUMBER($I34),OR($K34="Milestone",$K34="Deadline"),$I34&gt;=BQ$4,$I34&lt;BQ$4+7),IF($K34="Deadline","◇","◆"),"")</f>
        <v/>
      </c>
      <c r="BR34" s="14" t="str">
        <f>IF(AND(ISNUMBER($I34),OR($K34="Milestone",$K34="Deadline"),$I34&gt;=BR$4,$I34&lt;BR$4+7),IF($K34="Deadline","◇","◆"),"")</f>
        <v/>
      </c>
      <c r="BS34" s="14" t="str">
        <f>IF(AND(ISNUMBER($I34),OR($K34="Milestone",$K34="Deadline"),$I34&gt;=BS$4,$I34&lt;BS$4+7),IF($K34="Deadline","◇","◆"),"")</f>
        <v/>
      </c>
      <c r="BT34" s="14" t="str">
        <f>IF(AND(ISNUMBER($I34),OR($K34="Milestone",$K34="Deadline"),$I34&gt;=BT$4,$I34&lt;BT$4+7),IF($K34="Deadline","◇","◆"),"")</f>
        <v/>
      </c>
      <c r="BU34" s="14" t="str">
        <f>IF(AND(ISNUMBER($I34),OR($K34="Milestone",$K34="Deadline"),$I34&gt;=BU$4,$I34&lt;BU$4+7),IF($K34="Deadline","◇","◆"),"")</f>
        <v/>
      </c>
      <c r="BV34" s="14" t="str">
        <f>IF(AND(ISNUMBER($I34),OR($K34="Milestone",$K34="Deadline"),$I34&gt;=BV$4,$I34&lt;BV$4+7),IF($K34="Deadline","◇","◆"),"")</f>
        <v/>
      </c>
      <c r="BW34" s="14" t="str">
        <f>IF(AND(ISNUMBER($I34),OR($K34="Milestone",$K34="Deadline"),$I34&gt;=BW$4,$I34&lt;BW$4+7),IF($K34="Deadline","◇","◆"),"")</f>
        <v/>
      </c>
      <c r="BX34" s="14" t="str">
        <f>IF(AND(ISNUMBER($I34),OR($K34="Milestone",$K34="Deadline"),$I34&gt;=BX$4,$I34&lt;BX$4+7),IF($K34="Deadline","◇","◆"),"")</f>
        <v/>
      </c>
      <c r="BY34" s="14" t="str">
        <f>IF(AND(ISNUMBER($I34),OR($K34="Milestone",$K34="Deadline"),$I34&gt;=BY$4,$I34&lt;BY$4+7),IF($K34="Deadline","◇","◆"),"")</f>
        <v/>
      </c>
      <c r="BZ34" s="14" t="str">
        <f>IF(AND(ISNUMBER($I34),OR($K34="Milestone",$K34="Deadline"),$I34&gt;=BZ$4,$I34&lt;BZ$4+7),IF($K34="Deadline","◇","◆"),"")</f>
        <v/>
      </c>
      <c r="CA34" s="14" t="str">
        <f>IF(AND(ISNUMBER($I34),OR($K34="Milestone",$K34="Deadline"),$I34&gt;=CA$4,$I34&lt;CA$4+7),IF($K34="Deadline","◇","◆"),"")</f>
        <v/>
      </c>
      <c r="CB34" s="14" t="str">
        <f>IF(AND(ISNUMBER($I34),OR($K34="Milestone",$K34="Deadline"),$I34&gt;=CB$4,$I34&lt;CB$4+7),IF($K34="Deadline","◇","◆"),"")</f>
        <v/>
      </c>
      <c r="CC34" s="14" t="str">
        <f>IF(AND(ISNUMBER($I34),OR($K34="Milestone",$K34="Deadline"),$I34&gt;=CC$4,$I34&lt;CC$4+7),IF($K34="Deadline","◇","◆"),"")</f>
        <v/>
      </c>
      <c r="CD34" s="14" t="str">
        <f>IF(AND(ISNUMBER($I34),OR($K34="Milestone",$K34="Deadline"),$I34&gt;=CD$4,$I34&lt;CD$4+7),IF($K34="Deadline","◇","◆"),"")</f>
        <v/>
      </c>
      <c r="CE34" s="14" t="str">
        <f>IF(AND(ISNUMBER($I34),OR($K34="Milestone",$K34="Deadline"),$I34&gt;=CE$4,$I34&lt;CE$4+7),IF($K34="Deadline","◇","◆"),"")</f>
        <v/>
      </c>
      <c r="CF34" s="14" t="str">
        <f>IF(AND(ISNUMBER($I34),OR($K34="Milestone",$K34="Deadline"),$I34&gt;=CF$4,$I34&lt;CF$4+7),IF($K34="Deadline","◇","◆"),"")</f>
        <v/>
      </c>
      <c r="CG34" s="14" t="str">
        <f>IF(AND(ISNUMBER($I34),OR($K34="Milestone",$K34="Deadline"),$I34&gt;=CG$4,$I34&lt;CG$4+7),IF($K34="Deadline","◇","◆"),"")</f>
        <v/>
      </c>
      <c r="CH34" s="14" t="str">
        <f>IF(AND(ISNUMBER($I34),OR($K34="Milestone",$K34="Deadline"),$I34&gt;=CH$4,$I34&lt;CH$4+7),IF($K34="Deadline","◇","◆"),"")</f>
        <v/>
      </c>
      <c r="CI34" s="14" t="str">
        <f>IF(AND(ISNUMBER($I34),OR($K34="Milestone",$K34="Deadline"),$I34&gt;=CI$4,$I34&lt;CI$4+7),IF($K34="Deadline","◇","◆"),"")</f>
        <v/>
      </c>
      <c r="CJ34" s="14" t="str">
        <f>IF(AND(ISNUMBER($I34),OR($K34="Milestone",$K34="Deadline"),$I34&gt;=CJ$4,$I34&lt;CJ$4+7),IF($K34="Deadline","◇","◆"),"")</f>
        <v/>
      </c>
      <c r="CK34" s="14" t="str">
        <f>IF(AND(ISNUMBER($I34),OR($K34="Milestone",$K34="Deadline"),$I34&gt;=CK$4,$I34&lt;CK$4+7),IF($K34="Deadline","◇","◆"),"")</f>
        <v/>
      </c>
      <c r="CL34" s="14" t="str">
        <f>IF(AND(ISNUMBER($I34),OR($K34="Milestone",$K34="Deadline"),$I34&gt;=CL$4,$I34&lt;CL$4+7),IF($K34="Deadline","◇","◆"),"")</f>
        <v/>
      </c>
      <c r="CM34" s="14" t="str">
        <f>IF(AND(ISNUMBER($I34),OR($K34="Milestone",$K34="Deadline"),$I34&gt;=CM$4,$I34&lt;CM$4+7),IF($K34="Deadline","◇","◆"),"")</f>
        <v/>
      </c>
    </row>
    <row r="35" spans="1:91" ht="15" hidden="1" customHeight="1">
      <c r="A35" s="19" t="s">
        <v>144</v>
      </c>
      <c r="B35" s="19" t="s">
        <v>137</v>
      </c>
      <c r="C35" s="19" t="s">
        <v>63</v>
      </c>
      <c r="D35" s="19"/>
      <c r="E35" s="19"/>
      <c r="F35" s="19" t="s">
        <v>138</v>
      </c>
      <c r="G35" s="19" t="s">
        <v>145</v>
      </c>
      <c r="H35" s="19">
        <v>14</v>
      </c>
      <c r="I35" s="23">
        <f>MAX(DATE(2026,11,9),J78+1)</f>
        <v>46335</v>
      </c>
      <c r="J35" s="21">
        <f>IF(AND(ISNUMBER(I35),ISNUMBER(H35)),I35+H35-1,"")</f>
        <v>46348</v>
      </c>
      <c r="K35" s="19" t="s">
        <v>27</v>
      </c>
      <c r="L35" s="19"/>
      <c r="M35" s="22" t="s">
        <v>146</v>
      </c>
      <c r="N35" s="19"/>
      <c r="O35" s="22">
        <f>IF(AND(ISNUMBER(I35),ISNUMBER(J35)),J35-I35+1,"")</f>
        <v>14</v>
      </c>
      <c r="P35" s="13"/>
      <c r="Q35" s="13"/>
      <c r="R35" s="13"/>
      <c r="S35" s="13"/>
      <c r="T35" s="13"/>
      <c r="U35" s="13" t="s">
        <v>140</v>
      </c>
      <c r="V35" s="13"/>
      <c r="W35" s="13" t="s">
        <v>140</v>
      </c>
      <c r="X35" s="13" t="s">
        <v>140</v>
      </c>
      <c r="Y35" s="13"/>
      <c r="Z35" s="13"/>
      <c r="AA35" s="13"/>
      <c r="AB35" s="13"/>
      <c r="AC35" s="13"/>
      <c r="AD35" s="13" t="s">
        <v>140</v>
      </c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4" t="str">
        <f>IF(AND(ISNUMBER($I35),OR($K35="Milestone",$K35="Deadline"),$I35&gt;=AO$4,$I35&lt;AO$4+7),IF($K35="Deadline","◇","◆"),"")</f>
        <v/>
      </c>
      <c r="AP35" s="14" t="str">
        <f>IF(AND(ISNUMBER($I35),OR($K35="Milestone",$K35="Deadline"),$I35&gt;=AP$4,$I35&lt;AP$4+7),IF($K35="Deadline","◇","◆"),"")</f>
        <v/>
      </c>
      <c r="AQ35" s="14" t="str">
        <f>IF(AND(ISNUMBER($I35),OR($K35="Milestone",$K35="Deadline"),$I35&gt;=AQ$4,$I35&lt;AQ$4+7),IF($K35="Deadline","◇","◆"),"")</f>
        <v/>
      </c>
      <c r="AR35" s="14" t="str">
        <f>IF(AND(ISNUMBER($I35),OR($K35="Milestone",$K35="Deadline"),$I35&gt;=AR$4,$I35&lt;AR$4+7),IF($K35="Deadline","◇","◆"),"")</f>
        <v/>
      </c>
      <c r="AS35" s="14" t="str">
        <f>IF(AND(ISNUMBER($I35),OR($K35="Milestone",$K35="Deadline"),$I35&gt;=AS$4,$I35&lt;AS$4+7),IF($K35="Deadline","◇","◆"),"")</f>
        <v/>
      </c>
      <c r="AT35" s="14" t="str">
        <f>IF(AND(ISNUMBER($I35),OR($K35="Milestone",$K35="Deadline"),$I35&gt;=AT$4,$I35&lt;AT$4+7),IF($K35="Deadline","◇","◆"),"")</f>
        <v/>
      </c>
      <c r="AU35" s="14" t="str">
        <f>IF(AND(ISNUMBER($I35),OR($K35="Milestone",$K35="Deadline"),$I35&gt;=AU$4,$I35&lt;AU$4+7),IF($K35="Deadline","◇","◆"),"")</f>
        <v/>
      </c>
      <c r="AV35" s="14" t="str">
        <f>IF(AND(ISNUMBER($I35),OR($K35="Milestone",$K35="Deadline"),$I35&gt;=AV$4,$I35&lt;AV$4+7),IF($K35="Deadline","◇","◆"),"")</f>
        <v/>
      </c>
      <c r="AW35" s="14" t="str">
        <f>IF(AND(ISNUMBER($I35),OR($K35="Milestone",$K35="Deadline"),$I35&gt;=AW$4,$I35&lt;AW$4+7),IF($K35="Deadline","◇","◆"),"")</f>
        <v/>
      </c>
      <c r="AX35" s="14" t="str">
        <f>IF(AND(ISNUMBER($I35),OR($K35="Milestone",$K35="Deadline"),$I35&gt;=AX$4,$I35&lt;AX$4+7),IF($K35="Deadline","◇","◆"),"")</f>
        <v/>
      </c>
      <c r="AY35" s="14" t="str">
        <f>IF(AND(ISNUMBER($I35),OR($K35="Milestone",$K35="Deadline"),$I35&gt;=AY$4,$I35&lt;AY$4+7),IF($K35="Deadline","◇","◆"),"")</f>
        <v/>
      </c>
      <c r="AZ35" s="14" t="str">
        <f>IF(AND(ISNUMBER($I35),OR($K35="Milestone",$K35="Deadline"),$I35&gt;=AZ$4,$I35&lt;AZ$4+7),IF($K35="Deadline","◇","◆"),"")</f>
        <v/>
      </c>
      <c r="BA35" s="14" t="str">
        <f>IF(AND(ISNUMBER($I35),OR($K35="Milestone",$K35="Deadline"),$I35&gt;=BA$4,$I35&lt;BA$4+7),IF($K35="Deadline","◇","◆"),"")</f>
        <v/>
      </c>
      <c r="BB35" s="14" t="str">
        <f>IF(AND(ISNUMBER($I35),OR($K35="Milestone",$K35="Deadline"),$I35&gt;=BB$4,$I35&lt;BB$4+7),IF($K35="Deadline","◇","◆"),"")</f>
        <v/>
      </c>
      <c r="BC35" s="14" t="str">
        <f>IF(AND(ISNUMBER($I35),OR($K35="Milestone",$K35="Deadline"),$I35&gt;=BC$4,$I35&lt;BC$4+7),IF($K35="Deadline","◇","◆"),"")</f>
        <v/>
      </c>
      <c r="BD35" s="14" t="str">
        <f>IF(AND(ISNUMBER($I35),OR($K35="Milestone",$K35="Deadline"),$I35&gt;=BD$4,$I35&lt;BD$4+7),IF($K35="Deadline","◇","◆"),"")</f>
        <v/>
      </c>
      <c r="BE35" s="14" t="str">
        <f>IF(AND(ISNUMBER($I35),OR($K35="Milestone",$K35="Deadline"),$I35&gt;=BE$4,$I35&lt;BE$4+7),IF($K35="Deadline","◇","◆"),"")</f>
        <v/>
      </c>
      <c r="BF35" s="14" t="str">
        <f>IF(AND(ISNUMBER($I35),OR($K35="Milestone",$K35="Deadline"),$I35&gt;=BF$4,$I35&lt;BF$4+7),IF($K35="Deadline","◇","◆"),"")</f>
        <v/>
      </c>
      <c r="BG35" s="14" t="str">
        <f>IF(AND(ISNUMBER($I35),OR($K35="Milestone",$K35="Deadline"),$I35&gt;=BG$4,$I35&lt;BG$4+7),IF($K35="Deadline","◇","◆"),"")</f>
        <v/>
      </c>
      <c r="BH35" s="14" t="str">
        <f>IF(AND(ISNUMBER($I35),OR($K35="Milestone",$K35="Deadline"),$I35&gt;=BH$4,$I35&lt;BH$4+7),IF($K35="Deadline","◇","◆"),"")</f>
        <v/>
      </c>
      <c r="BI35" s="14" t="str">
        <f>IF(AND(ISNUMBER($I35),OR($K35="Milestone",$K35="Deadline"),$I35&gt;=BI$4,$I35&lt;BI$4+7),IF($K35="Deadline","◇","◆"),"")</f>
        <v/>
      </c>
      <c r="BJ35" s="14" t="str">
        <f>IF(AND(ISNUMBER($I35),OR($K35="Milestone",$K35="Deadline"),$I35&gt;=BJ$4,$I35&lt;BJ$4+7),IF($K35="Deadline","◇","◆"),"")</f>
        <v/>
      </c>
      <c r="BK35" s="14" t="str">
        <f>IF(AND(ISNUMBER($I35),OR($K35="Milestone",$K35="Deadline"),$I35&gt;=BK$4,$I35&lt;BK$4+7),IF($K35="Deadline","◇","◆"),"")</f>
        <v/>
      </c>
      <c r="BL35" s="14" t="str">
        <f>IF(AND(ISNUMBER($I35),OR($K35="Milestone",$K35="Deadline"),$I35&gt;=BL$4,$I35&lt;BL$4+7),IF($K35="Deadline","◇","◆"),"")</f>
        <v/>
      </c>
      <c r="BM35" s="14" t="str">
        <f>IF(AND(ISNUMBER($I35),OR($K35="Milestone",$K35="Deadline"),$I35&gt;=BM$4,$I35&lt;BM$4+7),IF($K35="Deadline","◇","◆"),"")</f>
        <v/>
      </c>
      <c r="BN35" s="14" t="str">
        <f>IF(AND(ISNUMBER($I35),OR($K35="Milestone",$K35="Deadline"),$I35&gt;=BN$4,$I35&lt;BN$4+7),IF($K35="Deadline","◇","◆"),"")</f>
        <v/>
      </c>
      <c r="BO35" s="14" t="str">
        <f>IF(AND(ISNUMBER($I35),OR($K35="Milestone",$K35="Deadline"),$I35&gt;=BO$4,$I35&lt;BO$4+7),IF($K35="Deadline","◇","◆"),"")</f>
        <v/>
      </c>
      <c r="BP35" s="14" t="str">
        <f>IF(AND(ISNUMBER($I35),OR($K35="Milestone",$K35="Deadline"),$I35&gt;=BP$4,$I35&lt;BP$4+7),IF($K35="Deadline","◇","◆"),"")</f>
        <v/>
      </c>
      <c r="BQ35" s="14" t="str">
        <f>IF(AND(ISNUMBER($I35),OR($K35="Milestone",$K35="Deadline"),$I35&gt;=BQ$4,$I35&lt;BQ$4+7),IF($K35="Deadline","◇","◆"),"")</f>
        <v/>
      </c>
      <c r="BR35" s="14" t="str">
        <f>IF(AND(ISNUMBER($I35),OR($K35="Milestone",$K35="Deadline"),$I35&gt;=BR$4,$I35&lt;BR$4+7),IF($K35="Deadline","◇","◆"),"")</f>
        <v/>
      </c>
      <c r="BS35" s="14" t="str">
        <f>IF(AND(ISNUMBER($I35),OR($K35="Milestone",$K35="Deadline"),$I35&gt;=BS$4,$I35&lt;BS$4+7),IF($K35="Deadline","◇","◆"),"")</f>
        <v/>
      </c>
      <c r="BT35" s="14" t="str">
        <f>IF(AND(ISNUMBER($I35),OR($K35="Milestone",$K35="Deadline"),$I35&gt;=BT$4,$I35&lt;BT$4+7),IF($K35="Deadline","◇","◆"),"")</f>
        <v/>
      </c>
      <c r="BU35" s="14" t="str">
        <f>IF(AND(ISNUMBER($I35),OR($K35="Milestone",$K35="Deadline"),$I35&gt;=BU$4,$I35&lt;BU$4+7),IF($K35="Deadline","◇","◆"),"")</f>
        <v/>
      </c>
      <c r="BV35" s="14" t="str">
        <f>IF(AND(ISNUMBER($I35),OR($K35="Milestone",$K35="Deadline"),$I35&gt;=BV$4,$I35&lt;BV$4+7),IF($K35="Deadline","◇","◆"),"")</f>
        <v/>
      </c>
      <c r="BW35" s="14" t="str">
        <f>IF(AND(ISNUMBER($I35),OR($K35="Milestone",$K35="Deadline"),$I35&gt;=BW$4,$I35&lt;BW$4+7),IF($K35="Deadline","◇","◆"),"")</f>
        <v/>
      </c>
      <c r="BX35" s="14" t="str">
        <f>IF(AND(ISNUMBER($I35),OR($K35="Milestone",$K35="Deadline"),$I35&gt;=BX$4,$I35&lt;BX$4+7),IF($K35="Deadline","◇","◆"),"")</f>
        <v/>
      </c>
      <c r="BY35" s="14" t="str">
        <f>IF(AND(ISNUMBER($I35),OR($K35="Milestone",$K35="Deadline"),$I35&gt;=BY$4,$I35&lt;BY$4+7),IF($K35="Deadline","◇","◆"),"")</f>
        <v/>
      </c>
      <c r="BZ35" s="14" t="str">
        <f>IF(AND(ISNUMBER($I35),OR($K35="Milestone",$K35="Deadline"),$I35&gt;=BZ$4,$I35&lt;BZ$4+7),IF($K35="Deadline","◇","◆"),"")</f>
        <v/>
      </c>
      <c r="CA35" s="14" t="str">
        <f>IF(AND(ISNUMBER($I35),OR($K35="Milestone",$K35="Deadline"),$I35&gt;=CA$4,$I35&lt;CA$4+7),IF($K35="Deadline","◇","◆"),"")</f>
        <v/>
      </c>
      <c r="CB35" s="14" t="str">
        <f>IF(AND(ISNUMBER($I35),OR($K35="Milestone",$K35="Deadline"),$I35&gt;=CB$4,$I35&lt;CB$4+7),IF($K35="Deadline","◇","◆"),"")</f>
        <v/>
      </c>
      <c r="CC35" s="14" t="str">
        <f>IF(AND(ISNUMBER($I35),OR($K35="Milestone",$K35="Deadline"),$I35&gt;=CC$4,$I35&lt;CC$4+7),IF($K35="Deadline","◇","◆"),"")</f>
        <v/>
      </c>
      <c r="CD35" s="14" t="str">
        <f>IF(AND(ISNUMBER($I35),OR($K35="Milestone",$K35="Deadline"),$I35&gt;=CD$4,$I35&lt;CD$4+7),IF($K35="Deadline","◇","◆"),"")</f>
        <v/>
      </c>
      <c r="CE35" s="14" t="str">
        <f>IF(AND(ISNUMBER($I35),OR($K35="Milestone",$K35="Deadline"),$I35&gt;=CE$4,$I35&lt;CE$4+7),IF($K35="Deadline","◇","◆"),"")</f>
        <v/>
      </c>
      <c r="CF35" s="14" t="str">
        <f>IF(AND(ISNUMBER($I35),OR($K35="Milestone",$K35="Deadline"),$I35&gt;=CF$4,$I35&lt;CF$4+7),IF($K35="Deadline","◇","◆"),"")</f>
        <v/>
      </c>
      <c r="CG35" s="14" t="str">
        <f>IF(AND(ISNUMBER($I35),OR($K35="Milestone",$K35="Deadline"),$I35&gt;=CG$4,$I35&lt;CG$4+7),IF($K35="Deadline","◇","◆"),"")</f>
        <v/>
      </c>
      <c r="CH35" s="14" t="str">
        <f>IF(AND(ISNUMBER($I35),OR($K35="Milestone",$K35="Deadline"),$I35&gt;=CH$4,$I35&lt;CH$4+7),IF($K35="Deadline","◇","◆"),"")</f>
        <v/>
      </c>
      <c r="CI35" s="14" t="str">
        <f>IF(AND(ISNUMBER($I35),OR($K35="Milestone",$K35="Deadline"),$I35&gt;=CI$4,$I35&lt;CI$4+7),IF($K35="Deadline","◇","◆"),"")</f>
        <v/>
      </c>
      <c r="CJ35" s="14" t="str">
        <f>IF(AND(ISNUMBER($I35),OR($K35="Milestone",$K35="Deadline"),$I35&gt;=CJ$4,$I35&lt;CJ$4+7),IF($K35="Deadline","◇","◆"),"")</f>
        <v/>
      </c>
      <c r="CK35" s="14" t="str">
        <f>IF(AND(ISNUMBER($I35),OR($K35="Milestone",$K35="Deadline"),$I35&gt;=CK$4,$I35&lt;CK$4+7),IF($K35="Deadline","◇","◆"),"")</f>
        <v/>
      </c>
      <c r="CL35" s="14" t="str">
        <f>IF(AND(ISNUMBER($I35),OR($K35="Milestone",$K35="Deadline"),$I35&gt;=CL$4,$I35&lt;CL$4+7),IF($K35="Deadline","◇","◆"),"")</f>
        <v/>
      </c>
      <c r="CM35" s="14" t="str">
        <f>IF(AND(ISNUMBER($I35),OR($K35="Milestone",$K35="Deadline"),$I35&gt;=CM$4,$I35&lt;CM$4+7),IF($K35="Deadline","◇","◆"),"")</f>
        <v/>
      </c>
    </row>
    <row r="36" spans="1:91" ht="15" hidden="1" customHeight="1">
      <c r="A36" s="19" t="s">
        <v>147</v>
      </c>
      <c r="B36" s="19" t="s">
        <v>137</v>
      </c>
      <c r="C36" s="19" t="s">
        <v>63</v>
      </c>
      <c r="D36" s="19"/>
      <c r="E36" s="19"/>
      <c r="F36" s="19" t="s">
        <v>138</v>
      </c>
      <c r="G36" s="19" t="s">
        <v>148</v>
      </c>
      <c r="H36" s="19">
        <v>7</v>
      </c>
      <c r="I36" s="23">
        <f>MAX($C$2,J34+1)</f>
        <v>46356</v>
      </c>
      <c r="J36" s="21">
        <f>IF(AND(ISNUMBER(I36),ISNUMBER(H36)),I36+H36-1,"")</f>
        <v>46362</v>
      </c>
      <c r="K36" s="19" t="s">
        <v>27</v>
      </c>
      <c r="L36" s="19" t="s">
        <v>141</v>
      </c>
      <c r="M36" s="22"/>
      <c r="N36" s="19"/>
      <c r="O36" s="22">
        <f>IF(AND(ISNUMBER(I36),ISNUMBER(J36)),J36-I36+1,"")</f>
        <v>7</v>
      </c>
      <c r="P36" s="13"/>
      <c r="Q36" s="13"/>
      <c r="R36" s="13"/>
      <c r="S36" s="13"/>
      <c r="T36" s="13"/>
      <c r="U36" s="13" t="s">
        <v>140</v>
      </c>
      <c r="V36" s="13"/>
      <c r="W36" s="13"/>
      <c r="X36" s="13" t="s">
        <v>140</v>
      </c>
      <c r="Y36" s="13"/>
      <c r="Z36" s="13"/>
      <c r="AA36" s="13"/>
      <c r="AB36" s="13"/>
      <c r="AC36" s="13"/>
      <c r="AD36" s="13"/>
      <c r="AE36" s="13"/>
      <c r="AF36" s="13"/>
      <c r="AG36" s="13"/>
      <c r="AH36" s="13" t="s">
        <v>140</v>
      </c>
      <c r="AI36" s="13"/>
      <c r="AJ36" s="13"/>
      <c r="AK36" s="13"/>
      <c r="AL36" s="13"/>
      <c r="AM36" s="13"/>
      <c r="AN36" s="13"/>
      <c r="AO36" s="14" t="str">
        <f>IF(AND(ISNUMBER($I36),OR($K36="Milestone",$K36="Deadline"),$I36&gt;=AO$4,$I36&lt;AO$4+7),IF($K36="Deadline","◇","◆"),"")</f>
        <v/>
      </c>
      <c r="AP36" s="14" t="str">
        <f>IF(AND(ISNUMBER($I36),OR($K36="Milestone",$K36="Deadline"),$I36&gt;=AP$4,$I36&lt;AP$4+7),IF($K36="Deadline","◇","◆"),"")</f>
        <v/>
      </c>
      <c r="AQ36" s="14" t="str">
        <f>IF(AND(ISNUMBER($I36),OR($K36="Milestone",$K36="Deadline"),$I36&gt;=AQ$4,$I36&lt;AQ$4+7),IF($K36="Deadline","◇","◆"),"")</f>
        <v/>
      </c>
      <c r="AR36" s="14" t="str">
        <f>IF(AND(ISNUMBER($I36),OR($K36="Milestone",$K36="Deadline"),$I36&gt;=AR$4,$I36&lt;AR$4+7),IF($K36="Deadline","◇","◆"),"")</f>
        <v/>
      </c>
      <c r="AS36" s="14" t="str">
        <f>IF(AND(ISNUMBER($I36),OR($K36="Milestone",$K36="Deadline"),$I36&gt;=AS$4,$I36&lt;AS$4+7),IF($K36="Deadline","◇","◆"),"")</f>
        <v/>
      </c>
      <c r="AT36" s="14" t="str">
        <f>IF(AND(ISNUMBER($I36),OR($K36="Milestone",$K36="Deadline"),$I36&gt;=AT$4,$I36&lt;AT$4+7),IF($K36="Deadline","◇","◆"),"")</f>
        <v/>
      </c>
      <c r="AU36" s="14" t="str">
        <f>IF(AND(ISNUMBER($I36),OR($K36="Milestone",$K36="Deadline"),$I36&gt;=AU$4,$I36&lt;AU$4+7),IF($K36="Deadline","◇","◆"),"")</f>
        <v/>
      </c>
      <c r="AV36" s="14" t="str">
        <f>IF(AND(ISNUMBER($I36),OR($K36="Milestone",$K36="Deadline"),$I36&gt;=AV$4,$I36&lt;AV$4+7),IF($K36="Deadline","◇","◆"),"")</f>
        <v/>
      </c>
      <c r="AW36" s="14" t="str">
        <f>IF(AND(ISNUMBER($I36),OR($K36="Milestone",$K36="Deadline"),$I36&gt;=AW$4,$I36&lt;AW$4+7),IF($K36="Deadline","◇","◆"),"")</f>
        <v/>
      </c>
      <c r="AX36" s="14" t="str">
        <f>IF(AND(ISNUMBER($I36),OR($K36="Milestone",$K36="Deadline"),$I36&gt;=AX$4,$I36&lt;AX$4+7),IF($K36="Deadline","◇","◆"),"")</f>
        <v/>
      </c>
      <c r="AY36" s="14" t="str">
        <f>IF(AND(ISNUMBER($I36),OR($K36="Milestone",$K36="Deadline"),$I36&gt;=AY$4,$I36&lt;AY$4+7),IF($K36="Deadline","◇","◆"),"")</f>
        <v/>
      </c>
      <c r="AZ36" s="14" t="str">
        <f>IF(AND(ISNUMBER($I36),OR($K36="Milestone",$K36="Deadline"),$I36&gt;=AZ$4,$I36&lt;AZ$4+7),IF($K36="Deadline","◇","◆"),"")</f>
        <v/>
      </c>
      <c r="BA36" s="14" t="str">
        <f>IF(AND(ISNUMBER($I36),OR($K36="Milestone",$K36="Deadline"),$I36&gt;=BA$4,$I36&lt;BA$4+7),IF($K36="Deadline","◇","◆"),"")</f>
        <v/>
      </c>
      <c r="BB36" s="14" t="str">
        <f>IF(AND(ISNUMBER($I36),OR($K36="Milestone",$K36="Deadline"),$I36&gt;=BB$4,$I36&lt;BB$4+7),IF($K36="Deadline","◇","◆"),"")</f>
        <v/>
      </c>
      <c r="BC36" s="14" t="str">
        <f>IF(AND(ISNUMBER($I36),OR($K36="Milestone",$K36="Deadline"),$I36&gt;=BC$4,$I36&lt;BC$4+7),IF($K36="Deadline","◇","◆"),"")</f>
        <v/>
      </c>
      <c r="BD36" s="14" t="str">
        <f>IF(AND(ISNUMBER($I36),OR($K36="Milestone",$K36="Deadline"),$I36&gt;=BD$4,$I36&lt;BD$4+7),IF($K36="Deadline","◇","◆"),"")</f>
        <v/>
      </c>
      <c r="BE36" s="14" t="str">
        <f>IF(AND(ISNUMBER($I36),OR($K36="Milestone",$K36="Deadline"),$I36&gt;=BE$4,$I36&lt;BE$4+7),IF($K36="Deadline","◇","◆"),"")</f>
        <v/>
      </c>
      <c r="BF36" s="14" t="str">
        <f>IF(AND(ISNUMBER($I36),OR($K36="Milestone",$K36="Deadline"),$I36&gt;=BF$4,$I36&lt;BF$4+7),IF($K36="Deadline","◇","◆"),"")</f>
        <v/>
      </c>
      <c r="BG36" s="14" t="str">
        <f>IF(AND(ISNUMBER($I36),OR($K36="Milestone",$K36="Deadline"),$I36&gt;=BG$4,$I36&lt;BG$4+7),IF($K36="Deadline","◇","◆"),"")</f>
        <v/>
      </c>
      <c r="BH36" s="14" t="str">
        <f>IF(AND(ISNUMBER($I36),OR($K36="Milestone",$K36="Deadline"),$I36&gt;=BH$4,$I36&lt;BH$4+7),IF($K36="Deadline","◇","◆"),"")</f>
        <v/>
      </c>
      <c r="BI36" s="14" t="str">
        <f>IF(AND(ISNUMBER($I36),OR($K36="Milestone",$K36="Deadline"),$I36&gt;=BI$4,$I36&lt;BI$4+7),IF($K36="Deadline","◇","◆"),"")</f>
        <v/>
      </c>
      <c r="BJ36" s="14" t="str">
        <f>IF(AND(ISNUMBER($I36),OR($K36="Milestone",$K36="Deadline"),$I36&gt;=BJ$4,$I36&lt;BJ$4+7),IF($K36="Deadline","◇","◆"),"")</f>
        <v/>
      </c>
      <c r="BK36" s="14" t="str">
        <f>IF(AND(ISNUMBER($I36),OR($K36="Milestone",$K36="Deadline"),$I36&gt;=BK$4,$I36&lt;BK$4+7),IF($K36="Deadline","◇","◆"),"")</f>
        <v/>
      </c>
      <c r="BL36" s="14" t="str">
        <f>IF(AND(ISNUMBER($I36),OR($K36="Milestone",$K36="Deadline"),$I36&gt;=BL$4,$I36&lt;BL$4+7),IF($K36="Deadline","◇","◆"),"")</f>
        <v/>
      </c>
      <c r="BM36" s="14" t="str">
        <f>IF(AND(ISNUMBER($I36),OR($K36="Milestone",$K36="Deadline"),$I36&gt;=BM$4,$I36&lt;BM$4+7),IF($K36="Deadline","◇","◆"),"")</f>
        <v/>
      </c>
      <c r="BN36" s="14" t="str">
        <f>IF(AND(ISNUMBER($I36),OR($K36="Milestone",$K36="Deadline"),$I36&gt;=BN$4,$I36&lt;BN$4+7),IF($K36="Deadline","◇","◆"),"")</f>
        <v/>
      </c>
      <c r="BO36" s="14" t="str">
        <f>IF(AND(ISNUMBER($I36),OR($K36="Milestone",$K36="Deadline"),$I36&gt;=BO$4,$I36&lt;BO$4+7),IF($K36="Deadline","◇","◆"),"")</f>
        <v/>
      </c>
      <c r="BP36" s="14" t="str">
        <f>IF(AND(ISNUMBER($I36),OR($K36="Milestone",$K36="Deadline"),$I36&gt;=BP$4,$I36&lt;BP$4+7),IF($K36="Deadline","◇","◆"),"")</f>
        <v/>
      </c>
      <c r="BQ36" s="14" t="str">
        <f>IF(AND(ISNUMBER($I36),OR($K36="Milestone",$K36="Deadline"),$I36&gt;=BQ$4,$I36&lt;BQ$4+7),IF($K36="Deadline","◇","◆"),"")</f>
        <v/>
      </c>
      <c r="BR36" s="14" t="str">
        <f>IF(AND(ISNUMBER($I36),OR($K36="Milestone",$K36="Deadline"),$I36&gt;=BR$4,$I36&lt;BR$4+7),IF($K36="Deadline","◇","◆"),"")</f>
        <v/>
      </c>
      <c r="BS36" s="14" t="str">
        <f>IF(AND(ISNUMBER($I36),OR($K36="Milestone",$K36="Deadline"),$I36&gt;=BS$4,$I36&lt;BS$4+7),IF($K36="Deadline","◇","◆"),"")</f>
        <v/>
      </c>
      <c r="BT36" s="14" t="str">
        <f>IF(AND(ISNUMBER($I36),OR($K36="Milestone",$K36="Deadline"),$I36&gt;=BT$4,$I36&lt;BT$4+7),IF($K36="Deadline","◇","◆"),"")</f>
        <v/>
      </c>
      <c r="BU36" s="14" t="str">
        <f>IF(AND(ISNUMBER($I36),OR($K36="Milestone",$K36="Deadline"),$I36&gt;=BU$4,$I36&lt;BU$4+7),IF($K36="Deadline","◇","◆"),"")</f>
        <v/>
      </c>
      <c r="BV36" s="14" t="str">
        <f>IF(AND(ISNUMBER($I36),OR($K36="Milestone",$K36="Deadline"),$I36&gt;=BV$4,$I36&lt;BV$4+7),IF($K36="Deadline","◇","◆"),"")</f>
        <v/>
      </c>
      <c r="BW36" s="14" t="str">
        <f>IF(AND(ISNUMBER($I36),OR($K36="Milestone",$K36="Deadline"),$I36&gt;=BW$4,$I36&lt;BW$4+7),IF($K36="Deadline","◇","◆"),"")</f>
        <v/>
      </c>
      <c r="BX36" s="14" t="str">
        <f>IF(AND(ISNUMBER($I36),OR($K36="Milestone",$K36="Deadline"),$I36&gt;=BX$4,$I36&lt;BX$4+7),IF($K36="Deadline","◇","◆"),"")</f>
        <v/>
      </c>
      <c r="BY36" s="14" t="str">
        <f>IF(AND(ISNUMBER($I36),OR($K36="Milestone",$K36="Deadline"),$I36&gt;=BY$4,$I36&lt;BY$4+7),IF($K36="Deadline","◇","◆"),"")</f>
        <v/>
      </c>
      <c r="BZ36" s="14" t="str">
        <f>IF(AND(ISNUMBER($I36),OR($K36="Milestone",$K36="Deadline"),$I36&gt;=BZ$4,$I36&lt;BZ$4+7),IF($K36="Deadline","◇","◆"),"")</f>
        <v/>
      </c>
      <c r="CA36" s="14" t="str">
        <f>IF(AND(ISNUMBER($I36),OR($K36="Milestone",$K36="Deadline"),$I36&gt;=CA$4,$I36&lt;CA$4+7),IF($K36="Deadline","◇","◆"),"")</f>
        <v/>
      </c>
      <c r="CB36" s="14" t="str">
        <f>IF(AND(ISNUMBER($I36),OR($K36="Milestone",$K36="Deadline"),$I36&gt;=CB$4,$I36&lt;CB$4+7),IF($K36="Deadline","◇","◆"),"")</f>
        <v/>
      </c>
      <c r="CC36" s="14" t="str">
        <f>IF(AND(ISNUMBER($I36),OR($K36="Milestone",$K36="Deadline"),$I36&gt;=CC$4,$I36&lt;CC$4+7),IF($K36="Deadline","◇","◆"),"")</f>
        <v/>
      </c>
      <c r="CD36" s="14" t="str">
        <f>IF(AND(ISNUMBER($I36),OR($K36="Milestone",$K36="Deadline"),$I36&gt;=CD$4,$I36&lt;CD$4+7),IF($K36="Deadline","◇","◆"),"")</f>
        <v/>
      </c>
      <c r="CE36" s="14" t="str">
        <f>IF(AND(ISNUMBER($I36),OR($K36="Milestone",$K36="Deadline"),$I36&gt;=CE$4,$I36&lt;CE$4+7),IF($K36="Deadline","◇","◆"),"")</f>
        <v/>
      </c>
      <c r="CF36" s="14" t="str">
        <f>IF(AND(ISNUMBER($I36),OR($K36="Milestone",$K36="Deadline"),$I36&gt;=CF$4,$I36&lt;CF$4+7),IF($K36="Deadline","◇","◆"),"")</f>
        <v/>
      </c>
      <c r="CG36" s="14" t="str">
        <f>IF(AND(ISNUMBER($I36),OR($K36="Milestone",$K36="Deadline"),$I36&gt;=CG$4,$I36&lt;CG$4+7),IF($K36="Deadline","◇","◆"),"")</f>
        <v/>
      </c>
      <c r="CH36" s="14" t="str">
        <f>IF(AND(ISNUMBER($I36),OR($K36="Milestone",$K36="Deadline"),$I36&gt;=CH$4,$I36&lt;CH$4+7),IF($K36="Deadline","◇","◆"),"")</f>
        <v/>
      </c>
      <c r="CI36" s="14" t="str">
        <f>IF(AND(ISNUMBER($I36),OR($K36="Milestone",$K36="Deadline"),$I36&gt;=CI$4,$I36&lt;CI$4+7),IF($K36="Deadline","◇","◆"),"")</f>
        <v/>
      </c>
      <c r="CJ36" s="14" t="str">
        <f>IF(AND(ISNUMBER($I36),OR($K36="Milestone",$K36="Deadline"),$I36&gt;=CJ$4,$I36&lt;CJ$4+7),IF($K36="Deadline","◇","◆"),"")</f>
        <v/>
      </c>
      <c r="CK36" s="14" t="str">
        <f>IF(AND(ISNUMBER($I36),OR($K36="Milestone",$K36="Deadline"),$I36&gt;=CK$4,$I36&lt;CK$4+7),IF($K36="Deadline","◇","◆"),"")</f>
        <v/>
      </c>
      <c r="CL36" s="14" t="str">
        <f>IF(AND(ISNUMBER($I36),OR($K36="Milestone",$K36="Deadline"),$I36&gt;=CL$4,$I36&lt;CL$4+7),IF($K36="Deadline","◇","◆"),"")</f>
        <v/>
      </c>
      <c r="CM36" s="14" t="str">
        <f>IF(AND(ISNUMBER($I36),OR($K36="Milestone",$K36="Deadline"),$I36&gt;=CM$4,$I36&lt;CM$4+7),IF($K36="Deadline","◇","◆"),"")</f>
        <v/>
      </c>
    </row>
    <row r="37" spans="1:91" ht="15" hidden="1" customHeight="1">
      <c r="A37" s="19" t="s">
        <v>149</v>
      </c>
      <c r="B37" s="19" t="s">
        <v>137</v>
      </c>
      <c r="C37" s="19" t="s">
        <v>63</v>
      </c>
      <c r="D37" s="19"/>
      <c r="E37" s="19"/>
      <c r="F37" s="19" t="s">
        <v>138</v>
      </c>
      <c r="G37" s="19" t="s">
        <v>150</v>
      </c>
      <c r="H37" s="19">
        <v>14</v>
      </c>
      <c r="I37" s="23">
        <f>MAX($C$2,J35+1,J199+1)</f>
        <v>46349</v>
      </c>
      <c r="J37" s="21">
        <f>IF(AND(ISNUMBER(I37),ISNUMBER(H37)),I37+H37-1,"")</f>
        <v>46362</v>
      </c>
      <c r="K37" s="19" t="s">
        <v>27</v>
      </c>
      <c r="L37" s="19" t="s">
        <v>144</v>
      </c>
      <c r="M37" s="22" t="s">
        <v>151</v>
      </c>
      <c r="N37" s="19"/>
      <c r="O37" s="22">
        <f>IF(AND(ISNUMBER(I37),ISNUMBER(J37)),J37-I37+1,"")</f>
        <v>14</v>
      </c>
      <c r="P37" s="13"/>
      <c r="Q37" s="13"/>
      <c r="R37" s="13"/>
      <c r="S37" s="13"/>
      <c r="T37" s="13"/>
      <c r="U37" s="13" t="s">
        <v>140</v>
      </c>
      <c r="V37" s="13" t="s">
        <v>140</v>
      </c>
      <c r="W37" s="13" t="s">
        <v>140</v>
      </c>
      <c r="X37" s="13" t="s">
        <v>140</v>
      </c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 t="s">
        <v>140</v>
      </c>
      <c r="AJ37" s="13"/>
      <c r="AK37" s="13"/>
      <c r="AL37" s="13"/>
      <c r="AM37" s="13"/>
      <c r="AN37" s="13"/>
      <c r="AO37" s="14" t="str">
        <f>IF(AND(ISNUMBER($I37),OR($K37="Milestone",$K37="Deadline"),$I37&gt;=AO$4,$I37&lt;AO$4+7),IF($K37="Deadline","◇","◆"),"")</f>
        <v/>
      </c>
      <c r="AP37" s="14" t="str">
        <f>IF(AND(ISNUMBER($I37),OR($K37="Milestone",$K37="Deadline"),$I37&gt;=AP$4,$I37&lt;AP$4+7),IF($K37="Deadline","◇","◆"),"")</f>
        <v/>
      </c>
      <c r="AQ37" s="14" t="str">
        <f>IF(AND(ISNUMBER($I37),OR($K37="Milestone",$K37="Deadline"),$I37&gt;=AQ$4,$I37&lt;AQ$4+7),IF($K37="Deadline","◇","◆"),"")</f>
        <v/>
      </c>
      <c r="AR37" s="14" t="str">
        <f>IF(AND(ISNUMBER($I37),OR($K37="Milestone",$K37="Deadline"),$I37&gt;=AR$4,$I37&lt;AR$4+7),IF($K37="Deadline","◇","◆"),"")</f>
        <v/>
      </c>
      <c r="AS37" s="14" t="str">
        <f>IF(AND(ISNUMBER($I37),OR($K37="Milestone",$K37="Deadline"),$I37&gt;=AS$4,$I37&lt;AS$4+7),IF($K37="Deadline","◇","◆"),"")</f>
        <v/>
      </c>
      <c r="AT37" s="14" t="str">
        <f>IF(AND(ISNUMBER($I37),OR($K37="Milestone",$K37="Deadline"),$I37&gt;=AT$4,$I37&lt;AT$4+7),IF($K37="Deadline","◇","◆"),"")</f>
        <v/>
      </c>
      <c r="AU37" s="14" t="str">
        <f>IF(AND(ISNUMBER($I37),OR($K37="Milestone",$K37="Deadline"),$I37&gt;=AU$4,$I37&lt;AU$4+7),IF($K37="Deadline","◇","◆"),"")</f>
        <v/>
      </c>
      <c r="AV37" s="14" t="str">
        <f>IF(AND(ISNUMBER($I37),OR($K37="Milestone",$K37="Deadline"),$I37&gt;=AV$4,$I37&lt;AV$4+7),IF($K37="Deadline","◇","◆"),"")</f>
        <v/>
      </c>
      <c r="AW37" s="14" t="str">
        <f>IF(AND(ISNUMBER($I37),OR($K37="Milestone",$K37="Deadline"),$I37&gt;=AW$4,$I37&lt;AW$4+7),IF($K37="Deadline","◇","◆"),"")</f>
        <v/>
      </c>
      <c r="AX37" s="14" t="str">
        <f>IF(AND(ISNUMBER($I37),OR($K37="Milestone",$K37="Deadline"),$I37&gt;=AX$4,$I37&lt;AX$4+7),IF($K37="Deadline","◇","◆"),"")</f>
        <v/>
      </c>
      <c r="AY37" s="14" t="str">
        <f>IF(AND(ISNUMBER($I37),OR($K37="Milestone",$K37="Deadline"),$I37&gt;=AY$4,$I37&lt;AY$4+7),IF($K37="Deadline","◇","◆"),"")</f>
        <v/>
      </c>
      <c r="AZ37" s="14" t="str">
        <f>IF(AND(ISNUMBER($I37),OR($K37="Milestone",$K37="Deadline"),$I37&gt;=AZ$4,$I37&lt;AZ$4+7),IF($K37="Deadline","◇","◆"),"")</f>
        <v/>
      </c>
      <c r="BA37" s="14" t="str">
        <f>IF(AND(ISNUMBER($I37),OR($K37="Milestone",$K37="Deadline"),$I37&gt;=BA$4,$I37&lt;BA$4+7),IF($K37="Deadline","◇","◆"),"")</f>
        <v/>
      </c>
      <c r="BB37" s="14" t="str">
        <f>IF(AND(ISNUMBER($I37),OR($K37="Milestone",$K37="Deadline"),$I37&gt;=BB$4,$I37&lt;BB$4+7),IF($K37="Deadline","◇","◆"),"")</f>
        <v/>
      </c>
      <c r="BC37" s="14" t="str">
        <f>IF(AND(ISNUMBER($I37),OR($K37="Milestone",$K37="Deadline"),$I37&gt;=BC$4,$I37&lt;BC$4+7),IF($K37="Deadline","◇","◆"),"")</f>
        <v/>
      </c>
      <c r="BD37" s="14" t="str">
        <f>IF(AND(ISNUMBER($I37),OR($K37="Milestone",$K37="Deadline"),$I37&gt;=BD$4,$I37&lt;BD$4+7),IF($K37="Deadline","◇","◆"),"")</f>
        <v/>
      </c>
      <c r="BE37" s="14" t="str">
        <f>IF(AND(ISNUMBER($I37),OR($K37="Milestone",$K37="Deadline"),$I37&gt;=BE$4,$I37&lt;BE$4+7),IF($K37="Deadline","◇","◆"),"")</f>
        <v/>
      </c>
      <c r="BF37" s="14" t="str">
        <f>IF(AND(ISNUMBER($I37),OR($K37="Milestone",$K37="Deadline"),$I37&gt;=BF$4,$I37&lt;BF$4+7),IF($K37="Deadline","◇","◆"),"")</f>
        <v/>
      </c>
      <c r="BG37" s="14" t="str">
        <f>IF(AND(ISNUMBER($I37),OR($K37="Milestone",$K37="Deadline"),$I37&gt;=BG$4,$I37&lt;BG$4+7),IF($K37="Deadline","◇","◆"),"")</f>
        <v/>
      </c>
      <c r="BH37" s="14" t="str">
        <f>IF(AND(ISNUMBER($I37),OR($K37="Milestone",$K37="Deadline"),$I37&gt;=BH$4,$I37&lt;BH$4+7),IF($K37="Deadline","◇","◆"),"")</f>
        <v/>
      </c>
      <c r="BI37" s="14" t="str">
        <f>IF(AND(ISNUMBER($I37),OR($K37="Milestone",$K37="Deadline"),$I37&gt;=BI$4,$I37&lt;BI$4+7),IF($K37="Deadline","◇","◆"),"")</f>
        <v/>
      </c>
      <c r="BJ37" s="14" t="str">
        <f>IF(AND(ISNUMBER($I37),OR($K37="Milestone",$K37="Deadline"),$I37&gt;=BJ$4,$I37&lt;BJ$4+7),IF($K37="Deadline","◇","◆"),"")</f>
        <v/>
      </c>
      <c r="BK37" s="14" t="str">
        <f>IF(AND(ISNUMBER($I37),OR($K37="Milestone",$K37="Deadline"),$I37&gt;=BK$4,$I37&lt;BK$4+7),IF($K37="Deadline","◇","◆"),"")</f>
        <v/>
      </c>
      <c r="BL37" s="14" t="str">
        <f>IF(AND(ISNUMBER($I37),OR($K37="Milestone",$K37="Deadline"),$I37&gt;=BL$4,$I37&lt;BL$4+7),IF($K37="Deadline","◇","◆"),"")</f>
        <v/>
      </c>
      <c r="BM37" s="14" t="str">
        <f>IF(AND(ISNUMBER($I37),OR($K37="Milestone",$K37="Deadline"),$I37&gt;=BM$4,$I37&lt;BM$4+7),IF($K37="Deadline","◇","◆"),"")</f>
        <v/>
      </c>
      <c r="BN37" s="14" t="str">
        <f>IF(AND(ISNUMBER($I37),OR($K37="Milestone",$K37="Deadline"),$I37&gt;=BN$4,$I37&lt;BN$4+7),IF($K37="Deadline","◇","◆"),"")</f>
        <v/>
      </c>
      <c r="BO37" s="14" t="str">
        <f>IF(AND(ISNUMBER($I37),OR($K37="Milestone",$K37="Deadline"),$I37&gt;=BO$4,$I37&lt;BO$4+7),IF($K37="Deadline","◇","◆"),"")</f>
        <v/>
      </c>
      <c r="BP37" s="14" t="str">
        <f>IF(AND(ISNUMBER($I37),OR($K37="Milestone",$K37="Deadline"),$I37&gt;=BP$4,$I37&lt;BP$4+7),IF($K37="Deadline","◇","◆"),"")</f>
        <v/>
      </c>
      <c r="BQ37" s="14" t="str">
        <f>IF(AND(ISNUMBER($I37),OR($K37="Milestone",$K37="Deadline"),$I37&gt;=BQ$4,$I37&lt;BQ$4+7),IF($K37="Deadline","◇","◆"),"")</f>
        <v/>
      </c>
      <c r="BR37" s="14" t="str">
        <f>IF(AND(ISNUMBER($I37),OR($K37="Milestone",$K37="Deadline"),$I37&gt;=BR$4,$I37&lt;BR$4+7),IF($K37="Deadline","◇","◆"),"")</f>
        <v/>
      </c>
      <c r="BS37" s="14" t="str">
        <f>IF(AND(ISNUMBER($I37),OR($K37="Milestone",$K37="Deadline"),$I37&gt;=BS$4,$I37&lt;BS$4+7),IF($K37="Deadline","◇","◆"),"")</f>
        <v/>
      </c>
      <c r="BT37" s="14" t="str">
        <f>IF(AND(ISNUMBER($I37),OR($K37="Milestone",$K37="Deadline"),$I37&gt;=BT$4,$I37&lt;BT$4+7),IF($K37="Deadline","◇","◆"),"")</f>
        <v/>
      </c>
      <c r="BU37" s="14" t="str">
        <f>IF(AND(ISNUMBER($I37),OR($K37="Milestone",$K37="Deadline"),$I37&gt;=BU$4,$I37&lt;BU$4+7),IF($K37="Deadline","◇","◆"),"")</f>
        <v/>
      </c>
      <c r="BV37" s="14" t="str">
        <f>IF(AND(ISNUMBER($I37),OR($K37="Milestone",$K37="Deadline"),$I37&gt;=BV$4,$I37&lt;BV$4+7),IF($K37="Deadline","◇","◆"),"")</f>
        <v/>
      </c>
      <c r="BW37" s="14" t="str">
        <f>IF(AND(ISNUMBER($I37),OR($K37="Milestone",$K37="Deadline"),$I37&gt;=BW$4,$I37&lt;BW$4+7),IF($K37="Deadline","◇","◆"),"")</f>
        <v/>
      </c>
      <c r="BX37" s="14" t="str">
        <f>IF(AND(ISNUMBER($I37),OR($K37="Milestone",$K37="Deadline"),$I37&gt;=BX$4,$I37&lt;BX$4+7),IF($K37="Deadline","◇","◆"),"")</f>
        <v/>
      </c>
      <c r="BY37" s="14" t="str">
        <f>IF(AND(ISNUMBER($I37),OR($K37="Milestone",$K37="Deadline"),$I37&gt;=BY$4,$I37&lt;BY$4+7),IF($K37="Deadline","◇","◆"),"")</f>
        <v/>
      </c>
      <c r="BZ37" s="14" t="str">
        <f>IF(AND(ISNUMBER($I37),OR($K37="Milestone",$K37="Deadline"),$I37&gt;=BZ$4,$I37&lt;BZ$4+7),IF($K37="Deadline","◇","◆"),"")</f>
        <v/>
      </c>
      <c r="CA37" s="14" t="str">
        <f>IF(AND(ISNUMBER($I37),OR($K37="Milestone",$K37="Deadline"),$I37&gt;=CA$4,$I37&lt;CA$4+7),IF($K37="Deadline","◇","◆"),"")</f>
        <v/>
      </c>
      <c r="CB37" s="14" t="str">
        <f>IF(AND(ISNUMBER($I37),OR($K37="Milestone",$K37="Deadline"),$I37&gt;=CB$4,$I37&lt;CB$4+7),IF($K37="Deadline","◇","◆"),"")</f>
        <v/>
      </c>
      <c r="CC37" s="14" t="str">
        <f>IF(AND(ISNUMBER($I37),OR($K37="Milestone",$K37="Deadline"),$I37&gt;=CC$4,$I37&lt;CC$4+7),IF($K37="Deadline","◇","◆"),"")</f>
        <v/>
      </c>
      <c r="CD37" s="14" t="str">
        <f>IF(AND(ISNUMBER($I37),OR($K37="Milestone",$K37="Deadline"),$I37&gt;=CD$4,$I37&lt;CD$4+7),IF($K37="Deadline","◇","◆"),"")</f>
        <v/>
      </c>
      <c r="CE37" s="14" t="str">
        <f>IF(AND(ISNUMBER($I37),OR($K37="Milestone",$K37="Deadline"),$I37&gt;=CE$4,$I37&lt;CE$4+7),IF($K37="Deadline","◇","◆"),"")</f>
        <v/>
      </c>
      <c r="CF37" s="14" t="str">
        <f>IF(AND(ISNUMBER($I37),OR($K37="Milestone",$K37="Deadline"),$I37&gt;=CF$4,$I37&lt;CF$4+7),IF($K37="Deadline","◇","◆"),"")</f>
        <v/>
      </c>
      <c r="CG37" s="14" t="str">
        <f>IF(AND(ISNUMBER($I37),OR($K37="Milestone",$K37="Deadline"),$I37&gt;=CG$4,$I37&lt;CG$4+7),IF($K37="Deadline","◇","◆"),"")</f>
        <v/>
      </c>
      <c r="CH37" s="14" t="str">
        <f>IF(AND(ISNUMBER($I37),OR($K37="Milestone",$K37="Deadline"),$I37&gt;=CH$4,$I37&lt;CH$4+7),IF($K37="Deadline","◇","◆"),"")</f>
        <v/>
      </c>
      <c r="CI37" s="14" t="str">
        <f>IF(AND(ISNUMBER($I37),OR($K37="Milestone",$K37="Deadline"),$I37&gt;=CI$4,$I37&lt;CI$4+7),IF($K37="Deadline","◇","◆"),"")</f>
        <v/>
      </c>
      <c r="CJ37" s="14" t="str">
        <f>IF(AND(ISNUMBER($I37),OR($K37="Milestone",$K37="Deadline"),$I37&gt;=CJ$4,$I37&lt;CJ$4+7),IF($K37="Deadline","◇","◆"),"")</f>
        <v/>
      </c>
      <c r="CK37" s="14" t="str">
        <f>IF(AND(ISNUMBER($I37),OR($K37="Milestone",$K37="Deadline"),$I37&gt;=CK$4,$I37&lt;CK$4+7),IF($K37="Deadline","◇","◆"),"")</f>
        <v/>
      </c>
      <c r="CL37" s="14" t="str">
        <f>IF(AND(ISNUMBER($I37),OR($K37="Milestone",$K37="Deadline"),$I37&gt;=CL$4,$I37&lt;CL$4+7),IF($K37="Deadline","◇","◆"),"")</f>
        <v/>
      </c>
      <c r="CM37" s="14" t="str">
        <f>IF(AND(ISNUMBER($I37),OR($K37="Milestone",$K37="Deadline"),$I37&gt;=CM$4,$I37&lt;CM$4+7),IF($K37="Deadline","◇","◆"),"")</f>
        <v/>
      </c>
    </row>
    <row r="38" spans="1:91" ht="15" hidden="1" customHeight="1">
      <c r="A38" s="19" t="s">
        <v>152</v>
      </c>
      <c r="B38" s="19" t="s">
        <v>137</v>
      </c>
      <c r="C38" s="19" t="s">
        <v>63</v>
      </c>
      <c r="D38" s="19"/>
      <c r="E38" s="19"/>
      <c r="F38" s="19" t="s">
        <v>138</v>
      </c>
      <c r="G38" s="19" t="s">
        <v>153</v>
      </c>
      <c r="H38" s="19">
        <v>14</v>
      </c>
      <c r="I38" s="23">
        <f>MAX($C$2,J36+1,J215+1)</f>
        <v>46363</v>
      </c>
      <c r="J38" s="21">
        <f>IF(AND(ISNUMBER(I38),ISNUMBER(H38)),I38+H38-1,"")</f>
        <v>46376</v>
      </c>
      <c r="K38" s="19" t="s">
        <v>27</v>
      </c>
      <c r="L38" s="19" t="s">
        <v>147</v>
      </c>
      <c r="M38" s="22" t="s">
        <v>154</v>
      </c>
      <c r="N38" s="19"/>
      <c r="O38" s="22">
        <f>IF(AND(ISNUMBER(I38),ISNUMBER(J38)),J38-I38+1,"")</f>
        <v>14</v>
      </c>
      <c r="P38" s="13"/>
      <c r="Q38" s="13"/>
      <c r="R38" s="13"/>
      <c r="S38" s="13"/>
      <c r="T38" s="13"/>
      <c r="U38" s="13" t="s">
        <v>140</v>
      </c>
      <c r="V38" s="13" t="s">
        <v>140</v>
      </c>
      <c r="W38" s="13" t="s">
        <v>140</v>
      </c>
      <c r="X38" s="13" t="s">
        <v>140</v>
      </c>
      <c r="Y38" s="13"/>
      <c r="Z38" s="13" t="s">
        <v>140</v>
      </c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4" t="str">
        <f>IF(AND(ISNUMBER($I38),OR($K38="Milestone",$K38="Deadline"),$I38&gt;=AO$4,$I38&lt;AO$4+7),IF($K38="Deadline","◇","◆"),"")</f>
        <v/>
      </c>
      <c r="AP38" s="14" t="str">
        <f>IF(AND(ISNUMBER($I38),OR($K38="Milestone",$K38="Deadline"),$I38&gt;=AP$4,$I38&lt;AP$4+7),IF($K38="Deadline","◇","◆"),"")</f>
        <v/>
      </c>
      <c r="AQ38" s="14" t="str">
        <f>IF(AND(ISNUMBER($I38),OR($K38="Milestone",$K38="Deadline"),$I38&gt;=AQ$4,$I38&lt;AQ$4+7),IF($K38="Deadline","◇","◆"),"")</f>
        <v/>
      </c>
      <c r="AR38" s="14" t="str">
        <f>IF(AND(ISNUMBER($I38),OR($K38="Milestone",$K38="Deadline"),$I38&gt;=AR$4,$I38&lt;AR$4+7),IF($K38="Deadline","◇","◆"),"")</f>
        <v/>
      </c>
      <c r="AS38" s="14" t="str">
        <f>IF(AND(ISNUMBER($I38),OR($K38="Milestone",$K38="Deadline"),$I38&gt;=AS$4,$I38&lt;AS$4+7),IF($K38="Deadline","◇","◆"),"")</f>
        <v/>
      </c>
      <c r="AT38" s="14" t="str">
        <f>IF(AND(ISNUMBER($I38),OR($K38="Milestone",$K38="Deadline"),$I38&gt;=AT$4,$I38&lt;AT$4+7),IF($K38="Deadline","◇","◆"),"")</f>
        <v/>
      </c>
      <c r="AU38" s="14" t="str">
        <f>IF(AND(ISNUMBER($I38),OR($K38="Milestone",$K38="Deadline"),$I38&gt;=AU$4,$I38&lt;AU$4+7),IF($K38="Deadline","◇","◆"),"")</f>
        <v/>
      </c>
      <c r="AV38" s="14" t="str">
        <f>IF(AND(ISNUMBER($I38),OR($K38="Milestone",$K38="Deadline"),$I38&gt;=AV$4,$I38&lt;AV$4+7),IF($K38="Deadline","◇","◆"),"")</f>
        <v/>
      </c>
      <c r="AW38" s="14" t="str">
        <f>IF(AND(ISNUMBER($I38),OR($K38="Milestone",$K38="Deadline"),$I38&gt;=AW$4,$I38&lt;AW$4+7),IF($K38="Deadline","◇","◆"),"")</f>
        <v/>
      </c>
      <c r="AX38" s="14" t="str">
        <f>IF(AND(ISNUMBER($I38),OR($K38="Milestone",$K38="Deadline"),$I38&gt;=AX$4,$I38&lt;AX$4+7),IF($K38="Deadline","◇","◆"),"")</f>
        <v/>
      </c>
      <c r="AY38" s="14" t="str">
        <f>IF(AND(ISNUMBER($I38),OR($K38="Milestone",$K38="Deadline"),$I38&gt;=AY$4,$I38&lt;AY$4+7),IF($K38="Deadline","◇","◆"),"")</f>
        <v/>
      </c>
      <c r="AZ38" s="14" t="str">
        <f>IF(AND(ISNUMBER($I38),OR($K38="Milestone",$K38="Deadline"),$I38&gt;=AZ$4,$I38&lt;AZ$4+7),IF($K38="Deadline","◇","◆"),"")</f>
        <v/>
      </c>
      <c r="BA38" s="14" t="str">
        <f>IF(AND(ISNUMBER($I38),OR($K38="Milestone",$K38="Deadline"),$I38&gt;=BA$4,$I38&lt;BA$4+7),IF($K38="Deadline","◇","◆"),"")</f>
        <v/>
      </c>
      <c r="BB38" s="14" t="str">
        <f>IF(AND(ISNUMBER($I38),OR($K38="Milestone",$K38="Deadline"),$I38&gt;=BB$4,$I38&lt;BB$4+7),IF($K38="Deadline","◇","◆"),"")</f>
        <v/>
      </c>
      <c r="BC38" s="14" t="str">
        <f>IF(AND(ISNUMBER($I38),OR($K38="Milestone",$K38="Deadline"),$I38&gt;=BC$4,$I38&lt;BC$4+7),IF($K38="Deadline","◇","◆"),"")</f>
        <v/>
      </c>
      <c r="BD38" s="14" t="str">
        <f>IF(AND(ISNUMBER($I38),OR($K38="Milestone",$K38="Deadline"),$I38&gt;=BD$4,$I38&lt;BD$4+7),IF($K38="Deadline","◇","◆"),"")</f>
        <v/>
      </c>
      <c r="BE38" s="14" t="str">
        <f>IF(AND(ISNUMBER($I38),OR($K38="Milestone",$K38="Deadline"),$I38&gt;=BE$4,$I38&lt;BE$4+7),IF($K38="Deadline","◇","◆"),"")</f>
        <v/>
      </c>
      <c r="BF38" s="14" t="str">
        <f>IF(AND(ISNUMBER($I38),OR($K38="Milestone",$K38="Deadline"),$I38&gt;=BF$4,$I38&lt;BF$4+7),IF($K38="Deadline","◇","◆"),"")</f>
        <v/>
      </c>
      <c r="BG38" s="14" t="str">
        <f>IF(AND(ISNUMBER($I38),OR($K38="Milestone",$K38="Deadline"),$I38&gt;=BG$4,$I38&lt;BG$4+7),IF($K38="Deadline","◇","◆"),"")</f>
        <v/>
      </c>
      <c r="BH38" s="14" t="str">
        <f>IF(AND(ISNUMBER($I38),OR($K38="Milestone",$K38="Deadline"),$I38&gt;=BH$4,$I38&lt;BH$4+7),IF($K38="Deadline","◇","◆"),"")</f>
        <v/>
      </c>
      <c r="BI38" s="14" t="str">
        <f>IF(AND(ISNUMBER($I38),OR($K38="Milestone",$K38="Deadline"),$I38&gt;=BI$4,$I38&lt;BI$4+7),IF($K38="Deadline","◇","◆"),"")</f>
        <v/>
      </c>
      <c r="BJ38" s="14" t="str">
        <f>IF(AND(ISNUMBER($I38),OR($K38="Milestone",$K38="Deadline"),$I38&gt;=BJ$4,$I38&lt;BJ$4+7),IF($K38="Deadline","◇","◆"),"")</f>
        <v/>
      </c>
      <c r="BK38" s="14" t="str">
        <f>IF(AND(ISNUMBER($I38),OR($K38="Milestone",$K38="Deadline"),$I38&gt;=BK$4,$I38&lt;BK$4+7),IF($K38="Deadline","◇","◆"),"")</f>
        <v/>
      </c>
      <c r="BL38" s="14" t="str">
        <f>IF(AND(ISNUMBER($I38),OR($K38="Milestone",$K38="Deadline"),$I38&gt;=BL$4,$I38&lt;BL$4+7),IF($K38="Deadline","◇","◆"),"")</f>
        <v/>
      </c>
      <c r="BM38" s="14" t="str">
        <f>IF(AND(ISNUMBER($I38),OR($K38="Milestone",$K38="Deadline"),$I38&gt;=BM$4,$I38&lt;BM$4+7),IF($K38="Deadline","◇","◆"),"")</f>
        <v/>
      </c>
      <c r="BN38" s="14" t="str">
        <f>IF(AND(ISNUMBER($I38),OR($K38="Milestone",$K38="Deadline"),$I38&gt;=BN$4,$I38&lt;BN$4+7),IF($K38="Deadline","◇","◆"),"")</f>
        <v/>
      </c>
      <c r="BO38" s="14" t="str">
        <f>IF(AND(ISNUMBER($I38),OR($K38="Milestone",$K38="Deadline"),$I38&gt;=BO$4,$I38&lt;BO$4+7),IF($K38="Deadline","◇","◆"),"")</f>
        <v/>
      </c>
      <c r="BP38" s="14" t="str">
        <f>IF(AND(ISNUMBER($I38),OR($K38="Milestone",$K38="Deadline"),$I38&gt;=BP$4,$I38&lt;BP$4+7),IF($K38="Deadline","◇","◆"),"")</f>
        <v/>
      </c>
      <c r="BQ38" s="14" t="str">
        <f>IF(AND(ISNUMBER($I38),OR($K38="Milestone",$K38="Deadline"),$I38&gt;=BQ$4,$I38&lt;BQ$4+7),IF($K38="Deadline","◇","◆"),"")</f>
        <v/>
      </c>
      <c r="BR38" s="14" t="str">
        <f>IF(AND(ISNUMBER($I38),OR($K38="Milestone",$K38="Deadline"),$I38&gt;=BR$4,$I38&lt;BR$4+7),IF($K38="Deadline","◇","◆"),"")</f>
        <v/>
      </c>
      <c r="BS38" s="14" t="str">
        <f>IF(AND(ISNUMBER($I38),OR($K38="Milestone",$K38="Deadline"),$I38&gt;=BS$4,$I38&lt;BS$4+7),IF($K38="Deadline","◇","◆"),"")</f>
        <v/>
      </c>
      <c r="BT38" s="14" t="str">
        <f>IF(AND(ISNUMBER($I38),OR($K38="Milestone",$K38="Deadline"),$I38&gt;=BT$4,$I38&lt;BT$4+7),IF($K38="Deadline","◇","◆"),"")</f>
        <v/>
      </c>
      <c r="BU38" s="14" t="str">
        <f>IF(AND(ISNUMBER($I38),OR($K38="Milestone",$K38="Deadline"),$I38&gt;=BU$4,$I38&lt;BU$4+7),IF($K38="Deadline","◇","◆"),"")</f>
        <v/>
      </c>
      <c r="BV38" s="14" t="str">
        <f>IF(AND(ISNUMBER($I38),OR($K38="Milestone",$K38="Deadline"),$I38&gt;=BV$4,$I38&lt;BV$4+7),IF($K38="Deadline","◇","◆"),"")</f>
        <v/>
      </c>
      <c r="BW38" s="14" t="str">
        <f>IF(AND(ISNUMBER($I38),OR($K38="Milestone",$K38="Deadline"),$I38&gt;=BW$4,$I38&lt;BW$4+7),IF($K38="Deadline","◇","◆"),"")</f>
        <v/>
      </c>
      <c r="BX38" s="14" t="str">
        <f>IF(AND(ISNUMBER($I38),OR($K38="Milestone",$K38="Deadline"),$I38&gt;=BX$4,$I38&lt;BX$4+7),IF($K38="Deadline","◇","◆"),"")</f>
        <v/>
      </c>
      <c r="BY38" s="14" t="str">
        <f>IF(AND(ISNUMBER($I38),OR($K38="Milestone",$K38="Deadline"),$I38&gt;=BY$4,$I38&lt;BY$4+7),IF($K38="Deadline","◇","◆"),"")</f>
        <v/>
      </c>
      <c r="BZ38" s="14" t="str">
        <f>IF(AND(ISNUMBER($I38),OR($K38="Milestone",$K38="Deadline"),$I38&gt;=BZ$4,$I38&lt;BZ$4+7),IF($K38="Deadline","◇","◆"),"")</f>
        <v/>
      </c>
      <c r="CA38" s="14" t="str">
        <f>IF(AND(ISNUMBER($I38),OR($K38="Milestone",$K38="Deadline"),$I38&gt;=CA$4,$I38&lt;CA$4+7),IF($K38="Deadline","◇","◆"),"")</f>
        <v/>
      </c>
      <c r="CB38" s="14" t="str">
        <f>IF(AND(ISNUMBER($I38),OR($K38="Milestone",$K38="Deadline"),$I38&gt;=CB$4,$I38&lt;CB$4+7),IF($K38="Deadline","◇","◆"),"")</f>
        <v/>
      </c>
      <c r="CC38" s="14" t="str">
        <f>IF(AND(ISNUMBER($I38),OR($K38="Milestone",$K38="Deadline"),$I38&gt;=CC$4,$I38&lt;CC$4+7),IF($K38="Deadline","◇","◆"),"")</f>
        <v/>
      </c>
      <c r="CD38" s="14" t="str">
        <f>IF(AND(ISNUMBER($I38),OR($K38="Milestone",$K38="Deadline"),$I38&gt;=CD$4,$I38&lt;CD$4+7),IF($K38="Deadline","◇","◆"),"")</f>
        <v/>
      </c>
      <c r="CE38" s="14" t="str">
        <f>IF(AND(ISNUMBER($I38),OR($K38="Milestone",$K38="Deadline"),$I38&gt;=CE$4,$I38&lt;CE$4+7),IF($K38="Deadline","◇","◆"),"")</f>
        <v/>
      </c>
      <c r="CF38" s="14" t="str">
        <f>IF(AND(ISNUMBER($I38),OR($K38="Milestone",$K38="Deadline"),$I38&gt;=CF$4,$I38&lt;CF$4+7),IF($K38="Deadline","◇","◆"),"")</f>
        <v/>
      </c>
      <c r="CG38" s="14" t="str">
        <f>IF(AND(ISNUMBER($I38),OR($K38="Milestone",$K38="Deadline"),$I38&gt;=CG$4,$I38&lt;CG$4+7),IF($K38="Deadline","◇","◆"),"")</f>
        <v/>
      </c>
      <c r="CH38" s="14" t="str">
        <f>IF(AND(ISNUMBER($I38),OR($K38="Milestone",$K38="Deadline"),$I38&gt;=CH$4,$I38&lt;CH$4+7),IF($K38="Deadline","◇","◆"),"")</f>
        <v/>
      </c>
      <c r="CI38" s="14" t="str">
        <f>IF(AND(ISNUMBER($I38),OR($K38="Milestone",$K38="Deadline"),$I38&gt;=CI$4,$I38&lt;CI$4+7),IF($K38="Deadline","◇","◆"),"")</f>
        <v/>
      </c>
      <c r="CJ38" s="14" t="str">
        <f>IF(AND(ISNUMBER($I38),OR($K38="Milestone",$K38="Deadline"),$I38&gt;=CJ$4,$I38&lt;CJ$4+7),IF($K38="Deadline","◇","◆"),"")</f>
        <v/>
      </c>
      <c r="CK38" s="14" t="str">
        <f>IF(AND(ISNUMBER($I38),OR($K38="Milestone",$K38="Deadline"),$I38&gt;=CK$4,$I38&lt;CK$4+7),IF($K38="Deadline","◇","◆"),"")</f>
        <v/>
      </c>
      <c r="CL38" s="14" t="str">
        <f>IF(AND(ISNUMBER($I38),OR($K38="Milestone",$K38="Deadline"),$I38&gt;=CL$4,$I38&lt;CL$4+7),IF($K38="Deadline","◇","◆"),"")</f>
        <v/>
      </c>
      <c r="CM38" s="14" t="str">
        <f>IF(AND(ISNUMBER($I38),OR($K38="Milestone",$K38="Deadline"),$I38&gt;=CM$4,$I38&lt;CM$4+7),IF($K38="Deadline","◇","◆"),"")</f>
        <v/>
      </c>
    </row>
    <row r="39" spans="1:91" ht="15" hidden="1" customHeight="1">
      <c r="A39" s="19" t="s">
        <v>155</v>
      </c>
      <c r="B39" s="19" t="s">
        <v>137</v>
      </c>
      <c r="C39" s="19" t="s">
        <v>63</v>
      </c>
      <c r="D39" s="19"/>
      <c r="E39" s="19"/>
      <c r="F39" s="19" t="s">
        <v>138</v>
      </c>
      <c r="G39" s="19" t="s">
        <v>156</v>
      </c>
      <c r="H39" s="19">
        <v>7</v>
      </c>
      <c r="I39" s="23">
        <f>MAX($C$2,J37+1,J37+1)</f>
        <v>46363</v>
      </c>
      <c r="J39" s="21">
        <f>IF(AND(ISNUMBER(I39),ISNUMBER(H39)),I39+H39-1,"")</f>
        <v>46369</v>
      </c>
      <c r="K39" s="19" t="s">
        <v>27</v>
      </c>
      <c r="L39" s="19" t="s">
        <v>149</v>
      </c>
      <c r="M39" s="22" t="s">
        <v>149</v>
      </c>
      <c r="N39" s="19"/>
      <c r="O39" s="22">
        <f>IF(AND(ISNUMBER(I39),ISNUMBER(J39)),J39-I39+1,"")</f>
        <v>7</v>
      </c>
      <c r="P39" s="13"/>
      <c r="Q39" s="13"/>
      <c r="R39" s="13"/>
      <c r="S39" s="13"/>
      <c r="T39" s="13"/>
      <c r="U39" s="13" t="s">
        <v>140</v>
      </c>
      <c r="V39" s="13" t="s">
        <v>140</v>
      </c>
      <c r="W39" s="13"/>
      <c r="X39" s="13" t="s">
        <v>140</v>
      </c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 t="s">
        <v>140</v>
      </c>
      <c r="AJ39" s="13"/>
      <c r="AK39" s="13"/>
      <c r="AL39" s="13"/>
      <c r="AM39" s="13"/>
      <c r="AN39" s="13"/>
      <c r="AO39" s="14" t="str">
        <f>IF(AND(ISNUMBER($I39),OR($K39="Milestone",$K39="Deadline"),$I39&gt;=AO$4,$I39&lt;AO$4+7),IF($K39="Deadline","◇","◆"),"")</f>
        <v/>
      </c>
      <c r="AP39" s="14" t="str">
        <f>IF(AND(ISNUMBER($I39),OR($K39="Milestone",$K39="Deadline"),$I39&gt;=AP$4,$I39&lt;AP$4+7),IF($K39="Deadline","◇","◆"),"")</f>
        <v/>
      </c>
      <c r="AQ39" s="14" t="str">
        <f>IF(AND(ISNUMBER($I39),OR($K39="Milestone",$K39="Deadline"),$I39&gt;=AQ$4,$I39&lt;AQ$4+7),IF($K39="Deadline","◇","◆"),"")</f>
        <v/>
      </c>
      <c r="AR39" s="14" t="str">
        <f>IF(AND(ISNUMBER($I39),OR($K39="Milestone",$K39="Deadline"),$I39&gt;=AR$4,$I39&lt;AR$4+7),IF($K39="Deadline","◇","◆"),"")</f>
        <v/>
      </c>
      <c r="AS39" s="14" t="str">
        <f>IF(AND(ISNUMBER($I39),OR($K39="Milestone",$K39="Deadline"),$I39&gt;=AS$4,$I39&lt;AS$4+7),IF($K39="Deadline","◇","◆"),"")</f>
        <v/>
      </c>
      <c r="AT39" s="14" t="str">
        <f>IF(AND(ISNUMBER($I39),OR($K39="Milestone",$K39="Deadline"),$I39&gt;=AT$4,$I39&lt;AT$4+7),IF($K39="Deadline","◇","◆"),"")</f>
        <v/>
      </c>
      <c r="AU39" s="14" t="str">
        <f>IF(AND(ISNUMBER($I39),OR($K39="Milestone",$K39="Deadline"),$I39&gt;=AU$4,$I39&lt;AU$4+7),IF($K39="Deadline","◇","◆"),"")</f>
        <v/>
      </c>
      <c r="AV39" s="14" t="str">
        <f>IF(AND(ISNUMBER($I39),OR($K39="Milestone",$K39="Deadline"),$I39&gt;=AV$4,$I39&lt;AV$4+7),IF($K39="Deadline","◇","◆"),"")</f>
        <v/>
      </c>
      <c r="AW39" s="14" t="str">
        <f>IF(AND(ISNUMBER($I39),OR($K39="Milestone",$K39="Deadline"),$I39&gt;=AW$4,$I39&lt;AW$4+7),IF($K39="Deadline","◇","◆"),"")</f>
        <v/>
      </c>
      <c r="AX39" s="14" t="str">
        <f>IF(AND(ISNUMBER($I39),OR($K39="Milestone",$K39="Deadline"),$I39&gt;=AX$4,$I39&lt;AX$4+7),IF($K39="Deadline","◇","◆"),"")</f>
        <v/>
      </c>
      <c r="AY39" s="14" t="str">
        <f>IF(AND(ISNUMBER($I39),OR($K39="Milestone",$K39="Deadline"),$I39&gt;=AY$4,$I39&lt;AY$4+7),IF($K39="Deadline","◇","◆"),"")</f>
        <v/>
      </c>
      <c r="AZ39" s="14" t="str">
        <f>IF(AND(ISNUMBER($I39),OR($K39="Milestone",$K39="Deadline"),$I39&gt;=AZ$4,$I39&lt;AZ$4+7),IF($K39="Deadline","◇","◆"),"")</f>
        <v/>
      </c>
      <c r="BA39" s="14" t="str">
        <f>IF(AND(ISNUMBER($I39),OR($K39="Milestone",$K39="Deadline"),$I39&gt;=BA$4,$I39&lt;BA$4+7),IF($K39="Deadline","◇","◆"),"")</f>
        <v/>
      </c>
      <c r="BB39" s="14" t="str">
        <f>IF(AND(ISNUMBER($I39),OR($K39="Milestone",$K39="Deadline"),$I39&gt;=BB$4,$I39&lt;BB$4+7),IF($K39="Deadline","◇","◆"),"")</f>
        <v/>
      </c>
      <c r="BC39" s="14" t="str">
        <f>IF(AND(ISNUMBER($I39),OR($K39="Milestone",$K39="Deadline"),$I39&gt;=BC$4,$I39&lt;BC$4+7),IF($K39="Deadline","◇","◆"),"")</f>
        <v/>
      </c>
      <c r="BD39" s="14" t="str">
        <f>IF(AND(ISNUMBER($I39),OR($K39="Milestone",$K39="Deadline"),$I39&gt;=BD$4,$I39&lt;BD$4+7),IF($K39="Deadline","◇","◆"),"")</f>
        <v/>
      </c>
      <c r="BE39" s="14" t="str">
        <f>IF(AND(ISNUMBER($I39),OR($K39="Milestone",$K39="Deadline"),$I39&gt;=BE$4,$I39&lt;BE$4+7),IF($K39="Deadline","◇","◆"),"")</f>
        <v/>
      </c>
      <c r="BF39" s="14" t="str">
        <f>IF(AND(ISNUMBER($I39),OR($K39="Milestone",$K39="Deadline"),$I39&gt;=BF$4,$I39&lt;BF$4+7),IF($K39="Deadline","◇","◆"),"")</f>
        <v/>
      </c>
      <c r="BG39" s="14" t="str">
        <f>IF(AND(ISNUMBER($I39),OR($K39="Milestone",$K39="Deadline"),$I39&gt;=BG$4,$I39&lt;BG$4+7),IF($K39="Deadline","◇","◆"),"")</f>
        <v/>
      </c>
      <c r="BH39" s="14" t="str">
        <f>IF(AND(ISNUMBER($I39),OR($K39="Milestone",$K39="Deadline"),$I39&gt;=BH$4,$I39&lt;BH$4+7),IF($K39="Deadline","◇","◆"),"")</f>
        <v/>
      </c>
      <c r="BI39" s="14" t="str">
        <f>IF(AND(ISNUMBER($I39),OR($K39="Milestone",$K39="Deadline"),$I39&gt;=BI$4,$I39&lt;BI$4+7),IF($K39="Deadline","◇","◆"),"")</f>
        <v/>
      </c>
      <c r="BJ39" s="14" t="str">
        <f>IF(AND(ISNUMBER($I39),OR($K39="Milestone",$K39="Deadline"),$I39&gt;=BJ$4,$I39&lt;BJ$4+7),IF($K39="Deadline","◇","◆"),"")</f>
        <v/>
      </c>
      <c r="BK39" s="14" t="str">
        <f>IF(AND(ISNUMBER($I39),OR($K39="Milestone",$K39="Deadline"),$I39&gt;=BK$4,$I39&lt;BK$4+7),IF($K39="Deadline","◇","◆"),"")</f>
        <v/>
      </c>
      <c r="BL39" s="14" t="str">
        <f>IF(AND(ISNUMBER($I39),OR($K39="Milestone",$K39="Deadline"),$I39&gt;=BL$4,$I39&lt;BL$4+7),IF($K39="Deadline","◇","◆"),"")</f>
        <v/>
      </c>
      <c r="BM39" s="14" t="str">
        <f>IF(AND(ISNUMBER($I39),OR($K39="Milestone",$K39="Deadline"),$I39&gt;=BM$4,$I39&lt;BM$4+7),IF($K39="Deadline","◇","◆"),"")</f>
        <v/>
      </c>
      <c r="BN39" s="14" t="str">
        <f>IF(AND(ISNUMBER($I39),OR($K39="Milestone",$K39="Deadline"),$I39&gt;=BN$4,$I39&lt;BN$4+7),IF($K39="Deadline","◇","◆"),"")</f>
        <v/>
      </c>
      <c r="BO39" s="14" t="str">
        <f>IF(AND(ISNUMBER($I39),OR($K39="Milestone",$K39="Deadline"),$I39&gt;=BO$4,$I39&lt;BO$4+7),IF($K39="Deadline","◇","◆"),"")</f>
        <v/>
      </c>
      <c r="BP39" s="14" t="str">
        <f>IF(AND(ISNUMBER($I39),OR($K39="Milestone",$K39="Deadline"),$I39&gt;=BP$4,$I39&lt;BP$4+7),IF($K39="Deadline","◇","◆"),"")</f>
        <v/>
      </c>
      <c r="BQ39" s="14" t="str">
        <f>IF(AND(ISNUMBER($I39),OR($K39="Milestone",$K39="Deadline"),$I39&gt;=BQ$4,$I39&lt;BQ$4+7),IF($K39="Deadline","◇","◆"),"")</f>
        <v/>
      </c>
      <c r="BR39" s="14" t="str">
        <f>IF(AND(ISNUMBER($I39),OR($K39="Milestone",$K39="Deadline"),$I39&gt;=BR$4,$I39&lt;BR$4+7),IF($K39="Deadline","◇","◆"),"")</f>
        <v/>
      </c>
      <c r="BS39" s="14" t="str">
        <f>IF(AND(ISNUMBER($I39),OR($K39="Milestone",$K39="Deadline"),$I39&gt;=BS$4,$I39&lt;BS$4+7),IF($K39="Deadline","◇","◆"),"")</f>
        <v/>
      </c>
      <c r="BT39" s="14" t="str">
        <f>IF(AND(ISNUMBER($I39),OR($K39="Milestone",$K39="Deadline"),$I39&gt;=BT$4,$I39&lt;BT$4+7),IF($K39="Deadline","◇","◆"),"")</f>
        <v/>
      </c>
      <c r="BU39" s="14" t="str">
        <f>IF(AND(ISNUMBER($I39),OR($K39="Milestone",$K39="Deadline"),$I39&gt;=BU$4,$I39&lt;BU$4+7),IF($K39="Deadline","◇","◆"),"")</f>
        <v/>
      </c>
      <c r="BV39" s="14" t="str">
        <f>IF(AND(ISNUMBER($I39),OR($K39="Milestone",$K39="Deadline"),$I39&gt;=BV$4,$I39&lt;BV$4+7),IF($K39="Deadline","◇","◆"),"")</f>
        <v/>
      </c>
      <c r="BW39" s="14" t="str">
        <f>IF(AND(ISNUMBER($I39),OR($K39="Milestone",$K39="Deadline"),$I39&gt;=BW$4,$I39&lt;BW$4+7),IF($K39="Deadline","◇","◆"),"")</f>
        <v/>
      </c>
      <c r="BX39" s="14" t="str">
        <f>IF(AND(ISNUMBER($I39),OR($K39="Milestone",$K39="Deadline"),$I39&gt;=BX$4,$I39&lt;BX$4+7),IF($K39="Deadline","◇","◆"),"")</f>
        <v/>
      </c>
      <c r="BY39" s="14" t="str">
        <f>IF(AND(ISNUMBER($I39),OR($K39="Milestone",$K39="Deadline"),$I39&gt;=BY$4,$I39&lt;BY$4+7),IF($K39="Deadline","◇","◆"),"")</f>
        <v/>
      </c>
      <c r="BZ39" s="14" t="str">
        <f>IF(AND(ISNUMBER($I39),OR($K39="Milestone",$K39="Deadline"),$I39&gt;=BZ$4,$I39&lt;BZ$4+7),IF($K39="Deadline","◇","◆"),"")</f>
        <v/>
      </c>
      <c r="CA39" s="14" t="str">
        <f>IF(AND(ISNUMBER($I39),OR($K39="Milestone",$K39="Deadline"),$I39&gt;=CA$4,$I39&lt;CA$4+7),IF($K39="Deadline","◇","◆"),"")</f>
        <v/>
      </c>
      <c r="CB39" s="14" t="str">
        <f>IF(AND(ISNUMBER($I39),OR($K39="Milestone",$K39="Deadline"),$I39&gt;=CB$4,$I39&lt;CB$4+7),IF($K39="Deadline","◇","◆"),"")</f>
        <v/>
      </c>
      <c r="CC39" s="14" t="str">
        <f>IF(AND(ISNUMBER($I39),OR($K39="Milestone",$K39="Deadline"),$I39&gt;=CC$4,$I39&lt;CC$4+7),IF($K39="Deadline","◇","◆"),"")</f>
        <v/>
      </c>
      <c r="CD39" s="14" t="str">
        <f>IF(AND(ISNUMBER($I39),OR($K39="Milestone",$K39="Deadline"),$I39&gt;=CD$4,$I39&lt;CD$4+7),IF($K39="Deadline","◇","◆"),"")</f>
        <v/>
      </c>
      <c r="CE39" s="14" t="str">
        <f>IF(AND(ISNUMBER($I39),OR($K39="Milestone",$K39="Deadline"),$I39&gt;=CE$4,$I39&lt;CE$4+7),IF($K39="Deadline","◇","◆"),"")</f>
        <v/>
      </c>
      <c r="CF39" s="14" t="str">
        <f>IF(AND(ISNUMBER($I39),OR($K39="Milestone",$K39="Deadline"),$I39&gt;=CF$4,$I39&lt;CF$4+7),IF($K39="Deadline","◇","◆"),"")</f>
        <v/>
      </c>
      <c r="CG39" s="14" t="str">
        <f>IF(AND(ISNUMBER($I39),OR($K39="Milestone",$K39="Deadline"),$I39&gt;=CG$4,$I39&lt;CG$4+7),IF($K39="Deadline","◇","◆"),"")</f>
        <v/>
      </c>
      <c r="CH39" s="14" t="str">
        <f>IF(AND(ISNUMBER($I39),OR($K39="Milestone",$K39="Deadline"),$I39&gt;=CH$4,$I39&lt;CH$4+7),IF($K39="Deadline","◇","◆"),"")</f>
        <v/>
      </c>
      <c r="CI39" s="14" t="str">
        <f>IF(AND(ISNUMBER($I39),OR($K39="Milestone",$K39="Deadline"),$I39&gt;=CI$4,$I39&lt;CI$4+7),IF($K39="Deadline","◇","◆"),"")</f>
        <v/>
      </c>
      <c r="CJ39" s="14" t="str">
        <f>IF(AND(ISNUMBER($I39),OR($K39="Milestone",$K39="Deadline"),$I39&gt;=CJ$4,$I39&lt;CJ$4+7),IF($K39="Deadline","◇","◆"),"")</f>
        <v/>
      </c>
      <c r="CK39" s="14" t="str">
        <f>IF(AND(ISNUMBER($I39),OR($K39="Milestone",$K39="Deadline"),$I39&gt;=CK$4,$I39&lt;CK$4+7),IF($K39="Deadline","◇","◆"),"")</f>
        <v/>
      </c>
      <c r="CL39" s="14" t="str">
        <f>IF(AND(ISNUMBER($I39),OR($K39="Milestone",$K39="Deadline"),$I39&gt;=CL$4,$I39&lt;CL$4+7),IF($K39="Deadline","◇","◆"),"")</f>
        <v/>
      </c>
      <c r="CM39" s="14" t="str">
        <f>IF(AND(ISNUMBER($I39),OR($K39="Milestone",$K39="Deadline"),$I39&gt;=CM$4,$I39&lt;CM$4+7),IF($K39="Deadline","◇","◆"),"")</f>
        <v/>
      </c>
    </row>
    <row r="40" spans="1:91" ht="15" hidden="1" customHeight="1">
      <c r="A40" s="19" t="s">
        <v>157</v>
      </c>
      <c r="B40" s="19" t="s">
        <v>137</v>
      </c>
      <c r="C40" s="19" t="s">
        <v>63</v>
      </c>
      <c r="D40" s="19"/>
      <c r="E40" s="19"/>
      <c r="F40" s="19" t="s">
        <v>138</v>
      </c>
      <c r="G40" s="19" t="s">
        <v>158</v>
      </c>
      <c r="H40" s="19">
        <v>7</v>
      </c>
      <c r="I40" s="23">
        <f>MAX($C$2,J39+1,J189+1)</f>
        <v>46370</v>
      </c>
      <c r="J40" s="21">
        <f>IF(AND(ISNUMBER(I40),ISNUMBER(H40)),I40+H40-1,"")</f>
        <v>46376</v>
      </c>
      <c r="K40" s="19" t="s">
        <v>27</v>
      </c>
      <c r="L40" s="19" t="s">
        <v>155</v>
      </c>
      <c r="M40" s="22" t="s">
        <v>159</v>
      </c>
      <c r="N40" s="19"/>
      <c r="O40" s="22">
        <f>IF(AND(ISNUMBER(I40),ISNUMBER(J40)),J40-I40+1,"")</f>
        <v>7</v>
      </c>
      <c r="P40" s="13"/>
      <c r="Q40" s="13"/>
      <c r="R40" s="13"/>
      <c r="S40" s="13"/>
      <c r="T40" s="13"/>
      <c r="U40" s="13" t="s">
        <v>140</v>
      </c>
      <c r="V40" s="13"/>
      <c r="W40" s="13" t="s">
        <v>140</v>
      </c>
      <c r="X40" s="13" t="s">
        <v>140</v>
      </c>
      <c r="Y40" s="13"/>
      <c r="Z40" s="13"/>
      <c r="AA40" s="13"/>
      <c r="AB40" s="13"/>
      <c r="AC40" s="13"/>
      <c r="AD40" s="13"/>
      <c r="AE40" s="13"/>
      <c r="AF40" s="13"/>
      <c r="AG40" s="13"/>
      <c r="AH40" s="13" t="s">
        <v>140</v>
      </c>
      <c r="AI40" s="13"/>
      <c r="AJ40" s="13"/>
      <c r="AK40" s="13"/>
      <c r="AL40" s="13"/>
      <c r="AM40" s="13"/>
      <c r="AN40" s="13"/>
      <c r="AO40" s="14" t="str">
        <f>IF(AND(ISNUMBER($I40),OR($K40="Milestone",$K40="Deadline"),$I40&gt;=AO$4,$I40&lt;AO$4+7),IF($K40="Deadline","◇","◆"),"")</f>
        <v/>
      </c>
      <c r="AP40" s="14" t="str">
        <f>IF(AND(ISNUMBER($I40),OR($K40="Milestone",$K40="Deadline"),$I40&gt;=AP$4,$I40&lt;AP$4+7),IF($K40="Deadline","◇","◆"),"")</f>
        <v/>
      </c>
      <c r="AQ40" s="14" t="str">
        <f>IF(AND(ISNUMBER($I40),OR($K40="Milestone",$K40="Deadline"),$I40&gt;=AQ$4,$I40&lt;AQ$4+7),IF($K40="Deadline","◇","◆"),"")</f>
        <v/>
      </c>
      <c r="AR40" s="14" t="str">
        <f>IF(AND(ISNUMBER($I40),OR($K40="Milestone",$K40="Deadline"),$I40&gt;=AR$4,$I40&lt;AR$4+7),IF($K40="Deadline","◇","◆"),"")</f>
        <v/>
      </c>
      <c r="AS40" s="14" t="str">
        <f>IF(AND(ISNUMBER($I40),OR($K40="Milestone",$K40="Deadline"),$I40&gt;=AS$4,$I40&lt;AS$4+7),IF($K40="Deadline","◇","◆"),"")</f>
        <v/>
      </c>
      <c r="AT40" s="14" t="str">
        <f>IF(AND(ISNUMBER($I40),OR($K40="Milestone",$K40="Deadline"),$I40&gt;=AT$4,$I40&lt;AT$4+7),IF($K40="Deadline","◇","◆"),"")</f>
        <v/>
      </c>
      <c r="AU40" s="14" t="str">
        <f>IF(AND(ISNUMBER($I40),OR($K40="Milestone",$K40="Deadline"),$I40&gt;=AU$4,$I40&lt;AU$4+7),IF($K40="Deadline","◇","◆"),"")</f>
        <v/>
      </c>
      <c r="AV40" s="14" t="str">
        <f>IF(AND(ISNUMBER($I40),OR($K40="Milestone",$K40="Deadline"),$I40&gt;=AV$4,$I40&lt;AV$4+7),IF($K40="Deadline","◇","◆"),"")</f>
        <v/>
      </c>
      <c r="AW40" s="14" t="str">
        <f>IF(AND(ISNUMBER($I40),OR($K40="Milestone",$K40="Deadline"),$I40&gt;=AW$4,$I40&lt;AW$4+7),IF($K40="Deadline","◇","◆"),"")</f>
        <v/>
      </c>
      <c r="AX40" s="14" t="str">
        <f>IF(AND(ISNUMBER($I40),OR($K40="Milestone",$K40="Deadline"),$I40&gt;=AX$4,$I40&lt;AX$4+7),IF($K40="Deadline","◇","◆"),"")</f>
        <v/>
      </c>
      <c r="AY40" s="14" t="str">
        <f>IF(AND(ISNUMBER($I40),OR($K40="Milestone",$K40="Deadline"),$I40&gt;=AY$4,$I40&lt;AY$4+7),IF($K40="Deadline","◇","◆"),"")</f>
        <v/>
      </c>
      <c r="AZ40" s="14" t="str">
        <f>IF(AND(ISNUMBER($I40),OR($K40="Milestone",$K40="Deadline"),$I40&gt;=AZ$4,$I40&lt;AZ$4+7),IF($K40="Deadline","◇","◆"),"")</f>
        <v/>
      </c>
      <c r="BA40" s="14" t="str">
        <f>IF(AND(ISNUMBER($I40),OR($K40="Milestone",$K40="Deadline"),$I40&gt;=BA$4,$I40&lt;BA$4+7),IF($K40="Deadline","◇","◆"),"")</f>
        <v/>
      </c>
      <c r="BB40" s="14" t="str">
        <f>IF(AND(ISNUMBER($I40),OR($K40="Milestone",$K40="Deadline"),$I40&gt;=BB$4,$I40&lt;BB$4+7),IF($K40="Deadline","◇","◆"),"")</f>
        <v/>
      </c>
      <c r="BC40" s="14" t="str">
        <f>IF(AND(ISNUMBER($I40),OR($K40="Milestone",$K40="Deadline"),$I40&gt;=BC$4,$I40&lt;BC$4+7),IF($K40="Deadline","◇","◆"),"")</f>
        <v/>
      </c>
      <c r="BD40" s="14" t="str">
        <f>IF(AND(ISNUMBER($I40),OR($K40="Milestone",$K40="Deadline"),$I40&gt;=BD$4,$I40&lt;BD$4+7),IF($K40="Deadline","◇","◆"),"")</f>
        <v/>
      </c>
      <c r="BE40" s="14" t="str">
        <f>IF(AND(ISNUMBER($I40),OR($K40="Milestone",$K40="Deadline"),$I40&gt;=BE$4,$I40&lt;BE$4+7),IF($K40="Deadline","◇","◆"),"")</f>
        <v/>
      </c>
      <c r="BF40" s="14" t="str">
        <f>IF(AND(ISNUMBER($I40),OR($K40="Milestone",$K40="Deadline"),$I40&gt;=BF$4,$I40&lt;BF$4+7),IF($K40="Deadline","◇","◆"),"")</f>
        <v/>
      </c>
      <c r="BG40" s="14" t="str">
        <f>IF(AND(ISNUMBER($I40),OR($K40="Milestone",$K40="Deadline"),$I40&gt;=BG$4,$I40&lt;BG$4+7),IF($K40="Deadline","◇","◆"),"")</f>
        <v/>
      </c>
      <c r="BH40" s="14" t="str">
        <f>IF(AND(ISNUMBER($I40),OR($K40="Milestone",$K40="Deadline"),$I40&gt;=BH$4,$I40&lt;BH$4+7),IF($K40="Deadline","◇","◆"),"")</f>
        <v/>
      </c>
      <c r="BI40" s="14" t="str">
        <f>IF(AND(ISNUMBER($I40),OR($K40="Milestone",$K40="Deadline"),$I40&gt;=BI$4,$I40&lt;BI$4+7),IF($K40="Deadline","◇","◆"),"")</f>
        <v/>
      </c>
      <c r="BJ40" s="14" t="str">
        <f>IF(AND(ISNUMBER($I40),OR($K40="Milestone",$K40="Deadline"),$I40&gt;=BJ$4,$I40&lt;BJ$4+7),IF($K40="Deadline","◇","◆"),"")</f>
        <v/>
      </c>
      <c r="BK40" s="14" t="str">
        <f>IF(AND(ISNUMBER($I40),OR($K40="Milestone",$K40="Deadline"),$I40&gt;=BK$4,$I40&lt;BK$4+7),IF($K40="Deadline","◇","◆"),"")</f>
        <v/>
      </c>
      <c r="BL40" s="14" t="str">
        <f>IF(AND(ISNUMBER($I40),OR($K40="Milestone",$K40="Deadline"),$I40&gt;=BL$4,$I40&lt;BL$4+7),IF($K40="Deadline","◇","◆"),"")</f>
        <v/>
      </c>
      <c r="BM40" s="14" t="str">
        <f>IF(AND(ISNUMBER($I40),OR($K40="Milestone",$K40="Deadline"),$I40&gt;=BM$4,$I40&lt;BM$4+7),IF($K40="Deadline","◇","◆"),"")</f>
        <v/>
      </c>
      <c r="BN40" s="14" t="str">
        <f>IF(AND(ISNUMBER($I40),OR($K40="Milestone",$K40="Deadline"),$I40&gt;=BN$4,$I40&lt;BN$4+7),IF($K40="Deadline","◇","◆"),"")</f>
        <v/>
      </c>
      <c r="BO40" s="14" t="str">
        <f>IF(AND(ISNUMBER($I40),OR($K40="Milestone",$K40="Deadline"),$I40&gt;=BO$4,$I40&lt;BO$4+7),IF($K40="Deadline","◇","◆"),"")</f>
        <v/>
      </c>
      <c r="BP40" s="14" t="str">
        <f>IF(AND(ISNUMBER($I40),OR($K40="Milestone",$K40="Deadline"),$I40&gt;=BP$4,$I40&lt;BP$4+7),IF($K40="Deadline","◇","◆"),"")</f>
        <v/>
      </c>
      <c r="BQ40" s="14" t="str">
        <f>IF(AND(ISNUMBER($I40),OR($K40="Milestone",$K40="Deadline"),$I40&gt;=BQ$4,$I40&lt;BQ$4+7),IF($K40="Deadline","◇","◆"),"")</f>
        <v/>
      </c>
      <c r="BR40" s="14" t="str">
        <f>IF(AND(ISNUMBER($I40),OR($K40="Milestone",$K40="Deadline"),$I40&gt;=BR$4,$I40&lt;BR$4+7),IF($K40="Deadline","◇","◆"),"")</f>
        <v/>
      </c>
      <c r="BS40" s="14" t="str">
        <f>IF(AND(ISNUMBER($I40),OR($K40="Milestone",$K40="Deadline"),$I40&gt;=BS$4,$I40&lt;BS$4+7),IF($K40="Deadline","◇","◆"),"")</f>
        <v/>
      </c>
      <c r="BT40" s="14" t="str">
        <f>IF(AND(ISNUMBER($I40),OR($K40="Milestone",$K40="Deadline"),$I40&gt;=BT$4,$I40&lt;BT$4+7),IF($K40="Deadline","◇","◆"),"")</f>
        <v/>
      </c>
      <c r="BU40" s="14" t="str">
        <f>IF(AND(ISNUMBER($I40),OR($K40="Milestone",$K40="Deadline"),$I40&gt;=BU$4,$I40&lt;BU$4+7),IF($K40="Deadline","◇","◆"),"")</f>
        <v/>
      </c>
      <c r="BV40" s="14" t="str">
        <f>IF(AND(ISNUMBER($I40),OR($K40="Milestone",$K40="Deadline"),$I40&gt;=BV$4,$I40&lt;BV$4+7),IF($K40="Deadline","◇","◆"),"")</f>
        <v/>
      </c>
      <c r="BW40" s="14" t="str">
        <f>IF(AND(ISNUMBER($I40),OR($K40="Milestone",$K40="Deadline"),$I40&gt;=BW$4,$I40&lt;BW$4+7),IF($K40="Deadline","◇","◆"),"")</f>
        <v/>
      </c>
      <c r="BX40" s="14" t="str">
        <f>IF(AND(ISNUMBER($I40),OR($K40="Milestone",$K40="Deadline"),$I40&gt;=BX$4,$I40&lt;BX$4+7),IF($K40="Deadline","◇","◆"),"")</f>
        <v/>
      </c>
      <c r="BY40" s="14" t="str">
        <f>IF(AND(ISNUMBER($I40),OR($K40="Milestone",$K40="Deadline"),$I40&gt;=BY$4,$I40&lt;BY$4+7),IF($K40="Deadline","◇","◆"),"")</f>
        <v/>
      </c>
      <c r="BZ40" s="14" t="str">
        <f>IF(AND(ISNUMBER($I40),OR($K40="Milestone",$K40="Deadline"),$I40&gt;=BZ$4,$I40&lt;BZ$4+7),IF($K40="Deadline","◇","◆"),"")</f>
        <v/>
      </c>
      <c r="CA40" s="14" t="str">
        <f>IF(AND(ISNUMBER($I40),OR($K40="Milestone",$K40="Deadline"),$I40&gt;=CA$4,$I40&lt;CA$4+7),IF($K40="Deadline","◇","◆"),"")</f>
        <v/>
      </c>
      <c r="CB40" s="14" t="str">
        <f>IF(AND(ISNUMBER($I40),OR($K40="Milestone",$K40="Deadline"),$I40&gt;=CB$4,$I40&lt;CB$4+7),IF($K40="Deadline","◇","◆"),"")</f>
        <v/>
      </c>
      <c r="CC40" s="14" t="str">
        <f>IF(AND(ISNUMBER($I40),OR($K40="Milestone",$K40="Deadline"),$I40&gt;=CC$4,$I40&lt;CC$4+7),IF($K40="Deadline","◇","◆"),"")</f>
        <v/>
      </c>
      <c r="CD40" s="14" t="str">
        <f>IF(AND(ISNUMBER($I40),OR($K40="Milestone",$K40="Deadline"),$I40&gt;=CD$4,$I40&lt;CD$4+7),IF($K40="Deadline","◇","◆"),"")</f>
        <v/>
      </c>
      <c r="CE40" s="14" t="str">
        <f>IF(AND(ISNUMBER($I40),OR($K40="Milestone",$K40="Deadline"),$I40&gt;=CE$4,$I40&lt;CE$4+7),IF($K40="Deadline","◇","◆"),"")</f>
        <v/>
      </c>
      <c r="CF40" s="14" t="str">
        <f>IF(AND(ISNUMBER($I40),OR($K40="Milestone",$K40="Deadline"),$I40&gt;=CF$4,$I40&lt;CF$4+7),IF($K40="Deadline","◇","◆"),"")</f>
        <v/>
      </c>
      <c r="CG40" s="14" t="str">
        <f>IF(AND(ISNUMBER($I40),OR($K40="Milestone",$K40="Deadline"),$I40&gt;=CG$4,$I40&lt;CG$4+7),IF($K40="Deadline","◇","◆"),"")</f>
        <v/>
      </c>
      <c r="CH40" s="14" t="str">
        <f>IF(AND(ISNUMBER($I40),OR($K40="Milestone",$K40="Deadline"),$I40&gt;=CH$4,$I40&lt;CH$4+7),IF($K40="Deadline","◇","◆"),"")</f>
        <v/>
      </c>
      <c r="CI40" s="14" t="str">
        <f>IF(AND(ISNUMBER($I40),OR($K40="Milestone",$K40="Deadline"),$I40&gt;=CI$4,$I40&lt;CI$4+7),IF($K40="Deadline","◇","◆"),"")</f>
        <v/>
      </c>
      <c r="CJ40" s="14" t="str">
        <f>IF(AND(ISNUMBER($I40),OR($K40="Milestone",$K40="Deadline"),$I40&gt;=CJ$4,$I40&lt;CJ$4+7),IF($K40="Deadline","◇","◆"),"")</f>
        <v/>
      </c>
      <c r="CK40" s="14" t="str">
        <f>IF(AND(ISNUMBER($I40),OR($K40="Milestone",$K40="Deadline"),$I40&gt;=CK$4,$I40&lt;CK$4+7),IF($K40="Deadline","◇","◆"),"")</f>
        <v/>
      </c>
      <c r="CL40" s="14" t="str">
        <f>IF(AND(ISNUMBER($I40),OR($K40="Milestone",$K40="Deadline"),$I40&gt;=CL$4,$I40&lt;CL$4+7),IF($K40="Deadline","◇","◆"),"")</f>
        <v/>
      </c>
      <c r="CM40" s="14" t="str">
        <f>IF(AND(ISNUMBER($I40),OR($K40="Milestone",$K40="Deadline"),$I40&gt;=CM$4,$I40&lt;CM$4+7),IF($K40="Deadline","◇","◆"),"")</f>
        <v/>
      </c>
    </row>
    <row r="41" spans="1:91" ht="15" hidden="1" customHeight="1">
      <c r="A41" s="19" t="s">
        <v>160</v>
      </c>
      <c r="B41" s="19" t="s">
        <v>137</v>
      </c>
      <c r="C41" s="19" t="s">
        <v>63</v>
      </c>
      <c r="D41" s="19"/>
      <c r="E41" s="19"/>
      <c r="F41" s="19" t="s">
        <v>161</v>
      </c>
      <c r="G41" s="19" t="s">
        <v>162</v>
      </c>
      <c r="H41" s="19">
        <v>14</v>
      </c>
      <c r="I41" s="20">
        <v>46363</v>
      </c>
      <c r="J41" s="21">
        <f>IF(AND(ISNUMBER(I41),ISNUMBER(H41)),I41+H41-1,"")</f>
        <v>46376</v>
      </c>
      <c r="K41" s="19" t="s">
        <v>27</v>
      </c>
      <c r="L41" s="19" t="s">
        <v>163</v>
      </c>
      <c r="M41" s="22"/>
      <c r="N41" s="19"/>
      <c r="O41" s="22">
        <f>IF(AND(ISNUMBER(I41),ISNUMBER(J41)),J41-I41+1,"")</f>
        <v>14</v>
      </c>
      <c r="P41" s="13"/>
      <c r="Q41" s="13"/>
      <c r="R41" s="13"/>
      <c r="S41" s="13"/>
      <c r="T41" s="13"/>
      <c r="U41" s="13" t="s">
        <v>140</v>
      </c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4" t="str">
        <f>IF(AND(ISNUMBER($I41),OR($K41="Milestone",$K41="Deadline"),$I41&gt;=AO$4,$I41&lt;AO$4+7),IF($K41="Deadline","◇","◆"),"")</f>
        <v/>
      </c>
      <c r="AP41" s="14" t="str">
        <f>IF(AND(ISNUMBER($I41),OR($K41="Milestone",$K41="Deadline"),$I41&gt;=AP$4,$I41&lt;AP$4+7),IF($K41="Deadline","◇","◆"),"")</f>
        <v/>
      </c>
      <c r="AQ41" s="14" t="str">
        <f>IF(AND(ISNUMBER($I41),OR($K41="Milestone",$K41="Deadline"),$I41&gt;=AQ$4,$I41&lt;AQ$4+7),IF($K41="Deadline","◇","◆"),"")</f>
        <v/>
      </c>
      <c r="AR41" s="14" t="str">
        <f>IF(AND(ISNUMBER($I41),OR($K41="Milestone",$K41="Deadline"),$I41&gt;=AR$4,$I41&lt;AR$4+7),IF($K41="Deadline","◇","◆"),"")</f>
        <v/>
      </c>
      <c r="AS41" s="14" t="str">
        <f>IF(AND(ISNUMBER($I41),OR($K41="Milestone",$K41="Deadline"),$I41&gt;=AS$4,$I41&lt;AS$4+7),IF($K41="Deadline","◇","◆"),"")</f>
        <v/>
      </c>
      <c r="AT41" s="14" t="str">
        <f>IF(AND(ISNUMBER($I41),OR($K41="Milestone",$K41="Deadline"),$I41&gt;=AT$4,$I41&lt;AT$4+7),IF($K41="Deadline","◇","◆"),"")</f>
        <v/>
      </c>
      <c r="AU41" s="14" t="str">
        <f>IF(AND(ISNUMBER($I41),OR($K41="Milestone",$K41="Deadline"),$I41&gt;=AU$4,$I41&lt;AU$4+7),IF($K41="Deadline","◇","◆"),"")</f>
        <v/>
      </c>
      <c r="AV41" s="14" t="str">
        <f>IF(AND(ISNUMBER($I41),OR($K41="Milestone",$K41="Deadline"),$I41&gt;=AV$4,$I41&lt;AV$4+7),IF($K41="Deadline","◇","◆"),"")</f>
        <v/>
      </c>
      <c r="AW41" s="14" t="str">
        <f>IF(AND(ISNUMBER($I41),OR($K41="Milestone",$K41="Deadline"),$I41&gt;=AW$4,$I41&lt;AW$4+7),IF($K41="Deadline","◇","◆"),"")</f>
        <v/>
      </c>
      <c r="AX41" s="14" t="str">
        <f>IF(AND(ISNUMBER($I41),OR($K41="Milestone",$K41="Deadline"),$I41&gt;=AX$4,$I41&lt;AX$4+7),IF($K41="Deadline","◇","◆"),"")</f>
        <v/>
      </c>
      <c r="AY41" s="14" t="str">
        <f>IF(AND(ISNUMBER($I41),OR($K41="Milestone",$K41="Deadline"),$I41&gt;=AY$4,$I41&lt;AY$4+7),IF($K41="Deadline","◇","◆"),"")</f>
        <v/>
      </c>
      <c r="AZ41" s="14" t="str">
        <f>IF(AND(ISNUMBER($I41),OR($K41="Milestone",$K41="Deadline"),$I41&gt;=AZ$4,$I41&lt;AZ$4+7),IF($K41="Deadline","◇","◆"),"")</f>
        <v/>
      </c>
      <c r="BA41" s="14" t="str">
        <f>IF(AND(ISNUMBER($I41),OR($K41="Milestone",$K41="Deadline"),$I41&gt;=BA$4,$I41&lt;BA$4+7),IF($K41="Deadline","◇","◆"),"")</f>
        <v/>
      </c>
      <c r="BB41" s="14" t="str">
        <f>IF(AND(ISNUMBER($I41),OR($K41="Milestone",$K41="Deadline"),$I41&gt;=BB$4,$I41&lt;BB$4+7),IF($K41="Deadline","◇","◆"),"")</f>
        <v/>
      </c>
      <c r="BC41" s="14" t="str">
        <f>IF(AND(ISNUMBER($I41),OR($K41="Milestone",$K41="Deadline"),$I41&gt;=BC$4,$I41&lt;BC$4+7),IF($K41="Deadline","◇","◆"),"")</f>
        <v/>
      </c>
      <c r="BD41" s="14" t="str">
        <f>IF(AND(ISNUMBER($I41),OR($K41="Milestone",$K41="Deadline"),$I41&gt;=BD$4,$I41&lt;BD$4+7),IF($K41="Deadline","◇","◆"),"")</f>
        <v/>
      </c>
      <c r="BE41" s="14" t="str">
        <f>IF(AND(ISNUMBER($I41),OR($K41="Milestone",$K41="Deadline"),$I41&gt;=BE$4,$I41&lt;BE$4+7),IF($K41="Deadline","◇","◆"),"")</f>
        <v/>
      </c>
      <c r="BF41" s="14" t="str">
        <f>IF(AND(ISNUMBER($I41),OR($K41="Milestone",$K41="Deadline"),$I41&gt;=BF$4,$I41&lt;BF$4+7),IF($K41="Deadline","◇","◆"),"")</f>
        <v/>
      </c>
      <c r="BG41" s="14" t="str">
        <f>IF(AND(ISNUMBER($I41),OR($K41="Milestone",$K41="Deadline"),$I41&gt;=BG$4,$I41&lt;BG$4+7),IF($K41="Deadline","◇","◆"),"")</f>
        <v/>
      </c>
      <c r="BH41" s="14" t="str">
        <f>IF(AND(ISNUMBER($I41),OR($K41="Milestone",$K41="Deadline"),$I41&gt;=BH$4,$I41&lt;BH$4+7),IF($K41="Deadline","◇","◆"),"")</f>
        <v/>
      </c>
      <c r="BI41" s="14" t="str">
        <f>IF(AND(ISNUMBER($I41),OR($K41="Milestone",$K41="Deadline"),$I41&gt;=BI$4,$I41&lt;BI$4+7),IF($K41="Deadline","◇","◆"),"")</f>
        <v/>
      </c>
      <c r="BJ41" s="14" t="str">
        <f>IF(AND(ISNUMBER($I41),OR($K41="Milestone",$K41="Deadline"),$I41&gt;=BJ$4,$I41&lt;BJ$4+7),IF($K41="Deadline","◇","◆"),"")</f>
        <v/>
      </c>
      <c r="BK41" s="14" t="str">
        <f>IF(AND(ISNUMBER($I41),OR($K41="Milestone",$K41="Deadline"),$I41&gt;=BK$4,$I41&lt;BK$4+7),IF($K41="Deadline","◇","◆"),"")</f>
        <v/>
      </c>
      <c r="BL41" s="14" t="str">
        <f>IF(AND(ISNUMBER($I41),OR($K41="Milestone",$K41="Deadline"),$I41&gt;=BL$4,$I41&lt;BL$4+7),IF($K41="Deadline","◇","◆"),"")</f>
        <v/>
      </c>
      <c r="BM41" s="14" t="str">
        <f>IF(AND(ISNUMBER($I41),OR($K41="Milestone",$K41="Deadline"),$I41&gt;=BM$4,$I41&lt;BM$4+7),IF($K41="Deadline","◇","◆"),"")</f>
        <v/>
      </c>
      <c r="BN41" s="14" t="str">
        <f>IF(AND(ISNUMBER($I41),OR($K41="Milestone",$K41="Deadline"),$I41&gt;=BN$4,$I41&lt;BN$4+7),IF($K41="Deadline","◇","◆"),"")</f>
        <v/>
      </c>
      <c r="BO41" s="14" t="str">
        <f>IF(AND(ISNUMBER($I41),OR($K41="Milestone",$K41="Deadline"),$I41&gt;=BO$4,$I41&lt;BO$4+7),IF($K41="Deadline","◇","◆"),"")</f>
        <v/>
      </c>
      <c r="BP41" s="14" t="str">
        <f>IF(AND(ISNUMBER($I41),OR($K41="Milestone",$K41="Deadline"),$I41&gt;=BP$4,$I41&lt;BP$4+7),IF($K41="Deadline","◇","◆"),"")</f>
        <v/>
      </c>
      <c r="BQ41" s="14" t="str">
        <f>IF(AND(ISNUMBER($I41),OR($K41="Milestone",$K41="Deadline"),$I41&gt;=BQ$4,$I41&lt;BQ$4+7),IF($K41="Deadline","◇","◆"),"")</f>
        <v/>
      </c>
      <c r="BR41" s="14" t="str">
        <f>IF(AND(ISNUMBER($I41),OR($K41="Milestone",$K41="Deadline"),$I41&gt;=BR$4,$I41&lt;BR$4+7),IF($K41="Deadline","◇","◆"),"")</f>
        <v/>
      </c>
      <c r="BS41" s="14" t="str">
        <f>IF(AND(ISNUMBER($I41),OR($K41="Milestone",$K41="Deadline"),$I41&gt;=BS$4,$I41&lt;BS$4+7),IF($K41="Deadline","◇","◆"),"")</f>
        <v/>
      </c>
      <c r="BT41" s="14" t="str">
        <f>IF(AND(ISNUMBER($I41),OR($K41="Milestone",$K41="Deadline"),$I41&gt;=BT$4,$I41&lt;BT$4+7),IF($K41="Deadline","◇","◆"),"")</f>
        <v/>
      </c>
      <c r="BU41" s="14" t="str">
        <f>IF(AND(ISNUMBER($I41),OR($K41="Milestone",$K41="Deadline"),$I41&gt;=BU$4,$I41&lt;BU$4+7),IF($K41="Deadline","◇","◆"),"")</f>
        <v/>
      </c>
      <c r="BV41" s="14" t="str">
        <f>IF(AND(ISNUMBER($I41),OR($K41="Milestone",$K41="Deadline"),$I41&gt;=BV$4,$I41&lt;BV$4+7),IF($K41="Deadline","◇","◆"),"")</f>
        <v/>
      </c>
      <c r="BW41" s="14" t="str">
        <f>IF(AND(ISNUMBER($I41),OR($K41="Milestone",$K41="Deadline"),$I41&gt;=BW$4,$I41&lt;BW$4+7),IF($K41="Deadline","◇","◆"),"")</f>
        <v/>
      </c>
      <c r="BX41" s="14" t="str">
        <f>IF(AND(ISNUMBER($I41),OR($K41="Milestone",$K41="Deadline"),$I41&gt;=BX$4,$I41&lt;BX$4+7),IF($K41="Deadline","◇","◆"),"")</f>
        <v/>
      </c>
      <c r="BY41" s="14" t="str">
        <f>IF(AND(ISNUMBER($I41),OR($K41="Milestone",$K41="Deadline"),$I41&gt;=BY$4,$I41&lt;BY$4+7),IF($K41="Deadline","◇","◆"),"")</f>
        <v/>
      </c>
      <c r="BZ41" s="14" t="str">
        <f>IF(AND(ISNUMBER($I41),OR($K41="Milestone",$K41="Deadline"),$I41&gt;=BZ$4,$I41&lt;BZ$4+7),IF($K41="Deadline","◇","◆"),"")</f>
        <v/>
      </c>
      <c r="CA41" s="14" t="str">
        <f>IF(AND(ISNUMBER($I41),OR($K41="Milestone",$K41="Deadline"),$I41&gt;=CA$4,$I41&lt;CA$4+7),IF($K41="Deadline","◇","◆"),"")</f>
        <v/>
      </c>
      <c r="CB41" s="14" t="str">
        <f>IF(AND(ISNUMBER($I41),OR($K41="Milestone",$K41="Deadline"),$I41&gt;=CB$4,$I41&lt;CB$4+7),IF($K41="Deadline","◇","◆"),"")</f>
        <v/>
      </c>
      <c r="CC41" s="14" t="str">
        <f>IF(AND(ISNUMBER($I41),OR($K41="Milestone",$K41="Deadline"),$I41&gt;=CC$4,$I41&lt;CC$4+7),IF($K41="Deadline","◇","◆"),"")</f>
        <v/>
      </c>
      <c r="CD41" s="14" t="str">
        <f>IF(AND(ISNUMBER($I41),OR($K41="Milestone",$K41="Deadline"),$I41&gt;=CD$4,$I41&lt;CD$4+7),IF($K41="Deadline","◇","◆"),"")</f>
        <v/>
      </c>
      <c r="CE41" s="14" t="str">
        <f>IF(AND(ISNUMBER($I41),OR($K41="Milestone",$K41="Deadline"),$I41&gt;=CE$4,$I41&lt;CE$4+7),IF($K41="Deadline","◇","◆"),"")</f>
        <v/>
      </c>
      <c r="CF41" s="14" t="str">
        <f>IF(AND(ISNUMBER($I41),OR($K41="Milestone",$K41="Deadline"),$I41&gt;=CF$4,$I41&lt;CF$4+7),IF($K41="Deadline","◇","◆"),"")</f>
        <v/>
      </c>
      <c r="CG41" s="14" t="str">
        <f>IF(AND(ISNUMBER($I41),OR($K41="Milestone",$K41="Deadline"),$I41&gt;=CG$4,$I41&lt;CG$4+7),IF($K41="Deadline","◇","◆"),"")</f>
        <v/>
      </c>
      <c r="CH41" s="14" t="str">
        <f>IF(AND(ISNUMBER($I41),OR($K41="Milestone",$K41="Deadline"),$I41&gt;=CH$4,$I41&lt;CH$4+7),IF($K41="Deadline","◇","◆"),"")</f>
        <v/>
      </c>
      <c r="CI41" s="14" t="str">
        <f>IF(AND(ISNUMBER($I41),OR($K41="Milestone",$K41="Deadline"),$I41&gt;=CI$4,$I41&lt;CI$4+7),IF($K41="Deadline","◇","◆"),"")</f>
        <v/>
      </c>
      <c r="CJ41" s="14" t="str">
        <f>IF(AND(ISNUMBER($I41),OR($K41="Milestone",$K41="Deadline"),$I41&gt;=CJ$4,$I41&lt;CJ$4+7),IF($K41="Deadline","◇","◆"),"")</f>
        <v/>
      </c>
      <c r="CK41" s="14" t="str">
        <f>IF(AND(ISNUMBER($I41),OR($K41="Milestone",$K41="Deadline"),$I41&gt;=CK$4,$I41&lt;CK$4+7),IF($K41="Deadline","◇","◆"),"")</f>
        <v/>
      </c>
      <c r="CL41" s="14" t="str">
        <f>IF(AND(ISNUMBER($I41),OR($K41="Milestone",$K41="Deadline"),$I41&gt;=CL$4,$I41&lt;CL$4+7),IF($K41="Deadline","◇","◆"),"")</f>
        <v/>
      </c>
      <c r="CM41" s="14" t="str">
        <f>IF(AND(ISNUMBER($I41),OR($K41="Milestone",$K41="Deadline"),$I41&gt;=CM$4,$I41&lt;CM$4+7),IF($K41="Deadline","◇","◆"),"")</f>
        <v/>
      </c>
    </row>
    <row r="42" spans="1:91" ht="15" hidden="1" customHeight="1">
      <c r="A42" s="19" t="s">
        <v>143</v>
      </c>
      <c r="B42" s="19" t="s">
        <v>137</v>
      </c>
      <c r="C42" s="19" t="s">
        <v>63</v>
      </c>
      <c r="D42" s="19"/>
      <c r="E42" s="19"/>
      <c r="F42" s="19" t="s">
        <v>161</v>
      </c>
      <c r="G42" s="19" t="s">
        <v>164</v>
      </c>
      <c r="H42" s="19">
        <v>14</v>
      </c>
      <c r="I42" s="23">
        <f>MAX(DATE(2026,11,9),J58+1)</f>
        <v>46335</v>
      </c>
      <c r="J42" s="21">
        <f>IF(AND(ISNUMBER(I42),ISNUMBER(H42)),I42+H42-1,"")</f>
        <v>46348</v>
      </c>
      <c r="K42" s="19" t="s">
        <v>27</v>
      </c>
      <c r="L42" s="19"/>
      <c r="M42" s="22" t="s">
        <v>165</v>
      </c>
      <c r="N42" s="19"/>
      <c r="O42" s="22">
        <f>IF(AND(ISNUMBER(I42),ISNUMBER(J42)),J42-I42+1,"")</f>
        <v>14</v>
      </c>
      <c r="P42" s="13"/>
      <c r="Q42" s="13"/>
      <c r="R42" s="13"/>
      <c r="S42" s="13"/>
      <c r="T42" s="13"/>
      <c r="U42" s="13" t="s">
        <v>140</v>
      </c>
      <c r="V42" s="13" t="s">
        <v>140</v>
      </c>
      <c r="W42" s="13"/>
      <c r="X42" s="13"/>
      <c r="Y42" s="13"/>
      <c r="Z42" s="13"/>
      <c r="AA42" s="13"/>
      <c r="AB42" s="13"/>
      <c r="AC42" s="13"/>
      <c r="AD42" s="13"/>
      <c r="AE42" s="13" t="s">
        <v>140</v>
      </c>
      <c r="AF42" s="13" t="s">
        <v>140</v>
      </c>
      <c r="AG42" s="13"/>
      <c r="AH42" s="13"/>
      <c r="AI42" s="13"/>
      <c r="AJ42" s="13"/>
      <c r="AK42" s="13"/>
      <c r="AL42" s="13"/>
      <c r="AM42" s="13"/>
      <c r="AN42" s="13"/>
      <c r="AO42" s="14" t="str">
        <f>IF(AND(ISNUMBER($I42),OR($K42="Milestone",$K42="Deadline"),$I42&gt;=AO$4,$I42&lt;AO$4+7),IF($K42="Deadline","◇","◆"),"")</f>
        <v/>
      </c>
      <c r="AP42" s="14" t="str">
        <f>IF(AND(ISNUMBER($I42),OR($K42="Milestone",$K42="Deadline"),$I42&gt;=AP$4,$I42&lt;AP$4+7),IF($K42="Deadline","◇","◆"),"")</f>
        <v/>
      </c>
      <c r="AQ42" s="14" t="str">
        <f>IF(AND(ISNUMBER($I42),OR($K42="Milestone",$K42="Deadline"),$I42&gt;=AQ$4,$I42&lt;AQ$4+7),IF($K42="Deadline","◇","◆"),"")</f>
        <v/>
      </c>
      <c r="AR42" s="14" t="str">
        <f>IF(AND(ISNUMBER($I42),OR($K42="Milestone",$K42="Deadline"),$I42&gt;=AR$4,$I42&lt;AR$4+7),IF($K42="Deadline","◇","◆"),"")</f>
        <v/>
      </c>
      <c r="AS42" s="14" t="str">
        <f>IF(AND(ISNUMBER($I42),OR($K42="Milestone",$K42="Deadline"),$I42&gt;=AS$4,$I42&lt;AS$4+7),IF($K42="Deadline","◇","◆"),"")</f>
        <v/>
      </c>
      <c r="AT42" s="14" t="str">
        <f>IF(AND(ISNUMBER($I42),OR($K42="Milestone",$K42="Deadline"),$I42&gt;=AT$4,$I42&lt;AT$4+7),IF($K42="Deadline","◇","◆"),"")</f>
        <v/>
      </c>
      <c r="AU42" s="14" t="str">
        <f>IF(AND(ISNUMBER($I42),OR($K42="Milestone",$K42="Deadline"),$I42&gt;=AU$4,$I42&lt;AU$4+7),IF($K42="Deadline","◇","◆"),"")</f>
        <v/>
      </c>
      <c r="AV42" s="14" t="str">
        <f>IF(AND(ISNUMBER($I42),OR($K42="Milestone",$K42="Deadline"),$I42&gt;=AV$4,$I42&lt;AV$4+7),IF($K42="Deadline","◇","◆"),"")</f>
        <v/>
      </c>
      <c r="AW42" s="14" t="str">
        <f>IF(AND(ISNUMBER($I42),OR($K42="Milestone",$K42="Deadline"),$I42&gt;=AW$4,$I42&lt;AW$4+7),IF($K42="Deadline","◇","◆"),"")</f>
        <v/>
      </c>
      <c r="AX42" s="14" t="str">
        <f>IF(AND(ISNUMBER($I42),OR($K42="Milestone",$K42="Deadline"),$I42&gt;=AX$4,$I42&lt;AX$4+7),IF($K42="Deadline","◇","◆"),"")</f>
        <v/>
      </c>
      <c r="AY42" s="14" t="str">
        <f>IF(AND(ISNUMBER($I42),OR($K42="Milestone",$K42="Deadline"),$I42&gt;=AY$4,$I42&lt;AY$4+7),IF($K42="Deadline","◇","◆"),"")</f>
        <v/>
      </c>
      <c r="AZ42" s="14" t="str">
        <f>IF(AND(ISNUMBER($I42),OR($K42="Milestone",$K42="Deadline"),$I42&gt;=AZ$4,$I42&lt;AZ$4+7),IF($K42="Deadline","◇","◆"),"")</f>
        <v/>
      </c>
      <c r="BA42" s="14" t="str">
        <f>IF(AND(ISNUMBER($I42),OR($K42="Milestone",$K42="Deadline"),$I42&gt;=BA$4,$I42&lt;BA$4+7),IF($K42="Deadline","◇","◆"),"")</f>
        <v/>
      </c>
      <c r="BB42" s="14" t="str">
        <f>IF(AND(ISNUMBER($I42),OR($K42="Milestone",$K42="Deadline"),$I42&gt;=BB$4,$I42&lt;BB$4+7),IF($K42="Deadline","◇","◆"),"")</f>
        <v/>
      </c>
      <c r="BC42" s="14" t="str">
        <f>IF(AND(ISNUMBER($I42),OR($K42="Milestone",$K42="Deadline"),$I42&gt;=BC$4,$I42&lt;BC$4+7),IF($K42="Deadline","◇","◆"),"")</f>
        <v/>
      </c>
      <c r="BD42" s="14" t="str">
        <f>IF(AND(ISNUMBER($I42),OR($K42="Milestone",$K42="Deadline"),$I42&gt;=BD$4,$I42&lt;BD$4+7),IF($K42="Deadline","◇","◆"),"")</f>
        <v/>
      </c>
      <c r="BE42" s="14" t="str">
        <f>IF(AND(ISNUMBER($I42),OR($K42="Milestone",$K42="Deadline"),$I42&gt;=BE$4,$I42&lt;BE$4+7),IF($K42="Deadline","◇","◆"),"")</f>
        <v/>
      </c>
      <c r="BF42" s="14" t="str">
        <f>IF(AND(ISNUMBER($I42),OR($K42="Milestone",$K42="Deadline"),$I42&gt;=BF$4,$I42&lt;BF$4+7),IF($K42="Deadline","◇","◆"),"")</f>
        <v/>
      </c>
      <c r="BG42" s="14" t="str">
        <f>IF(AND(ISNUMBER($I42),OR($K42="Milestone",$K42="Deadline"),$I42&gt;=BG$4,$I42&lt;BG$4+7),IF($K42="Deadline","◇","◆"),"")</f>
        <v/>
      </c>
      <c r="BH42" s="14" t="str">
        <f>IF(AND(ISNUMBER($I42),OR($K42="Milestone",$K42="Deadline"),$I42&gt;=BH$4,$I42&lt;BH$4+7),IF($K42="Deadline","◇","◆"),"")</f>
        <v/>
      </c>
      <c r="BI42" s="14" t="str">
        <f>IF(AND(ISNUMBER($I42),OR($K42="Milestone",$K42="Deadline"),$I42&gt;=BI$4,$I42&lt;BI$4+7),IF($K42="Deadline","◇","◆"),"")</f>
        <v/>
      </c>
      <c r="BJ42" s="14" t="str">
        <f>IF(AND(ISNUMBER($I42),OR($K42="Milestone",$K42="Deadline"),$I42&gt;=BJ$4,$I42&lt;BJ$4+7),IF($K42="Deadline","◇","◆"),"")</f>
        <v/>
      </c>
      <c r="BK42" s="14" t="str">
        <f>IF(AND(ISNUMBER($I42),OR($K42="Milestone",$K42="Deadline"),$I42&gt;=BK$4,$I42&lt;BK$4+7),IF($K42="Deadline","◇","◆"),"")</f>
        <v/>
      </c>
      <c r="BL42" s="14" t="str">
        <f>IF(AND(ISNUMBER($I42),OR($K42="Milestone",$K42="Deadline"),$I42&gt;=BL$4,$I42&lt;BL$4+7),IF($K42="Deadline","◇","◆"),"")</f>
        <v/>
      </c>
      <c r="BM42" s="14" t="str">
        <f>IF(AND(ISNUMBER($I42),OR($K42="Milestone",$K42="Deadline"),$I42&gt;=BM$4,$I42&lt;BM$4+7),IF($K42="Deadline","◇","◆"),"")</f>
        <v/>
      </c>
      <c r="BN42" s="14" t="str">
        <f>IF(AND(ISNUMBER($I42),OR($K42="Milestone",$K42="Deadline"),$I42&gt;=BN$4,$I42&lt;BN$4+7),IF($K42="Deadline","◇","◆"),"")</f>
        <v/>
      </c>
      <c r="BO42" s="14" t="str">
        <f>IF(AND(ISNUMBER($I42),OR($K42="Milestone",$K42="Deadline"),$I42&gt;=BO$4,$I42&lt;BO$4+7),IF($K42="Deadline","◇","◆"),"")</f>
        <v/>
      </c>
      <c r="BP42" s="14" t="str">
        <f>IF(AND(ISNUMBER($I42),OR($K42="Milestone",$K42="Deadline"),$I42&gt;=BP$4,$I42&lt;BP$4+7),IF($K42="Deadline","◇","◆"),"")</f>
        <v/>
      </c>
      <c r="BQ42" s="14" t="str">
        <f>IF(AND(ISNUMBER($I42),OR($K42="Milestone",$K42="Deadline"),$I42&gt;=BQ$4,$I42&lt;BQ$4+7),IF($K42="Deadline","◇","◆"),"")</f>
        <v/>
      </c>
      <c r="BR42" s="14" t="str">
        <f>IF(AND(ISNUMBER($I42),OR($K42="Milestone",$K42="Deadline"),$I42&gt;=BR$4,$I42&lt;BR$4+7),IF($K42="Deadline","◇","◆"),"")</f>
        <v/>
      </c>
      <c r="BS42" s="14" t="str">
        <f>IF(AND(ISNUMBER($I42),OR($K42="Milestone",$K42="Deadline"),$I42&gt;=BS$4,$I42&lt;BS$4+7),IF($K42="Deadline","◇","◆"),"")</f>
        <v/>
      </c>
      <c r="BT42" s="14" t="str">
        <f>IF(AND(ISNUMBER($I42),OR($K42="Milestone",$K42="Deadline"),$I42&gt;=BT$4,$I42&lt;BT$4+7),IF($K42="Deadline","◇","◆"),"")</f>
        <v/>
      </c>
      <c r="BU42" s="14" t="str">
        <f>IF(AND(ISNUMBER($I42),OR($K42="Milestone",$K42="Deadline"),$I42&gt;=BU$4,$I42&lt;BU$4+7),IF($K42="Deadline","◇","◆"),"")</f>
        <v/>
      </c>
      <c r="BV42" s="14" t="str">
        <f>IF(AND(ISNUMBER($I42),OR($K42="Milestone",$K42="Deadline"),$I42&gt;=BV$4,$I42&lt;BV$4+7),IF($K42="Deadline","◇","◆"),"")</f>
        <v/>
      </c>
      <c r="BW42" s="14" t="str">
        <f>IF(AND(ISNUMBER($I42),OR($K42="Milestone",$K42="Deadline"),$I42&gt;=BW$4,$I42&lt;BW$4+7),IF($K42="Deadline","◇","◆"),"")</f>
        <v/>
      </c>
      <c r="BX42" s="14" t="str">
        <f>IF(AND(ISNUMBER($I42),OR($K42="Milestone",$K42="Deadline"),$I42&gt;=BX$4,$I42&lt;BX$4+7),IF($K42="Deadline","◇","◆"),"")</f>
        <v/>
      </c>
      <c r="BY42" s="14" t="str">
        <f>IF(AND(ISNUMBER($I42),OR($K42="Milestone",$K42="Deadline"),$I42&gt;=BY$4,$I42&lt;BY$4+7),IF($K42="Deadline","◇","◆"),"")</f>
        <v/>
      </c>
      <c r="BZ42" s="14" t="str">
        <f>IF(AND(ISNUMBER($I42),OR($K42="Milestone",$K42="Deadline"),$I42&gt;=BZ$4,$I42&lt;BZ$4+7),IF($K42="Deadline","◇","◆"),"")</f>
        <v/>
      </c>
      <c r="CA42" s="14" t="str">
        <f>IF(AND(ISNUMBER($I42),OR($K42="Milestone",$K42="Deadline"),$I42&gt;=CA$4,$I42&lt;CA$4+7),IF($K42="Deadline","◇","◆"),"")</f>
        <v/>
      </c>
      <c r="CB42" s="14" t="str">
        <f>IF(AND(ISNUMBER($I42),OR($K42="Milestone",$K42="Deadline"),$I42&gt;=CB$4,$I42&lt;CB$4+7),IF($K42="Deadline","◇","◆"),"")</f>
        <v/>
      </c>
      <c r="CC42" s="14" t="str">
        <f>IF(AND(ISNUMBER($I42),OR($K42="Milestone",$K42="Deadline"),$I42&gt;=CC$4,$I42&lt;CC$4+7),IF($K42="Deadline","◇","◆"),"")</f>
        <v/>
      </c>
      <c r="CD42" s="14" t="str">
        <f>IF(AND(ISNUMBER($I42),OR($K42="Milestone",$K42="Deadline"),$I42&gt;=CD$4,$I42&lt;CD$4+7),IF($K42="Deadline","◇","◆"),"")</f>
        <v/>
      </c>
      <c r="CE42" s="14" t="str">
        <f>IF(AND(ISNUMBER($I42),OR($K42="Milestone",$K42="Deadline"),$I42&gt;=CE$4,$I42&lt;CE$4+7),IF($K42="Deadline","◇","◆"),"")</f>
        <v/>
      </c>
      <c r="CF42" s="14" t="str">
        <f>IF(AND(ISNUMBER($I42),OR($K42="Milestone",$K42="Deadline"),$I42&gt;=CF$4,$I42&lt;CF$4+7),IF($K42="Deadline","◇","◆"),"")</f>
        <v/>
      </c>
      <c r="CG42" s="14" t="str">
        <f>IF(AND(ISNUMBER($I42),OR($K42="Milestone",$K42="Deadline"),$I42&gt;=CG$4,$I42&lt;CG$4+7),IF($K42="Deadline","◇","◆"),"")</f>
        <v/>
      </c>
      <c r="CH42" s="14" t="str">
        <f>IF(AND(ISNUMBER($I42),OR($K42="Milestone",$K42="Deadline"),$I42&gt;=CH$4,$I42&lt;CH$4+7),IF($K42="Deadline","◇","◆"),"")</f>
        <v/>
      </c>
      <c r="CI42" s="14" t="str">
        <f>IF(AND(ISNUMBER($I42),OR($K42="Milestone",$K42="Deadline"),$I42&gt;=CI$4,$I42&lt;CI$4+7),IF($K42="Deadline","◇","◆"),"")</f>
        <v/>
      </c>
      <c r="CJ42" s="14" t="str">
        <f>IF(AND(ISNUMBER($I42),OR($K42="Milestone",$K42="Deadline"),$I42&gt;=CJ$4,$I42&lt;CJ$4+7),IF($K42="Deadline","◇","◆"),"")</f>
        <v/>
      </c>
      <c r="CK42" s="14" t="str">
        <f>IF(AND(ISNUMBER($I42),OR($K42="Milestone",$K42="Deadline"),$I42&gt;=CK$4,$I42&lt;CK$4+7),IF($K42="Deadline","◇","◆"),"")</f>
        <v/>
      </c>
      <c r="CL42" s="14" t="str">
        <f>IF(AND(ISNUMBER($I42),OR($K42="Milestone",$K42="Deadline"),$I42&gt;=CL$4,$I42&lt;CL$4+7),IF($K42="Deadline","◇","◆"),"")</f>
        <v/>
      </c>
      <c r="CM42" s="14" t="str">
        <f>IF(AND(ISNUMBER($I42),OR($K42="Milestone",$K42="Deadline"),$I42&gt;=CM$4,$I42&lt;CM$4+7),IF($K42="Deadline","◇","◆"),"")</f>
        <v/>
      </c>
    </row>
    <row r="43" spans="1:91" ht="15" hidden="1" customHeight="1">
      <c r="A43" s="24" t="s">
        <v>166</v>
      </c>
      <c r="B43" s="24" t="s">
        <v>167</v>
      </c>
      <c r="C43" s="24" t="s">
        <v>63</v>
      </c>
      <c r="D43" s="24" t="s">
        <v>168</v>
      </c>
      <c r="E43" s="24" t="s">
        <v>169</v>
      </c>
      <c r="F43" s="24" t="s">
        <v>170</v>
      </c>
      <c r="G43" s="24" t="s">
        <v>171</v>
      </c>
      <c r="H43" s="24">
        <v>7</v>
      </c>
      <c r="I43" s="25">
        <f>MAX($C$2)</f>
        <v>46335</v>
      </c>
      <c r="J43" s="26">
        <f>IF(AND(ISNUMBER(I43),ISNUMBER(H43)),I43+H43-1,"")</f>
        <v>46341</v>
      </c>
      <c r="K43" s="24" t="s">
        <v>27</v>
      </c>
      <c r="L43" s="24"/>
      <c r="M43" s="27"/>
      <c r="N43" s="24"/>
      <c r="O43" s="27">
        <f>IF(AND(ISNUMBER(I43),ISNUMBER(J43)),J43-I43+1,"")</f>
        <v>7</v>
      </c>
      <c r="P43" s="13" t="s">
        <v>140</v>
      </c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4" t="str">
        <f>IF(AND(ISNUMBER($I43),OR($K43="Milestone",$K43="Deadline"),$I43&gt;=AO$4,$I43&lt;AO$4+7),IF($K43="Deadline","◇","◆"),"")</f>
        <v/>
      </c>
      <c r="AP43" s="14" t="str">
        <f>IF(AND(ISNUMBER($I43),OR($K43="Milestone",$K43="Deadline"),$I43&gt;=AP$4,$I43&lt;AP$4+7),IF($K43="Deadline","◇","◆"),"")</f>
        <v/>
      </c>
      <c r="AQ43" s="14" t="str">
        <f>IF(AND(ISNUMBER($I43),OR($K43="Milestone",$K43="Deadline"),$I43&gt;=AQ$4,$I43&lt;AQ$4+7),IF($K43="Deadline","◇","◆"),"")</f>
        <v/>
      </c>
      <c r="AR43" s="14" t="str">
        <f>IF(AND(ISNUMBER($I43),OR($K43="Milestone",$K43="Deadline"),$I43&gt;=AR$4,$I43&lt;AR$4+7),IF($K43="Deadline","◇","◆"),"")</f>
        <v/>
      </c>
      <c r="AS43" s="14" t="str">
        <f>IF(AND(ISNUMBER($I43),OR($K43="Milestone",$K43="Deadline"),$I43&gt;=AS$4,$I43&lt;AS$4+7),IF($K43="Deadline","◇","◆"),"")</f>
        <v/>
      </c>
      <c r="AT43" s="14" t="str">
        <f>IF(AND(ISNUMBER($I43),OR($K43="Milestone",$K43="Deadline"),$I43&gt;=AT$4,$I43&lt;AT$4+7),IF($K43="Deadline","◇","◆"),"")</f>
        <v/>
      </c>
      <c r="AU43" s="14" t="str">
        <f>IF(AND(ISNUMBER($I43),OR($K43="Milestone",$K43="Deadline"),$I43&gt;=AU$4,$I43&lt;AU$4+7),IF($K43="Deadline","◇","◆"),"")</f>
        <v/>
      </c>
      <c r="AV43" s="14" t="str">
        <f>IF(AND(ISNUMBER($I43),OR($K43="Milestone",$K43="Deadline"),$I43&gt;=AV$4,$I43&lt;AV$4+7),IF($K43="Deadline","◇","◆"),"")</f>
        <v/>
      </c>
      <c r="AW43" s="14" t="str">
        <f>IF(AND(ISNUMBER($I43),OR($K43="Milestone",$K43="Deadline"),$I43&gt;=AW$4,$I43&lt;AW$4+7),IF($K43="Deadline","◇","◆"),"")</f>
        <v/>
      </c>
      <c r="AX43" s="14" t="str">
        <f>IF(AND(ISNUMBER($I43),OR($K43="Milestone",$K43="Deadline"),$I43&gt;=AX$4,$I43&lt;AX$4+7),IF($K43="Deadline","◇","◆"),"")</f>
        <v/>
      </c>
      <c r="AY43" s="14" t="str">
        <f>IF(AND(ISNUMBER($I43),OR($K43="Milestone",$K43="Deadline"),$I43&gt;=AY$4,$I43&lt;AY$4+7),IF($K43="Deadline","◇","◆"),"")</f>
        <v/>
      </c>
      <c r="AZ43" s="14" t="str">
        <f>IF(AND(ISNUMBER($I43),OR($K43="Milestone",$K43="Deadline"),$I43&gt;=AZ$4,$I43&lt;AZ$4+7),IF($K43="Deadline","◇","◆"),"")</f>
        <v/>
      </c>
      <c r="BA43" s="14" t="str">
        <f>IF(AND(ISNUMBER($I43),OR($K43="Milestone",$K43="Deadline"),$I43&gt;=BA$4,$I43&lt;BA$4+7),IF($K43="Deadline","◇","◆"),"")</f>
        <v/>
      </c>
      <c r="BB43" s="14" t="str">
        <f>IF(AND(ISNUMBER($I43),OR($K43="Milestone",$K43="Deadline"),$I43&gt;=BB$4,$I43&lt;BB$4+7),IF($K43="Deadline","◇","◆"),"")</f>
        <v/>
      </c>
      <c r="BC43" s="14" t="str">
        <f>IF(AND(ISNUMBER($I43),OR($K43="Milestone",$K43="Deadline"),$I43&gt;=BC$4,$I43&lt;BC$4+7),IF($K43="Deadline","◇","◆"),"")</f>
        <v/>
      </c>
      <c r="BD43" s="14" t="str">
        <f>IF(AND(ISNUMBER($I43),OR($K43="Milestone",$K43="Deadline"),$I43&gt;=BD$4,$I43&lt;BD$4+7),IF($K43="Deadline","◇","◆"),"")</f>
        <v/>
      </c>
      <c r="BE43" s="14" t="str">
        <f>IF(AND(ISNUMBER($I43),OR($K43="Milestone",$K43="Deadline"),$I43&gt;=BE$4,$I43&lt;BE$4+7),IF($K43="Deadline","◇","◆"),"")</f>
        <v/>
      </c>
      <c r="BF43" s="14" t="str">
        <f>IF(AND(ISNUMBER($I43),OR($K43="Milestone",$K43="Deadline"),$I43&gt;=BF$4,$I43&lt;BF$4+7),IF($K43="Deadline","◇","◆"),"")</f>
        <v/>
      </c>
      <c r="BG43" s="14" t="str">
        <f>IF(AND(ISNUMBER($I43),OR($K43="Milestone",$K43="Deadline"),$I43&gt;=BG$4,$I43&lt;BG$4+7),IF($K43="Deadline","◇","◆"),"")</f>
        <v/>
      </c>
      <c r="BH43" s="14" t="str">
        <f>IF(AND(ISNUMBER($I43),OR($K43="Milestone",$K43="Deadline"),$I43&gt;=BH$4,$I43&lt;BH$4+7),IF($K43="Deadline","◇","◆"),"")</f>
        <v/>
      </c>
      <c r="BI43" s="14" t="str">
        <f>IF(AND(ISNUMBER($I43),OR($K43="Milestone",$K43="Deadline"),$I43&gt;=BI$4,$I43&lt;BI$4+7),IF($K43="Deadline","◇","◆"),"")</f>
        <v/>
      </c>
      <c r="BJ43" s="14" t="str">
        <f>IF(AND(ISNUMBER($I43),OR($K43="Milestone",$K43="Deadline"),$I43&gt;=BJ$4,$I43&lt;BJ$4+7),IF($K43="Deadline","◇","◆"),"")</f>
        <v/>
      </c>
      <c r="BK43" s="14" t="str">
        <f>IF(AND(ISNUMBER($I43),OR($K43="Milestone",$K43="Deadline"),$I43&gt;=BK$4,$I43&lt;BK$4+7),IF($K43="Deadline","◇","◆"),"")</f>
        <v/>
      </c>
      <c r="BL43" s="14" t="str">
        <f>IF(AND(ISNUMBER($I43),OR($K43="Milestone",$K43="Deadline"),$I43&gt;=BL$4,$I43&lt;BL$4+7),IF($K43="Deadline","◇","◆"),"")</f>
        <v/>
      </c>
      <c r="BM43" s="14" t="str">
        <f>IF(AND(ISNUMBER($I43),OR($K43="Milestone",$K43="Deadline"),$I43&gt;=BM$4,$I43&lt;BM$4+7),IF($K43="Deadline","◇","◆"),"")</f>
        <v/>
      </c>
      <c r="BN43" s="14" t="str">
        <f>IF(AND(ISNUMBER($I43),OR($K43="Milestone",$K43="Deadline"),$I43&gt;=BN$4,$I43&lt;BN$4+7),IF($K43="Deadline","◇","◆"),"")</f>
        <v/>
      </c>
      <c r="BO43" s="14" t="str">
        <f>IF(AND(ISNUMBER($I43),OR($K43="Milestone",$K43="Deadline"),$I43&gt;=BO$4,$I43&lt;BO$4+7),IF($K43="Deadline","◇","◆"),"")</f>
        <v/>
      </c>
      <c r="BP43" s="14" t="str">
        <f>IF(AND(ISNUMBER($I43),OR($K43="Milestone",$K43="Deadline"),$I43&gt;=BP$4,$I43&lt;BP$4+7),IF($K43="Deadline","◇","◆"),"")</f>
        <v/>
      </c>
      <c r="BQ43" s="14" t="str">
        <f>IF(AND(ISNUMBER($I43),OR($K43="Milestone",$K43="Deadline"),$I43&gt;=BQ$4,$I43&lt;BQ$4+7),IF($K43="Deadline","◇","◆"),"")</f>
        <v/>
      </c>
      <c r="BR43" s="14" t="str">
        <f>IF(AND(ISNUMBER($I43),OR($K43="Milestone",$K43="Deadline"),$I43&gt;=BR$4,$I43&lt;BR$4+7),IF($K43="Deadline","◇","◆"),"")</f>
        <v/>
      </c>
      <c r="BS43" s="14" t="str">
        <f>IF(AND(ISNUMBER($I43),OR($K43="Milestone",$K43="Deadline"),$I43&gt;=BS$4,$I43&lt;BS$4+7),IF($K43="Deadline","◇","◆"),"")</f>
        <v/>
      </c>
      <c r="BT43" s="14" t="str">
        <f>IF(AND(ISNUMBER($I43),OR($K43="Milestone",$K43="Deadline"),$I43&gt;=BT$4,$I43&lt;BT$4+7),IF($K43="Deadline","◇","◆"),"")</f>
        <v/>
      </c>
      <c r="BU43" s="14" t="str">
        <f>IF(AND(ISNUMBER($I43),OR($K43="Milestone",$K43="Deadline"),$I43&gt;=BU$4,$I43&lt;BU$4+7),IF($K43="Deadline","◇","◆"),"")</f>
        <v/>
      </c>
      <c r="BV43" s="14" t="str">
        <f>IF(AND(ISNUMBER($I43),OR($K43="Milestone",$K43="Deadline"),$I43&gt;=BV$4,$I43&lt;BV$4+7),IF($K43="Deadline","◇","◆"),"")</f>
        <v/>
      </c>
      <c r="BW43" s="14" t="str">
        <f>IF(AND(ISNUMBER($I43),OR($K43="Milestone",$K43="Deadline"),$I43&gt;=BW$4,$I43&lt;BW$4+7),IF($K43="Deadline","◇","◆"),"")</f>
        <v/>
      </c>
      <c r="BX43" s="14" t="str">
        <f>IF(AND(ISNUMBER($I43),OR($K43="Milestone",$K43="Deadline"),$I43&gt;=BX$4,$I43&lt;BX$4+7),IF($K43="Deadline","◇","◆"),"")</f>
        <v/>
      </c>
      <c r="BY43" s="14" t="str">
        <f>IF(AND(ISNUMBER($I43),OR($K43="Milestone",$K43="Deadline"),$I43&gt;=BY$4,$I43&lt;BY$4+7),IF($K43="Deadline","◇","◆"),"")</f>
        <v/>
      </c>
      <c r="BZ43" s="14" t="str">
        <f>IF(AND(ISNUMBER($I43),OR($K43="Milestone",$K43="Deadline"),$I43&gt;=BZ$4,$I43&lt;BZ$4+7),IF($K43="Deadline","◇","◆"),"")</f>
        <v/>
      </c>
      <c r="CA43" s="14" t="str">
        <f>IF(AND(ISNUMBER($I43),OR($K43="Milestone",$K43="Deadline"),$I43&gt;=CA$4,$I43&lt;CA$4+7),IF($K43="Deadline","◇","◆"),"")</f>
        <v/>
      </c>
      <c r="CB43" s="14" t="str">
        <f>IF(AND(ISNUMBER($I43),OR($K43="Milestone",$K43="Deadline"),$I43&gt;=CB$4,$I43&lt;CB$4+7),IF($K43="Deadline","◇","◆"),"")</f>
        <v/>
      </c>
      <c r="CC43" s="14" t="str">
        <f>IF(AND(ISNUMBER($I43),OR($K43="Milestone",$K43="Deadline"),$I43&gt;=CC$4,$I43&lt;CC$4+7),IF($K43="Deadline","◇","◆"),"")</f>
        <v/>
      </c>
      <c r="CD43" s="14" t="str">
        <f>IF(AND(ISNUMBER($I43),OR($K43="Milestone",$K43="Deadline"),$I43&gt;=CD$4,$I43&lt;CD$4+7),IF($K43="Deadline","◇","◆"),"")</f>
        <v/>
      </c>
      <c r="CE43" s="14" t="str">
        <f>IF(AND(ISNUMBER($I43),OR($K43="Milestone",$K43="Deadline"),$I43&gt;=CE$4,$I43&lt;CE$4+7),IF($K43="Deadline","◇","◆"),"")</f>
        <v/>
      </c>
      <c r="CF43" s="14" t="str">
        <f>IF(AND(ISNUMBER($I43),OR($K43="Milestone",$K43="Deadline"),$I43&gt;=CF$4,$I43&lt;CF$4+7),IF($K43="Deadline","◇","◆"),"")</f>
        <v/>
      </c>
      <c r="CG43" s="14" t="str">
        <f>IF(AND(ISNUMBER($I43),OR($K43="Milestone",$K43="Deadline"),$I43&gt;=CG$4,$I43&lt;CG$4+7),IF($K43="Deadline","◇","◆"),"")</f>
        <v/>
      </c>
      <c r="CH43" s="14" t="str">
        <f>IF(AND(ISNUMBER($I43),OR($K43="Milestone",$K43="Deadline"),$I43&gt;=CH$4,$I43&lt;CH$4+7),IF($K43="Deadline","◇","◆"),"")</f>
        <v/>
      </c>
      <c r="CI43" s="14" t="str">
        <f>IF(AND(ISNUMBER($I43),OR($K43="Milestone",$K43="Deadline"),$I43&gt;=CI$4,$I43&lt;CI$4+7),IF($K43="Deadline","◇","◆"),"")</f>
        <v/>
      </c>
      <c r="CJ43" s="14" t="str">
        <f>IF(AND(ISNUMBER($I43),OR($K43="Milestone",$K43="Deadline"),$I43&gt;=CJ$4,$I43&lt;CJ$4+7),IF($K43="Deadline","◇","◆"),"")</f>
        <v/>
      </c>
      <c r="CK43" s="14" t="str">
        <f>IF(AND(ISNUMBER($I43),OR($K43="Milestone",$K43="Deadline"),$I43&gt;=CK$4,$I43&lt;CK$4+7),IF($K43="Deadline","◇","◆"),"")</f>
        <v/>
      </c>
      <c r="CL43" s="14" t="str">
        <f>IF(AND(ISNUMBER($I43),OR($K43="Milestone",$K43="Deadline"),$I43&gt;=CL$4,$I43&lt;CL$4+7),IF($K43="Deadline","◇","◆"),"")</f>
        <v/>
      </c>
      <c r="CM43" s="14" t="str">
        <f>IF(AND(ISNUMBER($I43),OR($K43="Milestone",$K43="Deadline"),$I43&gt;=CM$4,$I43&lt;CM$4+7),IF($K43="Deadline","◇","◆"),"")</f>
        <v/>
      </c>
    </row>
    <row r="44" spans="1:91" ht="15" hidden="1" customHeight="1">
      <c r="A44" s="24" t="s">
        <v>172</v>
      </c>
      <c r="B44" s="24" t="s">
        <v>167</v>
      </c>
      <c r="C44" s="24" t="s">
        <v>63</v>
      </c>
      <c r="D44" s="24" t="s">
        <v>168</v>
      </c>
      <c r="E44" s="24" t="s">
        <v>169</v>
      </c>
      <c r="F44" s="24" t="s">
        <v>170</v>
      </c>
      <c r="G44" s="24" t="s">
        <v>173</v>
      </c>
      <c r="H44" s="24">
        <v>7</v>
      </c>
      <c r="I44" s="25">
        <f>MAX(DATE(2026,12,8),J43+1,J70+1)</f>
        <v>46364</v>
      </c>
      <c r="J44" s="26">
        <f>IF(AND(ISNUMBER(I44),ISNUMBER(H44)),I44+H44-1,"")</f>
        <v>46370</v>
      </c>
      <c r="K44" s="24" t="s">
        <v>27</v>
      </c>
      <c r="L44" s="24" t="s">
        <v>166</v>
      </c>
      <c r="M44" s="27" t="s">
        <v>174</v>
      </c>
      <c r="N44" s="24"/>
      <c r="O44" s="27">
        <f>IF(AND(ISNUMBER(I44),ISNUMBER(J44)),J44-I44+1,"")</f>
        <v>7</v>
      </c>
      <c r="P44" s="13" t="s">
        <v>140</v>
      </c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 t="s">
        <v>140</v>
      </c>
      <c r="AL44" s="13"/>
      <c r="AM44" s="13"/>
      <c r="AN44" s="13"/>
      <c r="AO44" s="14" t="str">
        <f>IF(AND(ISNUMBER($I44),OR($K44="Milestone",$K44="Deadline"),$I44&gt;=AO$4,$I44&lt;AO$4+7),IF($K44="Deadline","◇","◆"),"")</f>
        <v/>
      </c>
      <c r="AP44" s="14" t="str">
        <f>IF(AND(ISNUMBER($I44),OR($K44="Milestone",$K44="Deadline"),$I44&gt;=AP$4,$I44&lt;AP$4+7),IF($K44="Deadline","◇","◆"),"")</f>
        <v/>
      </c>
      <c r="AQ44" s="14" t="str">
        <f>IF(AND(ISNUMBER($I44),OR($K44="Milestone",$K44="Deadline"),$I44&gt;=AQ$4,$I44&lt;AQ$4+7),IF($K44="Deadline","◇","◆"),"")</f>
        <v/>
      </c>
      <c r="AR44" s="14" t="str">
        <f>IF(AND(ISNUMBER($I44),OR($K44="Milestone",$K44="Deadline"),$I44&gt;=AR$4,$I44&lt;AR$4+7),IF($K44="Deadline","◇","◆"),"")</f>
        <v/>
      </c>
      <c r="AS44" s="14" t="str">
        <f>IF(AND(ISNUMBER($I44),OR($K44="Milestone",$K44="Deadline"),$I44&gt;=AS$4,$I44&lt;AS$4+7),IF($K44="Deadline","◇","◆"),"")</f>
        <v/>
      </c>
      <c r="AT44" s="14" t="str">
        <f>IF(AND(ISNUMBER($I44),OR($K44="Milestone",$K44="Deadline"),$I44&gt;=AT$4,$I44&lt;AT$4+7),IF($K44="Deadline","◇","◆"),"")</f>
        <v/>
      </c>
      <c r="AU44" s="14" t="str">
        <f>IF(AND(ISNUMBER($I44),OR($K44="Milestone",$K44="Deadline"),$I44&gt;=AU$4,$I44&lt;AU$4+7),IF($K44="Deadline","◇","◆"),"")</f>
        <v/>
      </c>
      <c r="AV44" s="14" t="str">
        <f>IF(AND(ISNUMBER($I44),OR($K44="Milestone",$K44="Deadline"),$I44&gt;=AV$4,$I44&lt;AV$4+7),IF($K44="Deadline","◇","◆"),"")</f>
        <v/>
      </c>
      <c r="AW44" s="14" t="str">
        <f>IF(AND(ISNUMBER($I44),OR($K44="Milestone",$K44="Deadline"),$I44&gt;=AW$4,$I44&lt;AW$4+7),IF($K44="Deadline","◇","◆"),"")</f>
        <v/>
      </c>
      <c r="AX44" s="14" t="str">
        <f>IF(AND(ISNUMBER($I44),OR($K44="Milestone",$K44="Deadline"),$I44&gt;=AX$4,$I44&lt;AX$4+7),IF($K44="Deadline","◇","◆"),"")</f>
        <v/>
      </c>
      <c r="AY44" s="14" t="str">
        <f>IF(AND(ISNUMBER($I44),OR($K44="Milestone",$K44="Deadline"),$I44&gt;=AY$4,$I44&lt;AY$4+7),IF($K44="Deadline","◇","◆"),"")</f>
        <v/>
      </c>
      <c r="AZ44" s="14" t="str">
        <f>IF(AND(ISNUMBER($I44),OR($K44="Milestone",$K44="Deadline"),$I44&gt;=AZ$4,$I44&lt;AZ$4+7),IF($K44="Deadline","◇","◆"),"")</f>
        <v/>
      </c>
      <c r="BA44" s="14" t="str">
        <f>IF(AND(ISNUMBER($I44),OR($K44="Milestone",$K44="Deadline"),$I44&gt;=BA$4,$I44&lt;BA$4+7),IF($K44="Deadline","◇","◆"),"")</f>
        <v/>
      </c>
      <c r="BB44" s="14" t="str">
        <f>IF(AND(ISNUMBER($I44),OR($K44="Milestone",$K44="Deadline"),$I44&gt;=BB$4,$I44&lt;BB$4+7),IF($K44="Deadline","◇","◆"),"")</f>
        <v/>
      </c>
      <c r="BC44" s="14" t="str">
        <f>IF(AND(ISNUMBER($I44),OR($K44="Milestone",$K44="Deadline"),$I44&gt;=BC$4,$I44&lt;BC$4+7),IF($K44="Deadline","◇","◆"),"")</f>
        <v/>
      </c>
      <c r="BD44" s="14" t="str">
        <f>IF(AND(ISNUMBER($I44),OR($K44="Milestone",$K44="Deadline"),$I44&gt;=BD$4,$I44&lt;BD$4+7),IF($K44="Deadline","◇","◆"),"")</f>
        <v/>
      </c>
      <c r="BE44" s="14" t="str">
        <f>IF(AND(ISNUMBER($I44),OR($K44="Milestone",$K44="Deadline"),$I44&gt;=BE$4,$I44&lt;BE$4+7),IF($K44="Deadline","◇","◆"),"")</f>
        <v/>
      </c>
      <c r="BF44" s="14" t="str">
        <f>IF(AND(ISNUMBER($I44),OR($K44="Milestone",$K44="Deadline"),$I44&gt;=BF$4,$I44&lt;BF$4+7),IF($K44="Deadline","◇","◆"),"")</f>
        <v/>
      </c>
      <c r="BG44" s="14" t="str">
        <f>IF(AND(ISNUMBER($I44),OR($K44="Milestone",$K44="Deadline"),$I44&gt;=BG$4,$I44&lt;BG$4+7),IF($K44="Deadline","◇","◆"),"")</f>
        <v/>
      </c>
      <c r="BH44" s="14" t="str">
        <f>IF(AND(ISNUMBER($I44),OR($K44="Milestone",$K44="Deadline"),$I44&gt;=BH$4,$I44&lt;BH$4+7),IF($K44="Deadline","◇","◆"),"")</f>
        <v/>
      </c>
      <c r="BI44" s="14" t="str">
        <f>IF(AND(ISNUMBER($I44),OR($K44="Milestone",$K44="Deadline"),$I44&gt;=BI$4,$I44&lt;BI$4+7),IF($K44="Deadline","◇","◆"),"")</f>
        <v/>
      </c>
      <c r="BJ44" s="14" t="str">
        <f>IF(AND(ISNUMBER($I44),OR($K44="Milestone",$K44="Deadline"),$I44&gt;=BJ$4,$I44&lt;BJ$4+7),IF($K44="Deadline","◇","◆"),"")</f>
        <v/>
      </c>
      <c r="BK44" s="14" t="str">
        <f>IF(AND(ISNUMBER($I44),OR($K44="Milestone",$K44="Deadline"),$I44&gt;=BK$4,$I44&lt;BK$4+7),IF($K44="Deadline","◇","◆"),"")</f>
        <v/>
      </c>
      <c r="BL44" s="14" t="str">
        <f>IF(AND(ISNUMBER($I44),OR($K44="Milestone",$K44="Deadline"),$I44&gt;=BL$4,$I44&lt;BL$4+7),IF($K44="Deadline","◇","◆"),"")</f>
        <v/>
      </c>
      <c r="BM44" s="14" t="str">
        <f>IF(AND(ISNUMBER($I44),OR($K44="Milestone",$K44="Deadline"),$I44&gt;=BM$4,$I44&lt;BM$4+7),IF($K44="Deadline","◇","◆"),"")</f>
        <v/>
      </c>
      <c r="BN44" s="14" t="str">
        <f>IF(AND(ISNUMBER($I44),OR($K44="Milestone",$K44="Deadline"),$I44&gt;=BN$4,$I44&lt;BN$4+7),IF($K44="Deadline","◇","◆"),"")</f>
        <v/>
      </c>
      <c r="BO44" s="14" t="str">
        <f>IF(AND(ISNUMBER($I44),OR($K44="Milestone",$K44="Deadline"),$I44&gt;=BO$4,$I44&lt;BO$4+7),IF($K44="Deadline","◇","◆"),"")</f>
        <v/>
      </c>
      <c r="BP44" s="14" t="str">
        <f>IF(AND(ISNUMBER($I44),OR($K44="Milestone",$K44="Deadline"),$I44&gt;=BP$4,$I44&lt;BP$4+7),IF($K44="Deadline","◇","◆"),"")</f>
        <v/>
      </c>
      <c r="BQ44" s="14" t="str">
        <f>IF(AND(ISNUMBER($I44),OR($K44="Milestone",$K44="Deadline"),$I44&gt;=BQ$4,$I44&lt;BQ$4+7),IF($K44="Deadline","◇","◆"),"")</f>
        <v/>
      </c>
      <c r="BR44" s="14" t="str">
        <f>IF(AND(ISNUMBER($I44),OR($K44="Milestone",$K44="Deadline"),$I44&gt;=BR$4,$I44&lt;BR$4+7),IF($K44="Deadline","◇","◆"),"")</f>
        <v/>
      </c>
      <c r="BS44" s="14" t="str">
        <f>IF(AND(ISNUMBER($I44),OR($K44="Milestone",$K44="Deadline"),$I44&gt;=BS$4,$I44&lt;BS$4+7),IF($K44="Deadline","◇","◆"),"")</f>
        <v/>
      </c>
      <c r="BT44" s="14" t="str">
        <f>IF(AND(ISNUMBER($I44),OR($K44="Milestone",$K44="Deadline"),$I44&gt;=BT$4,$I44&lt;BT$4+7),IF($K44="Deadline","◇","◆"),"")</f>
        <v/>
      </c>
      <c r="BU44" s="14" t="str">
        <f>IF(AND(ISNUMBER($I44),OR($K44="Milestone",$K44="Deadline"),$I44&gt;=BU$4,$I44&lt;BU$4+7),IF($K44="Deadline","◇","◆"),"")</f>
        <v/>
      </c>
      <c r="BV44" s="14" t="str">
        <f>IF(AND(ISNUMBER($I44),OR($K44="Milestone",$K44="Deadline"),$I44&gt;=BV$4,$I44&lt;BV$4+7),IF($K44="Deadline","◇","◆"),"")</f>
        <v/>
      </c>
      <c r="BW44" s="14" t="str">
        <f>IF(AND(ISNUMBER($I44),OR($K44="Milestone",$K44="Deadline"),$I44&gt;=BW$4,$I44&lt;BW$4+7),IF($K44="Deadline","◇","◆"),"")</f>
        <v/>
      </c>
      <c r="BX44" s="14" t="str">
        <f>IF(AND(ISNUMBER($I44),OR($K44="Milestone",$K44="Deadline"),$I44&gt;=BX$4,$I44&lt;BX$4+7),IF($K44="Deadline","◇","◆"),"")</f>
        <v/>
      </c>
      <c r="BY44" s="14" t="str">
        <f>IF(AND(ISNUMBER($I44),OR($K44="Milestone",$K44="Deadline"),$I44&gt;=BY$4,$I44&lt;BY$4+7),IF($K44="Deadline","◇","◆"),"")</f>
        <v/>
      </c>
      <c r="BZ44" s="14" t="str">
        <f>IF(AND(ISNUMBER($I44),OR($K44="Milestone",$K44="Deadline"),$I44&gt;=BZ$4,$I44&lt;BZ$4+7),IF($K44="Deadline","◇","◆"),"")</f>
        <v/>
      </c>
      <c r="CA44" s="14" t="str">
        <f>IF(AND(ISNUMBER($I44),OR($K44="Milestone",$K44="Deadline"),$I44&gt;=CA$4,$I44&lt;CA$4+7),IF($K44="Deadline","◇","◆"),"")</f>
        <v/>
      </c>
      <c r="CB44" s="14" t="str">
        <f>IF(AND(ISNUMBER($I44),OR($K44="Milestone",$K44="Deadline"),$I44&gt;=CB$4,$I44&lt;CB$4+7),IF($K44="Deadline","◇","◆"),"")</f>
        <v/>
      </c>
      <c r="CC44" s="14" t="str">
        <f>IF(AND(ISNUMBER($I44),OR($K44="Milestone",$K44="Deadline"),$I44&gt;=CC$4,$I44&lt;CC$4+7),IF($K44="Deadline","◇","◆"),"")</f>
        <v/>
      </c>
      <c r="CD44" s="14" t="str">
        <f>IF(AND(ISNUMBER($I44),OR($K44="Milestone",$K44="Deadline"),$I44&gt;=CD$4,$I44&lt;CD$4+7),IF($K44="Deadline","◇","◆"),"")</f>
        <v/>
      </c>
      <c r="CE44" s="14" t="str">
        <f>IF(AND(ISNUMBER($I44),OR($K44="Milestone",$K44="Deadline"),$I44&gt;=CE$4,$I44&lt;CE$4+7),IF($K44="Deadline","◇","◆"),"")</f>
        <v/>
      </c>
      <c r="CF44" s="14" t="str">
        <f>IF(AND(ISNUMBER($I44),OR($K44="Milestone",$K44="Deadline"),$I44&gt;=CF$4,$I44&lt;CF$4+7),IF($K44="Deadline","◇","◆"),"")</f>
        <v/>
      </c>
      <c r="CG44" s="14" t="str">
        <f>IF(AND(ISNUMBER($I44),OR($K44="Milestone",$K44="Deadline"),$I44&gt;=CG$4,$I44&lt;CG$4+7),IF($K44="Deadline","◇","◆"),"")</f>
        <v/>
      </c>
      <c r="CH44" s="14" t="str">
        <f>IF(AND(ISNUMBER($I44),OR($K44="Milestone",$K44="Deadline"),$I44&gt;=CH$4,$I44&lt;CH$4+7),IF($K44="Deadline","◇","◆"),"")</f>
        <v/>
      </c>
      <c r="CI44" s="14" t="str">
        <f>IF(AND(ISNUMBER($I44),OR($K44="Milestone",$K44="Deadline"),$I44&gt;=CI$4,$I44&lt;CI$4+7),IF($K44="Deadline","◇","◆"),"")</f>
        <v/>
      </c>
      <c r="CJ44" s="14" t="str">
        <f>IF(AND(ISNUMBER($I44),OR($K44="Milestone",$K44="Deadline"),$I44&gt;=CJ$4,$I44&lt;CJ$4+7),IF($K44="Deadline","◇","◆"),"")</f>
        <v/>
      </c>
      <c r="CK44" s="14" t="str">
        <f>IF(AND(ISNUMBER($I44),OR($K44="Milestone",$K44="Deadline"),$I44&gt;=CK$4,$I44&lt;CK$4+7),IF($K44="Deadline","◇","◆"),"")</f>
        <v/>
      </c>
      <c r="CL44" s="14" t="str">
        <f>IF(AND(ISNUMBER($I44),OR($K44="Milestone",$K44="Deadline"),$I44&gt;=CL$4,$I44&lt;CL$4+7),IF($K44="Deadline","◇","◆"),"")</f>
        <v/>
      </c>
      <c r="CM44" s="14" t="str">
        <f>IF(AND(ISNUMBER($I44),OR($K44="Milestone",$K44="Deadline"),$I44&gt;=CM$4,$I44&lt;CM$4+7),IF($K44="Deadline","◇","◆"),"")</f>
        <v/>
      </c>
    </row>
    <row r="45" spans="1:91" ht="15" hidden="1" customHeight="1">
      <c r="A45" s="24" t="s">
        <v>175</v>
      </c>
      <c r="B45" s="24" t="s">
        <v>167</v>
      </c>
      <c r="C45" s="24" t="s">
        <v>63</v>
      </c>
      <c r="D45" s="24" t="s">
        <v>168</v>
      </c>
      <c r="E45" s="24" t="s">
        <v>169</v>
      </c>
      <c r="F45" s="24" t="s">
        <v>170</v>
      </c>
      <c r="G45" s="24" t="s">
        <v>176</v>
      </c>
      <c r="H45" s="24">
        <v>14</v>
      </c>
      <c r="I45" s="25">
        <f>MAX($C$2,J44+1,J183+1)</f>
        <v>46371</v>
      </c>
      <c r="J45" s="26">
        <f>IF(AND(ISNUMBER(I45),ISNUMBER(H45)),I45+H45-1,"")</f>
        <v>46384</v>
      </c>
      <c r="K45" s="24" t="s">
        <v>27</v>
      </c>
      <c r="L45" s="24" t="s">
        <v>172</v>
      </c>
      <c r="M45" s="27" t="s">
        <v>177</v>
      </c>
      <c r="N45" s="24"/>
      <c r="O45" s="27">
        <f>IF(AND(ISNUMBER(I45),ISNUMBER(J45)),J45-I45+1,"")</f>
        <v>14</v>
      </c>
      <c r="P45" s="13"/>
      <c r="Q45" s="13"/>
      <c r="R45" s="13"/>
      <c r="S45" s="13"/>
      <c r="T45" s="13"/>
      <c r="U45" s="13" t="s">
        <v>140</v>
      </c>
      <c r="V45" s="13" t="s">
        <v>140</v>
      </c>
      <c r="W45" s="13"/>
      <c r="X45" s="13"/>
      <c r="Y45" s="13"/>
      <c r="Z45" s="13"/>
      <c r="AA45" s="13"/>
      <c r="AB45" s="13"/>
      <c r="AC45" s="13"/>
      <c r="AD45" s="13"/>
      <c r="AE45" s="13" t="s">
        <v>140</v>
      </c>
      <c r="AF45" s="13"/>
      <c r="AG45" s="13"/>
      <c r="AH45" s="13"/>
      <c r="AI45" s="13"/>
      <c r="AJ45" s="13"/>
      <c r="AK45" s="13"/>
      <c r="AL45" s="13"/>
      <c r="AM45" s="13"/>
      <c r="AN45" s="13"/>
      <c r="AO45" s="14" t="str">
        <f>IF(AND(ISNUMBER($I45),OR($K45="Milestone",$K45="Deadline"),$I45&gt;=AO$4,$I45&lt;AO$4+7),IF($K45="Deadline","◇","◆"),"")</f>
        <v/>
      </c>
      <c r="AP45" s="14" t="str">
        <f>IF(AND(ISNUMBER($I45),OR($K45="Milestone",$K45="Deadline"),$I45&gt;=AP$4,$I45&lt;AP$4+7),IF($K45="Deadline","◇","◆"),"")</f>
        <v/>
      </c>
      <c r="AQ45" s="14" t="str">
        <f>IF(AND(ISNUMBER($I45),OR($K45="Milestone",$K45="Deadline"),$I45&gt;=AQ$4,$I45&lt;AQ$4+7),IF($K45="Deadline","◇","◆"),"")</f>
        <v/>
      </c>
      <c r="AR45" s="14" t="str">
        <f>IF(AND(ISNUMBER($I45),OR($K45="Milestone",$K45="Deadline"),$I45&gt;=AR$4,$I45&lt;AR$4+7),IF($K45="Deadline","◇","◆"),"")</f>
        <v/>
      </c>
      <c r="AS45" s="14" t="str">
        <f>IF(AND(ISNUMBER($I45),OR($K45="Milestone",$K45="Deadline"),$I45&gt;=AS$4,$I45&lt;AS$4+7),IF($K45="Deadline","◇","◆"),"")</f>
        <v/>
      </c>
      <c r="AT45" s="14" t="str">
        <f>IF(AND(ISNUMBER($I45),OR($K45="Milestone",$K45="Deadline"),$I45&gt;=AT$4,$I45&lt;AT$4+7),IF($K45="Deadline","◇","◆"),"")</f>
        <v/>
      </c>
      <c r="AU45" s="14" t="str">
        <f>IF(AND(ISNUMBER($I45),OR($K45="Milestone",$K45="Deadline"),$I45&gt;=AU$4,$I45&lt;AU$4+7),IF($K45="Deadline","◇","◆"),"")</f>
        <v/>
      </c>
      <c r="AV45" s="14" t="str">
        <f>IF(AND(ISNUMBER($I45),OR($K45="Milestone",$K45="Deadline"),$I45&gt;=AV$4,$I45&lt;AV$4+7),IF($K45="Deadline","◇","◆"),"")</f>
        <v/>
      </c>
      <c r="AW45" s="14" t="str">
        <f>IF(AND(ISNUMBER($I45),OR($K45="Milestone",$K45="Deadline"),$I45&gt;=AW$4,$I45&lt;AW$4+7),IF($K45="Deadline","◇","◆"),"")</f>
        <v/>
      </c>
      <c r="AX45" s="14" t="str">
        <f>IF(AND(ISNUMBER($I45),OR($K45="Milestone",$K45="Deadline"),$I45&gt;=AX$4,$I45&lt;AX$4+7),IF($K45="Deadline","◇","◆"),"")</f>
        <v/>
      </c>
      <c r="AY45" s="14" t="str">
        <f>IF(AND(ISNUMBER($I45),OR($K45="Milestone",$K45="Deadline"),$I45&gt;=AY$4,$I45&lt;AY$4+7),IF($K45="Deadline","◇","◆"),"")</f>
        <v/>
      </c>
      <c r="AZ45" s="14" t="str">
        <f>IF(AND(ISNUMBER($I45),OR($K45="Milestone",$K45="Deadline"),$I45&gt;=AZ$4,$I45&lt;AZ$4+7),IF($K45="Deadline","◇","◆"),"")</f>
        <v/>
      </c>
      <c r="BA45" s="14" t="str">
        <f>IF(AND(ISNUMBER($I45),OR($K45="Milestone",$K45="Deadline"),$I45&gt;=BA$4,$I45&lt;BA$4+7),IF($K45="Deadline","◇","◆"),"")</f>
        <v/>
      </c>
      <c r="BB45" s="14" t="str">
        <f>IF(AND(ISNUMBER($I45),OR($K45="Milestone",$K45="Deadline"),$I45&gt;=BB$4,$I45&lt;BB$4+7),IF($K45="Deadline","◇","◆"),"")</f>
        <v/>
      </c>
      <c r="BC45" s="14" t="str">
        <f>IF(AND(ISNUMBER($I45),OR($K45="Milestone",$K45="Deadline"),$I45&gt;=BC$4,$I45&lt;BC$4+7),IF($K45="Deadline","◇","◆"),"")</f>
        <v/>
      </c>
      <c r="BD45" s="14" t="str">
        <f>IF(AND(ISNUMBER($I45),OR($K45="Milestone",$K45="Deadline"),$I45&gt;=BD$4,$I45&lt;BD$4+7),IF($K45="Deadline","◇","◆"),"")</f>
        <v/>
      </c>
      <c r="BE45" s="14" t="str">
        <f>IF(AND(ISNUMBER($I45),OR($K45="Milestone",$K45="Deadline"),$I45&gt;=BE$4,$I45&lt;BE$4+7),IF($K45="Deadline","◇","◆"),"")</f>
        <v/>
      </c>
      <c r="BF45" s="14" t="str">
        <f>IF(AND(ISNUMBER($I45),OR($K45="Milestone",$K45="Deadline"),$I45&gt;=BF$4,$I45&lt;BF$4+7),IF($K45="Deadline","◇","◆"),"")</f>
        <v/>
      </c>
      <c r="BG45" s="14" t="str">
        <f>IF(AND(ISNUMBER($I45),OR($K45="Milestone",$K45="Deadline"),$I45&gt;=BG$4,$I45&lt;BG$4+7),IF($K45="Deadline","◇","◆"),"")</f>
        <v/>
      </c>
      <c r="BH45" s="14" t="str">
        <f>IF(AND(ISNUMBER($I45),OR($K45="Milestone",$K45="Deadline"),$I45&gt;=BH$4,$I45&lt;BH$4+7),IF($K45="Deadline","◇","◆"),"")</f>
        <v/>
      </c>
      <c r="BI45" s="14" t="str">
        <f>IF(AND(ISNUMBER($I45),OR($K45="Milestone",$K45="Deadline"),$I45&gt;=BI$4,$I45&lt;BI$4+7),IF($K45="Deadline","◇","◆"),"")</f>
        <v/>
      </c>
      <c r="BJ45" s="14" t="str">
        <f>IF(AND(ISNUMBER($I45),OR($K45="Milestone",$K45="Deadline"),$I45&gt;=BJ$4,$I45&lt;BJ$4+7),IF($K45="Deadline","◇","◆"),"")</f>
        <v/>
      </c>
      <c r="BK45" s="14" t="str">
        <f>IF(AND(ISNUMBER($I45),OR($K45="Milestone",$K45="Deadline"),$I45&gt;=BK$4,$I45&lt;BK$4+7),IF($K45="Deadline","◇","◆"),"")</f>
        <v/>
      </c>
      <c r="BL45" s="14" t="str">
        <f>IF(AND(ISNUMBER($I45),OR($K45="Milestone",$K45="Deadline"),$I45&gt;=BL$4,$I45&lt;BL$4+7),IF($K45="Deadline","◇","◆"),"")</f>
        <v/>
      </c>
      <c r="BM45" s="14" t="str">
        <f>IF(AND(ISNUMBER($I45),OR($K45="Milestone",$K45="Deadline"),$I45&gt;=BM$4,$I45&lt;BM$4+7),IF($K45="Deadline","◇","◆"),"")</f>
        <v/>
      </c>
      <c r="BN45" s="14" t="str">
        <f>IF(AND(ISNUMBER($I45),OR($K45="Milestone",$K45="Deadline"),$I45&gt;=BN$4,$I45&lt;BN$4+7),IF($K45="Deadline","◇","◆"),"")</f>
        <v/>
      </c>
      <c r="BO45" s="14" t="str">
        <f>IF(AND(ISNUMBER($I45),OR($K45="Milestone",$K45="Deadline"),$I45&gt;=BO$4,$I45&lt;BO$4+7),IF($K45="Deadline","◇","◆"),"")</f>
        <v/>
      </c>
      <c r="BP45" s="14" t="str">
        <f>IF(AND(ISNUMBER($I45),OR($K45="Milestone",$K45="Deadline"),$I45&gt;=BP$4,$I45&lt;BP$4+7),IF($K45="Deadline","◇","◆"),"")</f>
        <v/>
      </c>
      <c r="BQ45" s="14" t="str">
        <f>IF(AND(ISNUMBER($I45),OR($K45="Milestone",$K45="Deadline"),$I45&gt;=BQ$4,$I45&lt;BQ$4+7),IF($K45="Deadline","◇","◆"),"")</f>
        <v/>
      </c>
      <c r="BR45" s="14" t="str">
        <f>IF(AND(ISNUMBER($I45),OR($K45="Milestone",$K45="Deadline"),$I45&gt;=BR$4,$I45&lt;BR$4+7),IF($K45="Deadline","◇","◆"),"")</f>
        <v/>
      </c>
      <c r="BS45" s="14" t="str">
        <f>IF(AND(ISNUMBER($I45),OR($K45="Milestone",$K45="Deadline"),$I45&gt;=BS$4,$I45&lt;BS$4+7),IF($K45="Deadline","◇","◆"),"")</f>
        <v/>
      </c>
      <c r="BT45" s="14" t="str">
        <f>IF(AND(ISNUMBER($I45),OR($K45="Milestone",$K45="Deadline"),$I45&gt;=BT$4,$I45&lt;BT$4+7),IF($K45="Deadline","◇","◆"),"")</f>
        <v/>
      </c>
      <c r="BU45" s="14" t="str">
        <f>IF(AND(ISNUMBER($I45),OR($K45="Milestone",$K45="Deadline"),$I45&gt;=BU$4,$I45&lt;BU$4+7),IF($K45="Deadline","◇","◆"),"")</f>
        <v/>
      </c>
      <c r="BV45" s="14" t="str">
        <f>IF(AND(ISNUMBER($I45),OR($K45="Milestone",$K45="Deadline"),$I45&gt;=BV$4,$I45&lt;BV$4+7),IF($K45="Deadline","◇","◆"),"")</f>
        <v/>
      </c>
      <c r="BW45" s="14" t="str">
        <f>IF(AND(ISNUMBER($I45),OR($K45="Milestone",$K45="Deadline"),$I45&gt;=BW$4,$I45&lt;BW$4+7),IF($K45="Deadline","◇","◆"),"")</f>
        <v/>
      </c>
      <c r="BX45" s="14" t="str">
        <f>IF(AND(ISNUMBER($I45),OR($K45="Milestone",$K45="Deadline"),$I45&gt;=BX$4,$I45&lt;BX$4+7),IF($K45="Deadline","◇","◆"),"")</f>
        <v/>
      </c>
      <c r="BY45" s="14" t="str">
        <f>IF(AND(ISNUMBER($I45),OR($K45="Milestone",$K45="Deadline"),$I45&gt;=BY$4,$I45&lt;BY$4+7),IF($K45="Deadline","◇","◆"),"")</f>
        <v/>
      </c>
      <c r="BZ45" s="14" t="str">
        <f>IF(AND(ISNUMBER($I45),OR($K45="Milestone",$K45="Deadline"),$I45&gt;=BZ$4,$I45&lt;BZ$4+7),IF($K45="Deadline","◇","◆"),"")</f>
        <v/>
      </c>
      <c r="CA45" s="14" t="str">
        <f>IF(AND(ISNUMBER($I45),OR($K45="Milestone",$K45="Deadline"),$I45&gt;=CA$4,$I45&lt;CA$4+7),IF($K45="Deadline","◇","◆"),"")</f>
        <v/>
      </c>
      <c r="CB45" s="14" t="str">
        <f>IF(AND(ISNUMBER($I45),OR($K45="Milestone",$K45="Deadline"),$I45&gt;=CB$4,$I45&lt;CB$4+7),IF($K45="Deadline","◇","◆"),"")</f>
        <v/>
      </c>
      <c r="CC45" s="14" t="str">
        <f>IF(AND(ISNUMBER($I45),OR($K45="Milestone",$K45="Deadline"),$I45&gt;=CC$4,$I45&lt;CC$4+7),IF($K45="Deadline","◇","◆"),"")</f>
        <v/>
      </c>
      <c r="CD45" s="14" t="str">
        <f>IF(AND(ISNUMBER($I45),OR($K45="Milestone",$K45="Deadline"),$I45&gt;=CD$4,$I45&lt;CD$4+7),IF($K45="Deadline","◇","◆"),"")</f>
        <v/>
      </c>
      <c r="CE45" s="14" t="str">
        <f>IF(AND(ISNUMBER($I45),OR($K45="Milestone",$K45="Deadline"),$I45&gt;=CE$4,$I45&lt;CE$4+7),IF($K45="Deadline","◇","◆"),"")</f>
        <v/>
      </c>
      <c r="CF45" s="14" t="str">
        <f>IF(AND(ISNUMBER($I45),OR($K45="Milestone",$K45="Deadline"),$I45&gt;=CF$4,$I45&lt;CF$4+7),IF($K45="Deadline","◇","◆"),"")</f>
        <v/>
      </c>
      <c r="CG45" s="14" t="str">
        <f>IF(AND(ISNUMBER($I45),OR($K45="Milestone",$K45="Deadline"),$I45&gt;=CG$4,$I45&lt;CG$4+7),IF($K45="Deadline","◇","◆"),"")</f>
        <v/>
      </c>
      <c r="CH45" s="14" t="str">
        <f>IF(AND(ISNUMBER($I45),OR($K45="Milestone",$K45="Deadline"),$I45&gt;=CH$4,$I45&lt;CH$4+7),IF($K45="Deadline","◇","◆"),"")</f>
        <v/>
      </c>
      <c r="CI45" s="14" t="str">
        <f>IF(AND(ISNUMBER($I45),OR($K45="Milestone",$K45="Deadline"),$I45&gt;=CI$4,$I45&lt;CI$4+7),IF($K45="Deadline","◇","◆"),"")</f>
        <v/>
      </c>
      <c r="CJ45" s="14" t="str">
        <f>IF(AND(ISNUMBER($I45),OR($K45="Milestone",$K45="Deadline"),$I45&gt;=CJ$4,$I45&lt;CJ$4+7),IF($K45="Deadline","◇","◆"),"")</f>
        <v/>
      </c>
      <c r="CK45" s="14" t="str">
        <f>IF(AND(ISNUMBER($I45),OR($K45="Milestone",$K45="Deadline"),$I45&gt;=CK$4,$I45&lt;CK$4+7),IF($K45="Deadline","◇","◆"),"")</f>
        <v/>
      </c>
      <c r="CL45" s="14" t="str">
        <f>IF(AND(ISNUMBER($I45),OR($K45="Milestone",$K45="Deadline"),$I45&gt;=CL$4,$I45&lt;CL$4+7),IF($K45="Deadline","◇","◆"),"")</f>
        <v/>
      </c>
      <c r="CM45" s="14" t="str">
        <f>IF(AND(ISNUMBER($I45),OR($K45="Milestone",$K45="Deadline"),$I45&gt;=CM$4,$I45&lt;CM$4+7),IF($K45="Deadline","◇","◆"),"")</f>
        <v/>
      </c>
    </row>
    <row r="46" spans="1:91" ht="15" hidden="1" customHeight="1">
      <c r="A46" s="24" t="s">
        <v>178</v>
      </c>
      <c r="B46" s="24" t="s">
        <v>167</v>
      </c>
      <c r="C46" s="24" t="s">
        <v>63</v>
      </c>
      <c r="D46" s="24" t="s">
        <v>168</v>
      </c>
      <c r="E46" s="24" t="s">
        <v>169</v>
      </c>
      <c r="F46" s="24" t="s">
        <v>179</v>
      </c>
      <c r="G46" s="24" t="s">
        <v>171</v>
      </c>
      <c r="H46" s="24">
        <v>7</v>
      </c>
      <c r="I46" s="25">
        <f>MAX($C$2,J43+1)</f>
        <v>46342</v>
      </c>
      <c r="J46" s="26">
        <f>IF(AND(ISNUMBER(I46),ISNUMBER(H46)),I46+H46-1,"")</f>
        <v>46348</v>
      </c>
      <c r="K46" s="24" t="s">
        <v>27</v>
      </c>
      <c r="L46" s="24"/>
      <c r="M46" s="27" t="s">
        <v>166</v>
      </c>
      <c r="N46" s="24"/>
      <c r="O46" s="27">
        <f>IF(AND(ISNUMBER(I46),ISNUMBER(J46)),J46-I46+1,"")</f>
        <v>7</v>
      </c>
      <c r="P46" s="13" t="s">
        <v>140</v>
      </c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4" t="str">
        <f>IF(AND(ISNUMBER($I46),OR($K46="Milestone",$K46="Deadline"),$I46&gt;=AO$4,$I46&lt;AO$4+7),IF($K46="Deadline","◇","◆"),"")</f>
        <v/>
      </c>
      <c r="AP46" s="14" t="str">
        <f>IF(AND(ISNUMBER($I46),OR($K46="Milestone",$K46="Deadline"),$I46&gt;=AP$4,$I46&lt;AP$4+7),IF($K46="Deadline","◇","◆"),"")</f>
        <v/>
      </c>
      <c r="AQ46" s="14" t="str">
        <f>IF(AND(ISNUMBER($I46),OR($K46="Milestone",$K46="Deadline"),$I46&gt;=AQ$4,$I46&lt;AQ$4+7),IF($K46="Deadline","◇","◆"),"")</f>
        <v/>
      </c>
      <c r="AR46" s="14" t="str">
        <f>IF(AND(ISNUMBER($I46),OR($K46="Milestone",$K46="Deadline"),$I46&gt;=AR$4,$I46&lt;AR$4+7),IF($K46="Deadline","◇","◆"),"")</f>
        <v/>
      </c>
      <c r="AS46" s="14" t="str">
        <f>IF(AND(ISNUMBER($I46),OR($K46="Milestone",$K46="Deadline"),$I46&gt;=AS$4,$I46&lt;AS$4+7),IF($K46="Deadline","◇","◆"),"")</f>
        <v/>
      </c>
      <c r="AT46" s="14" t="str">
        <f>IF(AND(ISNUMBER($I46),OR($K46="Milestone",$K46="Deadline"),$I46&gt;=AT$4,$I46&lt;AT$4+7),IF($K46="Deadline","◇","◆"),"")</f>
        <v/>
      </c>
      <c r="AU46" s="14" t="str">
        <f>IF(AND(ISNUMBER($I46),OR($K46="Milestone",$K46="Deadline"),$I46&gt;=AU$4,$I46&lt;AU$4+7),IF($K46="Deadline","◇","◆"),"")</f>
        <v/>
      </c>
      <c r="AV46" s="14" t="str">
        <f>IF(AND(ISNUMBER($I46),OR($K46="Milestone",$K46="Deadline"),$I46&gt;=AV$4,$I46&lt;AV$4+7),IF($K46="Deadline","◇","◆"),"")</f>
        <v/>
      </c>
      <c r="AW46" s="14" t="str">
        <f>IF(AND(ISNUMBER($I46),OR($K46="Milestone",$K46="Deadline"),$I46&gt;=AW$4,$I46&lt;AW$4+7),IF($K46="Deadline","◇","◆"),"")</f>
        <v/>
      </c>
      <c r="AX46" s="14" t="str">
        <f>IF(AND(ISNUMBER($I46),OR($K46="Milestone",$K46="Deadline"),$I46&gt;=AX$4,$I46&lt;AX$4+7),IF($K46="Deadline","◇","◆"),"")</f>
        <v/>
      </c>
      <c r="AY46" s="14" t="str">
        <f>IF(AND(ISNUMBER($I46),OR($K46="Milestone",$K46="Deadline"),$I46&gt;=AY$4,$I46&lt;AY$4+7),IF($K46="Deadline","◇","◆"),"")</f>
        <v/>
      </c>
      <c r="AZ46" s="14" t="str">
        <f>IF(AND(ISNUMBER($I46),OR($K46="Milestone",$K46="Deadline"),$I46&gt;=AZ$4,$I46&lt;AZ$4+7),IF($K46="Deadline","◇","◆"),"")</f>
        <v/>
      </c>
      <c r="BA46" s="14" t="str">
        <f>IF(AND(ISNUMBER($I46),OR($K46="Milestone",$K46="Deadline"),$I46&gt;=BA$4,$I46&lt;BA$4+7),IF($K46="Deadline","◇","◆"),"")</f>
        <v/>
      </c>
      <c r="BB46" s="14" t="str">
        <f>IF(AND(ISNUMBER($I46),OR($K46="Milestone",$K46="Deadline"),$I46&gt;=BB$4,$I46&lt;BB$4+7),IF($K46="Deadline","◇","◆"),"")</f>
        <v/>
      </c>
      <c r="BC46" s="14" t="str">
        <f>IF(AND(ISNUMBER($I46),OR($K46="Milestone",$K46="Deadline"),$I46&gt;=BC$4,$I46&lt;BC$4+7),IF($K46="Deadline","◇","◆"),"")</f>
        <v/>
      </c>
      <c r="BD46" s="14" t="str">
        <f>IF(AND(ISNUMBER($I46),OR($K46="Milestone",$K46="Deadline"),$I46&gt;=BD$4,$I46&lt;BD$4+7),IF($K46="Deadline","◇","◆"),"")</f>
        <v/>
      </c>
      <c r="BE46" s="14" t="str">
        <f>IF(AND(ISNUMBER($I46),OR($K46="Milestone",$K46="Deadline"),$I46&gt;=BE$4,$I46&lt;BE$4+7),IF($K46="Deadline","◇","◆"),"")</f>
        <v/>
      </c>
      <c r="BF46" s="14" t="str">
        <f>IF(AND(ISNUMBER($I46),OR($K46="Milestone",$K46="Deadline"),$I46&gt;=BF$4,$I46&lt;BF$4+7),IF($K46="Deadline","◇","◆"),"")</f>
        <v/>
      </c>
      <c r="BG46" s="14" t="str">
        <f>IF(AND(ISNUMBER($I46),OR($K46="Milestone",$K46="Deadline"),$I46&gt;=BG$4,$I46&lt;BG$4+7),IF($K46="Deadline","◇","◆"),"")</f>
        <v/>
      </c>
      <c r="BH46" s="14" t="str">
        <f>IF(AND(ISNUMBER($I46),OR($K46="Milestone",$K46="Deadline"),$I46&gt;=BH$4,$I46&lt;BH$4+7),IF($K46="Deadline","◇","◆"),"")</f>
        <v/>
      </c>
      <c r="BI46" s="14" t="str">
        <f>IF(AND(ISNUMBER($I46),OR($K46="Milestone",$K46="Deadline"),$I46&gt;=BI$4,$I46&lt;BI$4+7),IF($K46="Deadline","◇","◆"),"")</f>
        <v/>
      </c>
      <c r="BJ46" s="14" t="str">
        <f>IF(AND(ISNUMBER($I46),OR($K46="Milestone",$K46="Deadline"),$I46&gt;=BJ$4,$I46&lt;BJ$4+7),IF($K46="Deadline","◇","◆"),"")</f>
        <v/>
      </c>
      <c r="BK46" s="14" t="str">
        <f>IF(AND(ISNUMBER($I46),OR($K46="Milestone",$K46="Deadline"),$I46&gt;=BK$4,$I46&lt;BK$4+7),IF($K46="Deadline","◇","◆"),"")</f>
        <v/>
      </c>
      <c r="BL46" s="14" t="str">
        <f>IF(AND(ISNUMBER($I46),OR($K46="Milestone",$K46="Deadline"),$I46&gt;=BL$4,$I46&lt;BL$4+7),IF($K46="Deadline","◇","◆"),"")</f>
        <v/>
      </c>
      <c r="BM46" s="14" t="str">
        <f>IF(AND(ISNUMBER($I46),OR($K46="Milestone",$K46="Deadline"),$I46&gt;=BM$4,$I46&lt;BM$4+7),IF($K46="Deadline","◇","◆"),"")</f>
        <v/>
      </c>
      <c r="BN46" s="14" t="str">
        <f>IF(AND(ISNUMBER($I46),OR($K46="Milestone",$K46="Deadline"),$I46&gt;=BN$4,$I46&lt;BN$4+7),IF($K46="Deadline","◇","◆"),"")</f>
        <v/>
      </c>
      <c r="BO46" s="14" t="str">
        <f>IF(AND(ISNUMBER($I46),OR($K46="Milestone",$K46="Deadline"),$I46&gt;=BO$4,$I46&lt;BO$4+7),IF($K46="Deadline","◇","◆"),"")</f>
        <v/>
      </c>
      <c r="BP46" s="14" t="str">
        <f>IF(AND(ISNUMBER($I46),OR($K46="Milestone",$K46="Deadline"),$I46&gt;=BP$4,$I46&lt;BP$4+7),IF($K46="Deadline","◇","◆"),"")</f>
        <v/>
      </c>
      <c r="BQ46" s="14" t="str">
        <f>IF(AND(ISNUMBER($I46),OR($K46="Milestone",$K46="Deadline"),$I46&gt;=BQ$4,$I46&lt;BQ$4+7),IF($K46="Deadline","◇","◆"),"")</f>
        <v/>
      </c>
      <c r="BR46" s="14" t="str">
        <f>IF(AND(ISNUMBER($I46),OR($K46="Milestone",$K46="Deadline"),$I46&gt;=BR$4,$I46&lt;BR$4+7),IF($K46="Deadline","◇","◆"),"")</f>
        <v/>
      </c>
      <c r="BS46" s="14" t="str">
        <f>IF(AND(ISNUMBER($I46),OR($K46="Milestone",$K46="Deadline"),$I46&gt;=BS$4,$I46&lt;BS$4+7),IF($K46="Deadline","◇","◆"),"")</f>
        <v/>
      </c>
      <c r="BT46" s="14" t="str">
        <f>IF(AND(ISNUMBER($I46),OR($K46="Milestone",$K46="Deadline"),$I46&gt;=BT$4,$I46&lt;BT$4+7),IF($K46="Deadline","◇","◆"),"")</f>
        <v/>
      </c>
      <c r="BU46" s="14" t="str">
        <f>IF(AND(ISNUMBER($I46),OR($K46="Milestone",$K46="Deadline"),$I46&gt;=BU$4,$I46&lt;BU$4+7),IF($K46="Deadline","◇","◆"),"")</f>
        <v/>
      </c>
      <c r="BV46" s="14" t="str">
        <f>IF(AND(ISNUMBER($I46),OR($K46="Milestone",$K46="Deadline"),$I46&gt;=BV$4,$I46&lt;BV$4+7),IF($K46="Deadline","◇","◆"),"")</f>
        <v/>
      </c>
      <c r="BW46" s="14" t="str">
        <f>IF(AND(ISNUMBER($I46),OR($K46="Milestone",$K46="Deadline"),$I46&gt;=BW$4,$I46&lt;BW$4+7),IF($K46="Deadline","◇","◆"),"")</f>
        <v/>
      </c>
      <c r="BX46" s="14" t="str">
        <f>IF(AND(ISNUMBER($I46),OR($K46="Milestone",$K46="Deadline"),$I46&gt;=BX$4,$I46&lt;BX$4+7),IF($K46="Deadline","◇","◆"),"")</f>
        <v/>
      </c>
      <c r="BY46" s="14" t="str">
        <f>IF(AND(ISNUMBER($I46),OR($K46="Milestone",$K46="Deadline"),$I46&gt;=BY$4,$I46&lt;BY$4+7),IF($K46="Deadline","◇","◆"),"")</f>
        <v/>
      </c>
      <c r="BZ46" s="14" t="str">
        <f>IF(AND(ISNUMBER($I46),OR($K46="Milestone",$K46="Deadline"),$I46&gt;=BZ$4,$I46&lt;BZ$4+7),IF($K46="Deadline","◇","◆"),"")</f>
        <v/>
      </c>
      <c r="CA46" s="14" t="str">
        <f>IF(AND(ISNUMBER($I46),OR($K46="Milestone",$K46="Deadline"),$I46&gt;=CA$4,$I46&lt;CA$4+7),IF($K46="Deadline","◇","◆"),"")</f>
        <v/>
      </c>
      <c r="CB46" s="14" t="str">
        <f>IF(AND(ISNUMBER($I46),OR($K46="Milestone",$K46="Deadline"),$I46&gt;=CB$4,$I46&lt;CB$4+7),IF($K46="Deadline","◇","◆"),"")</f>
        <v/>
      </c>
      <c r="CC46" s="14" t="str">
        <f>IF(AND(ISNUMBER($I46),OR($K46="Milestone",$K46="Deadline"),$I46&gt;=CC$4,$I46&lt;CC$4+7),IF($K46="Deadline","◇","◆"),"")</f>
        <v/>
      </c>
      <c r="CD46" s="14" t="str">
        <f>IF(AND(ISNUMBER($I46),OR($K46="Milestone",$K46="Deadline"),$I46&gt;=CD$4,$I46&lt;CD$4+7),IF($K46="Deadline","◇","◆"),"")</f>
        <v/>
      </c>
      <c r="CE46" s="14" t="str">
        <f>IF(AND(ISNUMBER($I46),OR($K46="Milestone",$K46="Deadline"),$I46&gt;=CE$4,$I46&lt;CE$4+7),IF($K46="Deadline","◇","◆"),"")</f>
        <v/>
      </c>
      <c r="CF46" s="14" t="str">
        <f>IF(AND(ISNUMBER($I46),OR($K46="Milestone",$K46="Deadline"),$I46&gt;=CF$4,$I46&lt;CF$4+7),IF($K46="Deadline","◇","◆"),"")</f>
        <v/>
      </c>
      <c r="CG46" s="14" t="str">
        <f>IF(AND(ISNUMBER($I46),OR($K46="Milestone",$K46="Deadline"),$I46&gt;=CG$4,$I46&lt;CG$4+7),IF($K46="Deadline","◇","◆"),"")</f>
        <v/>
      </c>
      <c r="CH46" s="14" t="str">
        <f>IF(AND(ISNUMBER($I46),OR($K46="Milestone",$K46="Deadline"),$I46&gt;=CH$4,$I46&lt;CH$4+7),IF($K46="Deadline","◇","◆"),"")</f>
        <v/>
      </c>
      <c r="CI46" s="14" t="str">
        <f>IF(AND(ISNUMBER($I46),OR($K46="Milestone",$K46="Deadline"),$I46&gt;=CI$4,$I46&lt;CI$4+7),IF($K46="Deadline","◇","◆"),"")</f>
        <v/>
      </c>
      <c r="CJ46" s="14" t="str">
        <f>IF(AND(ISNUMBER($I46),OR($K46="Milestone",$K46="Deadline"),$I46&gt;=CJ$4,$I46&lt;CJ$4+7),IF($K46="Deadline","◇","◆"),"")</f>
        <v/>
      </c>
      <c r="CK46" s="14" t="str">
        <f>IF(AND(ISNUMBER($I46),OR($K46="Milestone",$K46="Deadline"),$I46&gt;=CK$4,$I46&lt;CK$4+7),IF($K46="Deadline","◇","◆"),"")</f>
        <v/>
      </c>
      <c r="CL46" s="14" t="str">
        <f>IF(AND(ISNUMBER($I46),OR($K46="Milestone",$K46="Deadline"),$I46&gt;=CL$4,$I46&lt;CL$4+7),IF($K46="Deadline","◇","◆"),"")</f>
        <v/>
      </c>
      <c r="CM46" s="14" t="str">
        <f>IF(AND(ISNUMBER($I46),OR($K46="Milestone",$K46="Deadline"),$I46&gt;=CM$4,$I46&lt;CM$4+7),IF($K46="Deadline","◇","◆"),"")</f>
        <v/>
      </c>
    </row>
    <row r="47" spans="1:91" ht="15" hidden="1" customHeight="1">
      <c r="A47" s="24" t="s">
        <v>180</v>
      </c>
      <c r="B47" s="24" t="s">
        <v>167</v>
      </c>
      <c r="C47" s="24" t="s">
        <v>63</v>
      </c>
      <c r="D47" s="24" t="s">
        <v>168</v>
      </c>
      <c r="E47" s="24" t="s">
        <v>169</v>
      </c>
      <c r="F47" s="24" t="s">
        <v>179</v>
      </c>
      <c r="G47" s="24" t="s">
        <v>173</v>
      </c>
      <c r="H47" s="24">
        <v>7</v>
      </c>
      <c r="I47" s="25">
        <f>MAX(DATE(2026,12,8),J46+1)</f>
        <v>46364</v>
      </c>
      <c r="J47" s="26">
        <f>IF(AND(ISNUMBER(I47),ISNUMBER(H47)),I47+H47-1,"")</f>
        <v>46370</v>
      </c>
      <c r="K47" s="24" t="s">
        <v>27</v>
      </c>
      <c r="L47" s="24" t="s">
        <v>178</v>
      </c>
      <c r="M47" s="27"/>
      <c r="N47" s="24"/>
      <c r="O47" s="27">
        <f>IF(AND(ISNUMBER(I47),ISNUMBER(J47)),J47-I47+1,"")</f>
        <v>7</v>
      </c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 t="s">
        <v>140</v>
      </c>
      <c r="AM47" s="13"/>
      <c r="AN47" s="13"/>
      <c r="AO47" s="14" t="str">
        <f>IF(AND(ISNUMBER($I47),OR($K47="Milestone",$K47="Deadline"),$I47&gt;=AO$4,$I47&lt;AO$4+7),IF($K47="Deadline","◇","◆"),"")</f>
        <v/>
      </c>
      <c r="AP47" s="14" t="str">
        <f>IF(AND(ISNUMBER($I47),OR($K47="Milestone",$K47="Deadline"),$I47&gt;=AP$4,$I47&lt;AP$4+7),IF($K47="Deadline","◇","◆"),"")</f>
        <v/>
      </c>
      <c r="AQ47" s="14" t="str">
        <f>IF(AND(ISNUMBER($I47),OR($K47="Milestone",$K47="Deadline"),$I47&gt;=AQ$4,$I47&lt;AQ$4+7),IF($K47="Deadline","◇","◆"),"")</f>
        <v/>
      </c>
      <c r="AR47" s="14" t="str">
        <f>IF(AND(ISNUMBER($I47),OR($K47="Milestone",$K47="Deadline"),$I47&gt;=AR$4,$I47&lt;AR$4+7),IF($K47="Deadline","◇","◆"),"")</f>
        <v/>
      </c>
      <c r="AS47" s="14" t="str">
        <f>IF(AND(ISNUMBER($I47),OR($K47="Milestone",$K47="Deadline"),$I47&gt;=AS$4,$I47&lt;AS$4+7),IF($K47="Deadline","◇","◆"),"")</f>
        <v/>
      </c>
      <c r="AT47" s="14" t="str">
        <f>IF(AND(ISNUMBER($I47),OR($K47="Milestone",$K47="Deadline"),$I47&gt;=AT$4,$I47&lt;AT$4+7),IF($K47="Deadline","◇","◆"),"")</f>
        <v/>
      </c>
      <c r="AU47" s="14" t="str">
        <f>IF(AND(ISNUMBER($I47),OR($K47="Milestone",$K47="Deadline"),$I47&gt;=AU$4,$I47&lt;AU$4+7),IF($K47="Deadline","◇","◆"),"")</f>
        <v/>
      </c>
      <c r="AV47" s="14" t="str">
        <f>IF(AND(ISNUMBER($I47),OR($K47="Milestone",$K47="Deadline"),$I47&gt;=AV$4,$I47&lt;AV$4+7),IF($K47="Deadline","◇","◆"),"")</f>
        <v/>
      </c>
      <c r="AW47" s="14" t="str">
        <f>IF(AND(ISNUMBER($I47),OR($K47="Milestone",$K47="Deadline"),$I47&gt;=AW$4,$I47&lt;AW$4+7),IF($K47="Deadline","◇","◆"),"")</f>
        <v/>
      </c>
      <c r="AX47" s="14" t="str">
        <f>IF(AND(ISNUMBER($I47),OR($K47="Milestone",$K47="Deadline"),$I47&gt;=AX$4,$I47&lt;AX$4+7),IF($K47="Deadline","◇","◆"),"")</f>
        <v/>
      </c>
      <c r="AY47" s="14" t="str">
        <f>IF(AND(ISNUMBER($I47),OR($K47="Milestone",$K47="Deadline"),$I47&gt;=AY$4,$I47&lt;AY$4+7),IF($K47="Deadline","◇","◆"),"")</f>
        <v/>
      </c>
      <c r="AZ47" s="14" t="str">
        <f>IF(AND(ISNUMBER($I47),OR($K47="Milestone",$K47="Deadline"),$I47&gt;=AZ$4,$I47&lt;AZ$4+7),IF($K47="Deadline","◇","◆"),"")</f>
        <v/>
      </c>
      <c r="BA47" s="14" t="str">
        <f>IF(AND(ISNUMBER($I47),OR($K47="Milestone",$K47="Deadline"),$I47&gt;=BA$4,$I47&lt;BA$4+7),IF($K47="Deadline","◇","◆"),"")</f>
        <v/>
      </c>
      <c r="BB47" s="14" t="str">
        <f>IF(AND(ISNUMBER($I47),OR($K47="Milestone",$K47="Deadline"),$I47&gt;=BB$4,$I47&lt;BB$4+7),IF($K47="Deadline","◇","◆"),"")</f>
        <v/>
      </c>
      <c r="BC47" s="14" t="str">
        <f>IF(AND(ISNUMBER($I47),OR($K47="Milestone",$K47="Deadline"),$I47&gt;=BC$4,$I47&lt;BC$4+7),IF($K47="Deadline","◇","◆"),"")</f>
        <v/>
      </c>
      <c r="BD47" s="14" t="str">
        <f>IF(AND(ISNUMBER($I47),OR($K47="Milestone",$K47="Deadline"),$I47&gt;=BD$4,$I47&lt;BD$4+7),IF($K47="Deadline","◇","◆"),"")</f>
        <v/>
      </c>
      <c r="BE47" s="14" t="str">
        <f>IF(AND(ISNUMBER($I47),OR($K47="Milestone",$K47="Deadline"),$I47&gt;=BE$4,$I47&lt;BE$4+7),IF($K47="Deadline","◇","◆"),"")</f>
        <v/>
      </c>
      <c r="BF47" s="14" t="str">
        <f>IF(AND(ISNUMBER($I47),OR($K47="Milestone",$K47="Deadline"),$I47&gt;=BF$4,$I47&lt;BF$4+7),IF($K47="Deadline","◇","◆"),"")</f>
        <v/>
      </c>
      <c r="BG47" s="14" t="str">
        <f>IF(AND(ISNUMBER($I47),OR($K47="Milestone",$K47="Deadline"),$I47&gt;=BG$4,$I47&lt;BG$4+7),IF($K47="Deadline","◇","◆"),"")</f>
        <v/>
      </c>
      <c r="BH47" s="14" t="str">
        <f>IF(AND(ISNUMBER($I47),OR($K47="Milestone",$K47="Deadline"),$I47&gt;=BH$4,$I47&lt;BH$4+7),IF($K47="Deadline","◇","◆"),"")</f>
        <v/>
      </c>
      <c r="BI47" s="14" t="str">
        <f>IF(AND(ISNUMBER($I47),OR($K47="Milestone",$K47="Deadline"),$I47&gt;=BI$4,$I47&lt;BI$4+7),IF($K47="Deadline","◇","◆"),"")</f>
        <v/>
      </c>
      <c r="BJ47" s="14" t="str">
        <f>IF(AND(ISNUMBER($I47),OR($K47="Milestone",$K47="Deadline"),$I47&gt;=BJ$4,$I47&lt;BJ$4+7),IF($K47="Deadline","◇","◆"),"")</f>
        <v/>
      </c>
      <c r="BK47" s="14" t="str">
        <f>IF(AND(ISNUMBER($I47),OR($K47="Milestone",$K47="Deadline"),$I47&gt;=BK$4,$I47&lt;BK$4+7),IF($K47="Deadline","◇","◆"),"")</f>
        <v/>
      </c>
      <c r="BL47" s="14" t="str">
        <f>IF(AND(ISNUMBER($I47),OR($K47="Milestone",$K47="Deadline"),$I47&gt;=BL$4,$I47&lt;BL$4+7),IF($K47="Deadline","◇","◆"),"")</f>
        <v/>
      </c>
      <c r="BM47" s="14" t="str">
        <f>IF(AND(ISNUMBER($I47),OR($K47="Milestone",$K47="Deadline"),$I47&gt;=BM$4,$I47&lt;BM$4+7),IF($K47="Deadline","◇","◆"),"")</f>
        <v/>
      </c>
      <c r="BN47" s="14" t="str">
        <f>IF(AND(ISNUMBER($I47),OR($K47="Milestone",$K47="Deadline"),$I47&gt;=BN$4,$I47&lt;BN$4+7),IF($K47="Deadline","◇","◆"),"")</f>
        <v/>
      </c>
      <c r="BO47" s="14" t="str">
        <f>IF(AND(ISNUMBER($I47),OR($K47="Milestone",$K47="Deadline"),$I47&gt;=BO$4,$I47&lt;BO$4+7),IF($K47="Deadline","◇","◆"),"")</f>
        <v/>
      </c>
      <c r="BP47" s="14" t="str">
        <f>IF(AND(ISNUMBER($I47),OR($K47="Milestone",$K47="Deadline"),$I47&gt;=BP$4,$I47&lt;BP$4+7),IF($K47="Deadline","◇","◆"),"")</f>
        <v/>
      </c>
      <c r="BQ47" s="14" t="str">
        <f>IF(AND(ISNUMBER($I47),OR($K47="Milestone",$K47="Deadline"),$I47&gt;=BQ$4,$I47&lt;BQ$4+7),IF($K47="Deadline","◇","◆"),"")</f>
        <v/>
      </c>
      <c r="BR47" s="14" t="str">
        <f>IF(AND(ISNUMBER($I47),OR($K47="Milestone",$K47="Deadline"),$I47&gt;=BR$4,$I47&lt;BR$4+7),IF($K47="Deadline","◇","◆"),"")</f>
        <v/>
      </c>
      <c r="BS47" s="14" t="str">
        <f>IF(AND(ISNUMBER($I47),OR($K47="Milestone",$K47="Deadline"),$I47&gt;=BS$4,$I47&lt;BS$4+7),IF($K47="Deadline","◇","◆"),"")</f>
        <v/>
      </c>
      <c r="BT47" s="14" t="str">
        <f>IF(AND(ISNUMBER($I47),OR($K47="Milestone",$K47="Deadline"),$I47&gt;=BT$4,$I47&lt;BT$4+7),IF($K47="Deadline","◇","◆"),"")</f>
        <v/>
      </c>
      <c r="BU47" s="14" t="str">
        <f>IF(AND(ISNUMBER($I47),OR($K47="Milestone",$K47="Deadline"),$I47&gt;=BU$4,$I47&lt;BU$4+7),IF($K47="Deadline","◇","◆"),"")</f>
        <v/>
      </c>
      <c r="BV47" s="14" t="str">
        <f>IF(AND(ISNUMBER($I47),OR($K47="Milestone",$K47="Deadline"),$I47&gt;=BV$4,$I47&lt;BV$4+7),IF($K47="Deadline","◇","◆"),"")</f>
        <v/>
      </c>
      <c r="BW47" s="14" t="str">
        <f>IF(AND(ISNUMBER($I47),OR($K47="Milestone",$K47="Deadline"),$I47&gt;=BW$4,$I47&lt;BW$4+7),IF($K47="Deadline","◇","◆"),"")</f>
        <v/>
      </c>
      <c r="BX47" s="14" t="str">
        <f>IF(AND(ISNUMBER($I47),OR($K47="Milestone",$K47="Deadline"),$I47&gt;=BX$4,$I47&lt;BX$4+7),IF($K47="Deadline","◇","◆"),"")</f>
        <v/>
      </c>
      <c r="BY47" s="14" t="str">
        <f>IF(AND(ISNUMBER($I47),OR($K47="Milestone",$K47="Deadline"),$I47&gt;=BY$4,$I47&lt;BY$4+7),IF($K47="Deadline","◇","◆"),"")</f>
        <v/>
      </c>
      <c r="BZ47" s="14" t="str">
        <f>IF(AND(ISNUMBER($I47),OR($K47="Milestone",$K47="Deadline"),$I47&gt;=BZ$4,$I47&lt;BZ$4+7),IF($K47="Deadline","◇","◆"),"")</f>
        <v/>
      </c>
      <c r="CA47" s="14" t="str">
        <f>IF(AND(ISNUMBER($I47),OR($K47="Milestone",$K47="Deadline"),$I47&gt;=CA$4,$I47&lt;CA$4+7),IF($K47="Deadline","◇","◆"),"")</f>
        <v/>
      </c>
      <c r="CB47" s="14" t="str">
        <f>IF(AND(ISNUMBER($I47),OR($K47="Milestone",$K47="Deadline"),$I47&gt;=CB$4,$I47&lt;CB$4+7),IF($K47="Deadline","◇","◆"),"")</f>
        <v/>
      </c>
      <c r="CC47" s="14" t="str">
        <f>IF(AND(ISNUMBER($I47),OR($K47="Milestone",$K47="Deadline"),$I47&gt;=CC$4,$I47&lt;CC$4+7),IF($K47="Deadline","◇","◆"),"")</f>
        <v/>
      </c>
      <c r="CD47" s="14" t="str">
        <f>IF(AND(ISNUMBER($I47),OR($K47="Milestone",$K47="Deadline"),$I47&gt;=CD$4,$I47&lt;CD$4+7),IF($K47="Deadline","◇","◆"),"")</f>
        <v/>
      </c>
      <c r="CE47" s="14" t="str">
        <f>IF(AND(ISNUMBER($I47),OR($K47="Milestone",$K47="Deadline"),$I47&gt;=CE$4,$I47&lt;CE$4+7),IF($K47="Deadline","◇","◆"),"")</f>
        <v/>
      </c>
      <c r="CF47" s="14" t="str">
        <f>IF(AND(ISNUMBER($I47),OR($K47="Milestone",$K47="Deadline"),$I47&gt;=CF$4,$I47&lt;CF$4+7),IF($K47="Deadline","◇","◆"),"")</f>
        <v/>
      </c>
      <c r="CG47" s="14" t="str">
        <f>IF(AND(ISNUMBER($I47),OR($K47="Milestone",$K47="Deadline"),$I47&gt;=CG$4,$I47&lt;CG$4+7),IF($K47="Deadline","◇","◆"),"")</f>
        <v/>
      </c>
      <c r="CH47" s="14" t="str">
        <f>IF(AND(ISNUMBER($I47),OR($K47="Milestone",$K47="Deadline"),$I47&gt;=CH$4,$I47&lt;CH$4+7),IF($K47="Deadline","◇","◆"),"")</f>
        <v/>
      </c>
      <c r="CI47" s="14" t="str">
        <f>IF(AND(ISNUMBER($I47),OR($K47="Milestone",$K47="Deadline"),$I47&gt;=CI$4,$I47&lt;CI$4+7),IF($K47="Deadline","◇","◆"),"")</f>
        <v/>
      </c>
      <c r="CJ47" s="14" t="str">
        <f>IF(AND(ISNUMBER($I47),OR($K47="Milestone",$K47="Deadline"),$I47&gt;=CJ$4,$I47&lt;CJ$4+7),IF($K47="Deadline","◇","◆"),"")</f>
        <v/>
      </c>
      <c r="CK47" s="14" t="str">
        <f>IF(AND(ISNUMBER($I47),OR($K47="Milestone",$K47="Deadline"),$I47&gt;=CK$4,$I47&lt;CK$4+7),IF($K47="Deadline","◇","◆"),"")</f>
        <v/>
      </c>
      <c r="CL47" s="14" t="str">
        <f>IF(AND(ISNUMBER($I47),OR($K47="Milestone",$K47="Deadline"),$I47&gt;=CL$4,$I47&lt;CL$4+7),IF($K47="Deadline","◇","◆"),"")</f>
        <v/>
      </c>
      <c r="CM47" s="14" t="str">
        <f>IF(AND(ISNUMBER($I47),OR($K47="Milestone",$K47="Deadline"),$I47&gt;=CM$4,$I47&lt;CM$4+7),IF($K47="Deadline","◇","◆"),"")</f>
        <v/>
      </c>
    </row>
    <row r="48" spans="1:91" ht="15" hidden="1" customHeight="1">
      <c r="A48" s="24" t="s">
        <v>181</v>
      </c>
      <c r="B48" s="24" t="s">
        <v>167</v>
      </c>
      <c r="C48" s="24" t="s">
        <v>63</v>
      </c>
      <c r="D48" s="24" t="s">
        <v>168</v>
      </c>
      <c r="E48" s="24" t="s">
        <v>169</v>
      </c>
      <c r="F48" s="24" t="s">
        <v>179</v>
      </c>
      <c r="G48" s="24" t="s">
        <v>176</v>
      </c>
      <c r="H48" s="24">
        <v>14</v>
      </c>
      <c r="I48" s="25">
        <f>MAX($C$2,J47+1,J39+1)</f>
        <v>46371</v>
      </c>
      <c r="J48" s="26">
        <f>IF(AND(ISNUMBER(I48),ISNUMBER(H48)),I48+H48-1,"")</f>
        <v>46384</v>
      </c>
      <c r="K48" s="24" t="s">
        <v>27</v>
      </c>
      <c r="L48" s="24" t="s">
        <v>180</v>
      </c>
      <c r="M48" s="27" t="s">
        <v>155</v>
      </c>
      <c r="N48" s="24"/>
      <c r="O48" s="27">
        <f>IF(AND(ISNUMBER(I48),ISNUMBER(J48)),J48-I48+1,"")</f>
        <v>14</v>
      </c>
      <c r="P48" s="13"/>
      <c r="Q48" s="13"/>
      <c r="R48" s="13"/>
      <c r="S48" s="13"/>
      <c r="T48" s="13"/>
      <c r="U48" s="13" t="s">
        <v>140</v>
      </c>
      <c r="V48" s="13" t="s">
        <v>140</v>
      </c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 t="s">
        <v>140</v>
      </c>
      <c r="AJ48" s="13"/>
      <c r="AK48" s="13"/>
      <c r="AL48" s="13"/>
      <c r="AM48" s="13"/>
      <c r="AN48" s="13"/>
      <c r="AO48" s="14" t="str">
        <f>IF(AND(ISNUMBER($I48),OR($K48="Milestone",$K48="Deadline"),$I48&gt;=AO$4,$I48&lt;AO$4+7),IF($K48="Deadline","◇","◆"),"")</f>
        <v/>
      </c>
      <c r="AP48" s="14" t="str">
        <f>IF(AND(ISNUMBER($I48),OR($K48="Milestone",$K48="Deadline"),$I48&gt;=AP$4,$I48&lt;AP$4+7),IF($K48="Deadline","◇","◆"),"")</f>
        <v/>
      </c>
      <c r="AQ48" s="14" t="str">
        <f>IF(AND(ISNUMBER($I48),OR($K48="Milestone",$K48="Deadline"),$I48&gt;=AQ$4,$I48&lt;AQ$4+7),IF($K48="Deadline","◇","◆"),"")</f>
        <v/>
      </c>
      <c r="AR48" s="14" t="str">
        <f>IF(AND(ISNUMBER($I48),OR($K48="Milestone",$K48="Deadline"),$I48&gt;=AR$4,$I48&lt;AR$4+7),IF($K48="Deadline","◇","◆"),"")</f>
        <v/>
      </c>
      <c r="AS48" s="14" t="str">
        <f>IF(AND(ISNUMBER($I48),OR($K48="Milestone",$K48="Deadline"),$I48&gt;=AS$4,$I48&lt;AS$4+7),IF($K48="Deadline","◇","◆"),"")</f>
        <v/>
      </c>
      <c r="AT48" s="14" t="str">
        <f>IF(AND(ISNUMBER($I48),OR($K48="Milestone",$K48="Deadline"),$I48&gt;=AT$4,$I48&lt;AT$4+7),IF($K48="Deadline","◇","◆"),"")</f>
        <v/>
      </c>
      <c r="AU48" s="14" t="str">
        <f>IF(AND(ISNUMBER($I48),OR($K48="Milestone",$K48="Deadline"),$I48&gt;=AU$4,$I48&lt;AU$4+7),IF($K48="Deadline","◇","◆"),"")</f>
        <v/>
      </c>
      <c r="AV48" s="14" t="str">
        <f>IF(AND(ISNUMBER($I48),OR($K48="Milestone",$K48="Deadline"),$I48&gt;=AV$4,$I48&lt;AV$4+7),IF($K48="Deadline","◇","◆"),"")</f>
        <v/>
      </c>
      <c r="AW48" s="14" t="str">
        <f>IF(AND(ISNUMBER($I48),OR($K48="Milestone",$K48="Deadline"),$I48&gt;=AW$4,$I48&lt;AW$4+7),IF($K48="Deadline","◇","◆"),"")</f>
        <v/>
      </c>
      <c r="AX48" s="14" t="str">
        <f>IF(AND(ISNUMBER($I48),OR($K48="Milestone",$K48="Deadline"),$I48&gt;=AX$4,$I48&lt;AX$4+7),IF($K48="Deadline","◇","◆"),"")</f>
        <v/>
      </c>
      <c r="AY48" s="14" t="str">
        <f>IF(AND(ISNUMBER($I48),OR($K48="Milestone",$K48="Deadline"),$I48&gt;=AY$4,$I48&lt;AY$4+7),IF($K48="Deadline","◇","◆"),"")</f>
        <v/>
      </c>
      <c r="AZ48" s="14" t="str">
        <f>IF(AND(ISNUMBER($I48),OR($K48="Milestone",$K48="Deadline"),$I48&gt;=AZ$4,$I48&lt;AZ$4+7),IF($K48="Deadline","◇","◆"),"")</f>
        <v/>
      </c>
      <c r="BA48" s="14" t="str">
        <f>IF(AND(ISNUMBER($I48),OR($K48="Milestone",$K48="Deadline"),$I48&gt;=BA$4,$I48&lt;BA$4+7),IF($K48="Deadline","◇","◆"),"")</f>
        <v/>
      </c>
      <c r="BB48" s="14" t="str">
        <f>IF(AND(ISNUMBER($I48),OR($K48="Milestone",$K48="Deadline"),$I48&gt;=BB$4,$I48&lt;BB$4+7),IF($K48="Deadline","◇","◆"),"")</f>
        <v/>
      </c>
      <c r="BC48" s="14" t="str">
        <f>IF(AND(ISNUMBER($I48),OR($K48="Milestone",$K48="Deadline"),$I48&gt;=BC$4,$I48&lt;BC$4+7),IF($K48="Deadline","◇","◆"),"")</f>
        <v/>
      </c>
      <c r="BD48" s="14" t="str">
        <f>IF(AND(ISNUMBER($I48),OR($K48="Milestone",$K48="Deadline"),$I48&gt;=BD$4,$I48&lt;BD$4+7),IF($K48="Deadline","◇","◆"),"")</f>
        <v/>
      </c>
      <c r="BE48" s="14" t="str">
        <f>IF(AND(ISNUMBER($I48),OR($K48="Milestone",$K48="Deadline"),$I48&gt;=BE$4,$I48&lt;BE$4+7),IF($K48="Deadline","◇","◆"),"")</f>
        <v/>
      </c>
      <c r="BF48" s="14" t="str">
        <f>IF(AND(ISNUMBER($I48),OR($K48="Milestone",$K48="Deadline"),$I48&gt;=BF$4,$I48&lt;BF$4+7),IF($K48="Deadline","◇","◆"),"")</f>
        <v/>
      </c>
      <c r="BG48" s="14" t="str">
        <f>IF(AND(ISNUMBER($I48),OR($K48="Milestone",$K48="Deadline"),$I48&gt;=BG$4,$I48&lt;BG$4+7),IF($K48="Deadline","◇","◆"),"")</f>
        <v/>
      </c>
      <c r="BH48" s="14" t="str">
        <f>IF(AND(ISNUMBER($I48),OR($K48="Milestone",$K48="Deadline"),$I48&gt;=BH$4,$I48&lt;BH$4+7),IF($K48="Deadline","◇","◆"),"")</f>
        <v/>
      </c>
      <c r="BI48" s="14" t="str">
        <f>IF(AND(ISNUMBER($I48),OR($K48="Milestone",$K48="Deadline"),$I48&gt;=BI$4,$I48&lt;BI$4+7),IF($K48="Deadline","◇","◆"),"")</f>
        <v/>
      </c>
      <c r="BJ48" s="14" t="str">
        <f>IF(AND(ISNUMBER($I48),OR($K48="Milestone",$K48="Deadline"),$I48&gt;=BJ$4,$I48&lt;BJ$4+7),IF($K48="Deadline","◇","◆"),"")</f>
        <v/>
      </c>
      <c r="BK48" s="14" t="str">
        <f>IF(AND(ISNUMBER($I48),OR($K48="Milestone",$K48="Deadline"),$I48&gt;=BK$4,$I48&lt;BK$4+7),IF($K48="Deadline","◇","◆"),"")</f>
        <v/>
      </c>
      <c r="BL48" s="14" t="str">
        <f>IF(AND(ISNUMBER($I48),OR($K48="Milestone",$K48="Deadline"),$I48&gt;=BL$4,$I48&lt;BL$4+7),IF($K48="Deadline","◇","◆"),"")</f>
        <v/>
      </c>
      <c r="BM48" s="14" t="str">
        <f>IF(AND(ISNUMBER($I48),OR($K48="Milestone",$K48="Deadline"),$I48&gt;=BM$4,$I48&lt;BM$4+7),IF($K48="Deadline","◇","◆"),"")</f>
        <v/>
      </c>
      <c r="BN48" s="14" t="str">
        <f>IF(AND(ISNUMBER($I48),OR($K48="Milestone",$K48="Deadline"),$I48&gt;=BN$4,$I48&lt;BN$4+7),IF($K48="Deadline","◇","◆"),"")</f>
        <v/>
      </c>
      <c r="BO48" s="14" t="str">
        <f>IF(AND(ISNUMBER($I48),OR($K48="Milestone",$K48="Deadline"),$I48&gt;=BO$4,$I48&lt;BO$4+7),IF($K48="Deadline","◇","◆"),"")</f>
        <v/>
      </c>
      <c r="BP48" s="14" t="str">
        <f>IF(AND(ISNUMBER($I48),OR($K48="Milestone",$K48="Deadline"),$I48&gt;=BP$4,$I48&lt;BP$4+7),IF($K48="Deadline","◇","◆"),"")</f>
        <v/>
      </c>
      <c r="BQ48" s="14" t="str">
        <f>IF(AND(ISNUMBER($I48),OR($K48="Milestone",$K48="Deadline"),$I48&gt;=BQ$4,$I48&lt;BQ$4+7),IF($K48="Deadline","◇","◆"),"")</f>
        <v/>
      </c>
      <c r="BR48" s="14" t="str">
        <f>IF(AND(ISNUMBER($I48),OR($K48="Milestone",$K48="Deadline"),$I48&gt;=BR$4,$I48&lt;BR$4+7),IF($K48="Deadline","◇","◆"),"")</f>
        <v/>
      </c>
      <c r="BS48" s="14" t="str">
        <f>IF(AND(ISNUMBER($I48),OR($K48="Milestone",$K48="Deadline"),$I48&gt;=BS$4,$I48&lt;BS$4+7),IF($K48="Deadline","◇","◆"),"")</f>
        <v/>
      </c>
      <c r="BT48" s="14" t="str">
        <f>IF(AND(ISNUMBER($I48),OR($K48="Milestone",$K48="Deadline"),$I48&gt;=BT$4,$I48&lt;BT$4+7),IF($K48="Deadline","◇","◆"),"")</f>
        <v/>
      </c>
      <c r="BU48" s="14" t="str">
        <f>IF(AND(ISNUMBER($I48),OR($K48="Milestone",$K48="Deadline"),$I48&gt;=BU$4,$I48&lt;BU$4+7),IF($K48="Deadline","◇","◆"),"")</f>
        <v/>
      </c>
      <c r="BV48" s="14" t="str">
        <f>IF(AND(ISNUMBER($I48),OR($K48="Milestone",$K48="Deadline"),$I48&gt;=BV$4,$I48&lt;BV$4+7),IF($K48="Deadline","◇","◆"),"")</f>
        <v/>
      </c>
      <c r="BW48" s="14" t="str">
        <f>IF(AND(ISNUMBER($I48),OR($K48="Milestone",$K48="Deadline"),$I48&gt;=BW$4,$I48&lt;BW$4+7),IF($K48="Deadline","◇","◆"),"")</f>
        <v/>
      </c>
      <c r="BX48" s="14" t="str">
        <f>IF(AND(ISNUMBER($I48),OR($K48="Milestone",$K48="Deadline"),$I48&gt;=BX$4,$I48&lt;BX$4+7),IF($K48="Deadline","◇","◆"),"")</f>
        <v/>
      </c>
      <c r="BY48" s="14" t="str">
        <f>IF(AND(ISNUMBER($I48),OR($K48="Milestone",$K48="Deadline"),$I48&gt;=BY$4,$I48&lt;BY$4+7),IF($K48="Deadline","◇","◆"),"")</f>
        <v/>
      </c>
      <c r="BZ48" s="14" t="str">
        <f>IF(AND(ISNUMBER($I48),OR($K48="Milestone",$K48="Deadline"),$I48&gt;=BZ$4,$I48&lt;BZ$4+7),IF($K48="Deadline","◇","◆"),"")</f>
        <v/>
      </c>
      <c r="CA48" s="14" t="str">
        <f>IF(AND(ISNUMBER($I48),OR($K48="Milestone",$K48="Deadline"),$I48&gt;=CA$4,$I48&lt;CA$4+7),IF($K48="Deadline","◇","◆"),"")</f>
        <v/>
      </c>
      <c r="CB48" s="14" t="str">
        <f>IF(AND(ISNUMBER($I48),OR($K48="Milestone",$K48="Deadline"),$I48&gt;=CB$4,$I48&lt;CB$4+7),IF($K48="Deadline","◇","◆"),"")</f>
        <v/>
      </c>
      <c r="CC48" s="14" t="str">
        <f>IF(AND(ISNUMBER($I48),OR($K48="Milestone",$K48="Deadline"),$I48&gt;=CC$4,$I48&lt;CC$4+7),IF($K48="Deadline","◇","◆"),"")</f>
        <v/>
      </c>
      <c r="CD48" s="14" t="str">
        <f>IF(AND(ISNUMBER($I48),OR($K48="Milestone",$K48="Deadline"),$I48&gt;=CD$4,$I48&lt;CD$4+7),IF($K48="Deadline","◇","◆"),"")</f>
        <v/>
      </c>
      <c r="CE48" s="14" t="str">
        <f>IF(AND(ISNUMBER($I48),OR($K48="Milestone",$K48="Deadline"),$I48&gt;=CE$4,$I48&lt;CE$4+7),IF($K48="Deadline","◇","◆"),"")</f>
        <v/>
      </c>
      <c r="CF48" s="14" t="str">
        <f>IF(AND(ISNUMBER($I48),OR($K48="Milestone",$K48="Deadline"),$I48&gt;=CF$4,$I48&lt;CF$4+7),IF($K48="Deadline","◇","◆"),"")</f>
        <v/>
      </c>
      <c r="CG48" s="14" t="str">
        <f>IF(AND(ISNUMBER($I48),OR($K48="Milestone",$K48="Deadline"),$I48&gt;=CG$4,$I48&lt;CG$4+7),IF($K48="Deadline","◇","◆"),"")</f>
        <v/>
      </c>
      <c r="CH48" s="14" t="str">
        <f>IF(AND(ISNUMBER($I48),OR($K48="Milestone",$K48="Deadline"),$I48&gt;=CH$4,$I48&lt;CH$4+7),IF($K48="Deadline","◇","◆"),"")</f>
        <v/>
      </c>
      <c r="CI48" s="14" t="str">
        <f>IF(AND(ISNUMBER($I48),OR($K48="Milestone",$K48="Deadline"),$I48&gt;=CI$4,$I48&lt;CI$4+7),IF($K48="Deadline","◇","◆"),"")</f>
        <v/>
      </c>
      <c r="CJ48" s="14" t="str">
        <f>IF(AND(ISNUMBER($I48),OR($K48="Milestone",$K48="Deadline"),$I48&gt;=CJ$4,$I48&lt;CJ$4+7),IF($K48="Deadline","◇","◆"),"")</f>
        <v/>
      </c>
      <c r="CK48" s="14" t="str">
        <f>IF(AND(ISNUMBER($I48),OR($K48="Milestone",$K48="Deadline"),$I48&gt;=CK$4,$I48&lt;CK$4+7),IF($K48="Deadline","◇","◆"),"")</f>
        <v/>
      </c>
      <c r="CL48" s="14" t="str">
        <f>IF(AND(ISNUMBER($I48),OR($K48="Milestone",$K48="Deadline"),$I48&gt;=CL$4,$I48&lt;CL$4+7),IF($K48="Deadline","◇","◆"),"")</f>
        <v/>
      </c>
      <c r="CM48" s="14" t="str">
        <f>IF(AND(ISNUMBER($I48),OR($K48="Milestone",$K48="Deadline"),$I48&gt;=CM$4,$I48&lt;CM$4+7),IF($K48="Deadline","◇","◆"),"")</f>
        <v/>
      </c>
    </row>
    <row r="49" spans="1:91" ht="15" hidden="1" customHeight="1">
      <c r="A49" s="24" t="s">
        <v>182</v>
      </c>
      <c r="B49" s="24" t="s">
        <v>167</v>
      </c>
      <c r="C49" s="24" t="s">
        <v>63</v>
      </c>
      <c r="D49" s="24" t="s">
        <v>168</v>
      </c>
      <c r="E49" s="24" t="s">
        <v>169</v>
      </c>
      <c r="F49" s="24" t="s">
        <v>183</v>
      </c>
      <c r="G49" s="24" t="s">
        <v>184</v>
      </c>
      <c r="H49" s="24">
        <v>7</v>
      </c>
      <c r="I49" s="25">
        <f>MAX($C$2,J45+1,J48+1,J8+1,J211+1)</f>
        <v>46385</v>
      </c>
      <c r="J49" s="26">
        <f>IF(AND(ISNUMBER(I49),ISNUMBER(H49)),I49+H49-1,"")</f>
        <v>46391</v>
      </c>
      <c r="K49" s="24" t="s">
        <v>27</v>
      </c>
      <c r="L49" s="24" t="s">
        <v>185</v>
      </c>
      <c r="M49" s="27" t="s">
        <v>186</v>
      </c>
      <c r="N49" s="24"/>
      <c r="O49" s="27">
        <f>IF(AND(ISNUMBER(I49),ISNUMBER(J49)),J49-I49+1,"")</f>
        <v>7</v>
      </c>
      <c r="P49" s="13"/>
      <c r="Q49" s="13"/>
      <c r="R49" s="13"/>
      <c r="S49" s="13"/>
      <c r="T49" s="13"/>
      <c r="U49" s="13"/>
      <c r="V49" s="13" t="s">
        <v>140</v>
      </c>
      <c r="W49" s="13"/>
      <c r="X49" s="13"/>
      <c r="Y49" s="13"/>
      <c r="Z49" s="13"/>
      <c r="AA49" s="13"/>
      <c r="AB49" s="13"/>
      <c r="AC49" s="13"/>
      <c r="AD49" s="13"/>
      <c r="AE49" s="13"/>
      <c r="AF49" s="13" t="s">
        <v>140</v>
      </c>
      <c r="AG49" s="13"/>
      <c r="AH49" s="13"/>
      <c r="AI49" s="13"/>
      <c r="AJ49" s="13"/>
      <c r="AK49" s="13"/>
      <c r="AL49" s="13"/>
      <c r="AM49" s="13"/>
      <c r="AN49" s="13"/>
      <c r="AO49" s="14" t="str">
        <f>IF(AND(ISNUMBER($I49),OR($K49="Milestone",$K49="Deadline"),$I49&gt;=AO$4,$I49&lt;AO$4+7),IF($K49="Deadline","◇","◆"),"")</f>
        <v/>
      </c>
      <c r="AP49" s="14" t="str">
        <f>IF(AND(ISNUMBER($I49),OR($K49="Milestone",$K49="Deadline"),$I49&gt;=AP$4,$I49&lt;AP$4+7),IF($K49="Deadline","◇","◆"),"")</f>
        <v/>
      </c>
      <c r="AQ49" s="14" t="str">
        <f>IF(AND(ISNUMBER($I49),OR($K49="Milestone",$K49="Deadline"),$I49&gt;=AQ$4,$I49&lt;AQ$4+7),IF($K49="Deadline","◇","◆"),"")</f>
        <v/>
      </c>
      <c r="AR49" s="14" t="str">
        <f>IF(AND(ISNUMBER($I49),OR($K49="Milestone",$K49="Deadline"),$I49&gt;=AR$4,$I49&lt;AR$4+7),IF($K49="Deadline","◇","◆"),"")</f>
        <v/>
      </c>
      <c r="AS49" s="14" t="str">
        <f>IF(AND(ISNUMBER($I49),OR($K49="Milestone",$K49="Deadline"),$I49&gt;=AS$4,$I49&lt;AS$4+7),IF($K49="Deadline","◇","◆"),"")</f>
        <v/>
      </c>
      <c r="AT49" s="14" t="str">
        <f>IF(AND(ISNUMBER($I49),OR($K49="Milestone",$K49="Deadline"),$I49&gt;=AT$4,$I49&lt;AT$4+7),IF($K49="Deadline","◇","◆"),"")</f>
        <v/>
      </c>
      <c r="AU49" s="14" t="str">
        <f>IF(AND(ISNUMBER($I49),OR($K49="Milestone",$K49="Deadline"),$I49&gt;=AU$4,$I49&lt;AU$4+7),IF($K49="Deadline","◇","◆"),"")</f>
        <v/>
      </c>
      <c r="AV49" s="14" t="str">
        <f>IF(AND(ISNUMBER($I49),OR($K49="Milestone",$K49="Deadline"),$I49&gt;=AV$4,$I49&lt;AV$4+7),IF($K49="Deadline","◇","◆"),"")</f>
        <v/>
      </c>
      <c r="AW49" s="14" t="str">
        <f>IF(AND(ISNUMBER($I49),OR($K49="Milestone",$K49="Deadline"),$I49&gt;=AW$4,$I49&lt;AW$4+7),IF($K49="Deadline","◇","◆"),"")</f>
        <v/>
      </c>
      <c r="AX49" s="14" t="str">
        <f>IF(AND(ISNUMBER($I49),OR($K49="Milestone",$K49="Deadline"),$I49&gt;=AX$4,$I49&lt;AX$4+7),IF($K49="Deadline","◇","◆"),"")</f>
        <v/>
      </c>
      <c r="AY49" s="14" t="str">
        <f>IF(AND(ISNUMBER($I49),OR($K49="Milestone",$K49="Deadline"),$I49&gt;=AY$4,$I49&lt;AY$4+7),IF($K49="Deadline","◇","◆"),"")</f>
        <v/>
      </c>
      <c r="AZ49" s="14" t="str">
        <f>IF(AND(ISNUMBER($I49),OR($K49="Milestone",$K49="Deadline"),$I49&gt;=AZ$4,$I49&lt;AZ$4+7),IF($K49="Deadline","◇","◆"),"")</f>
        <v/>
      </c>
      <c r="BA49" s="14" t="str">
        <f>IF(AND(ISNUMBER($I49),OR($K49="Milestone",$K49="Deadline"),$I49&gt;=BA$4,$I49&lt;BA$4+7),IF($K49="Deadline","◇","◆"),"")</f>
        <v/>
      </c>
      <c r="BB49" s="14" t="str">
        <f>IF(AND(ISNUMBER($I49),OR($K49="Milestone",$K49="Deadline"),$I49&gt;=BB$4,$I49&lt;BB$4+7),IF($K49="Deadline","◇","◆"),"")</f>
        <v/>
      </c>
      <c r="BC49" s="14" t="str">
        <f>IF(AND(ISNUMBER($I49),OR($K49="Milestone",$K49="Deadline"),$I49&gt;=BC$4,$I49&lt;BC$4+7),IF($K49="Deadline","◇","◆"),"")</f>
        <v/>
      </c>
      <c r="BD49" s="14" t="str">
        <f>IF(AND(ISNUMBER($I49),OR($K49="Milestone",$K49="Deadline"),$I49&gt;=BD$4,$I49&lt;BD$4+7),IF($K49="Deadline","◇","◆"),"")</f>
        <v/>
      </c>
      <c r="BE49" s="14" t="str">
        <f>IF(AND(ISNUMBER($I49),OR($K49="Milestone",$K49="Deadline"),$I49&gt;=BE$4,$I49&lt;BE$4+7),IF($K49="Deadline","◇","◆"),"")</f>
        <v/>
      </c>
      <c r="BF49" s="14" t="str">
        <f>IF(AND(ISNUMBER($I49),OR($K49="Milestone",$K49="Deadline"),$I49&gt;=BF$4,$I49&lt;BF$4+7),IF($K49="Deadline","◇","◆"),"")</f>
        <v/>
      </c>
      <c r="BG49" s="14" t="str">
        <f>IF(AND(ISNUMBER($I49),OR($K49="Milestone",$K49="Deadline"),$I49&gt;=BG$4,$I49&lt;BG$4+7),IF($K49="Deadline","◇","◆"),"")</f>
        <v/>
      </c>
      <c r="BH49" s="14" t="str">
        <f>IF(AND(ISNUMBER($I49),OR($K49="Milestone",$K49="Deadline"),$I49&gt;=BH$4,$I49&lt;BH$4+7),IF($K49="Deadline","◇","◆"),"")</f>
        <v/>
      </c>
      <c r="BI49" s="14" t="str">
        <f>IF(AND(ISNUMBER($I49),OR($K49="Milestone",$K49="Deadline"),$I49&gt;=BI$4,$I49&lt;BI$4+7),IF($K49="Deadline","◇","◆"),"")</f>
        <v/>
      </c>
      <c r="BJ49" s="14" t="str">
        <f>IF(AND(ISNUMBER($I49),OR($K49="Milestone",$K49="Deadline"),$I49&gt;=BJ$4,$I49&lt;BJ$4+7),IF($K49="Deadline","◇","◆"),"")</f>
        <v/>
      </c>
      <c r="BK49" s="14" t="str">
        <f>IF(AND(ISNUMBER($I49),OR($K49="Milestone",$K49="Deadline"),$I49&gt;=BK$4,$I49&lt;BK$4+7),IF($K49="Deadline","◇","◆"),"")</f>
        <v/>
      </c>
      <c r="BL49" s="14" t="str">
        <f>IF(AND(ISNUMBER($I49),OR($K49="Milestone",$K49="Deadline"),$I49&gt;=BL$4,$I49&lt;BL$4+7),IF($K49="Deadline","◇","◆"),"")</f>
        <v/>
      </c>
      <c r="BM49" s="14" t="str">
        <f>IF(AND(ISNUMBER($I49),OR($K49="Milestone",$K49="Deadline"),$I49&gt;=BM$4,$I49&lt;BM$4+7),IF($K49="Deadline","◇","◆"),"")</f>
        <v/>
      </c>
      <c r="BN49" s="14" t="str">
        <f>IF(AND(ISNUMBER($I49),OR($K49="Milestone",$K49="Deadline"),$I49&gt;=BN$4,$I49&lt;BN$4+7),IF($K49="Deadline","◇","◆"),"")</f>
        <v/>
      </c>
      <c r="BO49" s="14" t="str">
        <f>IF(AND(ISNUMBER($I49),OR($K49="Milestone",$K49="Deadline"),$I49&gt;=BO$4,$I49&lt;BO$4+7),IF($K49="Deadline","◇","◆"),"")</f>
        <v/>
      </c>
      <c r="BP49" s="14" t="str">
        <f>IF(AND(ISNUMBER($I49),OR($K49="Milestone",$K49="Deadline"),$I49&gt;=BP$4,$I49&lt;BP$4+7),IF($K49="Deadline","◇","◆"),"")</f>
        <v/>
      </c>
      <c r="BQ49" s="14" t="str">
        <f>IF(AND(ISNUMBER($I49),OR($K49="Milestone",$K49="Deadline"),$I49&gt;=BQ$4,$I49&lt;BQ$4+7),IF($K49="Deadline","◇","◆"),"")</f>
        <v/>
      </c>
      <c r="BR49" s="14" t="str">
        <f>IF(AND(ISNUMBER($I49),OR($K49="Milestone",$K49="Deadline"),$I49&gt;=BR$4,$I49&lt;BR$4+7),IF($K49="Deadline","◇","◆"),"")</f>
        <v/>
      </c>
      <c r="BS49" s="14" t="str">
        <f>IF(AND(ISNUMBER($I49),OR($K49="Milestone",$K49="Deadline"),$I49&gt;=BS$4,$I49&lt;BS$4+7),IF($K49="Deadline","◇","◆"),"")</f>
        <v/>
      </c>
      <c r="BT49" s="14" t="str">
        <f>IF(AND(ISNUMBER($I49),OR($K49="Milestone",$K49="Deadline"),$I49&gt;=BT$4,$I49&lt;BT$4+7),IF($K49="Deadline","◇","◆"),"")</f>
        <v/>
      </c>
      <c r="BU49" s="14" t="str">
        <f>IF(AND(ISNUMBER($I49),OR($K49="Milestone",$K49="Deadline"),$I49&gt;=BU$4,$I49&lt;BU$4+7),IF($K49="Deadline","◇","◆"),"")</f>
        <v/>
      </c>
      <c r="BV49" s="14" t="str">
        <f>IF(AND(ISNUMBER($I49),OR($K49="Milestone",$K49="Deadline"),$I49&gt;=BV$4,$I49&lt;BV$4+7),IF($K49="Deadline","◇","◆"),"")</f>
        <v/>
      </c>
      <c r="BW49" s="14" t="str">
        <f>IF(AND(ISNUMBER($I49),OR($K49="Milestone",$K49="Deadline"),$I49&gt;=BW$4,$I49&lt;BW$4+7),IF($K49="Deadline","◇","◆"),"")</f>
        <v/>
      </c>
      <c r="BX49" s="14" t="str">
        <f>IF(AND(ISNUMBER($I49),OR($K49="Milestone",$K49="Deadline"),$I49&gt;=BX$4,$I49&lt;BX$4+7),IF($K49="Deadline","◇","◆"),"")</f>
        <v/>
      </c>
      <c r="BY49" s="14" t="str">
        <f>IF(AND(ISNUMBER($I49),OR($K49="Milestone",$K49="Deadline"),$I49&gt;=BY$4,$I49&lt;BY$4+7),IF($K49="Deadline","◇","◆"),"")</f>
        <v/>
      </c>
      <c r="BZ49" s="14" t="str">
        <f>IF(AND(ISNUMBER($I49),OR($K49="Milestone",$K49="Deadline"),$I49&gt;=BZ$4,$I49&lt;BZ$4+7),IF($K49="Deadline","◇","◆"),"")</f>
        <v/>
      </c>
      <c r="CA49" s="14" t="str">
        <f>IF(AND(ISNUMBER($I49),OR($K49="Milestone",$K49="Deadline"),$I49&gt;=CA$4,$I49&lt;CA$4+7),IF($K49="Deadline","◇","◆"),"")</f>
        <v/>
      </c>
      <c r="CB49" s="14" t="str">
        <f>IF(AND(ISNUMBER($I49),OR($K49="Milestone",$K49="Deadline"),$I49&gt;=CB$4,$I49&lt;CB$4+7),IF($K49="Deadline","◇","◆"),"")</f>
        <v/>
      </c>
      <c r="CC49" s="14" t="str">
        <f>IF(AND(ISNUMBER($I49),OR($K49="Milestone",$K49="Deadline"),$I49&gt;=CC$4,$I49&lt;CC$4+7),IF($K49="Deadline","◇","◆"),"")</f>
        <v/>
      </c>
      <c r="CD49" s="14" t="str">
        <f>IF(AND(ISNUMBER($I49),OR($K49="Milestone",$K49="Deadline"),$I49&gt;=CD$4,$I49&lt;CD$4+7),IF($K49="Deadline","◇","◆"),"")</f>
        <v/>
      </c>
      <c r="CE49" s="14" t="str">
        <f>IF(AND(ISNUMBER($I49),OR($K49="Milestone",$K49="Deadline"),$I49&gt;=CE$4,$I49&lt;CE$4+7),IF($K49="Deadline","◇","◆"),"")</f>
        <v/>
      </c>
      <c r="CF49" s="14" t="str">
        <f>IF(AND(ISNUMBER($I49),OR($K49="Milestone",$K49="Deadline"),$I49&gt;=CF$4,$I49&lt;CF$4+7),IF($K49="Deadline","◇","◆"),"")</f>
        <v/>
      </c>
      <c r="CG49" s="14" t="str">
        <f>IF(AND(ISNUMBER($I49),OR($K49="Milestone",$K49="Deadline"),$I49&gt;=CG$4,$I49&lt;CG$4+7),IF($K49="Deadline","◇","◆"),"")</f>
        <v/>
      </c>
      <c r="CH49" s="14" t="str">
        <f>IF(AND(ISNUMBER($I49),OR($K49="Milestone",$K49="Deadline"),$I49&gt;=CH$4,$I49&lt;CH$4+7),IF($K49="Deadline","◇","◆"),"")</f>
        <v/>
      </c>
      <c r="CI49" s="14" t="str">
        <f>IF(AND(ISNUMBER($I49),OR($K49="Milestone",$K49="Deadline"),$I49&gt;=CI$4,$I49&lt;CI$4+7),IF($K49="Deadline","◇","◆"),"")</f>
        <v/>
      </c>
      <c r="CJ49" s="14" t="str">
        <f>IF(AND(ISNUMBER($I49),OR($K49="Milestone",$K49="Deadline"),$I49&gt;=CJ$4,$I49&lt;CJ$4+7),IF($K49="Deadline","◇","◆"),"")</f>
        <v/>
      </c>
      <c r="CK49" s="14" t="str">
        <f>IF(AND(ISNUMBER($I49),OR($K49="Milestone",$K49="Deadline"),$I49&gt;=CK$4,$I49&lt;CK$4+7),IF($K49="Deadline","◇","◆"),"")</f>
        <v/>
      </c>
      <c r="CL49" s="14" t="str">
        <f>IF(AND(ISNUMBER($I49),OR($K49="Milestone",$K49="Deadline"),$I49&gt;=CL$4,$I49&lt;CL$4+7),IF($K49="Deadline","◇","◆"),"")</f>
        <v/>
      </c>
      <c r="CM49" s="14" t="str">
        <f>IF(AND(ISNUMBER($I49),OR($K49="Milestone",$K49="Deadline"),$I49&gt;=CM$4,$I49&lt;CM$4+7),IF($K49="Deadline","◇","◆"),"")</f>
        <v/>
      </c>
    </row>
    <row r="50" spans="1:91" ht="15" hidden="1" customHeight="1">
      <c r="A50" s="24" t="s">
        <v>187</v>
      </c>
      <c r="B50" s="24" t="s">
        <v>167</v>
      </c>
      <c r="C50" s="24" t="s">
        <v>63</v>
      </c>
      <c r="D50" s="24" t="s">
        <v>168</v>
      </c>
      <c r="E50" s="24" t="s">
        <v>169</v>
      </c>
      <c r="F50" s="24" t="s">
        <v>183</v>
      </c>
      <c r="G50" s="24" t="s">
        <v>188</v>
      </c>
      <c r="H50" s="24">
        <v>13</v>
      </c>
      <c r="I50" s="25">
        <f>MAX($C$2,J49+1,J201+1)</f>
        <v>46392</v>
      </c>
      <c r="J50" s="26">
        <f>IF(AND(ISNUMBER(I50),ISNUMBER(H50)),I50+H50-1,"")</f>
        <v>46404</v>
      </c>
      <c r="K50" s="24" t="s">
        <v>27</v>
      </c>
      <c r="L50" s="24" t="s">
        <v>182</v>
      </c>
      <c r="M50" s="27" t="s">
        <v>189</v>
      </c>
      <c r="N50" s="24"/>
      <c r="O50" s="27">
        <f>IF(AND(ISNUMBER(I50),ISNUMBER(J50)),J50-I50+1,"")</f>
        <v>13</v>
      </c>
      <c r="P50" s="13"/>
      <c r="Q50" s="13"/>
      <c r="R50" s="13"/>
      <c r="S50" s="13"/>
      <c r="T50" s="13"/>
      <c r="U50" s="13"/>
      <c r="V50" s="13" t="s">
        <v>140</v>
      </c>
      <c r="W50" s="13"/>
      <c r="X50" s="13"/>
      <c r="Y50" s="13"/>
      <c r="Z50" s="13"/>
      <c r="AA50" s="13"/>
      <c r="AB50" s="13"/>
      <c r="AC50" s="13"/>
      <c r="AD50" s="13"/>
      <c r="AE50" s="13" t="s">
        <v>140</v>
      </c>
      <c r="AF50" s="13"/>
      <c r="AG50" s="13"/>
      <c r="AH50" s="13"/>
      <c r="AI50" s="13"/>
      <c r="AJ50" s="13"/>
      <c r="AK50" s="13"/>
      <c r="AL50" s="13"/>
      <c r="AM50" s="13"/>
      <c r="AN50" s="13"/>
      <c r="AO50" s="14" t="str">
        <f>IF(AND(ISNUMBER($I50),OR($K50="Milestone",$K50="Deadline"),$I50&gt;=AO$4,$I50&lt;AO$4+7),IF($K50="Deadline","◇","◆"),"")</f>
        <v/>
      </c>
      <c r="AP50" s="14" t="str">
        <f>IF(AND(ISNUMBER($I50),OR($K50="Milestone",$K50="Deadline"),$I50&gt;=AP$4,$I50&lt;AP$4+7),IF($K50="Deadline","◇","◆"),"")</f>
        <v/>
      </c>
      <c r="AQ50" s="14" t="str">
        <f>IF(AND(ISNUMBER($I50),OR($K50="Milestone",$K50="Deadline"),$I50&gt;=AQ$4,$I50&lt;AQ$4+7),IF($K50="Deadline","◇","◆"),"")</f>
        <v/>
      </c>
      <c r="AR50" s="14" t="str">
        <f>IF(AND(ISNUMBER($I50),OR($K50="Milestone",$K50="Deadline"),$I50&gt;=AR$4,$I50&lt;AR$4+7),IF($K50="Deadline","◇","◆"),"")</f>
        <v/>
      </c>
      <c r="AS50" s="14" t="str">
        <f>IF(AND(ISNUMBER($I50),OR($K50="Milestone",$K50="Deadline"),$I50&gt;=AS$4,$I50&lt;AS$4+7),IF($K50="Deadline","◇","◆"),"")</f>
        <v/>
      </c>
      <c r="AT50" s="14" t="str">
        <f>IF(AND(ISNUMBER($I50),OR($K50="Milestone",$K50="Deadline"),$I50&gt;=AT$4,$I50&lt;AT$4+7),IF($K50="Deadline","◇","◆"),"")</f>
        <v/>
      </c>
      <c r="AU50" s="14" t="str">
        <f>IF(AND(ISNUMBER($I50),OR($K50="Milestone",$K50="Deadline"),$I50&gt;=AU$4,$I50&lt;AU$4+7),IF($K50="Deadline","◇","◆"),"")</f>
        <v/>
      </c>
      <c r="AV50" s="14" t="str">
        <f>IF(AND(ISNUMBER($I50),OR($K50="Milestone",$K50="Deadline"),$I50&gt;=AV$4,$I50&lt;AV$4+7),IF($K50="Deadline","◇","◆"),"")</f>
        <v/>
      </c>
      <c r="AW50" s="14" t="str">
        <f>IF(AND(ISNUMBER($I50),OR($K50="Milestone",$K50="Deadline"),$I50&gt;=AW$4,$I50&lt;AW$4+7),IF($K50="Deadline","◇","◆"),"")</f>
        <v/>
      </c>
      <c r="AX50" s="14" t="str">
        <f>IF(AND(ISNUMBER($I50),OR($K50="Milestone",$K50="Deadline"),$I50&gt;=AX$4,$I50&lt;AX$4+7),IF($K50="Deadline","◇","◆"),"")</f>
        <v/>
      </c>
      <c r="AY50" s="14" t="str">
        <f>IF(AND(ISNUMBER($I50),OR($K50="Milestone",$K50="Deadline"),$I50&gt;=AY$4,$I50&lt;AY$4+7),IF($K50="Deadline","◇","◆"),"")</f>
        <v/>
      </c>
      <c r="AZ50" s="14" t="str">
        <f>IF(AND(ISNUMBER($I50),OR($K50="Milestone",$K50="Deadline"),$I50&gt;=AZ$4,$I50&lt;AZ$4+7),IF($K50="Deadline","◇","◆"),"")</f>
        <v/>
      </c>
      <c r="BA50" s="14" t="str">
        <f>IF(AND(ISNUMBER($I50),OR($K50="Milestone",$K50="Deadline"),$I50&gt;=BA$4,$I50&lt;BA$4+7),IF($K50="Deadline","◇","◆"),"")</f>
        <v/>
      </c>
      <c r="BB50" s="14" t="str">
        <f>IF(AND(ISNUMBER($I50),OR($K50="Milestone",$K50="Deadline"),$I50&gt;=BB$4,$I50&lt;BB$4+7),IF($K50="Deadline","◇","◆"),"")</f>
        <v/>
      </c>
      <c r="BC50" s="14" t="str">
        <f>IF(AND(ISNUMBER($I50),OR($K50="Milestone",$K50="Deadline"),$I50&gt;=BC$4,$I50&lt;BC$4+7),IF($K50="Deadline","◇","◆"),"")</f>
        <v/>
      </c>
      <c r="BD50" s="14" t="str">
        <f>IF(AND(ISNUMBER($I50),OR($K50="Milestone",$K50="Deadline"),$I50&gt;=BD$4,$I50&lt;BD$4+7),IF($K50="Deadline","◇","◆"),"")</f>
        <v/>
      </c>
      <c r="BE50" s="14" t="str">
        <f>IF(AND(ISNUMBER($I50),OR($K50="Milestone",$K50="Deadline"),$I50&gt;=BE$4,$I50&lt;BE$4+7),IF($K50="Deadline","◇","◆"),"")</f>
        <v/>
      </c>
      <c r="BF50" s="14" t="str">
        <f>IF(AND(ISNUMBER($I50),OR($K50="Milestone",$K50="Deadline"),$I50&gt;=BF$4,$I50&lt;BF$4+7),IF($K50="Deadline","◇","◆"),"")</f>
        <v/>
      </c>
      <c r="BG50" s="14" t="str">
        <f>IF(AND(ISNUMBER($I50),OR($K50="Milestone",$K50="Deadline"),$I50&gt;=BG$4,$I50&lt;BG$4+7),IF($K50="Deadline","◇","◆"),"")</f>
        <v/>
      </c>
      <c r="BH50" s="14" t="str">
        <f>IF(AND(ISNUMBER($I50),OR($K50="Milestone",$K50="Deadline"),$I50&gt;=BH$4,$I50&lt;BH$4+7),IF($K50="Deadline","◇","◆"),"")</f>
        <v/>
      </c>
      <c r="BI50" s="14" t="str">
        <f>IF(AND(ISNUMBER($I50),OR($K50="Milestone",$K50="Deadline"),$I50&gt;=BI$4,$I50&lt;BI$4+7),IF($K50="Deadline","◇","◆"),"")</f>
        <v/>
      </c>
      <c r="BJ50" s="14" t="str">
        <f>IF(AND(ISNUMBER($I50),OR($K50="Milestone",$K50="Deadline"),$I50&gt;=BJ$4,$I50&lt;BJ$4+7),IF($K50="Deadline","◇","◆"),"")</f>
        <v/>
      </c>
      <c r="BK50" s="14" t="str">
        <f>IF(AND(ISNUMBER($I50),OR($K50="Milestone",$K50="Deadline"),$I50&gt;=BK$4,$I50&lt;BK$4+7),IF($K50="Deadline","◇","◆"),"")</f>
        <v/>
      </c>
      <c r="BL50" s="14" t="str">
        <f>IF(AND(ISNUMBER($I50),OR($K50="Milestone",$K50="Deadline"),$I50&gt;=BL$4,$I50&lt;BL$4+7),IF($K50="Deadline","◇","◆"),"")</f>
        <v/>
      </c>
      <c r="BM50" s="14" t="str">
        <f>IF(AND(ISNUMBER($I50),OR($K50="Milestone",$K50="Deadline"),$I50&gt;=BM$4,$I50&lt;BM$4+7),IF($K50="Deadline","◇","◆"),"")</f>
        <v/>
      </c>
      <c r="BN50" s="14" t="str">
        <f>IF(AND(ISNUMBER($I50),OR($K50="Milestone",$K50="Deadline"),$I50&gt;=BN$4,$I50&lt;BN$4+7),IF($K50="Deadline","◇","◆"),"")</f>
        <v/>
      </c>
      <c r="BO50" s="14" t="str">
        <f>IF(AND(ISNUMBER($I50),OR($K50="Milestone",$K50="Deadline"),$I50&gt;=BO$4,$I50&lt;BO$4+7),IF($K50="Deadline","◇","◆"),"")</f>
        <v/>
      </c>
      <c r="BP50" s="14" t="str">
        <f>IF(AND(ISNUMBER($I50),OR($K50="Milestone",$K50="Deadline"),$I50&gt;=BP$4,$I50&lt;BP$4+7),IF($K50="Deadline","◇","◆"),"")</f>
        <v/>
      </c>
      <c r="BQ50" s="14" t="str">
        <f>IF(AND(ISNUMBER($I50),OR($K50="Milestone",$K50="Deadline"),$I50&gt;=BQ$4,$I50&lt;BQ$4+7),IF($K50="Deadline","◇","◆"),"")</f>
        <v/>
      </c>
      <c r="BR50" s="14" t="str">
        <f>IF(AND(ISNUMBER($I50),OR($K50="Milestone",$K50="Deadline"),$I50&gt;=BR$4,$I50&lt;BR$4+7),IF($K50="Deadline","◇","◆"),"")</f>
        <v/>
      </c>
      <c r="BS50" s="14" t="str">
        <f>IF(AND(ISNUMBER($I50),OR($K50="Milestone",$K50="Deadline"),$I50&gt;=BS$4,$I50&lt;BS$4+7),IF($K50="Deadline","◇","◆"),"")</f>
        <v/>
      </c>
      <c r="BT50" s="14" t="str">
        <f>IF(AND(ISNUMBER($I50),OR($K50="Milestone",$K50="Deadline"),$I50&gt;=BT$4,$I50&lt;BT$4+7),IF($K50="Deadline","◇","◆"),"")</f>
        <v/>
      </c>
      <c r="BU50" s="14" t="str">
        <f>IF(AND(ISNUMBER($I50),OR($K50="Milestone",$K50="Deadline"),$I50&gt;=BU$4,$I50&lt;BU$4+7),IF($K50="Deadline","◇","◆"),"")</f>
        <v/>
      </c>
      <c r="BV50" s="14" t="str">
        <f>IF(AND(ISNUMBER($I50),OR($K50="Milestone",$K50="Deadline"),$I50&gt;=BV$4,$I50&lt;BV$4+7),IF($K50="Deadline","◇","◆"),"")</f>
        <v/>
      </c>
      <c r="BW50" s="14" t="str">
        <f>IF(AND(ISNUMBER($I50),OR($K50="Milestone",$K50="Deadline"),$I50&gt;=BW$4,$I50&lt;BW$4+7),IF($K50="Deadline","◇","◆"),"")</f>
        <v/>
      </c>
      <c r="BX50" s="14" t="str">
        <f>IF(AND(ISNUMBER($I50),OR($K50="Milestone",$K50="Deadline"),$I50&gt;=BX$4,$I50&lt;BX$4+7),IF($K50="Deadline","◇","◆"),"")</f>
        <v/>
      </c>
      <c r="BY50" s="14" t="str">
        <f>IF(AND(ISNUMBER($I50),OR($K50="Milestone",$K50="Deadline"),$I50&gt;=BY$4,$I50&lt;BY$4+7),IF($K50="Deadline","◇","◆"),"")</f>
        <v/>
      </c>
      <c r="BZ50" s="14" t="str">
        <f>IF(AND(ISNUMBER($I50),OR($K50="Milestone",$K50="Deadline"),$I50&gt;=BZ$4,$I50&lt;BZ$4+7),IF($K50="Deadline","◇","◆"),"")</f>
        <v/>
      </c>
      <c r="CA50" s="14" t="str">
        <f>IF(AND(ISNUMBER($I50),OR($K50="Milestone",$K50="Deadline"),$I50&gt;=CA$4,$I50&lt;CA$4+7),IF($K50="Deadline","◇","◆"),"")</f>
        <v/>
      </c>
      <c r="CB50" s="14" t="str">
        <f>IF(AND(ISNUMBER($I50),OR($K50="Milestone",$K50="Deadline"),$I50&gt;=CB$4,$I50&lt;CB$4+7),IF($K50="Deadline","◇","◆"),"")</f>
        <v/>
      </c>
      <c r="CC50" s="14" t="str">
        <f>IF(AND(ISNUMBER($I50),OR($K50="Milestone",$K50="Deadline"),$I50&gt;=CC$4,$I50&lt;CC$4+7),IF($K50="Deadline","◇","◆"),"")</f>
        <v/>
      </c>
      <c r="CD50" s="14" t="str">
        <f>IF(AND(ISNUMBER($I50),OR($K50="Milestone",$K50="Deadline"),$I50&gt;=CD$4,$I50&lt;CD$4+7),IF($K50="Deadline","◇","◆"),"")</f>
        <v/>
      </c>
      <c r="CE50" s="14" t="str">
        <f>IF(AND(ISNUMBER($I50),OR($K50="Milestone",$K50="Deadline"),$I50&gt;=CE$4,$I50&lt;CE$4+7),IF($K50="Deadline","◇","◆"),"")</f>
        <v/>
      </c>
      <c r="CF50" s="14" t="str">
        <f>IF(AND(ISNUMBER($I50),OR($K50="Milestone",$K50="Deadline"),$I50&gt;=CF$4,$I50&lt;CF$4+7),IF($K50="Deadline","◇","◆"),"")</f>
        <v/>
      </c>
      <c r="CG50" s="14" t="str">
        <f>IF(AND(ISNUMBER($I50),OR($K50="Milestone",$K50="Deadline"),$I50&gt;=CG$4,$I50&lt;CG$4+7),IF($K50="Deadline","◇","◆"),"")</f>
        <v/>
      </c>
      <c r="CH50" s="14" t="str">
        <f>IF(AND(ISNUMBER($I50),OR($K50="Milestone",$K50="Deadline"),$I50&gt;=CH$4,$I50&lt;CH$4+7),IF($K50="Deadline","◇","◆"),"")</f>
        <v/>
      </c>
      <c r="CI50" s="14" t="str">
        <f>IF(AND(ISNUMBER($I50),OR($K50="Milestone",$K50="Deadline"),$I50&gt;=CI$4,$I50&lt;CI$4+7),IF($K50="Deadline","◇","◆"),"")</f>
        <v/>
      </c>
      <c r="CJ50" s="14" t="str">
        <f>IF(AND(ISNUMBER($I50),OR($K50="Milestone",$K50="Deadline"),$I50&gt;=CJ$4,$I50&lt;CJ$4+7),IF($K50="Deadline","◇","◆"),"")</f>
        <v/>
      </c>
      <c r="CK50" s="14" t="str">
        <f>IF(AND(ISNUMBER($I50),OR($K50="Milestone",$K50="Deadline"),$I50&gt;=CK$4,$I50&lt;CK$4+7),IF($K50="Deadline","◇","◆"),"")</f>
        <v/>
      </c>
      <c r="CL50" s="14" t="str">
        <f>IF(AND(ISNUMBER($I50),OR($K50="Milestone",$K50="Deadline"),$I50&gt;=CL$4,$I50&lt;CL$4+7),IF($K50="Deadline","◇","◆"),"")</f>
        <v/>
      </c>
      <c r="CM50" s="14" t="str">
        <f>IF(AND(ISNUMBER($I50),OR($K50="Milestone",$K50="Deadline"),$I50&gt;=CM$4,$I50&lt;CM$4+7),IF($K50="Deadline","◇","◆"),"")</f>
        <v/>
      </c>
    </row>
    <row r="51" spans="1:91" ht="15" hidden="1" customHeight="1">
      <c r="A51" s="24" t="s">
        <v>190</v>
      </c>
      <c r="B51" s="24" t="s">
        <v>167</v>
      </c>
      <c r="C51" s="24" t="s">
        <v>191</v>
      </c>
      <c r="D51" s="24" t="s">
        <v>168</v>
      </c>
      <c r="E51" s="24" t="s">
        <v>169</v>
      </c>
      <c r="F51" s="24" t="s">
        <v>183</v>
      </c>
      <c r="G51" s="24" t="s">
        <v>192</v>
      </c>
      <c r="H51" s="24">
        <v>8</v>
      </c>
      <c r="I51" s="25">
        <f>MAX(DATE(2027,3,1),J50+1,J278+1)</f>
        <v>46447</v>
      </c>
      <c r="J51" s="26">
        <f>IF(AND(ISNUMBER(I51),ISNUMBER(H51)),I51+H51-1,"")</f>
        <v>46454</v>
      </c>
      <c r="K51" s="24" t="s">
        <v>27</v>
      </c>
      <c r="L51" s="24" t="s">
        <v>187</v>
      </c>
      <c r="M51" s="27" t="s">
        <v>193</v>
      </c>
      <c r="N51" s="24"/>
      <c r="O51" s="27">
        <f>IF(AND(ISNUMBER(I51),ISNUMBER(J51)),J51-I51+1,"")</f>
        <v>8</v>
      </c>
      <c r="P51" s="13"/>
      <c r="Q51" s="13"/>
      <c r="R51" s="13"/>
      <c r="S51" s="13"/>
      <c r="T51" s="13"/>
      <c r="U51" s="13"/>
      <c r="V51" s="13" t="s">
        <v>140</v>
      </c>
      <c r="W51" s="13"/>
      <c r="X51" s="13"/>
      <c r="Y51" s="13"/>
      <c r="Z51" s="13"/>
      <c r="AA51" s="13"/>
      <c r="AB51" s="13"/>
      <c r="AC51" s="13"/>
      <c r="AD51" s="13"/>
      <c r="AE51" s="13"/>
      <c r="AF51" s="13" t="s">
        <v>140</v>
      </c>
      <c r="AG51" s="13"/>
      <c r="AH51" s="13"/>
      <c r="AI51" s="13"/>
      <c r="AJ51" s="13"/>
      <c r="AK51" s="13"/>
      <c r="AL51" s="13"/>
      <c r="AM51" s="13"/>
      <c r="AN51" s="13"/>
      <c r="AO51" s="14" t="str">
        <f>IF(AND(ISNUMBER($I51),OR($K51="Milestone",$K51="Deadline"),$I51&gt;=AO$4,$I51&lt;AO$4+7),IF($K51="Deadline","◇","◆"),"")</f>
        <v/>
      </c>
      <c r="AP51" s="14" t="str">
        <f>IF(AND(ISNUMBER($I51),OR($K51="Milestone",$K51="Deadline"),$I51&gt;=AP$4,$I51&lt;AP$4+7),IF($K51="Deadline","◇","◆"),"")</f>
        <v/>
      </c>
      <c r="AQ51" s="14" t="str">
        <f>IF(AND(ISNUMBER($I51),OR($K51="Milestone",$K51="Deadline"),$I51&gt;=AQ$4,$I51&lt;AQ$4+7),IF($K51="Deadline","◇","◆"),"")</f>
        <v/>
      </c>
      <c r="AR51" s="14" t="str">
        <f>IF(AND(ISNUMBER($I51),OR($K51="Milestone",$K51="Deadline"),$I51&gt;=AR$4,$I51&lt;AR$4+7),IF($K51="Deadline","◇","◆"),"")</f>
        <v/>
      </c>
      <c r="AS51" s="14" t="str">
        <f>IF(AND(ISNUMBER($I51),OR($K51="Milestone",$K51="Deadline"),$I51&gt;=AS$4,$I51&lt;AS$4+7),IF($K51="Deadline","◇","◆"),"")</f>
        <v/>
      </c>
      <c r="AT51" s="14" t="str">
        <f>IF(AND(ISNUMBER($I51),OR($K51="Milestone",$K51="Deadline"),$I51&gt;=AT$4,$I51&lt;AT$4+7),IF($K51="Deadline","◇","◆"),"")</f>
        <v/>
      </c>
      <c r="AU51" s="14" t="str">
        <f>IF(AND(ISNUMBER($I51),OR($K51="Milestone",$K51="Deadline"),$I51&gt;=AU$4,$I51&lt;AU$4+7),IF($K51="Deadline","◇","◆"),"")</f>
        <v/>
      </c>
      <c r="AV51" s="14" t="str">
        <f>IF(AND(ISNUMBER($I51),OR($K51="Milestone",$K51="Deadline"),$I51&gt;=AV$4,$I51&lt;AV$4+7),IF($K51="Deadline","◇","◆"),"")</f>
        <v/>
      </c>
      <c r="AW51" s="14" t="str">
        <f>IF(AND(ISNUMBER($I51),OR($K51="Milestone",$K51="Deadline"),$I51&gt;=AW$4,$I51&lt;AW$4+7),IF($K51="Deadline","◇","◆"),"")</f>
        <v/>
      </c>
      <c r="AX51" s="14" t="str">
        <f>IF(AND(ISNUMBER($I51),OR($K51="Milestone",$K51="Deadline"),$I51&gt;=AX$4,$I51&lt;AX$4+7),IF($K51="Deadline","◇","◆"),"")</f>
        <v/>
      </c>
      <c r="AY51" s="14" t="str">
        <f>IF(AND(ISNUMBER($I51),OR($K51="Milestone",$K51="Deadline"),$I51&gt;=AY$4,$I51&lt;AY$4+7),IF($K51="Deadline","◇","◆"),"")</f>
        <v/>
      </c>
      <c r="AZ51" s="14" t="str">
        <f>IF(AND(ISNUMBER($I51),OR($K51="Milestone",$K51="Deadline"),$I51&gt;=AZ$4,$I51&lt;AZ$4+7),IF($K51="Deadline","◇","◆"),"")</f>
        <v/>
      </c>
      <c r="BA51" s="14" t="str">
        <f>IF(AND(ISNUMBER($I51),OR($K51="Milestone",$K51="Deadline"),$I51&gt;=BA$4,$I51&lt;BA$4+7),IF($K51="Deadline","◇","◆"),"")</f>
        <v/>
      </c>
      <c r="BB51" s="14" t="str">
        <f>IF(AND(ISNUMBER($I51),OR($K51="Milestone",$K51="Deadline"),$I51&gt;=BB$4,$I51&lt;BB$4+7),IF($K51="Deadline","◇","◆"),"")</f>
        <v/>
      </c>
      <c r="BC51" s="14" t="str">
        <f>IF(AND(ISNUMBER($I51),OR($K51="Milestone",$K51="Deadline"),$I51&gt;=BC$4,$I51&lt;BC$4+7),IF($K51="Deadline","◇","◆"),"")</f>
        <v/>
      </c>
      <c r="BD51" s="14" t="str">
        <f>IF(AND(ISNUMBER($I51),OR($K51="Milestone",$K51="Deadline"),$I51&gt;=BD$4,$I51&lt;BD$4+7),IF($K51="Deadline","◇","◆"),"")</f>
        <v/>
      </c>
      <c r="BE51" s="14" t="str">
        <f>IF(AND(ISNUMBER($I51),OR($K51="Milestone",$K51="Deadline"),$I51&gt;=BE$4,$I51&lt;BE$4+7),IF($K51="Deadline","◇","◆"),"")</f>
        <v/>
      </c>
      <c r="BF51" s="14" t="str">
        <f>IF(AND(ISNUMBER($I51),OR($K51="Milestone",$K51="Deadline"),$I51&gt;=BF$4,$I51&lt;BF$4+7),IF($K51="Deadline","◇","◆"),"")</f>
        <v/>
      </c>
      <c r="BG51" s="14" t="str">
        <f>IF(AND(ISNUMBER($I51),OR($K51="Milestone",$K51="Deadline"),$I51&gt;=BG$4,$I51&lt;BG$4+7),IF($K51="Deadline","◇","◆"),"")</f>
        <v/>
      </c>
      <c r="BH51" s="14" t="str">
        <f>IF(AND(ISNUMBER($I51),OR($K51="Milestone",$K51="Deadline"),$I51&gt;=BH$4,$I51&lt;BH$4+7),IF($K51="Deadline","◇","◆"),"")</f>
        <v/>
      </c>
      <c r="BI51" s="14" t="str">
        <f>IF(AND(ISNUMBER($I51),OR($K51="Milestone",$K51="Deadline"),$I51&gt;=BI$4,$I51&lt;BI$4+7),IF($K51="Deadline","◇","◆"),"")</f>
        <v/>
      </c>
      <c r="BJ51" s="14" t="str">
        <f>IF(AND(ISNUMBER($I51),OR($K51="Milestone",$K51="Deadline"),$I51&gt;=BJ$4,$I51&lt;BJ$4+7),IF($K51="Deadline","◇","◆"),"")</f>
        <v/>
      </c>
      <c r="BK51" s="14" t="str">
        <f>IF(AND(ISNUMBER($I51),OR($K51="Milestone",$K51="Deadline"),$I51&gt;=BK$4,$I51&lt;BK$4+7),IF($K51="Deadline","◇","◆"),"")</f>
        <v/>
      </c>
      <c r="BL51" s="14" t="str">
        <f>IF(AND(ISNUMBER($I51),OR($K51="Milestone",$K51="Deadline"),$I51&gt;=BL$4,$I51&lt;BL$4+7),IF($K51="Deadline","◇","◆"),"")</f>
        <v/>
      </c>
      <c r="BM51" s="14" t="str">
        <f>IF(AND(ISNUMBER($I51),OR($K51="Milestone",$K51="Deadline"),$I51&gt;=BM$4,$I51&lt;BM$4+7),IF($K51="Deadline","◇","◆"),"")</f>
        <v/>
      </c>
      <c r="BN51" s="14" t="str">
        <f>IF(AND(ISNUMBER($I51),OR($K51="Milestone",$K51="Deadline"),$I51&gt;=BN$4,$I51&lt;BN$4+7),IF($K51="Deadline","◇","◆"),"")</f>
        <v/>
      </c>
      <c r="BO51" s="14" t="str">
        <f>IF(AND(ISNUMBER($I51),OR($K51="Milestone",$K51="Deadline"),$I51&gt;=BO$4,$I51&lt;BO$4+7),IF($K51="Deadline","◇","◆"),"")</f>
        <v/>
      </c>
      <c r="BP51" s="14" t="str">
        <f>IF(AND(ISNUMBER($I51),OR($K51="Milestone",$K51="Deadline"),$I51&gt;=BP$4,$I51&lt;BP$4+7),IF($K51="Deadline","◇","◆"),"")</f>
        <v/>
      </c>
      <c r="BQ51" s="14" t="str">
        <f>IF(AND(ISNUMBER($I51),OR($K51="Milestone",$K51="Deadline"),$I51&gt;=BQ$4,$I51&lt;BQ$4+7),IF($K51="Deadline","◇","◆"),"")</f>
        <v/>
      </c>
      <c r="BR51" s="14" t="str">
        <f>IF(AND(ISNUMBER($I51),OR($K51="Milestone",$K51="Deadline"),$I51&gt;=BR$4,$I51&lt;BR$4+7),IF($K51="Deadline","◇","◆"),"")</f>
        <v/>
      </c>
      <c r="BS51" s="14" t="str">
        <f>IF(AND(ISNUMBER($I51),OR($K51="Milestone",$K51="Deadline"),$I51&gt;=BS$4,$I51&lt;BS$4+7),IF($K51="Deadline","◇","◆"),"")</f>
        <v/>
      </c>
      <c r="BT51" s="14" t="str">
        <f>IF(AND(ISNUMBER($I51),OR($K51="Milestone",$K51="Deadline"),$I51&gt;=BT$4,$I51&lt;BT$4+7),IF($K51="Deadline","◇","◆"),"")</f>
        <v/>
      </c>
      <c r="BU51" s="14" t="str">
        <f>IF(AND(ISNUMBER($I51),OR($K51="Milestone",$K51="Deadline"),$I51&gt;=BU$4,$I51&lt;BU$4+7),IF($K51="Deadline","◇","◆"),"")</f>
        <v/>
      </c>
      <c r="BV51" s="14" t="str">
        <f>IF(AND(ISNUMBER($I51),OR($K51="Milestone",$K51="Deadline"),$I51&gt;=BV$4,$I51&lt;BV$4+7),IF($K51="Deadline","◇","◆"),"")</f>
        <v/>
      </c>
      <c r="BW51" s="14" t="str">
        <f>IF(AND(ISNUMBER($I51),OR($K51="Milestone",$K51="Deadline"),$I51&gt;=BW$4,$I51&lt;BW$4+7),IF($K51="Deadline","◇","◆"),"")</f>
        <v/>
      </c>
      <c r="BX51" s="14" t="str">
        <f>IF(AND(ISNUMBER($I51),OR($K51="Milestone",$K51="Deadline"),$I51&gt;=BX$4,$I51&lt;BX$4+7),IF($K51="Deadline","◇","◆"),"")</f>
        <v/>
      </c>
      <c r="BY51" s="14" t="str">
        <f>IF(AND(ISNUMBER($I51),OR($K51="Milestone",$K51="Deadline"),$I51&gt;=BY$4,$I51&lt;BY$4+7),IF($K51="Deadline","◇","◆"),"")</f>
        <v/>
      </c>
      <c r="BZ51" s="14" t="str">
        <f>IF(AND(ISNUMBER($I51),OR($K51="Milestone",$K51="Deadline"),$I51&gt;=BZ$4,$I51&lt;BZ$4+7),IF($K51="Deadline","◇","◆"),"")</f>
        <v/>
      </c>
      <c r="CA51" s="14" t="str">
        <f>IF(AND(ISNUMBER($I51),OR($K51="Milestone",$K51="Deadline"),$I51&gt;=CA$4,$I51&lt;CA$4+7),IF($K51="Deadline","◇","◆"),"")</f>
        <v/>
      </c>
      <c r="CB51" s="14" t="str">
        <f>IF(AND(ISNUMBER($I51),OR($K51="Milestone",$K51="Deadline"),$I51&gt;=CB$4,$I51&lt;CB$4+7),IF($K51="Deadline","◇","◆"),"")</f>
        <v/>
      </c>
      <c r="CC51" s="14" t="str">
        <f>IF(AND(ISNUMBER($I51),OR($K51="Milestone",$K51="Deadline"),$I51&gt;=CC$4,$I51&lt;CC$4+7),IF($K51="Deadline","◇","◆"),"")</f>
        <v/>
      </c>
      <c r="CD51" s="14" t="str">
        <f>IF(AND(ISNUMBER($I51),OR($K51="Milestone",$K51="Deadline"),$I51&gt;=CD$4,$I51&lt;CD$4+7),IF($K51="Deadline","◇","◆"),"")</f>
        <v/>
      </c>
      <c r="CE51" s="14" t="str">
        <f>IF(AND(ISNUMBER($I51),OR($K51="Milestone",$K51="Deadline"),$I51&gt;=CE$4,$I51&lt;CE$4+7),IF($K51="Deadline","◇","◆"),"")</f>
        <v/>
      </c>
      <c r="CF51" s="14" t="str">
        <f>IF(AND(ISNUMBER($I51),OR($K51="Milestone",$K51="Deadline"),$I51&gt;=CF$4,$I51&lt;CF$4+7),IF($K51="Deadline","◇","◆"),"")</f>
        <v/>
      </c>
      <c r="CG51" s="14" t="str">
        <f>IF(AND(ISNUMBER($I51),OR($K51="Milestone",$K51="Deadline"),$I51&gt;=CG$4,$I51&lt;CG$4+7),IF($K51="Deadline","◇","◆"),"")</f>
        <v/>
      </c>
      <c r="CH51" s="14" t="str">
        <f>IF(AND(ISNUMBER($I51),OR($K51="Milestone",$K51="Deadline"),$I51&gt;=CH$4,$I51&lt;CH$4+7),IF($K51="Deadline","◇","◆"),"")</f>
        <v/>
      </c>
      <c r="CI51" s="14" t="str">
        <f>IF(AND(ISNUMBER($I51),OR($K51="Milestone",$K51="Deadline"),$I51&gt;=CI$4,$I51&lt;CI$4+7),IF($K51="Deadline","◇","◆"),"")</f>
        <v/>
      </c>
      <c r="CJ51" s="14" t="str">
        <f>IF(AND(ISNUMBER($I51),OR($K51="Milestone",$K51="Deadline"),$I51&gt;=CJ$4,$I51&lt;CJ$4+7),IF($K51="Deadline","◇","◆"),"")</f>
        <v/>
      </c>
      <c r="CK51" s="14" t="str">
        <f>IF(AND(ISNUMBER($I51),OR($K51="Milestone",$K51="Deadline"),$I51&gt;=CK$4,$I51&lt;CK$4+7),IF($K51="Deadline","◇","◆"),"")</f>
        <v/>
      </c>
      <c r="CL51" s="14" t="str">
        <f>IF(AND(ISNUMBER($I51),OR($K51="Milestone",$K51="Deadline"),$I51&gt;=CL$4,$I51&lt;CL$4+7),IF($K51="Deadline","◇","◆"),"")</f>
        <v/>
      </c>
      <c r="CM51" s="14" t="str">
        <f>IF(AND(ISNUMBER($I51),OR($K51="Milestone",$K51="Deadline"),$I51&gt;=CM$4,$I51&lt;CM$4+7),IF($K51="Deadline","◇","◆"),"")</f>
        <v/>
      </c>
    </row>
    <row r="52" spans="1:91" ht="15" customHeight="1">
      <c r="A52" s="24" t="s">
        <v>194</v>
      </c>
      <c r="B52" s="24" t="s">
        <v>167</v>
      </c>
      <c r="C52" s="24" t="s">
        <v>63</v>
      </c>
      <c r="D52" s="24" t="s">
        <v>195</v>
      </c>
      <c r="E52" s="24" t="s">
        <v>196</v>
      </c>
      <c r="F52" s="24" t="s">
        <v>197</v>
      </c>
      <c r="G52" s="24" t="s">
        <v>198</v>
      </c>
      <c r="H52" s="24">
        <v>14</v>
      </c>
      <c r="I52" s="25">
        <f>MAX(DATE(2026,11,2),J54+1)</f>
        <v>46330</v>
      </c>
      <c r="J52" s="26">
        <f>IF(AND(ISNUMBER(I52),ISNUMBER(H52)),I52+H52-1,"")</f>
        <v>46343</v>
      </c>
      <c r="K52" s="24" t="s">
        <v>27</v>
      </c>
      <c r="L52" s="24" t="s">
        <v>199</v>
      </c>
      <c r="M52" s="27"/>
      <c r="N52" s="24"/>
      <c r="O52" s="27">
        <f>IF(AND(ISNUMBER(I52),ISNUMBER(J52)),J52-I52+1,"")</f>
        <v>14</v>
      </c>
      <c r="P52" s="13"/>
      <c r="Q52" s="13"/>
      <c r="R52" s="13"/>
      <c r="S52" s="13"/>
      <c r="T52" s="13" t="s">
        <v>140</v>
      </c>
      <c r="U52" s="13" t="s">
        <v>140</v>
      </c>
      <c r="V52" s="13" t="s">
        <v>140</v>
      </c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  <c r="AO52" s="14" t="str">
        <f>IF(AND(ISNUMBER($I52),OR($K52="Milestone",$K52="Deadline"),$I52&gt;=AO$4,$I52&lt;AO$4+7),IF($K52="Deadline","◇","◆"),"")</f>
        <v/>
      </c>
      <c r="AP52" s="14" t="str">
        <f>IF(AND(ISNUMBER($I52),OR($K52="Milestone",$K52="Deadline"),$I52&gt;=AP$4,$I52&lt;AP$4+7),IF($K52="Deadline","◇","◆"),"")</f>
        <v/>
      </c>
      <c r="AQ52" s="14" t="str">
        <f>IF(AND(ISNUMBER($I52),OR($K52="Milestone",$K52="Deadline"),$I52&gt;=AQ$4,$I52&lt;AQ$4+7),IF($K52="Deadline","◇","◆"),"")</f>
        <v/>
      </c>
      <c r="AR52" s="14" t="str">
        <f>IF(AND(ISNUMBER($I52),OR($K52="Milestone",$K52="Deadline"),$I52&gt;=AR$4,$I52&lt;AR$4+7),IF($K52="Deadline","◇","◆"),"")</f>
        <v/>
      </c>
      <c r="AS52" s="14" t="str">
        <f>IF(AND(ISNUMBER($I52),OR($K52="Milestone",$K52="Deadline"),$I52&gt;=AS$4,$I52&lt;AS$4+7),IF($K52="Deadline","◇","◆"),"")</f>
        <v/>
      </c>
      <c r="AT52" s="14" t="str">
        <f>IF(AND(ISNUMBER($I52),OR($K52="Milestone",$K52="Deadline"),$I52&gt;=AT$4,$I52&lt;AT$4+7),IF($K52="Deadline","◇","◆"),"")</f>
        <v/>
      </c>
      <c r="AU52" s="14" t="str">
        <f>IF(AND(ISNUMBER($I52),OR($K52="Milestone",$K52="Deadline"),$I52&gt;=AU$4,$I52&lt;AU$4+7),IF($K52="Deadline","◇","◆"),"")</f>
        <v/>
      </c>
      <c r="AV52" s="14" t="str">
        <f>IF(AND(ISNUMBER($I52),OR($K52="Milestone",$K52="Deadline"),$I52&gt;=AV$4,$I52&lt;AV$4+7),IF($K52="Deadline","◇","◆"),"")</f>
        <v/>
      </c>
      <c r="AW52" s="14" t="str">
        <f>IF(AND(ISNUMBER($I52),OR($K52="Milestone",$K52="Deadline"),$I52&gt;=AW$4,$I52&lt;AW$4+7),IF($K52="Deadline","◇","◆"),"")</f>
        <v/>
      </c>
      <c r="AX52" s="14" t="str">
        <f>IF(AND(ISNUMBER($I52),OR($K52="Milestone",$K52="Deadline"),$I52&gt;=AX$4,$I52&lt;AX$4+7),IF($K52="Deadline","◇","◆"),"")</f>
        <v/>
      </c>
      <c r="AY52" s="14" t="str">
        <f>IF(AND(ISNUMBER($I52),OR($K52="Milestone",$K52="Deadline"),$I52&gt;=AY$4,$I52&lt;AY$4+7),IF($K52="Deadline","◇","◆"),"")</f>
        <v/>
      </c>
      <c r="AZ52" s="14" t="str">
        <f>IF(AND(ISNUMBER($I52),OR($K52="Milestone",$K52="Deadline"),$I52&gt;=AZ$4,$I52&lt;AZ$4+7),IF($K52="Deadline","◇","◆"),"")</f>
        <v/>
      </c>
      <c r="BA52" s="14" t="str">
        <f>IF(AND(ISNUMBER($I52),OR($K52="Milestone",$K52="Deadline"),$I52&gt;=BA$4,$I52&lt;BA$4+7),IF($K52="Deadline","◇","◆"),"")</f>
        <v/>
      </c>
      <c r="BB52" s="14" t="str">
        <f>IF(AND(ISNUMBER($I52),OR($K52="Milestone",$K52="Deadline"),$I52&gt;=BB$4,$I52&lt;BB$4+7),IF($K52="Deadline","◇","◆"),"")</f>
        <v/>
      </c>
      <c r="BC52" s="14" t="str">
        <f>IF(AND(ISNUMBER($I52),OR($K52="Milestone",$K52="Deadline"),$I52&gt;=BC$4,$I52&lt;BC$4+7),IF($K52="Deadline","◇","◆"),"")</f>
        <v/>
      </c>
      <c r="BD52" s="14" t="str">
        <f>IF(AND(ISNUMBER($I52),OR($K52="Milestone",$K52="Deadline"),$I52&gt;=BD$4,$I52&lt;BD$4+7),IF($K52="Deadline","◇","◆"),"")</f>
        <v/>
      </c>
      <c r="BE52" s="14" t="str">
        <f>IF(AND(ISNUMBER($I52),OR($K52="Milestone",$K52="Deadline"),$I52&gt;=BE$4,$I52&lt;BE$4+7),IF($K52="Deadline","◇","◆"),"")</f>
        <v/>
      </c>
      <c r="BF52" s="14" t="str">
        <f>IF(AND(ISNUMBER($I52),OR($K52="Milestone",$K52="Deadline"),$I52&gt;=BF$4,$I52&lt;BF$4+7),IF($K52="Deadline","◇","◆"),"")</f>
        <v/>
      </c>
      <c r="BG52" s="14" t="str">
        <f>IF(AND(ISNUMBER($I52),OR($K52="Milestone",$K52="Deadline"),$I52&gt;=BG$4,$I52&lt;BG$4+7),IF($K52="Deadline","◇","◆"),"")</f>
        <v/>
      </c>
      <c r="BH52" s="14" t="str">
        <f>IF(AND(ISNUMBER($I52),OR($K52="Milestone",$K52="Deadline"),$I52&gt;=BH$4,$I52&lt;BH$4+7),IF($K52="Deadline","◇","◆"),"")</f>
        <v/>
      </c>
      <c r="BI52" s="14" t="str">
        <f>IF(AND(ISNUMBER($I52),OR($K52="Milestone",$K52="Deadline"),$I52&gt;=BI$4,$I52&lt;BI$4+7),IF($K52="Deadline","◇","◆"),"")</f>
        <v/>
      </c>
      <c r="BJ52" s="14" t="str">
        <f>IF(AND(ISNUMBER($I52),OR($K52="Milestone",$K52="Deadline"),$I52&gt;=BJ$4,$I52&lt;BJ$4+7),IF($K52="Deadline","◇","◆"),"")</f>
        <v/>
      </c>
      <c r="BK52" s="14" t="str">
        <f>IF(AND(ISNUMBER($I52),OR($K52="Milestone",$K52="Deadline"),$I52&gt;=BK$4,$I52&lt;BK$4+7),IF($K52="Deadline","◇","◆"),"")</f>
        <v/>
      </c>
      <c r="BL52" s="14" t="str">
        <f>IF(AND(ISNUMBER($I52),OR($K52="Milestone",$K52="Deadline"),$I52&gt;=BL$4,$I52&lt;BL$4+7),IF($K52="Deadline","◇","◆"),"")</f>
        <v/>
      </c>
      <c r="BM52" s="14" t="str">
        <f>IF(AND(ISNUMBER($I52),OR($K52="Milestone",$K52="Deadline"),$I52&gt;=BM$4,$I52&lt;BM$4+7),IF($K52="Deadline","◇","◆"),"")</f>
        <v/>
      </c>
      <c r="BN52" s="14" t="str">
        <f>IF(AND(ISNUMBER($I52),OR($K52="Milestone",$K52="Deadline"),$I52&gt;=BN$4,$I52&lt;BN$4+7),IF($K52="Deadline","◇","◆"),"")</f>
        <v/>
      </c>
      <c r="BO52" s="14" t="str">
        <f>IF(AND(ISNUMBER($I52),OR($K52="Milestone",$K52="Deadline"),$I52&gt;=BO$4,$I52&lt;BO$4+7),IF($K52="Deadline","◇","◆"),"")</f>
        <v/>
      </c>
      <c r="BP52" s="14" t="str">
        <f>IF(AND(ISNUMBER($I52),OR($K52="Milestone",$K52="Deadline"),$I52&gt;=BP$4,$I52&lt;BP$4+7),IF($K52="Deadline","◇","◆"),"")</f>
        <v/>
      </c>
      <c r="BQ52" s="14" t="str">
        <f>IF(AND(ISNUMBER($I52),OR($K52="Milestone",$K52="Deadline"),$I52&gt;=BQ$4,$I52&lt;BQ$4+7),IF($K52="Deadline","◇","◆"),"")</f>
        <v/>
      </c>
      <c r="BR52" s="14" t="str">
        <f>IF(AND(ISNUMBER($I52),OR($K52="Milestone",$K52="Deadline"),$I52&gt;=BR$4,$I52&lt;BR$4+7),IF($K52="Deadline","◇","◆"),"")</f>
        <v/>
      </c>
      <c r="BS52" s="14" t="str">
        <f>IF(AND(ISNUMBER($I52),OR($K52="Milestone",$K52="Deadline"),$I52&gt;=BS$4,$I52&lt;BS$4+7),IF($K52="Deadline","◇","◆"),"")</f>
        <v/>
      </c>
      <c r="BT52" s="14" t="str">
        <f>IF(AND(ISNUMBER($I52),OR($K52="Milestone",$K52="Deadline"),$I52&gt;=BT$4,$I52&lt;BT$4+7),IF($K52="Deadline","◇","◆"),"")</f>
        <v/>
      </c>
      <c r="BU52" s="14" t="str">
        <f>IF(AND(ISNUMBER($I52),OR($K52="Milestone",$K52="Deadline"),$I52&gt;=BU$4,$I52&lt;BU$4+7),IF($K52="Deadline","◇","◆"),"")</f>
        <v/>
      </c>
      <c r="BV52" s="14" t="str">
        <f>IF(AND(ISNUMBER($I52),OR($K52="Milestone",$K52="Deadline"),$I52&gt;=BV$4,$I52&lt;BV$4+7),IF($K52="Deadline","◇","◆"),"")</f>
        <v/>
      </c>
      <c r="BW52" s="14" t="str">
        <f>IF(AND(ISNUMBER($I52),OR($K52="Milestone",$K52="Deadline"),$I52&gt;=BW$4,$I52&lt;BW$4+7),IF($K52="Deadline","◇","◆"),"")</f>
        <v/>
      </c>
      <c r="BX52" s="14" t="str">
        <f>IF(AND(ISNUMBER($I52),OR($K52="Milestone",$K52="Deadline"),$I52&gt;=BX$4,$I52&lt;BX$4+7),IF($K52="Deadline","◇","◆"),"")</f>
        <v/>
      </c>
      <c r="BY52" s="14" t="str">
        <f>IF(AND(ISNUMBER($I52),OR($K52="Milestone",$K52="Deadline"),$I52&gt;=BY$4,$I52&lt;BY$4+7),IF($K52="Deadline","◇","◆"),"")</f>
        <v/>
      </c>
      <c r="BZ52" s="14" t="str">
        <f>IF(AND(ISNUMBER($I52),OR($K52="Milestone",$K52="Deadline"),$I52&gt;=BZ$4,$I52&lt;BZ$4+7),IF($K52="Deadline","◇","◆"),"")</f>
        <v/>
      </c>
      <c r="CA52" s="14" t="str">
        <f>IF(AND(ISNUMBER($I52),OR($K52="Milestone",$K52="Deadline"),$I52&gt;=CA$4,$I52&lt;CA$4+7),IF($K52="Deadline","◇","◆"),"")</f>
        <v/>
      </c>
      <c r="CB52" s="14" t="str">
        <f>IF(AND(ISNUMBER($I52),OR($K52="Milestone",$K52="Deadline"),$I52&gt;=CB$4,$I52&lt;CB$4+7),IF($K52="Deadline","◇","◆"),"")</f>
        <v/>
      </c>
      <c r="CC52" s="14" t="str">
        <f>IF(AND(ISNUMBER($I52),OR($K52="Milestone",$K52="Deadline"),$I52&gt;=CC$4,$I52&lt;CC$4+7),IF($K52="Deadline","◇","◆"),"")</f>
        <v/>
      </c>
      <c r="CD52" s="14" t="str">
        <f>IF(AND(ISNUMBER($I52),OR($K52="Milestone",$K52="Deadline"),$I52&gt;=CD$4,$I52&lt;CD$4+7),IF($K52="Deadline","◇","◆"),"")</f>
        <v/>
      </c>
      <c r="CE52" s="14" t="str">
        <f>IF(AND(ISNUMBER($I52),OR($K52="Milestone",$K52="Deadline"),$I52&gt;=CE$4,$I52&lt;CE$4+7),IF($K52="Deadline","◇","◆"),"")</f>
        <v/>
      </c>
      <c r="CF52" s="14" t="str">
        <f>IF(AND(ISNUMBER($I52),OR($K52="Milestone",$K52="Deadline"),$I52&gt;=CF$4,$I52&lt;CF$4+7),IF($K52="Deadline","◇","◆"),"")</f>
        <v/>
      </c>
      <c r="CG52" s="14" t="str">
        <f>IF(AND(ISNUMBER($I52),OR($K52="Milestone",$K52="Deadline"),$I52&gt;=CG$4,$I52&lt;CG$4+7),IF($K52="Deadline","◇","◆"),"")</f>
        <v/>
      </c>
      <c r="CH52" s="14" t="str">
        <f>IF(AND(ISNUMBER($I52),OR($K52="Milestone",$K52="Deadline"),$I52&gt;=CH$4,$I52&lt;CH$4+7),IF($K52="Deadline","◇","◆"),"")</f>
        <v/>
      </c>
      <c r="CI52" s="14" t="str">
        <f>IF(AND(ISNUMBER($I52),OR($K52="Milestone",$K52="Deadline"),$I52&gt;=CI$4,$I52&lt;CI$4+7),IF($K52="Deadline","◇","◆"),"")</f>
        <v/>
      </c>
      <c r="CJ52" s="14" t="str">
        <f>IF(AND(ISNUMBER($I52),OR($K52="Milestone",$K52="Deadline"),$I52&gt;=CJ$4,$I52&lt;CJ$4+7),IF($K52="Deadline","◇","◆"),"")</f>
        <v/>
      </c>
      <c r="CK52" s="14" t="str">
        <f>IF(AND(ISNUMBER($I52),OR($K52="Milestone",$K52="Deadline"),$I52&gt;=CK$4,$I52&lt;CK$4+7),IF($K52="Deadline","◇","◆"),"")</f>
        <v/>
      </c>
      <c r="CL52" s="14" t="str">
        <f>IF(AND(ISNUMBER($I52),OR($K52="Milestone",$K52="Deadline"),$I52&gt;=CL$4,$I52&lt;CL$4+7),IF($K52="Deadline","◇","◆"),"")</f>
        <v/>
      </c>
      <c r="CM52" s="14" t="str">
        <f>IF(AND(ISNUMBER($I52),OR($K52="Milestone",$K52="Deadline"),$I52&gt;=CM$4,$I52&lt;CM$4+7),IF($K52="Deadline","◇","◆"),"")</f>
        <v/>
      </c>
    </row>
    <row r="53" spans="1:91" ht="15" hidden="1" customHeight="1">
      <c r="A53" s="24" t="s">
        <v>200</v>
      </c>
      <c r="B53" s="24" t="s">
        <v>167</v>
      </c>
      <c r="C53" s="24" t="s">
        <v>63</v>
      </c>
      <c r="D53" s="24" t="s">
        <v>195</v>
      </c>
      <c r="E53" s="24" t="s">
        <v>196</v>
      </c>
      <c r="F53" s="24" t="s">
        <v>197</v>
      </c>
      <c r="G53" s="24" t="s">
        <v>173</v>
      </c>
      <c r="H53" s="24">
        <v>14</v>
      </c>
      <c r="I53" s="25">
        <f>MAX(DATE(2026,12,8),J44+1)</f>
        <v>46371</v>
      </c>
      <c r="J53" s="26">
        <f>IF(AND(ISNUMBER(I53),ISNUMBER(H53)),I53+H53-1,"")</f>
        <v>46384</v>
      </c>
      <c r="K53" s="24" t="s">
        <v>27</v>
      </c>
      <c r="L53" s="24"/>
      <c r="M53" s="27" t="s">
        <v>172</v>
      </c>
      <c r="N53" s="24"/>
      <c r="O53" s="27">
        <f>IF(AND(ISNUMBER(I53),ISNUMBER(J53)),J53-I53+1,"")</f>
        <v>14</v>
      </c>
      <c r="P53" s="13" t="s">
        <v>140</v>
      </c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 t="s">
        <v>140</v>
      </c>
      <c r="AL53" s="13"/>
      <c r="AM53" s="13"/>
      <c r="AN53" s="13"/>
      <c r="AO53" s="14" t="str">
        <f>IF(AND(ISNUMBER($I53),OR($K53="Milestone",$K53="Deadline"),$I53&gt;=AO$4,$I53&lt;AO$4+7),IF($K53="Deadline","◇","◆"),"")</f>
        <v/>
      </c>
      <c r="AP53" s="14" t="str">
        <f>IF(AND(ISNUMBER($I53),OR($K53="Milestone",$K53="Deadline"),$I53&gt;=AP$4,$I53&lt;AP$4+7),IF($K53="Deadline","◇","◆"),"")</f>
        <v/>
      </c>
      <c r="AQ53" s="14" t="str">
        <f>IF(AND(ISNUMBER($I53),OR($K53="Milestone",$K53="Deadline"),$I53&gt;=AQ$4,$I53&lt;AQ$4+7),IF($K53="Deadline","◇","◆"),"")</f>
        <v/>
      </c>
      <c r="AR53" s="14" t="str">
        <f>IF(AND(ISNUMBER($I53),OR($K53="Milestone",$K53="Deadline"),$I53&gt;=AR$4,$I53&lt;AR$4+7),IF($K53="Deadline","◇","◆"),"")</f>
        <v/>
      </c>
      <c r="AS53" s="14" t="str">
        <f>IF(AND(ISNUMBER($I53),OR($K53="Milestone",$K53="Deadline"),$I53&gt;=AS$4,$I53&lt;AS$4+7),IF($K53="Deadline","◇","◆"),"")</f>
        <v/>
      </c>
      <c r="AT53" s="14" t="str">
        <f>IF(AND(ISNUMBER($I53),OR($K53="Milestone",$K53="Deadline"),$I53&gt;=AT$4,$I53&lt;AT$4+7),IF($K53="Deadline","◇","◆"),"")</f>
        <v/>
      </c>
      <c r="AU53" s="14" t="str">
        <f>IF(AND(ISNUMBER($I53),OR($K53="Milestone",$K53="Deadline"),$I53&gt;=AU$4,$I53&lt;AU$4+7),IF($K53="Deadline","◇","◆"),"")</f>
        <v/>
      </c>
      <c r="AV53" s="14" t="str">
        <f>IF(AND(ISNUMBER($I53),OR($K53="Milestone",$K53="Deadline"),$I53&gt;=AV$4,$I53&lt;AV$4+7),IF($K53="Deadline","◇","◆"),"")</f>
        <v/>
      </c>
      <c r="AW53" s="14" t="str">
        <f>IF(AND(ISNUMBER($I53),OR($K53="Milestone",$K53="Deadline"),$I53&gt;=AW$4,$I53&lt;AW$4+7),IF($K53="Deadline","◇","◆"),"")</f>
        <v/>
      </c>
      <c r="AX53" s="14" t="str">
        <f>IF(AND(ISNUMBER($I53),OR($K53="Milestone",$K53="Deadline"),$I53&gt;=AX$4,$I53&lt;AX$4+7),IF($K53="Deadline","◇","◆"),"")</f>
        <v/>
      </c>
      <c r="AY53" s="14" t="str">
        <f>IF(AND(ISNUMBER($I53),OR($K53="Milestone",$K53="Deadline"),$I53&gt;=AY$4,$I53&lt;AY$4+7),IF($K53="Deadline","◇","◆"),"")</f>
        <v/>
      </c>
      <c r="AZ53" s="14" t="str">
        <f>IF(AND(ISNUMBER($I53),OR($K53="Milestone",$K53="Deadline"),$I53&gt;=AZ$4,$I53&lt;AZ$4+7),IF($K53="Deadline","◇","◆"),"")</f>
        <v/>
      </c>
      <c r="BA53" s="14" t="str">
        <f>IF(AND(ISNUMBER($I53),OR($K53="Milestone",$K53="Deadline"),$I53&gt;=BA$4,$I53&lt;BA$4+7),IF($K53="Deadline","◇","◆"),"")</f>
        <v/>
      </c>
      <c r="BB53" s="14" t="str">
        <f>IF(AND(ISNUMBER($I53),OR($K53="Milestone",$K53="Deadline"),$I53&gt;=BB$4,$I53&lt;BB$4+7),IF($K53="Deadline","◇","◆"),"")</f>
        <v/>
      </c>
      <c r="BC53" s="14" t="str">
        <f>IF(AND(ISNUMBER($I53),OR($K53="Milestone",$K53="Deadline"),$I53&gt;=BC$4,$I53&lt;BC$4+7),IF($K53="Deadline","◇","◆"),"")</f>
        <v/>
      </c>
      <c r="BD53" s="14" t="str">
        <f>IF(AND(ISNUMBER($I53),OR($K53="Milestone",$K53="Deadline"),$I53&gt;=BD$4,$I53&lt;BD$4+7),IF($K53="Deadline","◇","◆"),"")</f>
        <v/>
      </c>
      <c r="BE53" s="14" t="str">
        <f>IF(AND(ISNUMBER($I53),OR($K53="Milestone",$K53="Deadline"),$I53&gt;=BE$4,$I53&lt;BE$4+7),IF($K53="Deadline","◇","◆"),"")</f>
        <v/>
      </c>
      <c r="BF53" s="14" t="str">
        <f>IF(AND(ISNUMBER($I53),OR($K53="Milestone",$K53="Deadline"),$I53&gt;=BF$4,$I53&lt;BF$4+7),IF($K53="Deadline","◇","◆"),"")</f>
        <v/>
      </c>
      <c r="BG53" s="14" t="str">
        <f>IF(AND(ISNUMBER($I53),OR($K53="Milestone",$K53="Deadline"),$I53&gt;=BG$4,$I53&lt;BG$4+7),IF($K53="Deadline","◇","◆"),"")</f>
        <v/>
      </c>
      <c r="BH53" s="14" t="str">
        <f>IF(AND(ISNUMBER($I53),OR($K53="Milestone",$K53="Deadline"),$I53&gt;=BH$4,$I53&lt;BH$4+7),IF($K53="Deadline","◇","◆"),"")</f>
        <v/>
      </c>
      <c r="BI53" s="14" t="str">
        <f>IF(AND(ISNUMBER($I53),OR($K53="Milestone",$K53="Deadline"),$I53&gt;=BI$4,$I53&lt;BI$4+7),IF($K53="Deadline","◇","◆"),"")</f>
        <v/>
      </c>
      <c r="BJ53" s="14" t="str">
        <f>IF(AND(ISNUMBER($I53),OR($K53="Milestone",$K53="Deadline"),$I53&gt;=BJ$4,$I53&lt;BJ$4+7),IF($K53="Deadline","◇","◆"),"")</f>
        <v/>
      </c>
      <c r="BK53" s="14" t="str">
        <f>IF(AND(ISNUMBER($I53),OR($K53="Milestone",$K53="Deadline"),$I53&gt;=BK$4,$I53&lt;BK$4+7),IF($K53="Deadline","◇","◆"),"")</f>
        <v/>
      </c>
      <c r="BL53" s="14" t="str">
        <f>IF(AND(ISNUMBER($I53),OR($K53="Milestone",$K53="Deadline"),$I53&gt;=BL$4,$I53&lt;BL$4+7),IF($K53="Deadline","◇","◆"),"")</f>
        <v/>
      </c>
      <c r="BM53" s="14" t="str">
        <f>IF(AND(ISNUMBER($I53),OR($K53="Milestone",$K53="Deadline"),$I53&gt;=BM$4,$I53&lt;BM$4+7),IF($K53="Deadline","◇","◆"),"")</f>
        <v/>
      </c>
      <c r="BN53" s="14" t="str">
        <f>IF(AND(ISNUMBER($I53),OR($K53="Milestone",$K53="Deadline"),$I53&gt;=BN$4,$I53&lt;BN$4+7),IF($K53="Deadline","◇","◆"),"")</f>
        <v/>
      </c>
      <c r="BO53" s="14" t="str">
        <f>IF(AND(ISNUMBER($I53),OR($K53="Milestone",$K53="Deadline"),$I53&gt;=BO$4,$I53&lt;BO$4+7),IF($K53="Deadline","◇","◆"),"")</f>
        <v/>
      </c>
      <c r="BP53" s="14" t="str">
        <f>IF(AND(ISNUMBER($I53),OR($K53="Milestone",$K53="Deadline"),$I53&gt;=BP$4,$I53&lt;BP$4+7),IF($K53="Deadline","◇","◆"),"")</f>
        <v/>
      </c>
      <c r="BQ53" s="14" t="str">
        <f>IF(AND(ISNUMBER($I53),OR($K53="Milestone",$K53="Deadline"),$I53&gt;=BQ$4,$I53&lt;BQ$4+7),IF($K53="Deadline","◇","◆"),"")</f>
        <v/>
      </c>
      <c r="BR53" s="14" t="str">
        <f>IF(AND(ISNUMBER($I53),OR($K53="Milestone",$K53="Deadline"),$I53&gt;=BR$4,$I53&lt;BR$4+7),IF($K53="Deadline","◇","◆"),"")</f>
        <v/>
      </c>
      <c r="BS53" s="14" t="str">
        <f>IF(AND(ISNUMBER($I53),OR($K53="Milestone",$K53="Deadline"),$I53&gt;=BS$4,$I53&lt;BS$4+7),IF($K53="Deadline","◇","◆"),"")</f>
        <v/>
      </c>
      <c r="BT53" s="14" t="str">
        <f>IF(AND(ISNUMBER($I53),OR($K53="Milestone",$K53="Deadline"),$I53&gt;=BT$4,$I53&lt;BT$4+7),IF($K53="Deadline","◇","◆"),"")</f>
        <v/>
      </c>
      <c r="BU53" s="14" t="str">
        <f>IF(AND(ISNUMBER($I53),OR($K53="Milestone",$K53="Deadline"),$I53&gt;=BU$4,$I53&lt;BU$4+7),IF($K53="Deadline","◇","◆"),"")</f>
        <v/>
      </c>
      <c r="BV53" s="14" t="str">
        <f>IF(AND(ISNUMBER($I53),OR($K53="Milestone",$K53="Deadline"),$I53&gt;=BV$4,$I53&lt;BV$4+7),IF($K53="Deadline","◇","◆"),"")</f>
        <v/>
      </c>
      <c r="BW53" s="14" t="str">
        <f>IF(AND(ISNUMBER($I53),OR($K53="Milestone",$K53="Deadline"),$I53&gt;=BW$4,$I53&lt;BW$4+7),IF($K53="Deadline","◇","◆"),"")</f>
        <v/>
      </c>
      <c r="BX53" s="14" t="str">
        <f>IF(AND(ISNUMBER($I53),OR($K53="Milestone",$K53="Deadline"),$I53&gt;=BX$4,$I53&lt;BX$4+7),IF($K53="Deadline","◇","◆"),"")</f>
        <v/>
      </c>
      <c r="BY53" s="14" t="str">
        <f>IF(AND(ISNUMBER($I53),OR($K53="Milestone",$K53="Deadline"),$I53&gt;=BY$4,$I53&lt;BY$4+7),IF($K53="Deadline","◇","◆"),"")</f>
        <v/>
      </c>
      <c r="BZ53" s="14" t="str">
        <f>IF(AND(ISNUMBER($I53),OR($K53="Milestone",$K53="Deadline"),$I53&gt;=BZ$4,$I53&lt;BZ$4+7),IF($K53="Deadline","◇","◆"),"")</f>
        <v/>
      </c>
      <c r="CA53" s="14" t="str">
        <f>IF(AND(ISNUMBER($I53),OR($K53="Milestone",$K53="Deadline"),$I53&gt;=CA$4,$I53&lt;CA$4+7),IF($K53="Deadline","◇","◆"),"")</f>
        <v/>
      </c>
      <c r="CB53" s="14" t="str">
        <f>IF(AND(ISNUMBER($I53),OR($K53="Milestone",$K53="Deadline"),$I53&gt;=CB$4,$I53&lt;CB$4+7),IF($K53="Deadline","◇","◆"),"")</f>
        <v/>
      </c>
      <c r="CC53" s="14" t="str">
        <f>IF(AND(ISNUMBER($I53),OR($K53="Milestone",$K53="Deadline"),$I53&gt;=CC$4,$I53&lt;CC$4+7),IF($K53="Deadline","◇","◆"),"")</f>
        <v/>
      </c>
      <c r="CD53" s="14" t="str">
        <f>IF(AND(ISNUMBER($I53),OR($K53="Milestone",$K53="Deadline"),$I53&gt;=CD$4,$I53&lt;CD$4+7),IF($K53="Deadline","◇","◆"),"")</f>
        <v/>
      </c>
      <c r="CE53" s="14" t="str">
        <f>IF(AND(ISNUMBER($I53),OR($K53="Milestone",$K53="Deadline"),$I53&gt;=CE$4,$I53&lt;CE$4+7),IF($K53="Deadline","◇","◆"),"")</f>
        <v/>
      </c>
      <c r="CF53" s="14" t="str">
        <f>IF(AND(ISNUMBER($I53),OR($K53="Milestone",$K53="Deadline"),$I53&gt;=CF$4,$I53&lt;CF$4+7),IF($K53="Deadline","◇","◆"),"")</f>
        <v/>
      </c>
      <c r="CG53" s="14" t="str">
        <f>IF(AND(ISNUMBER($I53),OR($K53="Milestone",$K53="Deadline"),$I53&gt;=CG$4,$I53&lt;CG$4+7),IF($K53="Deadline","◇","◆"),"")</f>
        <v/>
      </c>
      <c r="CH53" s="14" t="str">
        <f>IF(AND(ISNUMBER($I53),OR($K53="Milestone",$K53="Deadline"),$I53&gt;=CH$4,$I53&lt;CH$4+7),IF($K53="Deadline","◇","◆"),"")</f>
        <v/>
      </c>
      <c r="CI53" s="14" t="str">
        <f>IF(AND(ISNUMBER($I53),OR($K53="Milestone",$K53="Deadline"),$I53&gt;=CI$4,$I53&lt;CI$4+7),IF($K53="Deadline","◇","◆"),"")</f>
        <v/>
      </c>
      <c r="CJ53" s="14" t="str">
        <f>IF(AND(ISNUMBER($I53),OR($K53="Milestone",$K53="Deadline"),$I53&gt;=CJ$4,$I53&lt;CJ$4+7),IF($K53="Deadline","◇","◆"),"")</f>
        <v/>
      </c>
      <c r="CK53" s="14" t="str">
        <f>IF(AND(ISNUMBER($I53),OR($K53="Milestone",$K53="Deadline"),$I53&gt;=CK$4,$I53&lt;CK$4+7),IF($K53="Deadline","◇","◆"),"")</f>
        <v/>
      </c>
      <c r="CL53" s="14" t="str">
        <f>IF(AND(ISNUMBER($I53),OR($K53="Milestone",$K53="Deadline"),$I53&gt;=CL$4,$I53&lt;CL$4+7),IF($K53="Deadline","◇","◆"),"")</f>
        <v/>
      </c>
      <c r="CM53" s="14" t="str">
        <f>IF(AND(ISNUMBER($I53),OR($K53="Milestone",$K53="Deadline"),$I53&gt;=CM$4,$I53&lt;CM$4+7),IF($K53="Deadline","◇","◆"),"")</f>
        <v/>
      </c>
    </row>
    <row r="54" spans="1:91" ht="15" hidden="1" customHeight="1">
      <c r="A54" s="24" t="s">
        <v>199</v>
      </c>
      <c r="B54" s="24" t="s">
        <v>167</v>
      </c>
      <c r="C54" s="24" t="s">
        <v>63</v>
      </c>
      <c r="D54" s="24" t="s">
        <v>195</v>
      </c>
      <c r="E54" s="24" t="s">
        <v>196</v>
      </c>
      <c r="F54" s="24" t="s">
        <v>197</v>
      </c>
      <c r="G54" s="24" t="s">
        <v>201</v>
      </c>
      <c r="H54" s="24">
        <v>2</v>
      </c>
      <c r="I54" s="28">
        <v>46328</v>
      </c>
      <c r="J54" s="26">
        <f>IF(AND(ISNUMBER(I54),ISNUMBER(H54)),I54+H54-1,"")</f>
        <v>46329</v>
      </c>
      <c r="K54" s="24" t="s">
        <v>27</v>
      </c>
      <c r="L54" s="24"/>
      <c r="M54" s="27"/>
      <c r="N54" s="24"/>
      <c r="O54" s="27">
        <f>IF(AND(ISNUMBER(I54),ISNUMBER(J54)),J54-I54+1,"")</f>
        <v>2</v>
      </c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 t="s">
        <v>140</v>
      </c>
      <c r="AE54" s="13"/>
      <c r="AF54" s="13"/>
      <c r="AG54" s="13"/>
      <c r="AH54" s="13"/>
      <c r="AI54" s="13"/>
      <c r="AJ54" s="13"/>
      <c r="AK54" s="13" t="s">
        <v>140</v>
      </c>
      <c r="AL54" s="13"/>
      <c r="AM54" s="13"/>
      <c r="AN54" s="13"/>
      <c r="AO54" s="14" t="str">
        <f>IF(AND(ISNUMBER($I54),OR($K54="Milestone",$K54="Deadline"),$I54&gt;=AO$4,$I54&lt;AO$4+7),IF($K54="Deadline","◇","◆"),"")</f>
        <v/>
      </c>
      <c r="AP54" s="14" t="str">
        <f>IF(AND(ISNUMBER($I54),OR($K54="Milestone",$K54="Deadline"),$I54&gt;=AP$4,$I54&lt;AP$4+7),IF($K54="Deadline","◇","◆"),"")</f>
        <v/>
      </c>
      <c r="AQ54" s="14" t="str">
        <f>IF(AND(ISNUMBER($I54),OR($K54="Milestone",$K54="Deadline"),$I54&gt;=AQ$4,$I54&lt;AQ$4+7),IF($K54="Deadline","◇","◆"),"")</f>
        <v/>
      </c>
      <c r="AR54" s="14" t="str">
        <f>IF(AND(ISNUMBER($I54),OR($K54="Milestone",$K54="Deadline"),$I54&gt;=AR$4,$I54&lt;AR$4+7),IF($K54="Deadline","◇","◆"),"")</f>
        <v/>
      </c>
      <c r="AS54" s="14" t="str">
        <f>IF(AND(ISNUMBER($I54),OR($K54="Milestone",$K54="Deadline"),$I54&gt;=AS$4,$I54&lt;AS$4+7),IF($K54="Deadline","◇","◆"),"")</f>
        <v/>
      </c>
      <c r="AT54" s="14" t="str">
        <f>IF(AND(ISNUMBER($I54),OR($K54="Milestone",$K54="Deadline"),$I54&gt;=AT$4,$I54&lt;AT$4+7),IF($K54="Deadline","◇","◆"),"")</f>
        <v/>
      </c>
      <c r="AU54" s="14" t="str">
        <f>IF(AND(ISNUMBER($I54),OR($K54="Milestone",$K54="Deadline"),$I54&gt;=AU$4,$I54&lt;AU$4+7),IF($K54="Deadline","◇","◆"),"")</f>
        <v/>
      </c>
      <c r="AV54" s="14" t="str">
        <f>IF(AND(ISNUMBER($I54),OR($K54="Milestone",$K54="Deadline"),$I54&gt;=AV$4,$I54&lt;AV$4+7),IF($K54="Deadline","◇","◆"),"")</f>
        <v/>
      </c>
      <c r="AW54" s="14" t="str">
        <f>IF(AND(ISNUMBER($I54),OR($K54="Milestone",$K54="Deadline"),$I54&gt;=AW$4,$I54&lt;AW$4+7),IF($K54="Deadline","◇","◆"),"")</f>
        <v/>
      </c>
      <c r="AX54" s="14" t="str">
        <f>IF(AND(ISNUMBER($I54),OR($K54="Milestone",$K54="Deadline"),$I54&gt;=AX$4,$I54&lt;AX$4+7),IF($K54="Deadline","◇","◆"),"")</f>
        <v/>
      </c>
      <c r="AY54" s="14" t="str">
        <f>IF(AND(ISNUMBER($I54),OR($K54="Milestone",$K54="Deadline"),$I54&gt;=AY$4,$I54&lt;AY$4+7),IF($K54="Deadline","◇","◆"),"")</f>
        <v/>
      </c>
      <c r="AZ54" s="14" t="str">
        <f>IF(AND(ISNUMBER($I54),OR($K54="Milestone",$K54="Deadline"),$I54&gt;=AZ$4,$I54&lt;AZ$4+7),IF($K54="Deadline","◇","◆"),"")</f>
        <v/>
      </c>
      <c r="BA54" s="14" t="str">
        <f>IF(AND(ISNUMBER($I54),OR($K54="Milestone",$K54="Deadline"),$I54&gt;=BA$4,$I54&lt;BA$4+7),IF($K54="Deadline","◇","◆"),"")</f>
        <v/>
      </c>
      <c r="BB54" s="14" t="str">
        <f>IF(AND(ISNUMBER($I54),OR($K54="Milestone",$K54="Deadline"),$I54&gt;=BB$4,$I54&lt;BB$4+7),IF($K54="Deadline","◇","◆"),"")</f>
        <v/>
      </c>
      <c r="BC54" s="14" t="str">
        <f>IF(AND(ISNUMBER($I54),OR($K54="Milestone",$K54="Deadline"),$I54&gt;=BC$4,$I54&lt;BC$4+7),IF($K54="Deadline","◇","◆"),"")</f>
        <v/>
      </c>
      <c r="BD54" s="14" t="str">
        <f>IF(AND(ISNUMBER($I54),OR($K54="Milestone",$K54="Deadline"),$I54&gt;=BD$4,$I54&lt;BD$4+7),IF($K54="Deadline","◇","◆"),"")</f>
        <v/>
      </c>
      <c r="BE54" s="14" t="str">
        <f>IF(AND(ISNUMBER($I54),OR($K54="Milestone",$K54="Deadline"),$I54&gt;=BE$4,$I54&lt;BE$4+7),IF($K54="Deadline","◇","◆"),"")</f>
        <v/>
      </c>
      <c r="BF54" s="14" t="str">
        <f>IF(AND(ISNUMBER($I54),OR($K54="Milestone",$K54="Deadline"),$I54&gt;=BF$4,$I54&lt;BF$4+7),IF($K54="Deadline","◇","◆"),"")</f>
        <v/>
      </c>
      <c r="BG54" s="14" t="str">
        <f>IF(AND(ISNUMBER($I54),OR($K54="Milestone",$K54="Deadline"),$I54&gt;=BG$4,$I54&lt;BG$4+7),IF($K54="Deadline","◇","◆"),"")</f>
        <v/>
      </c>
      <c r="BH54" s="14" t="str">
        <f>IF(AND(ISNUMBER($I54),OR($K54="Milestone",$K54="Deadline"),$I54&gt;=BH$4,$I54&lt;BH$4+7),IF($K54="Deadline","◇","◆"),"")</f>
        <v/>
      </c>
      <c r="BI54" s="14" t="str">
        <f>IF(AND(ISNUMBER($I54),OR($K54="Milestone",$K54="Deadline"),$I54&gt;=BI$4,$I54&lt;BI$4+7),IF($K54="Deadline","◇","◆"),"")</f>
        <v/>
      </c>
      <c r="BJ54" s="14" t="str">
        <f>IF(AND(ISNUMBER($I54),OR($K54="Milestone",$K54="Deadline"),$I54&gt;=BJ$4,$I54&lt;BJ$4+7),IF($K54="Deadline","◇","◆"),"")</f>
        <v/>
      </c>
      <c r="BK54" s="14" t="str">
        <f>IF(AND(ISNUMBER($I54),OR($K54="Milestone",$K54="Deadline"),$I54&gt;=BK$4,$I54&lt;BK$4+7),IF($K54="Deadline","◇","◆"),"")</f>
        <v/>
      </c>
      <c r="BL54" s="14" t="str">
        <f>IF(AND(ISNUMBER($I54),OR($K54="Milestone",$K54="Deadline"),$I54&gt;=BL$4,$I54&lt;BL$4+7),IF($K54="Deadline","◇","◆"),"")</f>
        <v/>
      </c>
      <c r="BM54" s="14" t="str">
        <f>IF(AND(ISNUMBER($I54),OR($K54="Milestone",$K54="Deadline"),$I54&gt;=BM$4,$I54&lt;BM$4+7),IF($K54="Deadline","◇","◆"),"")</f>
        <v/>
      </c>
      <c r="BN54" s="14" t="str">
        <f>IF(AND(ISNUMBER($I54),OR($K54="Milestone",$K54="Deadline"),$I54&gt;=BN$4,$I54&lt;BN$4+7),IF($K54="Deadline","◇","◆"),"")</f>
        <v/>
      </c>
      <c r="BO54" s="14" t="str">
        <f>IF(AND(ISNUMBER($I54),OR($K54="Milestone",$K54="Deadline"),$I54&gt;=BO$4,$I54&lt;BO$4+7),IF($K54="Deadline","◇","◆"),"")</f>
        <v/>
      </c>
      <c r="BP54" s="14" t="str">
        <f>IF(AND(ISNUMBER($I54),OR($K54="Milestone",$K54="Deadline"),$I54&gt;=BP$4,$I54&lt;BP$4+7),IF($K54="Deadline","◇","◆"),"")</f>
        <v/>
      </c>
      <c r="BQ54" s="14" t="str">
        <f>IF(AND(ISNUMBER($I54),OR($K54="Milestone",$K54="Deadline"),$I54&gt;=BQ$4,$I54&lt;BQ$4+7),IF($K54="Deadline","◇","◆"),"")</f>
        <v/>
      </c>
      <c r="BR54" s="14" t="str">
        <f>IF(AND(ISNUMBER($I54),OR($K54="Milestone",$K54="Deadline"),$I54&gt;=BR$4,$I54&lt;BR$4+7),IF($K54="Deadline","◇","◆"),"")</f>
        <v/>
      </c>
      <c r="BS54" s="14" t="str">
        <f>IF(AND(ISNUMBER($I54),OR($K54="Milestone",$K54="Deadline"),$I54&gt;=BS$4,$I54&lt;BS$4+7),IF($K54="Deadline","◇","◆"),"")</f>
        <v/>
      </c>
      <c r="BT54" s="14" t="str">
        <f>IF(AND(ISNUMBER($I54),OR($K54="Milestone",$K54="Deadline"),$I54&gt;=BT$4,$I54&lt;BT$4+7),IF($K54="Deadline","◇","◆"),"")</f>
        <v/>
      </c>
      <c r="BU54" s="14" t="str">
        <f>IF(AND(ISNUMBER($I54),OR($K54="Milestone",$K54="Deadline"),$I54&gt;=BU$4,$I54&lt;BU$4+7),IF($K54="Deadline","◇","◆"),"")</f>
        <v/>
      </c>
      <c r="BV54" s="14" t="str">
        <f>IF(AND(ISNUMBER($I54),OR($K54="Milestone",$K54="Deadline"),$I54&gt;=BV$4,$I54&lt;BV$4+7),IF($K54="Deadline","◇","◆"),"")</f>
        <v/>
      </c>
      <c r="BW54" s="14" t="str">
        <f>IF(AND(ISNUMBER($I54),OR($K54="Milestone",$K54="Deadline"),$I54&gt;=BW$4,$I54&lt;BW$4+7),IF($K54="Deadline","◇","◆"),"")</f>
        <v/>
      </c>
      <c r="BX54" s="14" t="str">
        <f>IF(AND(ISNUMBER($I54),OR($K54="Milestone",$K54="Deadline"),$I54&gt;=BX$4,$I54&lt;BX$4+7),IF($K54="Deadline","◇","◆"),"")</f>
        <v/>
      </c>
      <c r="BY54" s="14" t="str">
        <f>IF(AND(ISNUMBER($I54),OR($K54="Milestone",$K54="Deadline"),$I54&gt;=BY$4,$I54&lt;BY$4+7),IF($K54="Deadline","◇","◆"),"")</f>
        <v/>
      </c>
      <c r="BZ54" s="14" t="str">
        <f>IF(AND(ISNUMBER($I54),OR($K54="Milestone",$K54="Deadline"),$I54&gt;=BZ$4,$I54&lt;BZ$4+7),IF($K54="Deadline","◇","◆"),"")</f>
        <v/>
      </c>
      <c r="CA54" s="14" t="str">
        <f>IF(AND(ISNUMBER($I54),OR($K54="Milestone",$K54="Deadline"),$I54&gt;=CA$4,$I54&lt;CA$4+7),IF($K54="Deadline","◇","◆"),"")</f>
        <v/>
      </c>
      <c r="CB54" s="14" t="str">
        <f>IF(AND(ISNUMBER($I54),OR($K54="Milestone",$K54="Deadline"),$I54&gt;=CB$4,$I54&lt;CB$4+7),IF($K54="Deadline","◇","◆"),"")</f>
        <v/>
      </c>
      <c r="CC54" s="14" t="str">
        <f>IF(AND(ISNUMBER($I54),OR($K54="Milestone",$K54="Deadline"),$I54&gt;=CC$4,$I54&lt;CC$4+7),IF($K54="Deadline","◇","◆"),"")</f>
        <v/>
      </c>
      <c r="CD54" s="14" t="str">
        <f>IF(AND(ISNUMBER($I54),OR($K54="Milestone",$K54="Deadline"),$I54&gt;=CD$4,$I54&lt;CD$4+7),IF($K54="Deadline","◇","◆"),"")</f>
        <v/>
      </c>
      <c r="CE54" s="14" t="str">
        <f>IF(AND(ISNUMBER($I54),OR($K54="Milestone",$K54="Deadline"),$I54&gt;=CE$4,$I54&lt;CE$4+7),IF($K54="Deadline","◇","◆"),"")</f>
        <v/>
      </c>
      <c r="CF54" s="14" t="str">
        <f>IF(AND(ISNUMBER($I54),OR($K54="Milestone",$K54="Deadline"),$I54&gt;=CF$4,$I54&lt;CF$4+7),IF($K54="Deadline","◇","◆"),"")</f>
        <v/>
      </c>
      <c r="CG54" s="14" t="str">
        <f>IF(AND(ISNUMBER($I54),OR($K54="Milestone",$K54="Deadline"),$I54&gt;=CG$4,$I54&lt;CG$4+7),IF($K54="Deadline","◇","◆"),"")</f>
        <v/>
      </c>
      <c r="CH54" s="14" t="str">
        <f>IF(AND(ISNUMBER($I54),OR($K54="Milestone",$K54="Deadline"),$I54&gt;=CH$4,$I54&lt;CH$4+7),IF($K54="Deadline","◇","◆"),"")</f>
        <v/>
      </c>
      <c r="CI54" s="14" t="str">
        <f>IF(AND(ISNUMBER($I54),OR($K54="Milestone",$K54="Deadline"),$I54&gt;=CI$4,$I54&lt;CI$4+7),IF($K54="Deadline","◇","◆"),"")</f>
        <v/>
      </c>
      <c r="CJ54" s="14" t="str">
        <f>IF(AND(ISNUMBER($I54),OR($K54="Milestone",$K54="Deadline"),$I54&gt;=CJ$4,$I54&lt;CJ$4+7),IF($K54="Deadline","◇","◆"),"")</f>
        <v/>
      </c>
      <c r="CK54" s="14" t="str">
        <f>IF(AND(ISNUMBER($I54),OR($K54="Milestone",$K54="Deadline"),$I54&gt;=CK$4,$I54&lt;CK$4+7),IF($K54="Deadline","◇","◆"),"")</f>
        <v/>
      </c>
      <c r="CL54" s="14" t="str">
        <f>IF(AND(ISNUMBER($I54),OR($K54="Milestone",$K54="Deadline"),$I54&gt;=CL$4,$I54&lt;CL$4+7),IF($K54="Deadline","◇","◆"),"")</f>
        <v/>
      </c>
      <c r="CM54" s="14" t="str">
        <f>IF(AND(ISNUMBER($I54),OR($K54="Milestone",$K54="Deadline"),$I54&gt;=CM$4,$I54&lt;CM$4+7),IF($K54="Deadline","◇","◆"),"")</f>
        <v/>
      </c>
    </row>
    <row r="55" spans="1:91" ht="15" hidden="1" customHeight="1">
      <c r="A55" s="24" t="s">
        <v>202</v>
      </c>
      <c r="B55" s="24" t="s">
        <v>167</v>
      </c>
      <c r="C55" s="24" t="s">
        <v>63</v>
      </c>
      <c r="D55" s="24" t="s">
        <v>195</v>
      </c>
      <c r="E55" s="24" t="s">
        <v>196</v>
      </c>
      <c r="F55" s="24" t="s">
        <v>197</v>
      </c>
      <c r="G55" s="24" t="s">
        <v>176</v>
      </c>
      <c r="H55" s="24">
        <v>28</v>
      </c>
      <c r="I55" s="25">
        <f>MAX($C$2,J52+1)</f>
        <v>46344</v>
      </c>
      <c r="J55" s="26">
        <f>IF(AND(ISNUMBER(I55),ISNUMBER(H55)),I55+H55-1,"")</f>
        <v>46371</v>
      </c>
      <c r="K55" s="24" t="s">
        <v>27</v>
      </c>
      <c r="L55" s="24" t="s">
        <v>194</v>
      </c>
      <c r="M55" s="27"/>
      <c r="N55" s="24"/>
      <c r="O55" s="27">
        <f>IF(AND(ISNUMBER(I55),ISNUMBER(J55)),J55-I55+1,"")</f>
        <v>28</v>
      </c>
      <c r="P55" s="13"/>
      <c r="Q55" s="13"/>
      <c r="R55" s="13"/>
      <c r="S55" s="13"/>
      <c r="T55" s="13"/>
      <c r="U55" s="13" t="s">
        <v>140</v>
      </c>
      <c r="V55" s="13" t="s">
        <v>140</v>
      </c>
      <c r="W55" s="13"/>
      <c r="X55" s="13"/>
      <c r="Y55" s="13"/>
      <c r="Z55" s="13"/>
      <c r="AA55" s="13"/>
      <c r="AB55" s="13" t="s">
        <v>140</v>
      </c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13"/>
      <c r="AN55" s="13"/>
      <c r="AO55" s="14" t="str">
        <f>IF(AND(ISNUMBER($I55),OR($K55="Milestone",$K55="Deadline"),$I55&gt;=AO$4,$I55&lt;AO$4+7),IF($K55="Deadline","◇","◆"),"")</f>
        <v/>
      </c>
      <c r="AP55" s="14" t="str">
        <f>IF(AND(ISNUMBER($I55),OR($K55="Milestone",$K55="Deadline"),$I55&gt;=AP$4,$I55&lt;AP$4+7),IF($K55="Deadline","◇","◆"),"")</f>
        <v/>
      </c>
      <c r="AQ55" s="14" t="str">
        <f>IF(AND(ISNUMBER($I55),OR($K55="Milestone",$K55="Deadline"),$I55&gt;=AQ$4,$I55&lt;AQ$4+7),IF($K55="Deadline","◇","◆"),"")</f>
        <v/>
      </c>
      <c r="AR55" s="14" t="str">
        <f>IF(AND(ISNUMBER($I55),OR($K55="Milestone",$K55="Deadline"),$I55&gt;=AR$4,$I55&lt;AR$4+7),IF($K55="Deadline","◇","◆"),"")</f>
        <v/>
      </c>
      <c r="AS55" s="14" t="str">
        <f>IF(AND(ISNUMBER($I55),OR($K55="Milestone",$K55="Deadline"),$I55&gt;=AS$4,$I55&lt;AS$4+7),IF($K55="Deadline","◇","◆"),"")</f>
        <v/>
      </c>
      <c r="AT55" s="14" t="str">
        <f>IF(AND(ISNUMBER($I55),OR($K55="Milestone",$K55="Deadline"),$I55&gt;=AT$4,$I55&lt;AT$4+7),IF($K55="Deadline","◇","◆"),"")</f>
        <v/>
      </c>
      <c r="AU55" s="14" t="str">
        <f>IF(AND(ISNUMBER($I55),OR($K55="Milestone",$K55="Deadline"),$I55&gt;=AU$4,$I55&lt;AU$4+7),IF($K55="Deadline","◇","◆"),"")</f>
        <v/>
      </c>
      <c r="AV55" s="14" t="str">
        <f>IF(AND(ISNUMBER($I55),OR($K55="Milestone",$K55="Deadline"),$I55&gt;=AV$4,$I55&lt;AV$4+7),IF($K55="Deadline","◇","◆"),"")</f>
        <v/>
      </c>
      <c r="AW55" s="14" t="str">
        <f>IF(AND(ISNUMBER($I55),OR($K55="Milestone",$K55="Deadline"),$I55&gt;=AW$4,$I55&lt;AW$4+7),IF($K55="Deadline","◇","◆"),"")</f>
        <v/>
      </c>
      <c r="AX55" s="14" t="str">
        <f>IF(AND(ISNUMBER($I55),OR($K55="Milestone",$K55="Deadline"),$I55&gt;=AX$4,$I55&lt;AX$4+7),IF($K55="Deadline","◇","◆"),"")</f>
        <v/>
      </c>
      <c r="AY55" s="14" t="str">
        <f>IF(AND(ISNUMBER($I55),OR($K55="Milestone",$K55="Deadline"),$I55&gt;=AY$4,$I55&lt;AY$4+7),IF($K55="Deadline","◇","◆"),"")</f>
        <v/>
      </c>
      <c r="AZ55" s="14" t="str">
        <f>IF(AND(ISNUMBER($I55),OR($K55="Milestone",$K55="Deadline"),$I55&gt;=AZ$4,$I55&lt;AZ$4+7),IF($K55="Deadline","◇","◆"),"")</f>
        <v/>
      </c>
      <c r="BA55" s="14" t="str">
        <f>IF(AND(ISNUMBER($I55),OR($K55="Milestone",$K55="Deadline"),$I55&gt;=BA$4,$I55&lt;BA$4+7),IF($K55="Deadline","◇","◆"),"")</f>
        <v/>
      </c>
      <c r="BB55" s="14" t="str">
        <f>IF(AND(ISNUMBER($I55),OR($K55="Milestone",$K55="Deadline"),$I55&gt;=BB$4,$I55&lt;BB$4+7),IF($K55="Deadline","◇","◆"),"")</f>
        <v/>
      </c>
      <c r="BC55" s="14" t="str">
        <f>IF(AND(ISNUMBER($I55),OR($K55="Milestone",$K55="Deadline"),$I55&gt;=BC$4,$I55&lt;BC$4+7),IF($K55="Deadline","◇","◆"),"")</f>
        <v/>
      </c>
      <c r="BD55" s="14" t="str">
        <f>IF(AND(ISNUMBER($I55),OR($K55="Milestone",$K55="Deadline"),$I55&gt;=BD$4,$I55&lt;BD$4+7),IF($K55="Deadline","◇","◆"),"")</f>
        <v/>
      </c>
      <c r="BE55" s="14" t="str">
        <f>IF(AND(ISNUMBER($I55),OR($K55="Milestone",$K55="Deadline"),$I55&gt;=BE$4,$I55&lt;BE$4+7),IF($K55="Deadline","◇","◆"),"")</f>
        <v/>
      </c>
      <c r="BF55" s="14" t="str">
        <f>IF(AND(ISNUMBER($I55),OR($K55="Milestone",$K55="Deadline"),$I55&gt;=BF$4,$I55&lt;BF$4+7),IF($K55="Deadline","◇","◆"),"")</f>
        <v/>
      </c>
      <c r="BG55" s="14" t="str">
        <f>IF(AND(ISNUMBER($I55),OR($K55="Milestone",$K55="Deadline"),$I55&gt;=BG$4,$I55&lt;BG$4+7),IF($K55="Deadline","◇","◆"),"")</f>
        <v/>
      </c>
      <c r="BH55" s="14" t="str">
        <f>IF(AND(ISNUMBER($I55),OR($K55="Milestone",$K55="Deadline"),$I55&gt;=BH$4,$I55&lt;BH$4+7),IF($K55="Deadline","◇","◆"),"")</f>
        <v/>
      </c>
      <c r="BI55" s="14" t="str">
        <f>IF(AND(ISNUMBER($I55),OR($K55="Milestone",$K55="Deadline"),$I55&gt;=BI$4,$I55&lt;BI$4+7),IF($K55="Deadline","◇","◆"),"")</f>
        <v/>
      </c>
      <c r="BJ55" s="14" t="str">
        <f>IF(AND(ISNUMBER($I55),OR($K55="Milestone",$K55="Deadline"),$I55&gt;=BJ$4,$I55&lt;BJ$4+7),IF($K55="Deadline","◇","◆"),"")</f>
        <v/>
      </c>
      <c r="BK55" s="14" t="str">
        <f>IF(AND(ISNUMBER($I55),OR($K55="Milestone",$K55="Deadline"),$I55&gt;=BK$4,$I55&lt;BK$4+7),IF($K55="Deadline","◇","◆"),"")</f>
        <v/>
      </c>
      <c r="BL55" s="14" t="str">
        <f>IF(AND(ISNUMBER($I55),OR($K55="Milestone",$K55="Deadline"),$I55&gt;=BL$4,$I55&lt;BL$4+7),IF($K55="Deadline","◇","◆"),"")</f>
        <v/>
      </c>
      <c r="BM55" s="14" t="str">
        <f>IF(AND(ISNUMBER($I55),OR($K55="Milestone",$K55="Deadline"),$I55&gt;=BM$4,$I55&lt;BM$4+7),IF($K55="Deadline","◇","◆"),"")</f>
        <v/>
      </c>
      <c r="BN55" s="14" t="str">
        <f>IF(AND(ISNUMBER($I55),OR($K55="Milestone",$K55="Deadline"),$I55&gt;=BN$4,$I55&lt;BN$4+7),IF($K55="Deadline","◇","◆"),"")</f>
        <v/>
      </c>
      <c r="BO55" s="14" t="str">
        <f>IF(AND(ISNUMBER($I55),OR($K55="Milestone",$K55="Deadline"),$I55&gt;=BO$4,$I55&lt;BO$4+7),IF($K55="Deadline","◇","◆"),"")</f>
        <v/>
      </c>
      <c r="BP55" s="14" t="str">
        <f>IF(AND(ISNUMBER($I55),OR($K55="Milestone",$K55="Deadline"),$I55&gt;=BP$4,$I55&lt;BP$4+7),IF($K55="Deadline","◇","◆"),"")</f>
        <v/>
      </c>
      <c r="BQ55" s="14" t="str">
        <f>IF(AND(ISNUMBER($I55),OR($K55="Milestone",$K55="Deadline"),$I55&gt;=BQ$4,$I55&lt;BQ$4+7),IF($K55="Deadline","◇","◆"),"")</f>
        <v/>
      </c>
      <c r="BR55" s="14" t="str">
        <f>IF(AND(ISNUMBER($I55),OR($K55="Milestone",$K55="Deadline"),$I55&gt;=BR$4,$I55&lt;BR$4+7),IF($K55="Deadline","◇","◆"),"")</f>
        <v/>
      </c>
      <c r="BS55" s="14" t="str">
        <f>IF(AND(ISNUMBER($I55),OR($K55="Milestone",$K55="Deadline"),$I55&gt;=BS$4,$I55&lt;BS$4+7),IF($K55="Deadline","◇","◆"),"")</f>
        <v/>
      </c>
      <c r="BT55" s="14" t="str">
        <f>IF(AND(ISNUMBER($I55),OR($K55="Milestone",$K55="Deadline"),$I55&gt;=BT$4,$I55&lt;BT$4+7),IF($K55="Deadline","◇","◆"),"")</f>
        <v/>
      </c>
      <c r="BU55" s="14" t="str">
        <f>IF(AND(ISNUMBER($I55),OR($K55="Milestone",$K55="Deadline"),$I55&gt;=BU$4,$I55&lt;BU$4+7),IF($K55="Deadline","◇","◆"),"")</f>
        <v/>
      </c>
      <c r="BV55" s="14" t="str">
        <f>IF(AND(ISNUMBER($I55),OR($K55="Milestone",$K55="Deadline"),$I55&gt;=BV$4,$I55&lt;BV$4+7),IF($K55="Deadline","◇","◆"),"")</f>
        <v/>
      </c>
      <c r="BW55" s="14" t="str">
        <f>IF(AND(ISNUMBER($I55),OR($K55="Milestone",$K55="Deadline"),$I55&gt;=BW$4,$I55&lt;BW$4+7),IF($K55="Deadline","◇","◆"),"")</f>
        <v/>
      </c>
      <c r="BX55" s="14" t="str">
        <f>IF(AND(ISNUMBER($I55),OR($K55="Milestone",$K55="Deadline"),$I55&gt;=BX$4,$I55&lt;BX$4+7),IF($K55="Deadline","◇","◆"),"")</f>
        <v/>
      </c>
      <c r="BY55" s="14" t="str">
        <f>IF(AND(ISNUMBER($I55),OR($K55="Milestone",$K55="Deadline"),$I55&gt;=BY$4,$I55&lt;BY$4+7),IF($K55="Deadline","◇","◆"),"")</f>
        <v/>
      </c>
      <c r="BZ55" s="14" t="str">
        <f>IF(AND(ISNUMBER($I55),OR($K55="Milestone",$K55="Deadline"),$I55&gt;=BZ$4,$I55&lt;BZ$4+7),IF($K55="Deadline","◇","◆"),"")</f>
        <v/>
      </c>
      <c r="CA55" s="14" t="str">
        <f>IF(AND(ISNUMBER($I55),OR($K55="Milestone",$K55="Deadline"),$I55&gt;=CA$4,$I55&lt;CA$4+7),IF($K55="Deadline","◇","◆"),"")</f>
        <v/>
      </c>
      <c r="CB55" s="14" t="str">
        <f>IF(AND(ISNUMBER($I55),OR($K55="Milestone",$K55="Deadline"),$I55&gt;=CB$4,$I55&lt;CB$4+7),IF($K55="Deadline","◇","◆"),"")</f>
        <v/>
      </c>
      <c r="CC55" s="14" t="str">
        <f>IF(AND(ISNUMBER($I55),OR($K55="Milestone",$K55="Deadline"),$I55&gt;=CC$4,$I55&lt;CC$4+7),IF($K55="Deadline","◇","◆"),"")</f>
        <v/>
      </c>
      <c r="CD55" s="14" t="str">
        <f>IF(AND(ISNUMBER($I55),OR($K55="Milestone",$K55="Deadline"),$I55&gt;=CD$4,$I55&lt;CD$4+7),IF($K55="Deadline","◇","◆"),"")</f>
        <v/>
      </c>
      <c r="CE55" s="14" t="str">
        <f>IF(AND(ISNUMBER($I55),OR($K55="Milestone",$K55="Deadline"),$I55&gt;=CE$4,$I55&lt;CE$4+7),IF($K55="Deadline","◇","◆"),"")</f>
        <v/>
      </c>
      <c r="CF55" s="14" t="str">
        <f>IF(AND(ISNUMBER($I55),OR($K55="Milestone",$K55="Deadline"),$I55&gt;=CF$4,$I55&lt;CF$4+7),IF($K55="Deadline","◇","◆"),"")</f>
        <v/>
      </c>
      <c r="CG55" s="14" t="str">
        <f>IF(AND(ISNUMBER($I55),OR($K55="Milestone",$K55="Deadline"),$I55&gt;=CG$4,$I55&lt;CG$4+7),IF($K55="Deadline","◇","◆"),"")</f>
        <v/>
      </c>
      <c r="CH55" s="14" t="str">
        <f>IF(AND(ISNUMBER($I55),OR($K55="Milestone",$K55="Deadline"),$I55&gt;=CH$4,$I55&lt;CH$4+7),IF($K55="Deadline","◇","◆"),"")</f>
        <v/>
      </c>
      <c r="CI55" s="14" t="str">
        <f>IF(AND(ISNUMBER($I55),OR($K55="Milestone",$K55="Deadline"),$I55&gt;=CI$4,$I55&lt;CI$4+7),IF($K55="Deadline","◇","◆"),"")</f>
        <v/>
      </c>
      <c r="CJ55" s="14" t="str">
        <f>IF(AND(ISNUMBER($I55),OR($K55="Milestone",$K55="Deadline"),$I55&gt;=CJ$4,$I55&lt;CJ$4+7),IF($K55="Deadline","◇","◆"),"")</f>
        <v/>
      </c>
      <c r="CK55" s="14" t="str">
        <f>IF(AND(ISNUMBER($I55),OR($K55="Milestone",$K55="Deadline"),$I55&gt;=CK$4,$I55&lt;CK$4+7),IF($K55="Deadline","◇","◆"),"")</f>
        <v/>
      </c>
      <c r="CL55" s="14" t="str">
        <f>IF(AND(ISNUMBER($I55),OR($K55="Milestone",$K55="Deadline"),$I55&gt;=CL$4,$I55&lt;CL$4+7),IF($K55="Deadline","◇","◆"),"")</f>
        <v/>
      </c>
      <c r="CM55" s="14" t="str">
        <f>IF(AND(ISNUMBER($I55),OR($K55="Milestone",$K55="Deadline"),$I55&gt;=CM$4,$I55&lt;CM$4+7),IF($K55="Deadline","◇","◆"),"")</f>
        <v/>
      </c>
    </row>
    <row r="56" spans="1:91" ht="15" customHeight="1">
      <c r="A56" s="24" t="s">
        <v>203</v>
      </c>
      <c r="B56" s="24" t="s">
        <v>167</v>
      </c>
      <c r="C56" s="24" t="s">
        <v>63</v>
      </c>
      <c r="D56" s="24" t="s">
        <v>195</v>
      </c>
      <c r="E56" s="24" t="s">
        <v>196</v>
      </c>
      <c r="F56" s="24" t="s">
        <v>204</v>
      </c>
      <c r="G56" s="24" t="s">
        <v>198</v>
      </c>
      <c r="H56" s="24">
        <v>14</v>
      </c>
      <c r="I56" s="25">
        <f>MAX(DATE(2026,11,2),J58+1)</f>
        <v>46331</v>
      </c>
      <c r="J56" s="26">
        <f>IF(AND(ISNUMBER(I56),ISNUMBER(H56)),I56+H56-1,"")</f>
        <v>46344</v>
      </c>
      <c r="K56" s="24" t="s">
        <v>27</v>
      </c>
      <c r="L56" s="24" t="s">
        <v>165</v>
      </c>
      <c r="M56" s="27"/>
      <c r="N56" s="24"/>
      <c r="O56" s="27">
        <f>IF(AND(ISNUMBER(I56),ISNUMBER(J56)),J56-I56+1,"")</f>
        <v>14</v>
      </c>
      <c r="P56" s="13"/>
      <c r="Q56" s="13" t="s">
        <v>140</v>
      </c>
      <c r="R56" s="13"/>
      <c r="S56" s="13"/>
      <c r="T56" s="13"/>
      <c r="U56" s="13" t="s">
        <v>140</v>
      </c>
      <c r="V56" s="13"/>
      <c r="W56" s="13" t="s">
        <v>140</v>
      </c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13"/>
      <c r="AO56" s="14" t="str">
        <f>IF(AND(ISNUMBER($I56),OR($K56="Milestone",$K56="Deadline"),$I56&gt;=AO$4,$I56&lt;AO$4+7),IF($K56="Deadline","◇","◆"),"")</f>
        <v/>
      </c>
      <c r="AP56" s="14" t="str">
        <f>IF(AND(ISNUMBER($I56),OR($K56="Milestone",$K56="Deadline"),$I56&gt;=AP$4,$I56&lt;AP$4+7),IF($K56="Deadline","◇","◆"),"")</f>
        <v/>
      </c>
      <c r="AQ56" s="14" t="str">
        <f>IF(AND(ISNUMBER($I56),OR($K56="Milestone",$K56="Deadline"),$I56&gt;=AQ$4,$I56&lt;AQ$4+7),IF($K56="Deadline","◇","◆"),"")</f>
        <v/>
      </c>
      <c r="AR56" s="14" t="str">
        <f>IF(AND(ISNUMBER($I56),OR($K56="Milestone",$K56="Deadline"),$I56&gt;=AR$4,$I56&lt;AR$4+7),IF($K56="Deadline","◇","◆"),"")</f>
        <v/>
      </c>
      <c r="AS56" s="14" t="str">
        <f>IF(AND(ISNUMBER($I56),OR($K56="Milestone",$K56="Deadline"),$I56&gt;=AS$4,$I56&lt;AS$4+7),IF($K56="Deadline","◇","◆"),"")</f>
        <v/>
      </c>
      <c r="AT56" s="14" t="str">
        <f>IF(AND(ISNUMBER($I56),OR($K56="Milestone",$K56="Deadline"),$I56&gt;=AT$4,$I56&lt;AT$4+7),IF($K56="Deadline","◇","◆"),"")</f>
        <v/>
      </c>
      <c r="AU56" s="14" t="str">
        <f>IF(AND(ISNUMBER($I56),OR($K56="Milestone",$K56="Deadline"),$I56&gt;=AU$4,$I56&lt;AU$4+7),IF($K56="Deadline","◇","◆"),"")</f>
        <v/>
      </c>
      <c r="AV56" s="14" t="str">
        <f>IF(AND(ISNUMBER($I56),OR($K56="Milestone",$K56="Deadline"),$I56&gt;=AV$4,$I56&lt;AV$4+7),IF($K56="Deadline","◇","◆"),"")</f>
        <v/>
      </c>
      <c r="AW56" s="14" t="str">
        <f>IF(AND(ISNUMBER($I56),OR($K56="Milestone",$K56="Deadline"),$I56&gt;=AW$4,$I56&lt;AW$4+7),IF($K56="Deadline","◇","◆"),"")</f>
        <v/>
      </c>
      <c r="AX56" s="14" t="str">
        <f>IF(AND(ISNUMBER($I56),OR($K56="Milestone",$K56="Deadline"),$I56&gt;=AX$4,$I56&lt;AX$4+7),IF($K56="Deadline","◇","◆"),"")</f>
        <v/>
      </c>
      <c r="AY56" s="14" t="str">
        <f>IF(AND(ISNUMBER($I56),OR($K56="Milestone",$K56="Deadline"),$I56&gt;=AY$4,$I56&lt;AY$4+7),IF($K56="Deadline","◇","◆"),"")</f>
        <v/>
      </c>
      <c r="AZ56" s="14" t="str">
        <f>IF(AND(ISNUMBER($I56),OR($K56="Milestone",$K56="Deadline"),$I56&gt;=AZ$4,$I56&lt;AZ$4+7),IF($K56="Deadline","◇","◆"),"")</f>
        <v/>
      </c>
      <c r="BA56" s="14" t="str">
        <f>IF(AND(ISNUMBER($I56),OR($K56="Milestone",$K56="Deadline"),$I56&gt;=BA$4,$I56&lt;BA$4+7),IF($K56="Deadline","◇","◆"),"")</f>
        <v/>
      </c>
      <c r="BB56" s="14" t="str">
        <f>IF(AND(ISNUMBER($I56),OR($K56="Milestone",$K56="Deadline"),$I56&gt;=BB$4,$I56&lt;BB$4+7),IF($K56="Deadline","◇","◆"),"")</f>
        <v/>
      </c>
      <c r="BC56" s="14" t="str">
        <f>IF(AND(ISNUMBER($I56),OR($K56="Milestone",$K56="Deadline"),$I56&gt;=BC$4,$I56&lt;BC$4+7),IF($K56="Deadline","◇","◆"),"")</f>
        <v/>
      </c>
      <c r="BD56" s="14" t="str">
        <f>IF(AND(ISNUMBER($I56),OR($K56="Milestone",$K56="Deadline"),$I56&gt;=BD$4,$I56&lt;BD$4+7),IF($K56="Deadline","◇","◆"),"")</f>
        <v/>
      </c>
      <c r="BE56" s="14" t="str">
        <f>IF(AND(ISNUMBER($I56),OR($K56="Milestone",$K56="Deadline"),$I56&gt;=BE$4,$I56&lt;BE$4+7),IF($K56="Deadline","◇","◆"),"")</f>
        <v/>
      </c>
      <c r="BF56" s="14" t="str">
        <f>IF(AND(ISNUMBER($I56),OR($K56="Milestone",$K56="Deadline"),$I56&gt;=BF$4,$I56&lt;BF$4+7),IF($K56="Deadline","◇","◆"),"")</f>
        <v/>
      </c>
      <c r="BG56" s="14" t="str">
        <f>IF(AND(ISNUMBER($I56),OR($K56="Milestone",$K56="Deadline"),$I56&gt;=BG$4,$I56&lt;BG$4+7),IF($K56="Deadline","◇","◆"),"")</f>
        <v/>
      </c>
      <c r="BH56" s="14" t="str">
        <f>IF(AND(ISNUMBER($I56),OR($K56="Milestone",$K56="Deadline"),$I56&gt;=BH$4,$I56&lt;BH$4+7),IF($K56="Deadline","◇","◆"),"")</f>
        <v/>
      </c>
      <c r="BI56" s="14" t="str">
        <f>IF(AND(ISNUMBER($I56),OR($K56="Milestone",$K56="Deadline"),$I56&gt;=BI$4,$I56&lt;BI$4+7),IF($K56="Deadline","◇","◆"),"")</f>
        <v/>
      </c>
      <c r="BJ56" s="14" t="str">
        <f>IF(AND(ISNUMBER($I56),OR($K56="Milestone",$K56="Deadline"),$I56&gt;=BJ$4,$I56&lt;BJ$4+7),IF($K56="Deadline","◇","◆"),"")</f>
        <v/>
      </c>
      <c r="BK56" s="14" t="str">
        <f>IF(AND(ISNUMBER($I56),OR($K56="Milestone",$K56="Deadline"),$I56&gt;=BK$4,$I56&lt;BK$4+7),IF($K56="Deadline","◇","◆"),"")</f>
        <v/>
      </c>
      <c r="BL56" s="14" t="str">
        <f>IF(AND(ISNUMBER($I56),OR($K56="Milestone",$K56="Deadline"),$I56&gt;=BL$4,$I56&lt;BL$4+7),IF($K56="Deadline","◇","◆"),"")</f>
        <v/>
      </c>
      <c r="BM56" s="14" t="str">
        <f>IF(AND(ISNUMBER($I56),OR($K56="Milestone",$K56="Deadline"),$I56&gt;=BM$4,$I56&lt;BM$4+7),IF($K56="Deadline","◇","◆"),"")</f>
        <v/>
      </c>
      <c r="BN56" s="14" t="str">
        <f>IF(AND(ISNUMBER($I56),OR($K56="Milestone",$K56="Deadline"),$I56&gt;=BN$4,$I56&lt;BN$4+7),IF($K56="Deadline","◇","◆"),"")</f>
        <v/>
      </c>
      <c r="BO56" s="14" t="str">
        <f>IF(AND(ISNUMBER($I56),OR($K56="Milestone",$K56="Deadline"),$I56&gt;=BO$4,$I56&lt;BO$4+7),IF($K56="Deadline","◇","◆"),"")</f>
        <v/>
      </c>
      <c r="BP56" s="14" t="str">
        <f>IF(AND(ISNUMBER($I56),OR($K56="Milestone",$K56="Deadline"),$I56&gt;=BP$4,$I56&lt;BP$4+7),IF($K56="Deadline","◇","◆"),"")</f>
        <v/>
      </c>
      <c r="BQ56" s="14" t="str">
        <f>IF(AND(ISNUMBER($I56),OR($K56="Milestone",$K56="Deadline"),$I56&gt;=BQ$4,$I56&lt;BQ$4+7),IF($K56="Deadline","◇","◆"),"")</f>
        <v/>
      </c>
      <c r="BR56" s="14" t="str">
        <f>IF(AND(ISNUMBER($I56),OR($K56="Milestone",$K56="Deadline"),$I56&gt;=BR$4,$I56&lt;BR$4+7),IF($K56="Deadline","◇","◆"),"")</f>
        <v/>
      </c>
      <c r="BS56" s="14" t="str">
        <f>IF(AND(ISNUMBER($I56),OR($K56="Milestone",$K56="Deadline"),$I56&gt;=BS$4,$I56&lt;BS$4+7),IF($K56="Deadline","◇","◆"),"")</f>
        <v/>
      </c>
      <c r="BT56" s="14" t="str">
        <f>IF(AND(ISNUMBER($I56),OR($K56="Milestone",$K56="Deadline"),$I56&gt;=BT$4,$I56&lt;BT$4+7),IF($K56="Deadline","◇","◆"),"")</f>
        <v/>
      </c>
      <c r="BU56" s="14" t="str">
        <f>IF(AND(ISNUMBER($I56),OR($K56="Milestone",$K56="Deadline"),$I56&gt;=BU$4,$I56&lt;BU$4+7),IF($K56="Deadline","◇","◆"),"")</f>
        <v/>
      </c>
      <c r="BV56" s="14" t="str">
        <f>IF(AND(ISNUMBER($I56),OR($K56="Milestone",$K56="Deadline"),$I56&gt;=BV$4,$I56&lt;BV$4+7),IF($K56="Deadline","◇","◆"),"")</f>
        <v/>
      </c>
      <c r="BW56" s="14" t="str">
        <f>IF(AND(ISNUMBER($I56),OR($K56="Milestone",$K56="Deadline"),$I56&gt;=BW$4,$I56&lt;BW$4+7),IF($K56="Deadline","◇","◆"),"")</f>
        <v/>
      </c>
      <c r="BX56" s="14" t="str">
        <f>IF(AND(ISNUMBER($I56),OR($K56="Milestone",$K56="Deadline"),$I56&gt;=BX$4,$I56&lt;BX$4+7),IF($K56="Deadline","◇","◆"),"")</f>
        <v/>
      </c>
      <c r="BY56" s="14" t="str">
        <f>IF(AND(ISNUMBER($I56),OR($K56="Milestone",$K56="Deadline"),$I56&gt;=BY$4,$I56&lt;BY$4+7),IF($K56="Deadline","◇","◆"),"")</f>
        <v/>
      </c>
      <c r="BZ56" s="14" t="str">
        <f>IF(AND(ISNUMBER($I56),OR($K56="Milestone",$K56="Deadline"),$I56&gt;=BZ$4,$I56&lt;BZ$4+7),IF($K56="Deadline","◇","◆"),"")</f>
        <v/>
      </c>
      <c r="CA56" s="14" t="str">
        <f>IF(AND(ISNUMBER($I56),OR($K56="Milestone",$K56="Deadline"),$I56&gt;=CA$4,$I56&lt;CA$4+7),IF($K56="Deadline","◇","◆"),"")</f>
        <v/>
      </c>
      <c r="CB56" s="14" t="str">
        <f>IF(AND(ISNUMBER($I56),OR($K56="Milestone",$K56="Deadline"),$I56&gt;=CB$4,$I56&lt;CB$4+7),IF($K56="Deadline","◇","◆"),"")</f>
        <v/>
      </c>
      <c r="CC56" s="14" t="str">
        <f>IF(AND(ISNUMBER($I56),OR($K56="Milestone",$K56="Deadline"),$I56&gt;=CC$4,$I56&lt;CC$4+7),IF($K56="Deadline","◇","◆"),"")</f>
        <v/>
      </c>
      <c r="CD56" s="14" t="str">
        <f>IF(AND(ISNUMBER($I56),OR($K56="Milestone",$K56="Deadline"),$I56&gt;=CD$4,$I56&lt;CD$4+7),IF($K56="Deadline","◇","◆"),"")</f>
        <v/>
      </c>
      <c r="CE56" s="14" t="str">
        <f>IF(AND(ISNUMBER($I56),OR($K56="Milestone",$K56="Deadline"),$I56&gt;=CE$4,$I56&lt;CE$4+7),IF($K56="Deadline","◇","◆"),"")</f>
        <v/>
      </c>
      <c r="CF56" s="14" t="str">
        <f>IF(AND(ISNUMBER($I56),OR($K56="Milestone",$K56="Deadline"),$I56&gt;=CF$4,$I56&lt;CF$4+7),IF($K56="Deadline","◇","◆"),"")</f>
        <v/>
      </c>
      <c r="CG56" s="14" t="str">
        <f>IF(AND(ISNUMBER($I56),OR($K56="Milestone",$K56="Deadline"),$I56&gt;=CG$4,$I56&lt;CG$4+7),IF($K56="Deadline","◇","◆"),"")</f>
        <v/>
      </c>
      <c r="CH56" s="14" t="str">
        <f>IF(AND(ISNUMBER($I56),OR($K56="Milestone",$K56="Deadline"),$I56&gt;=CH$4,$I56&lt;CH$4+7),IF($K56="Deadline","◇","◆"),"")</f>
        <v/>
      </c>
      <c r="CI56" s="14" t="str">
        <f>IF(AND(ISNUMBER($I56),OR($K56="Milestone",$K56="Deadline"),$I56&gt;=CI$4,$I56&lt;CI$4+7),IF($K56="Deadline","◇","◆"),"")</f>
        <v/>
      </c>
      <c r="CJ56" s="14" t="str">
        <f>IF(AND(ISNUMBER($I56),OR($K56="Milestone",$K56="Deadline"),$I56&gt;=CJ$4,$I56&lt;CJ$4+7),IF($K56="Deadline","◇","◆"),"")</f>
        <v/>
      </c>
      <c r="CK56" s="14" t="str">
        <f>IF(AND(ISNUMBER($I56),OR($K56="Milestone",$K56="Deadline"),$I56&gt;=CK$4,$I56&lt;CK$4+7),IF($K56="Deadline","◇","◆"),"")</f>
        <v/>
      </c>
      <c r="CL56" s="14" t="str">
        <f>IF(AND(ISNUMBER($I56),OR($K56="Milestone",$K56="Deadline"),$I56&gt;=CL$4,$I56&lt;CL$4+7),IF($K56="Deadline","◇","◆"),"")</f>
        <v/>
      </c>
      <c r="CM56" s="14" t="str">
        <f>IF(AND(ISNUMBER($I56),OR($K56="Milestone",$K56="Deadline"),$I56&gt;=CM$4,$I56&lt;CM$4+7),IF($K56="Deadline","◇","◆"),"")</f>
        <v/>
      </c>
    </row>
    <row r="57" spans="1:91" ht="15" hidden="1" customHeight="1">
      <c r="A57" s="24" t="s">
        <v>205</v>
      </c>
      <c r="B57" s="24" t="s">
        <v>167</v>
      </c>
      <c r="C57" s="24" t="s">
        <v>63</v>
      </c>
      <c r="D57" s="24" t="s">
        <v>195</v>
      </c>
      <c r="E57" s="24" t="s">
        <v>196</v>
      </c>
      <c r="F57" s="24" t="s">
        <v>204</v>
      </c>
      <c r="G57" s="24" t="s">
        <v>173</v>
      </c>
      <c r="H57" s="24">
        <v>14</v>
      </c>
      <c r="I57" s="25">
        <f>MAX(DATE(2026,12,8),J53+1)</f>
        <v>46385</v>
      </c>
      <c r="J57" s="26">
        <f>IF(AND(ISNUMBER(I57),ISNUMBER(H57)),I57+H57-1,"")</f>
        <v>46398</v>
      </c>
      <c r="K57" s="24" t="s">
        <v>27</v>
      </c>
      <c r="L57" s="24"/>
      <c r="M57" s="27" t="s">
        <v>200</v>
      </c>
      <c r="N57" s="24"/>
      <c r="O57" s="27">
        <f>IF(AND(ISNUMBER(I57),ISNUMBER(J57)),J57-I57+1,"")</f>
        <v>14</v>
      </c>
      <c r="P57" s="13" t="s">
        <v>140</v>
      </c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13" t="s">
        <v>140</v>
      </c>
      <c r="AM57" s="13"/>
      <c r="AN57" s="13"/>
      <c r="AO57" s="14" t="str">
        <f>IF(AND(ISNUMBER($I57),OR($K57="Milestone",$K57="Deadline"),$I57&gt;=AO$4,$I57&lt;AO$4+7),IF($K57="Deadline","◇","◆"),"")</f>
        <v/>
      </c>
      <c r="AP57" s="14" t="str">
        <f>IF(AND(ISNUMBER($I57),OR($K57="Milestone",$K57="Deadline"),$I57&gt;=AP$4,$I57&lt;AP$4+7),IF($K57="Deadline","◇","◆"),"")</f>
        <v/>
      </c>
      <c r="AQ57" s="14" t="str">
        <f>IF(AND(ISNUMBER($I57),OR($K57="Milestone",$K57="Deadline"),$I57&gt;=AQ$4,$I57&lt;AQ$4+7),IF($K57="Deadline","◇","◆"),"")</f>
        <v/>
      </c>
      <c r="AR57" s="14" t="str">
        <f>IF(AND(ISNUMBER($I57),OR($K57="Milestone",$K57="Deadline"),$I57&gt;=AR$4,$I57&lt;AR$4+7),IF($K57="Deadline","◇","◆"),"")</f>
        <v/>
      </c>
      <c r="AS57" s="14" t="str">
        <f>IF(AND(ISNUMBER($I57),OR($K57="Milestone",$K57="Deadline"),$I57&gt;=AS$4,$I57&lt;AS$4+7),IF($K57="Deadline","◇","◆"),"")</f>
        <v/>
      </c>
      <c r="AT57" s="14" t="str">
        <f>IF(AND(ISNUMBER($I57),OR($K57="Milestone",$K57="Deadline"),$I57&gt;=AT$4,$I57&lt;AT$4+7),IF($K57="Deadline","◇","◆"),"")</f>
        <v/>
      </c>
      <c r="AU57" s="14" t="str">
        <f>IF(AND(ISNUMBER($I57),OR($K57="Milestone",$K57="Deadline"),$I57&gt;=AU$4,$I57&lt;AU$4+7),IF($K57="Deadline","◇","◆"),"")</f>
        <v/>
      </c>
      <c r="AV57" s="14" t="str">
        <f>IF(AND(ISNUMBER($I57),OR($K57="Milestone",$K57="Deadline"),$I57&gt;=AV$4,$I57&lt;AV$4+7),IF($K57="Deadline","◇","◆"),"")</f>
        <v/>
      </c>
      <c r="AW57" s="14" t="str">
        <f>IF(AND(ISNUMBER($I57),OR($K57="Milestone",$K57="Deadline"),$I57&gt;=AW$4,$I57&lt;AW$4+7),IF($K57="Deadline","◇","◆"),"")</f>
        <v/>
      </c>
      <c r="AX57" s="14" t="str">
        <f>IF(AND(ISNUMBER($I57),OR($K57="Milestone",$K57="Deadline"),$I57&gt;=AX$4,$I57&lt;AX$4+7),IF($K57="Deadline","◇","◆"),"")</f>
        <v/>
      </c>
      <c r="AY57" s="14" t="str">
        <f>IF(AND(ISNUMBER($I57),OR($K57="Milestone",$K57="Deadline"),$I57&gt;=AY$4,$I57&lt;AY$4+7),IF($K57="Deadline","◇","◆"),"")</f>
        <v/>
      </c>
      <c r="AZ57" s="14" t="str">
        <f>IF(AND(ISNUMBER($I57),OR($K57="Milestone",$K57="Deadline"),$I57&gt;=AZ$4,$I57&lt;AZ$4+7),IF($K57="Deadline","◇","◆"),"")</f>
        <v/>
      </c>
      <c r="BA57" s="14" t="str">
        <f>IF(AND(ISNUMBER($I57),OR($K57="Milestone",$K57="Deadline"),$I57&gt;=BA$4,$I57&lt;BA$4+7),IF($K57="Deadline","◇","◆"),"")</f>
        <v/>
      </c>
      <c r="BB57" s="14" t="str">
        <f>IF(AND(ISNUMBER($I57),OR($K57="Milestone",$K57="Deadline"),$I57&gt;=BB$4,$I57&lt;BB$4+7),IF($K57="Deadline","◇","◆"),"")</f>
        <v/>
      </c>
      <c r="BC57" s="14" t="str">
        <f>IF(AND(ISNUMBER($I57),OR($K57="Milestone",$K57="Deadline"),$I57&gt;=BC$4,$I57&lt;BC$4+7),IF($K57="Deadline","◇","◆"),"")</f>
        <v/>
      </c>
      <c r="BD57" s="14" t="str">
        <f>IF(AND(ISNUMBER($I57),OR($K57="Milestone",$K57="Deadline"),$I57&gt;=BD$4,$I57&lt;BD$4+7),IF($K57="Deadline","◇","◆"),"")</f>
        <v/>
      </c>
      <c r="BE57" s="14" t="str">
        <f>IF(AND(ISNUMBER($I57),OR($K57="Milestone",$K57="Deadline"),$I57&gt;=BE$4,$I57&lt;BE$4+7),IF($K57="Deadline","◇","◆"),"")</f>
        <v/>
      </c>
      <c r="BF57" s="14" t="str">
        <f>IF(AND(ISNUMBER($I57),OR($K57="Milestone",$K57="Deadline"),$I57&gt;=BF$4,$I57&lt;BF$4+7),IF($K57="Deadline","◇","◆"),"")</f>
        <v/>
      </c>
      <c r="BG57" s="14" t="str">
        <f>IF(AND(ISNUMBER($I57),OR($K57="Milestone",$K57="Deadline"),$I57&gt;=BG$4,$I57&lt;BG$4+7),IF($K57="Deadline","◇","◆"),"")</f>
        <v/>
      </c>
      <c r="BH57" s="14" t="str">
        <f>IF(AND(ISNUMBER($I57),OR($K57="Milestone",$K57="Deadline"),$I57&gt;=BH$4,$I57&lt;BH$4+7),IF($K57="Deadline","◇","◆"),"")</f>
        <v/>
      </c>
      <c r="BI57" s="14" t="str">
        <f>IF(AND(ISNUMBER($I57),OR($K57="Milestone",$K57="Deadline"),$I57&gt;=BI$4,$I57&lt;BI$4+7),IF($K57="Deadline","◇","◆"),"")</f>
        <v/>
      </c>
      <c r="BJ57" s="14" t="str">
        <f>IF(AND(ISNUMBER($I57),OR($K57="Milestone",$K57="Deadline"),$I57&gt;=BJ$4,$I57&lt;BJ$4+7),IF($K57="Deadline","◇","◆"),"")</f>
        <v/>
      </c>
      <c r="BK57" s="14" t="str">
        <f>IF(AND(ISNUMBER($I57),OR($K57="Milestone",$K57="Deadline"),$I57&gt;=BK$4,$I57&lt;BK$4+7),IF($K57="Deadline","◇","◆"),"")</f>
        <v/>
      </c>
      <c r="BL57" s="14" t="str">
        <f>IF(AND(ISNUMBER($I57),OR($K57="Milestone",$K57="Deadline"),$I57&gt;=BL$4,$I57&lt;BL$4+7),IF($K57="Deadline","◇","◆"),"")</f>
        <v/>
      </c>
      <c r="BM57" s="14" t="str">
        <f>IF(AND(ISNUMBER($I57),OR($K57="Milestone",$K57="Deadline"),$I57&gt;=BM$4,$I57&lt;BM$4+7),IF($K57="Deadline","◇","◆"),"")</f>
        <v/>
      </c>
      <c r="BN57" s="14" t="str">
        <f>IF(AND(ISNUMBER($I57),OR($K57="Milestone",$K57="Deadline"),$I57&gt;=BN$4,$I57&lt;BN$4+7),IF($K57="Deadline","◇","◆"),"")</f>
        <v/>
      </c>
      <c r="BO57" s="14" t="str">
        <f>IF(AND(ISNUMBER($I57),OR($K57="Milestone",$K57="Deadline"),$I57&gt;=BO$4,$I57&lt;BO$4+7),IF($K57="Deadline","◇","◆"),"")</f>
        <v/>
      </c>
      <c r="BP57" s="14" t="str">
        <f>IF(AND(ISNUMBER($I57),OR($K57="Milestone",$K57="Deadline"),$I57&gt;=BP$4,$I57&lt;BP$4+7),IF($K57="Deadline","◇","◆"),"")</f>
        <v/>
      </c>
      <c r="BQ57" s="14" t="str">
        <f>IF(AND(ISNUMBER($I57),OR($K57="Milestone",$K57="Deadline"),$I57&gt;=BQ$4,$I57&lt;BQ$4+7),IF($K57="Deadline","◇","◆"),"")</f>
        <v/>
      </c>
      <c r="BR57" s="14" t="str">
        <f>IF(AND(ISNUMBER($I57),OR($K57="Milestone",$K57="Deadline"),$I57&gt;=BR$4,$I57&lt;BR$4+7),IF($K57="Deadline","◇","◆"),"")</f>
        <v/>
      </c>
      <c r="BS57" s="14" t="str">
        <f>IF(AND(ISNUMBER($I57),OR($K57="Milestone",$K57="Deadline"),$I57&gt;=BS$4,$I57&lt;BS$4+7),IF($K57="Deadline","◇","◆"),"")</f>
        <v/>
      </c>
      <c r="BT57" s="14" t="str">
        <f>IF(AND(ISNUMBER($I57),OR($K57="Milestone",$K57="Deadline"),$I57&gt;=BT$4,$I57&lt;BT$4+7),IF($K57="Deadline","◇","◆"),"")</f>
        <v/>
      </c>
      <c r="BU57" s="14" t="str">
        <f>IF(AND(ISNUMBER($I57),OR($K57="Milestone",$K57="Deadline"),$I57&gt;=BU$4,$I57&lt;BU$4+7),IF($K57="Deadline","◇","◆"),"")</f>
        <v/>
      </c>
      <c r="BV57" s="14" t="str">
        <f>IF(AND(ISNUMBER($I57),OR($K57="Milestone",$K57="Deadline"),$I57&gt;=BV$4,$I57&lt;BV$4+7),IF($K57="Deadline","◇","◆"),"")</f>
        <v/>
      </c>
      <c r="BW57" s="14" t="str">
        <f>IF(AND(ISNUMBER($I57),OR($K57="Milestone",$K57="Deadline"),$I57&gt;=BW$4,$I57&lt;BW$4+7),IF($K57="Deadline","◇","◆"),"")</f>
        <v/>
      </c>
      <c r="BX57" s="14" t="str">
        <f>IF(AND(ISNUMBER($I57),OR($K57="Milestone",$K57="Deadline"),$I57&gt;=BX$4,$I57&lt;BX$4+7),IF($K57="Deadline","◇","◆"),"")</f>
        <v/>
      </c>
      <c r="BY57" s="14" t="str">
        <f>IF(AND(ISNUMBER($I57),OR($K57="Milestone",$K57="Deadline"),$I57&gt;=BY$4,$I57&lt;BY$4+7),IF($K57="Deadline","◇","◆"),"")</f>
        <v/>
      </c>
      <c r="BZ57" s="14" t="str">
        <f>IF(AND(ISNUMBER($I57),OR($K57="Milestone",$K57="Deadline"),$I57&gt;=BZ$4,$I57&lt;BZ$4+7),IF($K57="Deadline","◇","◆"),"")</f>
        <v/>
      </c>
      <c r="CA57" s="14" t="str">
        <f>IF(AND(ISNUMBER($I57),OR($K57="Milestone",$K57="Deadline"),$I57&gt;=CA$4,$I57&lt;CA$4+7),IF($K57="Deadline","◇","◆"),"")</f>
        <v/>
      </c>
      <c r="CB57" s="14" t="str">
        <f>IF(AND(ISNUMBER($I57),OR($K57="Milestone",$K57="Deadline"),$I57&gt;=CB$4,$I57&lt;CB$4+7),IF($K57="Deadline","◇","◆"),"")</f>
        <v/>
      </c>
      <c r="CC57" s="14" t="str">
        <f>IF(AND(ISNUMBER($I57),OR($K57="Milestone",$K57="Deadline"),$I57&gt;=CC$4,$I57&lt;CC$4+7),IF($K57="Deadline","◇","◆"),"")</f>
        <v/>
      </c>
      <c r="CD57" s="14" t="str">
        <f>IF(AND(ISNUMBER($I57),OR($K57="Milestone",$K57="Deadline"),$I57&gt;=CD$4,$I57&lt;CD$4+7),IF($K57="Deadline","◇","◆"),"")</f>
        <v/>
      </c>
      <c r="CE57" s="14" t="str">
        <f>IF(AND(ISNUMBER($I57),OR($K57="Milestone",$K57="Deadline"),$I57&gt;=CE$4,$I57&lt;CE$4+7),IF($K57="Deadline","◇","◆"),"")</f>
        <v/>
      </c>
      <c r="CF57" s="14" t="str">
        <f>IF(AND(ISNUMBER($I57),OR($K57="Milestone",$K57="Deadline"),$I57&gt;=CF$4,$I57&lt;CF$4+7),IF($K57="Deadline","◇","◆"),"")</f>
        <v/>
      </c>
      <c r="CG57" s="14" t="str">
        <f>IF(AND(ISNUMBER($I57),OR($K57="Milestone",$K57="Deadline"),$I57&gt;=CG$4,$I57&lt;CG$4+7),IF($K57="Deadline","◇","◆"),"")</f>
        <v/>
      </c>
      <c r="CH57" s="14" t="str">
        <f>IF(AND(ISNUMBER($I57),OR($K57="Milestone",$K57="Deadline"),$I57&gt;=CH$4,$I57&lt;CH$4+7),IF($K57="Deadline","◇","◆"),"")</f>
        <v/>
      </c>
      <c r="CI57" s="14" t="str">
        <f>IF(AND(ISNUMBER($I57),OR($K57="Milestone",$K57="Deadline"),$I57&gt;=CI$4,$I57&lt;CI$4+7),IF($K57="Deadline","◇","◆"),"")</f>
        <v/>
      </c>
      <c r="CJ57" s="14" t="str">
        <f>IF(AND(ISNUMBER($I57),OR($K57="Milestone",$K57="Deadline"),$I57&gt;=CJ$4,$I57&lt;CJ$4+7),IF($K57="Deadline","◇","◆"),"")</f>
        <v/>
      </c>
      <c r="CK57" s="14" t="str">
        <f>IF(AND(ISNUMBER($I57),OR($K57="Milestone",$K57="Deadline"),$I57&gt;=CK$4,$I57&lt;CK$4+7),IF($K57="Deadline","◇","◆"),"")</f>
        <v/>
      </c>
      <c r="CL57" s="14" t="str">
        <f>IF(AND(ISNUMBER($I57),OR($K57="Milestone",$K57="Deadline"),$I57&gt;=CL$4,$I57&lt;CL$4+7),IF($K57="Deadline","◇","◆"),"")</f>
        <v/>
      </c>
      <c r="CM57" s="14" t="str">
        <f>IF(AND(ISNUMBER($I57),OR($K57="Milestone",$K57="Deadline"),$I57&gt;=CM$4,$I57&lt;CM$4+7),IF($K57="Deadline","◇","◆"),"")</f>
        <v/>
      </c>
    </row>
    <row r="58" spans="1:91" ht="15" hidden="1" customHeight="1">
      <c r="A58" s="24" t="s">
        <v>165</v>
      </c>
      <c r="B58" s="24" t="s">
        <v>167</v>
      </c>
      <c r="C58" s="24" t="s">
        <v>63</v>
      </c>
      <c r="D58" s="24" t="s">
        <v>195</v>
      </c>
      <c r="E58" s="24" t="s">
        <v>196</v>
      </c>
      <c r="F58" s="24" t="s">
        <v>204</v>
      </c>
      <c r="G58" s="24" t="s">
        <v>201</v>
      </c>
      <c r="H58" s="24">
        <v>3</v>
      </c>
      <c r="I58" s="28">
        <v>46328</v>
      </c>
      <c r="J58" s="26">
        <f>IF(AND(ISNUMBER(I58),ISNUMBER(H58)),I58+H58-1,"")</f>
        <v>46330</v>
      </c>
      <c r="K58" s="24" t="s">
        <v>27</v>
      </c>
      <c r="L58" s="24"/>
      <c r="M58" s="27"/>
      <c r="N58" s="24"/>
      <c r="O58" s="27">
        <f>IF(AND(ISNUMBER(I58),ISNUMBER(J58)),J58-I58+1,"")</f>
        <v>3</v>
      </c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 t="s">
        <v>140</v>
      </c>
      <c r="AG58" s="13"/>
      <c r="AH58" s="13"/>
      <c r="AI58" s="13"/>
      <c r="AJ58" s="13"/>
      <c r="AK58" s="13"/>
      <c r="AL58" s="13" t="s">
        <v>140</v>
      </c>
      <c r="AM58" s="13"/>
      <c r="AN58" s="13"/>
      <c r="AO58" s="14" t="str">
        <f>IF(AND(ISNUMBER($I58),OR($K58="Milestone",$K58="Deadline"),$I58&gt;=AO$4,$I58&lt;AO$4+7),IF($K58="Deadline","◇","◆"),"")</f>
        <v/>
      </c>
      <c r="AP58" s="14" t="str">
        <f>IF(AND(ISNUMBER($I58),OR($K58="Milestone",$K58="Deadline"),$I58&gt;=AP$4,$I58&lt;AP$4+7),IF($K58="Deadline","◇","◆"),"")</f>
        <v/>
      </c>
      <c r="AQ58" s="14" t="str">
        <f>IF(AND(ISNUMBER($I58),OR($K58="Milestone",$K58="Deadline"),$I58&gt;=AQ$4,$I58&lt;AQ$4+7),IF($K58="Deadline","◇","◆"),"")</f>
        <v/>
      </c>
      <c r="AR58" s="14" t="str">
        <f>IF(AND(ISNUMBER($I58),OR($K58="Milestone",$K58="Deadline"),$I58&gt;=AR$4,$I58&lt;AR$4+7),IF($K58="Deadline","◇","◆"),"")</f>
        <v/>
      </c>
      <c r="AS58" s="14" t="str">
        <f>IF(AND(ISNUMBER($I58),OR($K58="Milestone",$K58="Deadline"),$I58&gt;=AS$4,$I58&lt;AS$4+7),IF($K58="Deadline","◇","◆"),"")</f>
        <v/>
      </c>
      <c r="AT58" s="14" t="str">
        <f>IF(AND(ISNUMBER($I58),OR($K58="Milestone",$K58="Deadline"),$I58&gt;=AT$4,$I58&lt;AT$4+7),IF($K58="Deadline","◇","◆"),"")</f>
        <v/>
      </c>
      <c r="AU58" s="14" t="str">
        <f>IF(AND(ISNUMBER($I58),OR($K58="Milestone",$K58="Deadline"),$I58&gt;=AU$4,$I58&lt;AU$4+7),IF($K58="Deadline","◇","◆"),"")</f>
        <v/>
      </c>
      <c r="AV58" s="14" t="str">
        <f>IF(AND(ISNUMBER($I58),OR($K58="Milestone",$K58="Deadline"),$I58&gt;=AV$4,$I58&lt;AV$4+7),IF($K58="Deadline","◇","◆"),"")</f>
        <v/>
      </c>
      <c r="AW58" s="14" t="str">
        <f>IF(AND(ISNUMBER($I58),OR($K58="Milestone",$K58="Deadline"),$I58&gt;=AW$4,$I58&lt;AW$4+7),IF($K58="Deadline","◇","◆"),"")</f>
        <v/>
      </c>
      <c r="AX58" s="14" t="str">
        <f>IF(AND(ISNUMBER($I58),OR($K58="Milestone",$K58="Deadline"),$I58&gt;=AX$4,$I58&lt;AX$4+7),IF($K58="Deadline","◇","◆"),"")</f>
        <v/>
      </c>
      <c r="AY58" s="14" t="str">
        <f>IF(AND(ISNUMBER($I58),OR($K58="Milestone",$K58="Deadline"),$I58&gt;=AY$4,$I58&lt;AY$4+7),IF($K58="Deadline","◇","◆"),"")</f>
        <v/>
      </c>
      <c r="AZ58" s="14" t="str">
        <f>IF(AND(ISNUMBER($I58),OR($K58="Milestone",$K58="Deadline"),$I58&gt;=AZ$4,$I58&lt;AZ$4+7),IF($K58="Deadline","◇","◆"),"")</f>
        <v/>
      </c>
      <c r="BA58" s="14" t="str">
        <f>IF(AND(ISNUMBER($I58),OR($K58="Milestone",$K58="Deadline"),$I58&gt;=BA$4,$I58&lt;BA$4+7),IF($K58="Deadline","◇","◆"),"")</f>
        <v/>
      </c>
      <c r="BB58" s="14" t="str">
        <f>IF(AND(ISNUMBER($I58),OR($K58="Milestone",$K58="Deadline"),$I58&gt;=BB$4,$I58&lt;BB$4+7),IF($K58="Deadline","◇","◆"),"")</f>
        <v/>
      </c>
      <c r="BC58" s="14" t="str">
        <f>IF(AND(ISNUMBER($I58),OR($K58="Milestone",$K58="Deadline"),$I58&gt;=BC$4,$I58&lt;BC$4+7),IF($K58="Deadline","◇","◆"),"")</f>
        <v/>
      </c>
      <c r="BD58" s="14" t="str">
        <f>IF(AND(ISNUMBER($I58),OR($K58="Milestone",$K58="Deadline"),$I58&gt;=BD$4,$I58&lt;BD$4+7),IF($K58="Deadline","◇","◆"),"")</f>
        <v/>
      </c>
      <c r="BE58" s="14" t="str">
        <f>IF(AND(ISNUMBER($I58),OR($K58="Milestone",$K58="Deadline"),$I58&gt;=BE$4,$I58&lt;BE$4+7),IF($K58="Deadline","◇","◆"),"")</f>
        <v/>
      </c>
      <c r="BF58" s="14" t="str">
        <f>IF(AND(ISNUMBER($I58),OR($K58="Milestone",$K58="Deadline"),$I58&gt;=BF$4,$I58&lt;BF$4+7),IF($K58="Deadline","◇","◆"),"")</f>
        <v/>
      </c>
      <c r="BG58" s="14" t="str">
        <f>IF(AND(ISNUMBER($I58),OR($K58="Milestone",$K58="Deadline"),$I58&gt;=BG$4,$I58&lt;BG$4+7),IF($K58="Deadline","◇","◆"),"")</f>
        <v/>
      </c>
      <c r="BH58" s="14" t="str">
        <f>IF(AND(ISNUMBER($I58),OR($K58="Milestone",$K58="Deadline"),$I58&gt;=BH$4,$I58&lt;BH$4+7),IF($K58="Deadline","◇","◆"),"")</f>
        <v/>
      </c>
      <c r="BI58" s="14" t="str">
        <f>IF(AND(ISNUMBER($I58),OR($K58="Milestone",$K58="Deadline"),$I58&gt;=BI$4,$I58&lt;BI$4+7),IF($K58="Deadline","◇","◆"),"")</f>
        <v/>
      </c>
      <c r="BJ58" s="14" t="str">
        <f>IF(AND(ISNUMBER($I58),OR($K58="Milestone",$K58="Deadline"),$I58&gt;=BJ$4,$I58&lt;BJ$4+7),IF($K58="Deadline","◇","◆"),"")</f>
        <v/>
      </c>
      <c r="BK58" s="14" t="str">
        <f>IF(AND(ISNUMBER($I58),OR($K58="Milestone",$K58="Deadline"),$I58&gt;=BK$4,$I58&lt;BK$4+7),IF($K58="Deadline","◇","◆"),"")</f>
        <v/>
      </c>
      <c r="BL58" s="14" t="str">
        <f>IF(AND(ISNUMBER($I58),OR($K58="Milestone",$K58="Deadline"),$I58&gt;=BL$4,$I58&lt;BL$4+7),IF($K58="Deadline","◇","◆"),"")</f>
        <v/>
      </c>
      <c r="BM58" s="14" t="str">
        <f>IF(AND(ISNUMBER($I58),OR($K58="Milestone",$K58="Deadline"),$I58&gt;=BM$4,$I58&lt;BM$4+7),IF($K58="Deadline","◇","◆"),"")</f>
        <v/>
      </c>
      <c r="BN58" s="14" t="str">
        <f>IF(AND(ISNUMBER($I58),OR($K58="Milestone",$K58="Deadline"),$I58&gt;=BN$4,$I58&lt;BN$4+7),IF($K58="Deadline","◇","◆"),"")</f>
        <v/>
      </c>
      <c r="BO58" s="14" t="str">
        <f>IF(AND(ISNUMBER($I58),OR($K58="Milestone",$K58="Deadline"),$I58&gt;=BO$4,$I58&lt;BO$4+7),IF($K58="Deadline","◇","◆"),"")</f>
        <v/>
      </c>
      <c r="BP58" s="14" t="str">
        <f>IF(AND(ISNUMBER($I58),OR($K58="Milestone",$K58="Deadline"),$I58&gt;=BP$4,$I58&lt;BP$4+7),IF($K58="Deadline","◇","◆"),"")</f>
        <v/>
      </c>
      <c r="BQ58" s="14" t="str">
        <f>IF(AND(ISNUMBER($I58),OR($K58="Milestone",$K58="Deadline"),$I58&gt;=BQ$4,$I58&lt;BQ$4+7),IF($K58="Deadline","◇","◆"),"")</f>
        <v/>
      </c>
      <c r="BR58" s="14" t="str">
        <f>IF(AND(ISNUMBER($I58),OR($K58="Milestone",$K58="Deadline"),$I58&gt;=BR$4,$I58&lt;BR$4+7),IF($K58="Deadline","◇","◆"),"")</f>
        <v/>
      </c>
      <c r="BS58" s="14" t="str">
        <f>IF(AND(ISNUMBER($I58),OR($K58="Milestone",$K58="Deadline"),$I58&gt;=BS$4,$I58&lt;BS$4+7),IF($K58="Deadline","◇","◆"),"")</f>
        <v/>
      </c>
      <c r="BT58" s="14" t="str">
        <f>IF(AND(ISNUMBER($I58),OR($K58="Milestone",$K58="Deadline"),$I58&gt;=BT$4,$I58&lt;BT$4+7),IF($K58="Deadline","◇","◆"),"")</f>
        <v/>
      </c>
      <c r="BU58" s="14" t="str">
        <f>IF(AND(ISNUMBER($I58),OR($K58="Milestone",$K58="Deadline"),$I58&gt;=BU$4,$I58&lt;BU$4+7),IF($K58="Deadline","◇","◆"),"")</f>
        <v/>
      </c>
      <c r="BV58" s="14" t="str">
        <f>IF(AND(ISNUMBER($I58),OR($K58="Milestone",$K58="Deadline"),$I58&gt;=BV$4,$I58&lt;BV$4+7),IF($K58="Deadline","◇","◆"),"")</f>
        <v/>
      </c>
      <c r="BW58" s="14" t="str">
        <f>IF(AND(ISNUMBER($I58),OR($K58="Milestone",$K58="Deadline"),$I58&gt;=BW$4,$I58&lt;BW$4+7),IF($K58="Deadline","◇","◆"),"")</f>
        <v/>
      </c>
      <c r="BX58" s="14" t="str">
        <f>IF(AND(ISNUMBER($I58),OR($K58="Milestone",$K58="Deadline"),$I58&gt;=BX$4,$I58&lt;BX$4+7),IF($K58="Deadline","◇","◆"),"")</f>
        <v/>
      </c>
      <c r="BY58" s="14" t="str">
        <f>IF(AND(ISNUMBER($I58),OR($K58="Milestone",$K58="Deadline"),$I58&gt;=BY$4,$I58&lt;BY$4+7),IF($K58="Deadline","◇","◆"),"")</f>
        <v/>
      </c>
      <c r="BZ58" s="14" t="str">
        <f>IF(AND(ISNUMBER($I58),OR($K58="Milestone",$K58="Deadline"),$I58&gt;=BZ$4,$I58&lt;BZ$4+7),IF($K58="Deadline","◇","◆"),"")</f>
        <v/>
      </c>
      <c r="CA58" s="14" t="str">
        <f>IF(AND(ISNUMBER($I58),OR($K58="Milestone",$K58="Deadline"),$I58&gt;=CA$4,$I58&lt;CA$4+7),IF($K58="Deadline","◇","◆"),"")</f>
        <v/>
      </c>
      <c r="CB58" s="14" t="str">
        <f>IF(AND(ISNUMBER($I58),OR($K58="Milestone",$K58="Deadline"),$I58&gt;=CB$4,$I58&lt;CB$4+7),IF($K58="Deadline","◇","◆"),"")</f>
        <v/>
      </c>
      <c r="CC58" s="14" t="str">
        <f>IF(AND(ISNUMBER($I58),OR($K58="Milestone",$K58="Deadline"),$I58&gt;=CC$4,$I58&lt;CC$4+7),IF($K58="Deadline","◇","◆"),"")</f>
        <v/>
      </c>
      <c r="CD58" s="14" t="str">
        <f>IF(AND(ISNUMBER($I58),OR($K58="Milestone",$K58="Deadline"),$I58&gt;=CD$4,$I58&lt;CD$4+7),IF($K58="Deadline","◇","◆"),"")</f>
        <v/>
      </c>
      <c r="CE58" s="14" t="str">
        <f>IF(AND(ISNUMBER($I58),OR($K58="Milestone",$K58="Deadline"),$I58&gt;=CE$4,$I58&lt;CE$4+7),IF($K58="Deadline","◇","◆"),"")</f>
        <v/>
      </c>
      <c r="CF58" s="14" t="str">
        <f>IF(AND(ISNUMBER($I58),OR($K58="Milestone",$K58="Deadline"),$I58&gt;=CF$4,$I58&lt;CF$4+7),IF($K58="Deadline","◇","◆"),"")</f>
        <v/>
      </c>
      <c r="CG58" s="14" t="str">
        <f>IF(AND(ISNUMBER($I58),OR($K58="Milestone",$K58="Deadline"),$I58&gt;=CG$4,$I58&lt;CG$4+7),IF($K58="Deadline","◇","◆"),"")</f>
        <v/>
      </c>
      <c r="CH58" s="14" t="str">
        <f>IF(AND(ISNUMBER($I58),OR($K58="Milestone",$K58="Deadline"),$I58&gt;=CH$4,$I58&lt;CH$4+7),IF($K58="Deadline","◇","◆"),"")</f>
        <v/>
      </c>
      <c r="CI58" s="14" t="str">
        <f>IF(AND(ISNUMBER($I58),OR($K58="Milestone",$K58="Deadline"),$I58&gt;=CI$4,$I58&lt;CI$4+7),IF($K58="Deadline","◇","◆"),"")</f>
        <v/>
      </c>
      <c r="CJ58" s="14" t="str">
        <f>IF(AND(ISNUMBER($I58),OR($K58="Milestone",$K58="Deadline"),$I58&gt;=CJ$4,$I58&lt;CJ$4+7),IF($K58="Deadline","◇","◆"),"")</f>
        <v/>
      </c>
      <c r="CK58" s="14" t="str">
        <f>IF(AND(ISNUMBER($I58),OR($K58="Milestone",$K58="Deadline"),$I58&gt;=CK$4,$I58&lt;CK$4+7),IF($K58="Deadline","◇","◆"),"")</f>
        <v/>
      </c>
      <c r="CL58" s="14" t="str">
        <f>IF(AND(ISNUMBER($I58),OR($K58="Milestone",$K58="Deadline"),$I58&gt;=CL$4,$I58&lt;CL$4+7),IF($K58="Deadline","◇","◆"),"")</f>
        <v/>
      </c>
      <c r="CM58" s="14" t="str">
        <f>IF(AND(ISNUMBER($I58),OR($K58="Milestone",$K58="Deadline"),$I58&gt;=CM$4,$I58&lt;CM$4+7),IF($K58="Deadline","◇","◆"),"")</f>
        <v/>
      </c>
    </row>
    <row r="59" spans="1:91" ht="15" hidden="1" customHeight="1">
      <c r="A59" s="24" t="s">
        <v>206</v>
      </c>
      <c r="B59" s="24" t="s">
        <v>167</v>
      </c>
      <c r="C59" s="24" t="s">
        <v>63</v>
      </c>
      <c r="D59" s="24" t="s">
        <v>195</v>
      </c>
      <c r="E59" s="24" t="s">
        <v>196</v>
      </c>
      <c r="F59" s="24" t="s">
        <v>204</v>
      </c>
      <c r="G59" s="24" t="s">
        <v>176</v>
      </c>
      <c r="H59" s="24">
        <v>28</v>
      </c>
      <c r="I59" s="25">
        <f>MAX($C$2,J56+1,J42+1)</f>
        <v>46349</v>
      </c>
      <c r="J59" s="26">
        <f>IF(AND(ISNUMBER(I59),ISNUMBER(H59)),I59+H59-1,"")</f>
        <v>46376</v>
      </c>
      <c r="K59" s="24" t="s">
        <v>27</v>
      </c>
      <c r="L59" s="24" t="s">
        <v>203</v>
      </c>
      <c r="M59" s="27" t="s">
        <v>143</v>
      </c>
      <c r="N59" s="24"/>
      <c r="O59" s="27">
        <f>IF(AND(ISNUMBER(I59),ISNUMBER(J59)),J59-I59+1,"")</f>
        <v>28</v>
      </c>
      <c r="P59" s="13"/>
      <c r="Q59" s="13"/>
      <c r="R59" s="13"/>
      <c r="S59" s="13"/>
      <c r="T59" s="13"/>
      <c r="U59" s="13" t="s">
        <v>140</v>
      </c>
      <c r="V59" s="13" t="s">
        <v>140</v>
      </c>
      <c r="W59" s="13"/>
      <c r="X59" s="13"/>
      <c r="Y59" s="13"/>
      <c r="Z59" s="13"/>
      <c r="AA59" s="13"/>
      <c r="AB59" s="13"/>
      <c r="AC59" s="13"/>
      <c r="AD59" s="13"/>
      <c r="AE59" s="13"/>
      <c r="AF59" s="13" t="s">
        <v>140</v>
      </c>
      <c r="AG59" s="13"/>
      <c r="AH59" s="13"/>
      <c r="AI59" s="13"/>
      <c r="AJ59" s="13"/>
      <c r="AK59" s="13"/>
      <c r="AL59" s="13"/>
      <c r="AM59" s="13"/>
      <c r="AN59" s="13"/>
      <c r="AO59" s="14" t="str">
        <f>IF(AND(ISNUMBER($I59),OR($K59="Milestone",$K59="Deadline"),$I59&gt;=AO$4,$I59&lt;AO$4+7),IF($K59="Deadline","◇","◆"),"")</f>
        <v/>
      </c>
      <c r="AP59" s="14" t="str">
        <f>IF(AND(ISNUMBER($I59),OR($K59="Milestone",$K59="Deadline"),$I59&gt;=AP$4,$I59&lt;AP$4+7),IF($K59="Deadline","◇","◆"),"")</f>
        <v/>
      </c>
      <c r="AQ59" s="14" t="str">
        <f>IF(AND(ISNUMBER($I59),OR($K59="Milestone",$K59="Deadline"),$I59&gt;=AQ$4,$I59&lt;AQ$4+7),IF($K59="Deadline","◇","◆"),"")</f>
        <v/>
      </c>
      <c r="AR59" s="14" t="str">
        <f>IF(AND(ISNUMBER($I59),OR($K59="Milestone",$K59="Deadline"),$I59&gt;=AR$4,$I59&lt;AR$4+7),IF($K59="Deadline","◇","◆"),"")</f>
        <v/>
      </c>
      <c r="AS59" s="14" t="str">
        <f>IF(AND(ISNUMBER($I59),OR($K59="Milestone",$K59="Deadline"),$I59&gt;=AS$4,$I59&lt;AS$4+7),IF($K59="Deadline","◇","◆"),"")</f>
        <v/>
      </c>
      <c r="AT59" s="14" t="str">
        <f>IF(AND(ISNUMBER($I59),OR($K59="Milestone",$K59="Deadline"),$I59&gt;=AT$4,$I59&lt;AT$4+7),IF($K59="Deadline","◇","◆"),"")</f>
        <v/>
      </c>
      <c r="AU59" s="14" t="str">
        <f>IF(AND(ISNUMBER($I59),OR($K59="Milestone",$K59="Deadline"),$I59&gt;=AU$4,$I59&lt;AU$4+7),IF($K59="Deadline","◇","◆"),"")</f>
        <v/>
      </c>
      <c r="AV59" s="14" t="str">
        <f>IF(AND(ISNUMBER($I59),OR($K59="Milestone",$K59="Deadline"),$I59&gt;=AV$4,$I59&lt;AV$4+7),IF($K59="Deadline","◇","◆"),"")</f>
        <v/>
      </c>
      <c r="AW59" s="14" t="str">
        <f>IF(AND(ISNUMBER($I59),OR($K59="Milestone",$K59="Deadline"),$I59&gt;=AW$4,$I59&lt;AW$4+7),IF($K59="Deadline","◇","◆"),"")</f>
        <v/>
      </c>
      <c r="AX59" s="14" t="str">
        <f>IF(AND(ISNUMBER($I59),OR($K59="Milestone",$K59="Deadline"),$I59&gt;=AX$4,$I59&lt;AX$4+7),IF($K59="Deadline","◇","◆"),"")</f>
        <v/>
      </c>
      <c r="AY59" s="14" t="str">
        <f>IF(AND(ISNUMBER($I59),OR($K59="Milestone",$K59="Deadline"),$I59&gt;=AY$4,$I59&lt;AY$4+7),IF($K59="Deadline","◇","◆"),"")</f>
        <v/>
      </c>
      <c r="AZ59" s="14" t="str">
        <f>IF(AND(ISNUMBER($I59),OR($K59="Milestone",$K59="Deadline"),$I59&gt;=AZ$4,$I59&lt;AZ$4+7),IF($K59="Deadline","◇","◆"),"")</f>
        <v/>
      </c>
      <c r="BA59" s="14" t="str">
        <f>IF(AND(ISNUMBER($I59),OR($K59="Milestone",$K59="Deadline"),$I59&gt;=BA$4,$I59&lt;BA$4+7),IF($K59="Deadline","◇","◆"),"")</f>
        <v/>
      </c>
      <c r="BB59" s="14" t="str">
        <f>IF(AND(ISNUMBER($I59),OR($K59="Milestone",$K59="Deadline"),$I59&gt;=BB$4,$I59&lt;BB$4+7),IF($K59="Deadline","◇","◆"),"")</f>
        <v/>
      </c>
      <c r="BC59" s="14" t="str">
        <f>IF(AND(ISNUMBER($I59),OR($K59="Milestone",$K59="Deadline"),$I59&gt;=BC$4,$I59&lt;BC$4+7),IF($K59="Deadline","◇","◆"),"")</f>
        <v/>
      </c>
      <c r="BD59" s="14" t="str">
        <f>IF(AND(ISNUMBER($I59),OR($K59="Milestone",$K59="Deadline"),$I59&gt;=BD$4,$I59&lt;BD$4+7),IF($K59="Deadline","◇","◆"),"")</f>
        <v/>
      </c>
      <c r="BE59" s="14" t="str">
        <f>IF(AND(ISNUMBER($I59),OR($K59="Milestone",$K59="Deadline"),$I59&gt;=BE$4,$I59&lt;BE$4+7),IF($K59="Deadline","◇","◆"),"")</f>
        <v/>
      </c>
      <c r="BF59" s="14" t="str">
        <f>IF(AND(ISNUMBER($I59),OR($K59="Milestone",$K59="Deadline"),$I59&gt;=BF$4,$I59&lt;BF$4+7),IF($K59="Deadline","◇","◆"),"")</f>
        <v/>
      </c>
      <c r="BG59" s="14" t="str">
        <f>IF(AND(ISNUMBER($I59),OR($K59="Milestone",$K59="Deadline"),$I59&gt;=BG$4,$I59&lt;BG$4+7),IF($K59="Deadline","◇","◆"),"")</f>
        <v/>
      </c>
      <c r="BH59" s="14" t="str">
        <f>IF(AND(ISNUMBER($I59),OR($K59="Milestone",$K59="Deadline"),$I59&gt;=BH$4,$I59&lt;BH$4+7),IF($K59="Deadline","◇","◆"),"")</f>
        <v/>
      </c>
      <c r="BI59" s="14" t="str">
        <f>IF(AND(ISNUMBER($I59),OR($K59="Milestone",$K59="Deadline"),$I59&gt;=BI$4,$I59&lt;BI$4+7),IF($K59="Deadline","◇","◆"),"")</f>
        <v/>
      </c>
      <c r="BJ59" s="14" t="str">
        <f>IF(AND(ISNUMBER($I59),OR($K59="Milestone",$K59="Deadline"),$I59&gt;=BJ$4,$I59&lt;BJ$4+7),IF($K59="Deadline","◇","◆"),"")</f>
        <v/>
      </c>
      <c r="BK59" s="14" t="str">
        <f>IF(AND(ISNUMBER($I59),OR($K59="Milestone",$K59="Deadline"),$I59&gt;=BK$4,$I59&lt;BK$4+7),IF($K59="Deadline","◇","◆"),"")</f>
        <v/>
      </c>
      <c r="BL59" s="14" t="str">
        <f>IF(AND(ISNUMBER($I59),OR($K59="Milestone",$K59="Deadline"),$I59&gt;=BL$4,$I59&lt;BL$4+7),IF($K59="Deadline","◇","◆"),"")</f>
        <v/>
      </c>
      <c r="BM59" s="14" t="str">
        <f>IF(AND(ISNUMBER($I59),OR($K59="Milestone",$K59="Deadline"),$I59&gt;=BM$4,$I59&lt;BM$4+7),IF($K59="Deadline","◇","◆"),"")</f>
        <v/>
      </c>
      <c r="BN59" s="14" t="str">
        <f>IF(AND(ISNUMBER($I59),OR($K59="Milestone",$K59="Deadline"),$I59&gt;=BN$4,$I59&lt;BN$4+7),IF($K59="Deadline","◇","◆"),"")</f>
        <v/>
      </c>
      <c r="BO59" s="14" t="str">
        <f>IF(AND(ISNUMBER($I59),OR($K59="Milestone",$K59="Deadline"),$I59&gt;=BO$4,$I59&lt;BO$4+7),IF($K59="Deadline","◇","◆"),"")</f>
        <v/>
      </c>
      <c r="BP59" s="14" t="str">
        <f>IF(AND(ISNUMBER($I59),OR($K59="Milestone",$K59="Deadline"),$I59&gt;=BP$4,$I59&lt;BP$4+7),IF($K59="Deadline","◇","◆"),"")</f>
        <v/>
      </c>
      <c r="BQ59" s="14" t="str">
        <f>IF(AND(ISNUMBER($I59),OR($K59="Milestone",$K59="Deadline"),$I59&gt;=BQ$4,$I59&lt;BQ$4+7),IF($K59="Deadline","◇","◆"),"")</f>
        <v/>
      </c>
      <c r="BR59" s="14" t="str">
        <f>IF(AND(ISNUMBER($I59),OR($K59="Milestone",$K59="Deadline"),$I59&gt;=BR$4,$I59&lt;BR$4+7),IF($K59="Deadline","◇","◆"),"")</f>
        <v/>
      </c>
      <c r="BS59" s="14" t="str">
        <f>IF(AND(ISNUMBER($I59),OR($K59="Milestone",$K59="Deadline"),$I59&gt;=BS$4,$I59&lt;BS$4+7),IF($K59="Deadline","◇","◆"),"")</f>
        <v/>
      </c>
      <c r="BT59" s="14" t="str">
        <f>IF(AND(ISNUMBER($I59),OR($K59="Milestone",$K59="Deadline"),$I59&gt;=BT$4,$I59&lt;BT$4+7),IF($K59="Deadline","◇","◆"),"")</f>
        <v/>
      </c>
      <c r="BU59" s="14" t="str">
        <f>IF(AND(ISNUMBER($I59),OR($K59="Milestone",$K59="Deadline"),$I59&gt;=BU$4,$I59&lt;BU$4+7),IF($K59="Deadline","◇","◆"),"")</f>
        <v/>
      </c>
      <c r="BV59" s="14" t="str">
        <f>IF(AND(ISNUMBER($I59),OR($K59="Milestone",$K59="Deadline"),$I59&gt;=BV$4,$I59&lt;BV$4+7),IF($K59="Deadline","◇","◆"),"")</f>
        <v/>
      </c>
      <c r="BW59" s="14" t="str">
        <f>IF(AND(ISNUMBER($I59),OR($K59="Milestone",$K59="Deadline"),$I59&gt;=BW$4,$I59&lt;BW$4+7),IF($K59="Deadline","◇","◆"),"")</f>
        <v/>
      </c>
      <c r="BX59" s="14" t="str">
        <f>IF(AND(ISNUMBER($I59),OR($K59="Milestone",$K59="Deadline"),$I59&gt;=BX$4,$I59&lt;BX$4+7),IF($K59="Deadline","◇","◆"),"")</f>
        <v/>
      </c>
      <c r="BY59" s="14" t="str">
        <f>IF(AND(ISNUMBER($I59),OR($K59="Milestone",$K59="Deadline"),$I59&gt;=BY$4,$I59&lt;BY$4+7),IF($K59="Deadline","◇","◆"),"")</f>
        <v/>
      </c>
      <c r="BZ59" s="14" t="str">
        <f>IF(AND(ISNUMBER($I59),OR($K59="Milestone",$K59="Deadline"),$I59&gt;=BZ$4,$I59&lt;BZ$4+7),IF($K59="Deadline","◇","◆"),"")</f>
        <v/>
      </c>
      <c r="CA59" s="14" t="str">
        <f>IF(AND(ISNUMBER($I59),OR($K59="Milestone",$K59="Deadline"),$I59&gt;=CA$4,$I59&lt;CA$4+7),IF($K59="Deadline","◇","◆"),"")</f>
        <v/>
      </c>
      <c r="CB59" s="14" t="str">
        <f>IF(AND(ISNUMBER($I59),OR($K59="Milestone",$K59="Deadline"),$I59&gt;=CB$4,$I59&lt;CB$4+7),IF($K59="Deadline","◇","◆"),"")</f>
        <v/>
      </c>
      <c r="CC59" s="14" t="str">
        <f>IF(AND(ISNUMBER($I59),OR($K59="Milestone",$K59="Deadline"),$I59&gt;=CC$4,$I59&lt;CC$4+7),IF($K59="Deadline","◇","◆"),"")</f>
        <v/>
      </c>
      <c r="CD59" s="14" t="str">
        <f>IF(AND(ISNUMBER($I59),OR($K59="Milestone",$K59="Deadline"),$I59&gt;=CD$4,$I59&lt;CD$4+7),IF($K59="Deadline","◇","◆"),"")</f>
        <v/>
      </c>
      <c r="CE59" s="14" t="str">
        <f>IF(AND(ISNUMBER($I59),OR($K59="Milestone",$K59="Deadline"),$I59&gt;=CE$4,$I59&lt;CE$4+7),IF($K59="Deadline","◇","◆"),"")</f>
        <v/>
      </c>
      <c r="CF59" s="14" t="str">
        <f>IF(AND(ISNUMBER($I59),OR($K59="Milestone",$K59="Deadline"),$I59&gt;=CF$4,$I59&lt;CF$4+7),IF($K59="Deadline","◇","◆"),"")</f>
        <v/>
      </c>
      <c r="CG59" s="14" t="str">
        <f>IF(AND(ISNUMBER($I59),OR($K59="Milestone",$K59="Deadline"),$I59&gt;=CG$4,$I59&lt;CG$4+7),IF($K59="Deadline","◇","◆"),"")</f>
        <v/>
      </c>
      <c r="CH59" s="14" t="str">
        <f>IF(AND(ISNUMBER($I59),OR($K59="Milestone",$K59="Deadline"),$I59&gt;=CH$4,$I59&lt;CH$4+7),IF($K59="Deadline","◇","◆"),"")</f>
        <v/>
      </c>
      <c r="CI59" s="14" t="str">
        <f>IF(AND(ISNUMBER($I59),OR($K59="Milestone",$K59="Deadline"),$I59&gt;=CI$4,$I59&lt;CI$4+7),IF($K59="Deadline","◇","◆"),"")</f>
        <v/>
      </c>
      <c r="CJ59" s="14" t="str">
        <f>IF(AND(ISNUMBER($I59),OR($K59="Milestone",$K59="Deadline"),$I59&gt;=CJ$4,$I59&lt;CJ$4+7),IF($K59="Deadline","◇","◆"),"")</f>
        <v/>
      </c>
      <c r="CK59" s="14" t="str">
        <f>IF(AND(ISNUMBER($I59),OR($K59="Milestone",$K59="Deadline"),$I59&gt;=CK$4,$I59&lt;CK$4+7),IF($K59="Deadline","◇","◆"),"")</f>
        <v/>
      </c>
      <c r="CL59" s="14" t="str">
        <f>IF(AND(ISNUMBER($I59),OR($K59="Milestone",$K59="Deadline"),$I59&gt;=CL$4,$I59&lt;CL$4+7),IF($K59="Deadline","◇","◆"),"")</f>
        <v/>
      </c>
      <c r="CM59" s="14" t="str">
        <f>IF(AND(ISNUMBER($I59),OR($K59="Milestone",$K59="Deadline"),$I59&gt;=CM$4,$I59&lt;CM$4+7),IF($K59="Deadline","◇","◆"),"")</f>
        <v/>
      </c>
    </row>
    <row r="60" spans="1:91" ht="15" hidden="1" customHeight="1">
      <c r="A60" s="24" t="s">
        <v>207</v>
      </c>
      <c r="B60" s="24" t="s">
        <v>167</v>
      </c>
      <c r="C60" s="24" t="s">
        <v>63</v>
      </c>
      <c r="D60" s="24" t="s">
        <v>195</v>
      </c>
      <c r="E60" s="24" t="s">
        <v>196</v>
      </c>
      <c r="F60" s="24" t="s">
        <v>208</v>
      </c>
      <c r="G60" s="24" t="s">
        <v>184</v>
      </c>
      <c r="H60" s="24">
        <v>7</v>
      </c>
      <c r="I60" s="25">
        <f>MAX($C$2,J55+1,J59+1,J8+1,J73+1)</f>
        <v>46406</v>
      </c>
      <c r="J60" s="26">
        <f>IF(AND(ISNUMBER(I60),ISNUMBER(H60)),I60+H60-1,"")</f>
        <v>46412</v>
      </c>
      <c r="K60" s="24" t="s">
        <v>27</v>
      </c>
      <c r="L60" s="24" t="s">
        <v>209</v>
      </c>
      <c r="M60" s="27" t="s">
        <v>210</v>
      </c>
      <c r="N60" s="24"/>
      <c r="O60" s="27">
        <f>IF(AND(ISNUMBER(I60),ISNUMBER(J60)),J60-I60+1,"")</f>
        <v>7</v>
      </c>
      <c r="P60" s="13"/>
      <c r="Q60" s="13"/>
      <c r="R60" s="13"/>
      <c r="S60" s="13"/>
      <c r="T60" s="13"/>
      <c r="U60" s="13"/>
      <c r="V60" s="13" t="s">
        <v>140</v>
      </c>
      <c r="W60" s="13"/>
      <c r="X60" s="13"/>
      <c r="Y60" s="13"/>
      <c r="Z60" s="13"/>
      <c r="AA60" s="13" t="s">
        <v>140</v>
      </c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3"/>
      <c r="AO60" s="14" t="str">
        <f>IF(AND(ISNUMBER($I60),OR($K60="Milestone",$K60="Deadline"),$I60&gt;=AO$4,$I60&lt;AO$4+7),IF($K60="Deadline","◇","◆"),"")</f>
        <v/>
      </c>
      <c r="AP60" s="14" t="str">
        <f>IF(AND(ISNUMBER($I60),OR($K60="Milestone",$K60="Deadline"),$I60&gt;=AP$4,$I60&lt;AP$4+7),IF($K60="Deadline","◇","◆"),"")</f>
        <v/>
      </c>
      <c r="AQ60" s="14" t="str">
        <f>IF(AND(ISNUMBER($I60),OR($K60="Milestone",$K60="Deadline"),$I60&gt;=AQ$4,$I60&lt;AQ$4+7),IF($K60="Deadline","◇","◆"),"")</f>
        <v/>
      </c>
      <c r="AR60" s="14" t="str">
        <f>IF(AND(ISNUMBER($I60),OR($K60="Milestone",$K60="Deadline"),$I60&gt;=AR$4,$I60&lt;AR$4+7),IF($K60="Deadline","◇","◆"),"")</f>
        <v/>
      </c>
      <c r="AS60" s="14" t="str">
        <f>IF(AND(ISNUMBER($I60),OR($K60="Milestone",$K60="Deadline"),$I60&gt;=AS$4,$I60&lt;AS$4+7),IF($K60="Deadline","◇","◆"),"")</f>
        <v/>
      </c>
      <c r="AT60" s="14" t="str">
        <f>IF(AND(ISNUMBER($I60),OR($K60="Milestone",$K60="Deadline"),$I60&gt;=AT$4,$I60&lt;AT$4+7),IF($K60="Deadline","◇","◆"),"")</f>
        <v/>
      </c>
      <c r="AU60" s="14" t="str">
        <f>IF(AND(ISNUMBER($I60),OR($K60="Milestone",$K60="Deadline"),$I60&gt;=AU$4,$I60&lt;AU$4+7),IF($K60="Deadline","◇","◆"),"")</f>
        <v/>
      </c>
      <c r="AV60" s="14" t="str">
        <f>IF(AND(ISNUMBER($I60),OR($K60="Milestone",$K60="Deadline"),$I60&gt;=AV$4,$I60&lt;AV$4+7),IF($K60="Deadline","◇","◆"),"")</f>
        <v/>
      </c>
      <c r="AW60" s="14" t="str">
        <f>IF(AND(ISNUMBER($I60),OR($K60="Milestone",$K60="Deadline"),$I60&gt;=AW$4,$I60&lt;AW$4+7),IF($K60="Deadline","◇","◆"),"")</f>
        <v/>
      </c>
      <c r="AX60" s="14" t="str">
        <f>IF(AND(ISNUMBER($I60),OR($K60="Milestone",$K60="Deadline"),$I60&gt;=AX$4,$I60&lt;AX$4+7),IF($K60="Deadline","◇","◆"),"")</f>
        <v/>
      </c>
      <c r="AY60" s="14" t="str">
        <f>IF(AND(ISNUMBER($I60),OR($K60="Milestone",$K60="Deadline"),$I60&gt;=AY$4,$I60&lt;AY$4+7),IF($K60="Deadline","◇","◆"),"")</f>
        <v/>
      </c>
      <c r="AZ60" s="14" t="str">
        <f>IF(AND(ISNUMBER($I60),OR($K60="Milestone",$K60="Deadline"),$I60&gt;=AZ$4,$I60&lt;AZ$4+7),IF($K60="Deadline","◇","◆"),"")</f>
        <v/>
      </c>
      <c r="BA60" s="14" t="str">
        <f>IF(AND(ISNUMBER($I60),OR($K60="Milestone",$K60="Deadline"),$I60&gt;=BA$4,$I60&lt;BA$4+7),IF($K60="Deadline","◇","◆"),"")</f>
        <v/>
      </c>
      <c r="BB60" s="14" t="str">
        <f>IF(AND(ISNUMBER($I60),OR($K60="Milestone",$K60="Deadline"),$I60&gt;=BB$4,$I60&lt;BB$4+7),IF($K60="Deadline","◇","◆"),"")</f>
        <v/>
      </c>
      <c r="BC60" s="14" t="str">
        <f>IF(AND(ISNUMBER($I60),OR($K60="Milestone",$K60="Deadline"),$I60&gt;=BC$4,$I60&lt;BC$4+7),IF($K60="Deadline","◇","◆"),"")</f>
        <v/>
      </c>
      <c r="BD60" s="14" t="str">
        <f>IF(AND(ISNUMBER($I60),OR($K60="Milestone",$K60="Deadline"),$I60&gt;=BD$4,$I60&lt;BD$4+7),IF($K60="Deadline","◇","◆"),"")</f>
        <v/>
      </c>
      <c r="BE60" s="14" t="str">
        <f>IF(AND(ISNUMBER($I60),OR($K60="Milestone",$K60="Deadline"),$I60&gt;=BE$4,$I60&lt;BE$4+7),IF($K60="Deadline","◇","◆"),"")</f>
        <v/>
      </c>
      <c r="BF60" s="14" t="str">
        <f>IF(AND(ISNUMBER($I60),OR($K60="Milestone",$K60="Deadline"),$I60&gt;=BF$4,$I60&lt;BF$4+7),IF($K60="Deadline","◇","◆"),"")</f>
        <v/>
      </c>
      <c r="BG60" s="14" t="str">
        <f>IF(AND(ISNUMBER($I60),OR($K60="Milestone",$K60="Deadline"),$I60&gt;=BG$4,$I60&lt;BG$4+7),IF($K60="Deadline","◇","◆"),"")</f>
        <v/>
      </c>
      <c r="BH60" s="14" t="str">
        <f>IF(AND(ISNUMBER($I60),OR($K60="Milestone",$K60="Deadline"),$I60&gt;=BH$4,$I60&lt;BH$4+7),IF($K60="Deadline","◇","◆"),"")</f>
        <v/>
      </c>
      <c r="BI60" s="14" t="str">
        <f>IF(AND(ISNUMBER($I60),OR($K60="Milestone",$K60="Deadline"),$I60&gt;=BI$4,$I60&lt;BI$4+7),IF($K60="Deadline","◇","◆"),"")</f>
        <v/>
      </c>
      <c r="BJ60" s="14" t="str">
        <f>IF(AND(ISNUMBER($I60),OR($K60="Milestone",$K60="Deadline"),$I60&gt;=BJ$4,$I60&lt;BJ$4+7),IF($K60="Deadline","◇","◆"),"")</f>
        <v/>
      </c>
      <c r="BK60" s="14" t="str">
        <f>IF(AND(ISNUMBER($I60),OR($K60="Milestone",$K60="Deadline"),$I60&gt;=BK$4,$I60&lt;BK$4+7),IF($K60="Deadline","◇","◆"),"")</f>
        <v/>
      </c>
      <c r="BL60" s="14" t="str">
        <f>IF(AND(ISNUMBER($I60),OR($K60="Milestone",$K60="Deadline"),$I60&gt;=BL$4,$I60&lt;BL$4+7),IF($K60="Deadline","◇","◆"),"")</f>
        <v/>
      </c>
      <c r="BM60" s="14" t="str">
        <f>IF(AND(ISNUMBER($I60),OR($K60="Milestone",$K60="Deadline"),$I60&gt;=BM$4,$I60&lt;BM$4+7),IF($K60="Deadline","◇","◆"),"")</f>
        <v/>
      </c>
      <c r="BN60" s="14" t="str">
        <f>IF(AND(ISNUMBER($I60),OR($K60="Milestone",$K60="Deadline"),$I60&gt;=BN$4,$I60&lt;BN$4+7),IF($K60="Deadline","◇","◆"),"")</f>
        <v/>
      </c>
      <c r="BO60" s="14" t="str">
        <f>IF(AND(ISNUMBER($I60),OR($K60="Milestone",$K60="Deadline"),$I60&gt;=BO$4,$I60&lt;BO$4+7),IF($K60="Deadline","◇","◆"),"")</f>
        <v/>
      </c>
      <c r="BP60" s="14" t="str">
        <f>IF(AND(ISNUMBER($I60),OR($K60="Milestone",$K60="Deadline"),$I60&gt;=BP$4,$I60&lt;BP$4+7),IF($K60="Deadline","◇","◆"),"")</f>
        <v/>
      </c>
      <c r="BQ60" s="14" t="str">
        <f>IF(AND(ISNUMBER($I60),OR($K60="Milestone",$K60="Deadline"),$I60&gt;=BQ$4,$I60&lt;BQ$4+7),IF($K60="Deadline","◇","◆"),"")</f>
        <v/>
      </c>
      <c r="BR60" s="14" t="str">
        <f>IF(AND(ISNUMBER($I60),OR($K60="Milestone",$K60="Deadline"),$I60&gt;=BR$4,$I60&lt;BR$4+7),IF($K60="Deadline","◇","◆"),"")</f>
        <v/>
      </c>
      <c r="BS60" s="14" t="str">
        <f>IF(AND(ISNUMBER($I60),OR($K60="Milestone",$K60="Deadline"),$I60&gt;=BS$4,$I60&lt;BS$4+7),IF($K60="Deadline","◇","◆"),"")</f>
        <v/>
      </c>
      <c r="BT60" s="14" t="str">
        <f>IF(AND(ISNUMBER($I60),OR($K60="Milestone",$K60="Deadline"),$I60&gt;=BT$4,$I60&lt;BT$4+7),IF($K60="Deadline","◇","◆"),"")</f>
        <v/>
      </c>
      <c r="BU60" s="14" t="str">
        <f>IF(AND(ISNUMBER($I60),OR($K60="Milestone",$K60="Deadline"),$I60&gt;=BU$4,$I60&lt;BU$4+7),IF($K60="Deadline","◇","◆"),"")</f>
        <v/>
      </c>
      <c r="BV60" s="14" t="str">
        <f>IF(AND(ISNUMBER($I60),OR($K60="Milestone",$K60="Deadline"),$I60&gt;=BV$4,$I60&lt;BV$4+7),IF($K60="Deadline","◇","◆"),"")</f>
        <v/>
      </c>
      <c r="BW60" s="14" t="str">
        <f>IF(AND(ISNUMBER($I60),OR($K60="Milestone",$K60="Deadline"),$I60&gt;=BW$4,$I60&lt;BW$4+7),IF($K60="Deadline","◇","◆"),"")</f>
        <v/>
      </c>
      <c r="BX60" s="14" t="str">
        <f>IF(AND(ISNUMBER($I60),OR($K60="Milestone",$K60="Deadline"),$I60&gt;=BX$4,$I60&lt;BX$4+7),IF($K60="Deadline","◇","◆"),"")</f>
        <v/>
      </c>
      <c r="BY60" s="14" t="str">
        <f>IF(AND(ISNUMBER($I60),OR($K60="Milestone",$K60="Deadline"),$I60&gt;=BY$4,$I60&lt;BY$4+7),IF($K60="Deadline","◇","◆"),"")</f>
        <v/>
      </c>
      <c r="BZ60" s="14" t="str">
        <f>IF(AND(ISNUMBER($I60),OR($K60="Milestone",$K60="Deadline"),$I60&gt;=BZ$4,$I60&lt;BZ$4+7),IF($K60="Deadline","◇","◆"),"")</f>
        <v/>
      </c>
      <c r="CA60" s="14" t="str">
        <f>IF(AND(ISNUMBER($I60),OR($K60="Milestone",$K60="Deadline"),$I60&gt;=CA$4,$I60&lt;CA$4+7),IF($K60="Deadline","◇","◆"),"")</f>
        <v/>
      </c>
      <c r="CB60" s="14" t="str">
        <f>IF(AND(ISNUMBER($I60),OR($K60="Milestone",$K60="Deadline"),$I60&gt;=CB$4,$I60&lt;CB$4+7),IF($K60="Deadline","◇","◆"),"")</f>
        <v/>
      </c>
      <c r="CC60" s="14" t="str">
        <f>IF(AND(ISNUMBER($I60),OR($K60="Milestone",$K60="Deadline"),$I60&gt;=CC$4,$I60&lt;CC$4+7),IF($K60="Deadline","◇","◆"),"")</f>
        <v/>
      </c>
      <c r="CD60" s="14" t="str">
        <f>IF(AND(ISNUMBER($I60),OR($K60="Milestone",$K60="Deadline"),$I60&gt;=CD$4,$I60&lt;CD$4+7),IF($K60="Deadline","◇","◆"),"")</f>
        <v/>
      </c>
      <c r="CE60" s="14" t="str">
        <f>IF(AND(ISNUMBER($I60),OR($K60="Milestone",$K60="Deadline"),$I60&gt;=CE$4,$I60&lt;CE$4+7),IF($K60="Deadline","◇","◆"),"")</f>
        <v/>
      </c>
      <c r="CF60" s="14" t="str">
        <f>IF(AND(ISNUMBER($I60),OR($K60="Milestone",$K60="Deadline"),$I60&gt;=CF$4,$I60&lt;CF$4+7),IF($K60="Deadline","◇","◆"),"")</f>
        <v/>
      </c>
      <c r="CG60" s="14" t="str">
        <f>IF(AND(ISNUMBER($I60),OR($K60="Milestone",$K60="Deadline"),$I60&gt;=CG$4,$I60&lt;CG$4+7),IF($K60="Deadline","◇","◆"),"")</f>
        <v/>
      </c>
      <c r="CH60" s="14" t="str">
        <f>IF(AND(ISNUMBER($I60),OR($K60="Milestone",$K60="Deadline"),$I60&gt;=CH$4,$I60&lt;CH$4+7),IF($K60="Deadline","◇","◆"),"")</f>
        <v/>
      </c>
      <c r="CI60" s="14" t="str">
        <f>IF(AND(ISNUMBER($I60),OR($K60="Milestone",$K60="Deadline"),$I60&gt;=CI$4,$I60&lt;CI$4+7),IF($K60="Deadline","◇","◆"),"")</f>
        <v/>
      </c>
      <c r="CJ60" s="14" t="str">
        <f>IF(AND(ISNUMBER($I60),OR($K60="Milestone",$K60="Deadline"),$I60&gt;=CJ$4,$I60&lt;CJ$4+7),IF($K60="Deadline","◇","◆"),"")</f>
        <v/>
      </c>
      <c r="CK60" s="14" t="str">
        <f>IF(AND(ISNUMBER($I60),OR($K60="Milestone",$K60="Deadline"),$I60&gt;=CK$4,$I60&lt;CK$4+7),IF($K60="Deadline","◇","◆"),"")</f>
        <v/>
      </c>
      <c r="CL60" s="14" t="str">
        <f>IF(AND(ISNUMBER($I60),OR($K60="Milestone",$K60="Deadline"),$I60&gt;=CL$4,$I60&lt;CL$4+7),IF($K60="Deadline","◇","◆"),"")</f>
        <v/>
      </c>
      <c r="CM60" s="14" t="str">
        <f>IF(AND(ISNUMBER($I60),OR($K60="Milestone",$K60="Deadline"),$I60&gt;=CM$4,$I60&lt;CM$4+7),IF($K60="Deadline","◇","◆"),"")</f>
        <v/>
      </c>
    </row>
    <row r="61" spans="1:91" ht="15" hidden="1" customHeight="1">
      <c r="A61" s="24" t="s">
        <v>211</v>
      </c>
      <c r="B61" s="24" t="s">
        <v>167</v>
      </c>
      <c r="C61" s="24" t="s">
        <v>63</v>
      </c>
      <c r="D61" s="24" t="s">
        <v>195</v>
      </c>
      <c r="E61" s="24" t="s">
        <v>196</v>
      </c>
      <c r="F61" s="24" t="s">
        <v>208</v>
      </c>
      <c r="G61" s="24" t="s">
        <v>188</v>
      </c>
      <c r="H61" s="24">
        <v>13</v>
      </c>
      <c r="I61" s="25">
        <f>MAX($C$2,J60+1,J139+1,J60+1)</f>
        <v>46413</v>
      </c>
      <c r="J61" s="26">
        <f>IF(AND(ISNUMBER(I61),ISNUMBER(H61)),I61+H61-1,"")</f>
        <v>46425</v>
      </c>
      <c r="K61" s="24" t="s">
        <v>27</v>
      </c>
      <c r="L61" s="24" t="s">
        <v>207</v>
      </c>
      <c r="M61" s="27" t="s">
        <v>212</v>
      </c>
      <c r="N61" s="24"/>
      <c r="O61" s="27">
        <f>IF(AND(ISNUMBER(I61),ISNUMBER(J61)),J61-I61+1,"")</f>
        <v>13</v>
      </c>
      <c r="P61" s="13"/>
      <c r="Q61" s="13"/>
      <c r="R61" s="13"/>
      <c r="S61" s="13"/>
      <c r="T61" s="13"/>
      <c r="U61" s="13"/>
      <c r="V61" s="13" t="s">
        <v>140</v>
      </c>
      <c r="W61" s="13"/>
      <c r="X61" s="13"/>
      <c r="Y61" s="13"/>
      <c r="Z61" s="13"/>
      <c r="AA61" s="13" t="s">
        <v>140</v>
      </c>
      <c r="AB61" s="13"/>
      <c r="AC61" s="13"/>
      <c r="AD61" s="13"/>
      <c r="AE61" s="13"/>
      <c r="AF61" s="13"/>
      <c r="AG61" s="13" t="s">
        <v>140</v>
      </c>
      <c r="AH61" s="13"/>
      <c r="AI61" s="13"/>
      <c r="AJ61" s="13"/>
      <c r="AK61" s="13"/>
      <c r="AL61" s="13"/>
      <c r="AM61" s="13"/>
      <c r="AN61" s="13"/>
      <c r="AO61" s="14" t="str">
        <f>IF(AND(ISNUMBER($I61),OR($K61="Milestone",$K61="Deadline"),$I61&gt;=AO$4,$I61&lt;AO$4+7),IF($K61="Deadline","◇","◆"),"")</f>
        <v/>
      </c>
      <c r="AP61" s="14" t="str">
        <f>IF(AND(ISNUMBER($I61),OR($K61="Milestone",$K61="Deadline"),$I61&gt;=AP$4,$I61&lt;AP$4+7),IF($K61="Deadline","◇","◆"),"")</f>
        <v/>
      </c>
      <c r="AQ61" s="14" t="str">
        <f>IF(AND(ISNUMBER($I61),OR($K61="Milestone",$K61="Deadline"),$I61&gt;=AQ$4,$I61&lt;AQ$4+7),IF($K61="Deadline","◇","◆"),"")</f>
        <v/>
      </c>
      <c r="AR61" s="14" t="str">
        <f>IF(AND(ISNUMBER($I61),OR($K61="Milestone",$K61="Deadline"),$I61&gt;=AR$4,$I61&lt;AR$4+7),IF($K61="Deadline","◇","◆"),"")</f>
        <v/>
      </c>
      <c r="AS61" s="14" t="str">
        <f>IF(AND(ISNUMBER($I61),OR($K61="Milestone",$K61="Deadline"),$I61&gt;=AS$4,$I61&lt;AS$4+7),IF($K61="Deadline","◇","◆"),"")</f>
        <v/>
      </c>
      <c r="AT61" s="14" t="str">
        <f>IF(AND(ISNUMBER($I61),OR($K61="Milestone",$K61="Deadline"),$I61&gt;=AT$4,$I61&lt;AT$4+7),IF($K61="Deadline","◇","◆"),"")</f>
        <v/>
      </c>
      <c r="AU61" s="14" t="str">
        <f>IF(AND(ISNUMBER($I61),OR($K61="Milestone",$K61="Deadline"),$I61&gt;=AU$4,$I61&lt;AU$4+7),IF($K61="Deadline","◇","◆"),"")</f>
        <v/>
      </c>
      <c r="AV61" s="14" t="str">
        <f>IF(AND(ISNUMBER($I61),OR($K61="Milestone",$K61="Deadline"),$I61&gt;=AV$4,$I61&lt;AV$4+7),IF($K61="Deadline","◇","◆"),"")</f>
        <v/>
      </c>
      <c r="AW61" s="14" t="str">
        <f>IF(AND(ISNUMBER($I61),OR($K61="Milestone",$K61="Deadline"),$I61&gt;=AW$4,$I61&lt;AW$4+7),IF($K61="Deadline","◇","◆"),"")</f>
        <v/>
      </c>
      <c r="AX61" s="14" t="str">
        <f>IF(AND(ISNUMBER($I61),OR($K61="Milestone",$K61="Deadline"),$I61&gt;=AX$4,$I61&lt;AX$4+7),IF($K61="Deadline","◇","◆"),"")</f>
        <v/>
      </c>
      <c r="AY61" s="14" t="str">
        <f>IF(AND(ISNUMBER($I61),OR($K61="Milestone",$K61="Deadline"),$I61&gt;=AY$4,$I61&lt;AY$4+7),IF($K61="Deadline","◇","◆"),"")</f>
        <v/>
      </c>
      <c r="AZ61" s="14" t="str">
        <f>IF(AND(ISNUMBER($I61),OR($K61="Milestone",$K61="Deadline"),$I61&gt;=AZ$4,$I61&lt;AZ$4+7),IF($K61="Deadline","◇","◆"),"")</f>
        <v/>
      </c>
      <c r="BA61" s="14" t="str">
        <f>IF(AND(ISNUMBER($I61),OR($K61="Milestone",$K61="Deadline"),$I61&gt;=BA$4,$I61&lt;BA$4+7),IF($K61="Deadline","◇","◆"),"")</f>
        <v/>
      </c>
      <c r="BB61" s="14" t="str">
        <f>IF(AND(ISNUMBER($I61),OR($K61="Milestone",$K61="Deadline"),$I61&gt;=BB$4,$I61&lt;BB$4+7),IF($K61="Deadline","◇","◆"),"")</f>
        <v/>
      </c>
      <c r="BC61" s="14" t="str">
        <f>IF(AND(ISNUMBER($I61),OR($K61="Milestone",$K61="Deadline"),$I61&gt;=BC$4,$I61&lt;BC$4+7),IF($K61="Deadline","◇","◆"),"")</f>
        <v/>
      </c>
      <c r="BD61" s="14" t="str">
        <f>IF(AND(ISNUMBER($I61),OR($K61="Milestone",$K61="Deadline"),$I61&gt;=BD$4,$I61&lt;BD$4+7),IF($K61="Deadline","◇","◆"),"")</f>
        <v/>
      </c>
      <c r="BE61" s="14" t="str">
        <f>IF(AND(ISNUMBER($I61),OR($K61="Milestone",$K61="Deadline"),$I61&gt;=BE$4,$I61&lt;BE$4+7),IF($K61="Deadline","◇","◆"),"")</f>
        <v/>
      </c>
      <c r="BF61" s="14" t="str">
        <f>IF(AND(ISNUMBER($I61),OR($K61="Milestone",$K61="Deadline"),$I61&gt;=BF$4,$I61&lt;BF$4+7),IF($K61="Deadline","◇","◆"),"")</f>
        <v/>
      </c>
      <c r="BG61" s="14" t="str">
        <f>IF(AND(ISNUMBER($I61),OR($K61="Milestone",$K61="Deadline"),$I61&gt;=BG$4,$I61&lt;BG$4+7),IF($K61="Deadline","◇","◆"),"")</f>
        <v/>
      </c>
      <c r="BH61" s="14" t="str">
        <f>IF(AND(ISNUMBER($I61),OR($K61="Milestone",$K61="Deadline"),$I61&gt;=BH$4,$I61&lt;BH$4+7),IF($K61="Deadline","◇","◆"),"")</f>
        <v/>
      </c>
      <c r="BI61" s="14" t="str">
        <f>IF(AND(ISNUMBER($I61),OR($K61="Milestone",$K61="Deadline"),$I61&gt;=BI$4,$I61&lt;BI$4+7),IF($K61="Deadline","◇","◆"),"")</f>
        <v/>
      </c>
      <c r="BJ61" s="14" t="str">
        <f>IF(AND(ISNUMBER($I61),OR($K61="Milestone",$K61="Deadline"),$I61&gt;=BJ$4,$I61&lt;BJ$4+7),IF($K61="Deadline","◇","◆"),"")</f>
        <v/>
      </c>
      <c r="BK61" s="14" t="str">
        <f>IF(AND(ISNUMBER($I61),OR($K61="Milestone",$K61="Deadline"),$I61&gt;=BK$4,$I61&lt;BK$4+7),IF($K61="Deadline","◇","◆"),"")</f>
        <v/>
      </c>
      <c r="BL61" s="14" t="str">
        <f>IF(AND(ISNUMBER($I61),OR($K61="Milestone",$K61="Deadline"),$I61&gt;=BL$4,$I61&lt;BL$4+7),IF($K61="Deadline","◇","◆"),"")</f>
        <v/>
      </c>
      <c r="BM61" s="14" t="str">
        <f>IF(AND(ISNUMBER($I61),OR($K61="Milestone",$K61="Deadline"),$I61&gt;=BM$4,$I61&lt;BM$4+7),IF($K61="Deadline","◇","◆"),"")</f>
        <v/>
      </c>
      <c r="BN61" s="14" t="str">
        <f>IF(AND(ISNUMBER($I61),OR($K61="Milestone",$K61="Deadline"),$I61&gt;=BN$4,$I61&lt;BN$4+7),IF($K61="Deadline","◇","◆"),"")</f>
        <v/>
      </c>
      <c r="BO61" s="14" t="str">
        <f>IF(AND(ISNUMBER($I61),OR($K61="Milestone",$K61="Deadline"),$I61&gt;=BO$4,$I61&lt;BO$4+7),IF($K61="Deadline","◇","◆"),"")</f>
        <v/>
      </c>
      <c r="BP61" s="14" t="str">
        <f>IF(AND(ISNUMBER($I61),OR($K61="Milestone",$K61="Deadline"),$I61&gt;=BP$4,$I61&lt;BP$4+7),IF($K61="Deadline","◇","◆"),"")</f>
        <v/>
      </c>
      <c r="BQ61" s="14" t="str">
        <f>IF(AND(ISNUMBER($I61),OR($K61="Milestone",$K61="Deadline"),$I61&gt;=BQ$4,$I61&lt;BQ$4+7),IF($K61="Deadline","◇","◆"),"")</f>
        <v/>
      </c>
      <c r="BR61" s="14" t="str">
        <f>IF(AND(ISNUMBER($I61),OR($K61="Milestone",$K61="Deadline"),$I61&gt;=BR$4,$I61&lt;BR$4+7),IF($K61="Deadline","◇","◆"),"")</f>
        <v/>
      </c>
      <c r="BS61" s="14" t="str">
        <f>IF(AND(ISNUMBER($I61),OR($K61="Milestone",$K61="Deadline"),$I61&gt;=BS$4,$I61&lt;BS$4+7),IF($K61="Deadline","◇","◆"),"")</f>
        <v/>
      </c>
      <c r="BT61" s="14" t="str">
        <f>IF(AND(ISNUMBER($I61),OR($K61="Milestone",$K61="Deadline"),$I61&gt;=BT$4,$I61&lt;BT$4+7),IF($K61="Deadline","◇","◆"),"")</f>
        <v/>
      </c>
      <c r="BU61" s="14" t="str">
        <f>IF(AND(ISNUMBER($I61),OR($K61="Milestone",$K61="Deadline"),$I61&gt;=BU$4,$I61&lt;BU$4+7),IF($K61="Deadline","◇","◆"),"")</f>
        <v/>
      </c>
      <c r="BV61" s="14" t="str">
        <f>IF(AND(ISNUMBER($I61),OR($K61="Milestone",$K61="Deadline"),$I61&gt;=BV$4,$I61&lt;BV$4+7),IF($K61="Deadline","◇","◆"),"")</f>
        <v/>
      </c>
      <c r="BW61" s="14" t="str">
        <f>IF(AND(ISNUMBER($I61),OR($K61="Milestone",$K61="Deadline"),$I61&gt;=BW$4,$I61&lt;BW$4+7),IF($K61="Deadline","◇","◆"),"")</f>
        <v/>
      </c>
      <c r="BX61" s="14" t="str">
        <f>IF(AND(ISNUMBER($I61),OR($K61="Milestone",$K61="Deadline"),$I61&gt;=BX$4,$I61&lt;BX$4+7),IF($K61="Deadline","◇","◆"),"")</f>
        <v/>
      </c>
      <c r="BY61" s="14" t="str">
        <f>IF(AND(ISNUMBER($I61),OR($K61="Milestone",$K61="Deadline"),$I61&gt;=BY$4,$I61&lt;BY$4+7),IF($K61="Deadline","◇","◆"),"")</f>
        <v/>
      </c>
      <c r="BZ61" s="14" t="str">
        <f>IF(AND(ISNUMBER($I61),OR($K61="Milestone",$K61="Deadline"),$I61&gt;=BZ$4,$I61&lt;BZ$4+7),IF($K61="Deadline","◇","◆"),"")</f>
        <v/>
      </c>
      <c r="CA61" s="14" t="str">
        <f>IF(AND(ISNUMBER($I61),OR($K61="Milestone",$K61="Deadline"),$I61&gt;=CA$4,$I61&lt;CA$4+7),IF($K61="Deadline","◇","◆"),"")</f>
        <v/>
      </c>
      <c r="CB61" s="14" t="str">
        <f>IF(AND(ISNUMBER($I61),OR($K61="Milestone",$K61="Deadline"),$I61&gt;=CB$4,$I61&lt;CB$4+7),IF($K61="Deadline","◇","◆"),"")</f>
        <v/>
      </c>
      <c r="CC61" s="14" t="str">
        <f>IF(AND(ISNUMBER($I61),OR($K61="Milestone",$K61="Deadline"),$I61&gt;=CC$4,$I61&lt;CC$4+7),IF($K61="Deadline","◇","◆"),"")</f>
        <v/>
      </c>
      <c r="CD61" s="14" t="str">
        <f>IF(AND(ISNUMBER($I61),OR($K61="Milestone",$K61="Deadline"),$I61&gt;=CD$4,$I61&lt;CD$4+7),IF($K61="Deadline","◇","◆"),"")</f>
        <v/>
      </c>
      <c r="CE61" s="14" t="str">
        <f>IF(AND(ISNUMBER($I61),OR($K61="Milestone",$K61="Deadline"),$I61&gt;=CE$4,$I61&lt;CE$4+7),IF($K61="Deadline","◇","◆"),"")</f>
        <v/>
      </c>
      <c r="CF61" s="14" t="str">
        <f>IF(AND(ISNUMBER($I61),OR($K61="Milestone",$K61="Deadline"),$I61&gt;=CF$4,$I61&lt;CF$4+7),IF($K61="Deadline","◇","◆"),"")</f>
        <v/>
      </c>
      <c r="CG61" s="14" t="str">
        <f>IF(AND(ISNUMBER($I61),OR($K61="Milestone",$K61="Deadline"),$I61&gt;=CG$4,$I61&lt;CG$4+7),IF($K61="Deadline","◇","◆"),"")</f>
        <v/>
      </c>
      <c r="CH61" s="14" t="str">
        <f>IF(AND(ISNUMBER($I61),OR($K61="Milestone",$K61="Deadline"),$I61&gt;=CH$4,$I61&lt;CH$4+7),IF($K61="Deadline","◇","◆"),"")</f>
        <v/>
      </c>
      <c r="CI61" s="14" t="str">
        <f>IF(AND(ISNUMBER($I61),OR($K61="Milestone",$K61="Deadline"),$I61&gt;=CI$4,$I61&lt;CI$4+7),IF($K61="Deadline","◇","◆"),"")</f>
        <v/>
      </c>
      <c r="CJ61" s="14" t="str">
        <f>IF(AND(ISNUMBER($I61),OR($K61="Milestone",$K61="Deadline"),$I61&gt;=CJ$4,$I61&lt;CJ$4+7),IF($K61="Deadline","◇","◆"),"")</f>
        <v/>
      </c>
      <c r="CK61" s="14" t="str">
        <f>IF(AND(ISNUMBER($I61),OR($K61="Milestone",$K61="Deadline"),$I61&gt;=CK$4,$I61&lt;CK$4+7),IF($K61="Deadline","◇","◆"),"")</f>
        <v/>
      </c>
      <c r="CL61" s="14" t="str">
        <f>IF(AND(ISNUMBER($I61),OR($K61="Milestone",$K61="Deadline"),$I61&gt;=CL$4,$I61&lt;CL$4+7),IF($K61="Deadline","◇","◆"),"")</f>
        <v/>
      </c>
      <c r="CM61" s="14" t="str">
        <f>IF(AND(ISNUMBER($I61),OR($K61="Milestone",$K61="Deadline"),$I61&gt;=CM$4,$I61&lt;CM$4+7),IF($K61="Deadline","◇","◆"),"")</f>
        <v/>
      </c>
    </row>
    <row r="62" spans="1:91" ht="15" hidden="1" customHeight="1">
      <c r="A62" s="24" t="s">
        <v>213</v>
      </c>
      <c r="B62" s="24" t="s">
        <v>167</v>
      </c>
      <c r="C62" s="24" t="s">
        <v>191</v>
      </c>
      <c r="D62" s="24" t="s">
        <v>195</v>
      </c>
      <c r="E62" s="24" t="s">
        <v>196</v>
      </c>
      <c r="F62" s="24" t="s">
        <v>208</v>
      </c>
      <c r="G62" s="24" t="s">
        <v>192</v>
      </c>
      <c r="H62" s="24">
        <v>8</v>
      </c>
      <c r="I62" s="25">
        <f>MAX(DATE(2027,3,1),J61+1,J268+1,J130+1)</f>
        <v>46457</v>
      </c>
      <c r="J62" s="26">
        <f>IF(AND(ISNUMBER(I62),ISNUMBER(H62)),I62+H62-1,"")</f>
        <v>46464</v>
      </c>
      <c r="K62" s="24" t="s">
        <v>27</v>
      </c>
      <c r="L62" s="24" t="s">
        <v>211</v>
      </c>
      <c r="M62" s="27" t="s">
        <v>214</v>
      </c>
      <c r="N62" s="24"/>
      <c r="O62" s="27">
        <f>IF(AND(ISNUMBER(I62),ISNUMBER(J62)),J62-I62+1,"")</f>
        <v>8</v>
      </c>
      <c r="P62" s="13"/>
      <c r="Q62" s="13"/>
      <c r="R62" s="13"/>
      <c r="S62" s="13"/>
      <c r="T62" s="13"/>
      <c r="U62" s="13"/>
      <c r="V62" s="13" t="s">
        <v>140</v>
      </c>
      <c r="W62" s="13"/>
      <c r="X62" s="13"/>
      <c r="Y62" s="13"/>
      <c r="Z62" s="13"/>
      <c r="AA62" s="13"/>
      <c r="AB62" s="13" t="s">
        <v>140</v>
      </c>
      <c r="AC62" s="13"/>
      <c r="AD62" s="13"/>
      <c r="AE62" s="13"/>
      <c r="AF62" s="13"/>
      <c r="AG62" s="13"/>
      <c r="AH62" s="13" t="s">
        <v>140</v>
      </c>
      <c r="AI62" s="13"/>
      <c r="AJ62" s="13"/>
      <c r="AK62" s="13"/>
      <c r="AL62" s="13"/>
      <c r="AM62" s="13"/>
      <c r="AN62" s="13"/>
      <c r="AO62" s="14" t="str">
        <f>IF(AND(ISNUMBER($I62),OR($K62="Milestone",$K62="Deadline"),$I62&gt;=AO$4,$I62&lt;AO$4+7),IF($K62="Deadline","◇","◆"),"")</f>
        <v/>
      </c>
      <c r="AP62" s="14" t="str">
        <f>IF(AND(ISNUMBER($I62),OR($K62="Milestone",$K62="Deadline"),$I62&gt;=AP$4,$I62&lt;AP$4+7),IF($K62="Deadline","◇","◆"),"")</f>
        <v/>
      </c>
      <c r="AQ62" s="14" t="str">
        <f>IF(AND(ISNUMBER($I62),OR($K62="Milestone",$K62="Deadline"),$I62&gt;=AQ$4,$I62&lt;AQ$4+7),IF($K62="Deadline","◇","◆"),"")</f>
        <v/>
      </c>
      <c r="AR62" s="14" t="str">
        <f>IF(AND(ISNUMBER($I62),OR($K62="Milestone",$K62="Deadline"),$I62&gt;=AR$4,$I62&lt;AR$4+7),IF($K62="Deadline","◇","◆"),"")</f>
        <v/>
      </c>
      <c r="AS62" s="14" t="str">
        <f>IF(AND(ISNUMBER($I62),OR($K62="Milestone",$K62="Deadline"),$I62&gt;=AS$4,$I62&lt;AS$4+7),IF($K62="Deadline","◇","◆"),"")</f>
        <v/>
      </c>
      <c r="AT62" s="14" t="str">
        <f>IF(AND(ISNUMBER($I62),OR($K62="Milestone",$K62="Deadline"),$I62&gt;=AT$4,$I62&lt;AT$4+7),IF($K62="Deadline","◇","◆"),"")</f>
        <v/>
      </c>
      <c r="AU62" s="14" t="str">
        <f>IF(AND(ISNUMBER($I62),OR($K62="Milestone",$K62="Deadline"),$I62&gt;=AU$4,$I62&lt;AU$4+7),IF($K62="Deadline","◇","◆"),"")</f>
        <v/>
      </c>
      <c r="AV62" s="14" t="str">
        <f>IF(AND(ISNUMBER($I62),OR($K62="Milestone",$K62="Deadline"),$I62&gt;=AV$4,$I62&lt;AV$4+7),IF($K62="Deadline","◇","◆"),"")</f>
        <v/>
      </c>
      <c r="AW62" s="14" t="str">
        <f>IF(AND(ISNUMBER($I62),OR($K62="Milestone",$K62="Deadline"),$I62&gt;=AW$4,$I62&lt;AW$4+7),IF($K62="Deadline","◇","◆"),"")</f>
        <v/>
      </c>
      <c r="AX62" s="14" t="str">
        <f>IF(AND(ISNUMBER($I62),OR($K62="Milestone",$K62="Deadline"),$I62&gt;=AX$4,$I62&lt;AX$4+7),IF($K62="Deadline","◇","◆"),"")</f>
        <v/>
      </c>
      <c r="AY62" s="14" t="str">
        <f>IF(AND(ISNUMBER($I62),OR($K62="Milestone",$K62="Deadline"),$I62&gt;=AY$4,$I62&lt;AY$4+7),IF($K62="Deadline","◇","◆"),"")</f>
        <v/>
      </c>
      <c r="AZ62" s="14" t="str">
        <f>IF(AND(ISNUMBER($I62),OR($K62="Milestone",$K62="Deadline"),$I62&gt;=AZ$4,$I62&lt;AZ$4+7),IF($K62="Deadline","◇","◆"),"")</f>
        <v/>
      </c>
      <c r="BA62" s="14" t="str">
        <f>IF(AND(ISNUMBER($I62),OR($K62="Milestone",$K62="Deadline"),$I62&gt;=BA$4,$I62&lt;BA$4+7),IF($K62="Deadline","◇","◆"),"")</f>
        <v/>
      </c>
      <c r="BB62" s="14" t="str">
        <f>IF(AND(ISNUMBER($I62),OR($K62="Milestone",$K62="Deadline"),$I62&gt;=BB$4,$I62&lt;BB$4+7),IF($K62="Deadline","◇","◆"),"")</f>
        <v/>
      </c>
      <c r="BC62" s="14" t="str">
        <f>IF(AND(ISNUMBER($I62),OR($K62="Milestone",$K62="Deadline"),$I62&gt;=BC$4,$I62&lt;BC$4+7),IF($K62="Deadline","◇","◆"),"")</f>
        <v/>
      </c>
      <c r="BD62" s="14" t="str">
        <f>IF(AND(ISNUMBER($I62),OR($K62="Milestone",$K62="Deadline"),$I62&gt;=BD$4,$I62&lt;BD$4+7),IF($K62="Deadline","◇","◆"),"")</f>
        <v/>
      </c>
      <c r="BE62" s="14" t="str">
        <f>IF(AND(ISNUMBER($I62),OR($K62="Milestone",$K62="Deadline"),$I62&gt;=BE$4,$I62&lt;BE$4+7),IF($K62="Deadline","◇","◆"),"")</f>
        <v/>
      </c>
      <c r="BF62" s="14" t="str">
        <f>IF(AND(ISNUMBER($I62),OR($K62="Milestone",$K62="Deadline"),$I62&gt;=BF$4,$I62&lt;BF$4+7),IF($K62="Deadline","◇","◆"),"")</f>
        <v/>
      </c>
      <c r="BG62" s="14" t="str">
        <f>IF(AND(ISNUMBER($I62),OR($K62="Milestone",$K62="Deadline"),$I62&gt;=BG$4,$I62&lt;BG$4+7),IF($K62="Deadline","◇","◆"),"")</f>
        <v/>
      </c>
      <c r="BH62" s="14" t="str">
        <f>IF(AND(ISNUMBER($I62),OR($K62="Milestone",$K62="Deadline"),$I62&gt;=BH$4,$I62&lt;BH$4+7),IF($K62="Deadline","◇","◆"),"")</f>
        <v/>
      </c>
      <c r="BI62" s="14" t="str">
        <f>IF(AND(ISNUMBER($I62),OR($K62="Milestone",$K62="Deadline"),$I62&gt;=BI$4,$I62&lt;BI$4+7),IF($K62="Deadline","◇","◆"),"")</f>
        <v/>
      </c>
      <c r="BJ62" s="14" t="str">
        <f>IF(AND(ISNUMBER($I62),OR($K62="Milestone",$K62="Deadline"),$I62&gt;=BJ$4,$I62&lt;BJ$4+7),IF($K62="Deadline","◇","◆"),"")</f>
        <v/>
      </c>
      <c r="BK62" s="14" t="str">
        <f>IF(AND(ISNUMBER($I62),OR($K62="Milestone",$K62="Deadline"),$I62&gt;=BK$4,$I62&lt;BK$4+7),IF($K62="Deadline","◇","◆"),"")</f>
        <v/>
      </c>
      <c r="BL62" s="14" t="str">
        <f>IF(AND(ISNUMBER($I62),OR($K62="Milestone",$K62="Deadline"),$I62&gt;=BL$4,$I62&lt;BL$4+7),IF($K62="Deadline","◇","◆"),"")</f>
        <v/>
      </c>
      <c r="BM62" s="14" t="str">
        <f>IF(AND(ISNUMBER($I62),OR($K62="Milestone",$K62="Deadline"),$I62&gt;=BM$4,$I62&lt;BM$4+7),IF($K62="Deadline","◇","◆"),"")</f>
        <v/>
      </c>
      <c r="BN62" s="14" t="str">
        <f>IF(AND(ISNUMBER($I62),OR($K62="Milestone",$K62="Deadline"),$I62&gt;=BN$4,$I62&lt;BN$4+7),IF($K62="Deadline","◇","◆"),"")</f>
        <v/>
      </c>
      <c r="BO62" s="14" t="str">
        <f>IF(AND(ISNUMBER($I62),OR($K62="Milestone",$K62="Deadline"),$I62&gt;=BO$4,$I62&lt;BO$4+7),IF($K62="Deadline","◇","◆"),"")</f>
        <v/>
      </c>
      <c r="BP62" s="14" t="str">
        <f>IF(AND(ISNUMBER($I62),OR($K62="Milestone",$K62="Deadline"),$I62&gt;=BP$4,$I62&lt;BP$4+7),IF($K62="Deadline","◇","◆"),"")</f>
        <v/>
      </c>
      <c r="BQ62" s="14" t="str">
        <f>IF(AND(ISNUMBER($I62),OR($K62="Milestone",$K62="Deadline"),$I62&gt;=BQ$4,$I62&lt;BQ$4+7),IF($K62="Deadline","◇","◆"),"")</f>
        <v/>
      </c>
      <c r="BR62" s="14" t="str">
        <f>IF(AND(ISNUMBER($I62),OR($K62="Milestone",$K62="Deadline"),$I62&gt;=BR$4,$I62&lt;BR$4+7),IF($K62="Deadline","◇","◆"),"")</f>
        <v/>
      </c>
      <c r="BS62" s="14" t="str">
        <f>IF(AND(ISNUMBER($I62),OR($K62="Milestone",$K62="Deadline"),$I62&gt;=BS$4,$I62&lt;BS$4+7),IF($K62="Deadline","◇","◆"),"")</f>
        <v/>
      </c>
      <c r="BT62" s="14" t="str">
        <f>IF(AND(ISNUMBER($I62),OR($K62="Milestone",$K62="Deadline"),$I62&gt;=BT$4,$I62&lt;BT$4+7),IF($K62="Deadline","◇","◆"),"")</f>
        <v/>
      </c>
      <c r="BU62" s="14" t="str">
        <f>IF(AND(ISNUMBER($I62),OR($K62="Milestone",$K62="Deadline"),$I62&gt;=BU$4,$I62&lt;BU$4+7),IF($K62="Deadline","◇","◆"),"")</f>
        <v/>
      </c>
      <c r="BV62" s="14" t="str">
        <f>IF(AND(ISNUMBER($I62),OR($K62="Milestone",$K62="Deadline"),$I62&gt;=BV$4,$I62&lt;BV$4+7),IF($K62="Deadline","◇","◆"),"")</f>
        <v/>
      </c>
      <c r="BW62" s="14" t="str">
        <f>IF(AND(ISNUMBER($I62),OR($K62="Milestone",$K62="Deadline"),$I62&gt;=BW$4,$I62&lt;BW$4+7),IF($K62="Deadline","◇","◆"),"")</f>
        <v/>
      </c>
      <c r="BX62" s="14" t="str">
        <f>IF(AND(ISNUMBER($I62),OR($K62="Milestone",$K62="Deadline"),$I62&gt;=BX$4,$I62&lt;BX$4+7),IF($K62="Deadline","◇","◆"),"")</f>
        <v/>
      </c>
      <c r="BY62" s="14" t="str">
        <f>IF(AND(ISNUMBER($I62),OR($K62="Milestone",$K62="Deadline"),$I62&gt;=BY$4,$I62&lt;BY$4+7),IF($K62="Deadline","◇","◆"),"")</f>
        <v/>
      </c>
      <c r="BZ62" s="14" t="str">
        <f>IF(AND(ISNUMBER($I62),OR($K62="Milestone",$K62="Deadline"),$I62&gt;=BZ$4,$I62&lt;BZ$4+7),IF($K62="Deadline","◇","◆"),"")</f>
        <v/>
      </c>
      <c r="CA62" s="14" t="str">
        <f>IF(AND(ISNUMBER($I62),OR($K62="Milestone",$K62="Deadline"),$I62&gt;=CA$4,$I62&lt;CA$4+7),IF($K62="Deadline","◇","◆"),"")</f>
        <v/>
      </c>
      <c r="CB62" s="14" t="str">
        <f>IF(AND(ISNUMBER($I62),OR($K62="Milestone",$K62="Deadline"),$I62&gt;=CB$4,$I62&lt;CB$4+7),IF($K62="Deadline","◇","◆"),"")</f>
        <v/>
      </c>
      <c r="CC62" s="14" t="str">
        <f>IF(AND(ISNUMBER($I62),OR($K62="Milestone",$K62="Deadline"),$I62&gt;=CC$4,$I62&lt;CC$4+7),IF($K62="Deadline","◇","◆"),"")</f>
        <v/>
      </c>
      <c r="CD62" s="14" t="str">
        <f>IF(AND(ISNUMBER($I62),OR($K62="Milestone",$K62="Deadline"),$I62&gt;=CD$4,$I62&lt;CD$4+7),IF($K62="Deadline","◇","◆"),"")</f>
        <v/>
      </c>
      <c r="CE62" s="14" t="str">
        <f>IF(AND(ISNUMBER($I62),OR($K62="Milestone",$K62="Deadline"),$I62&gt;=CE$4,$I62&lt;CE$4+7),IF($K62="Deadline","◇","◆"),"")</f>
        <v/>
      </c>
      <c r="CF62" s="14" t="str">
        <f>IF(AND(ISNUMBER($I62),OR($K62="Milestone",$K62="Deadline"),$I62&gt;=CF$4,$I62&lt;CF$4+7),IF($K62="Deadline","◇","◆"),"")</f>
        <v/>
      </c>
      <c r="CG62" s="14" t="str">
        <f>IF(AND(ISNUMBER($I62),OR($K62="Milestone",$K62="Deadline"),$I62&gt;=CG$4,$I62&lt;CG$4+7),IF($K62="Deadline","◇","◆"),"")</f>
        <v/>
      </c>
      <c r="CH62" s="14" t="str">
        <f>IF(AND(ISNUMBER($I62),OR($K62="Milestone",$K62="Deadline"),$I62&gt;=CH$4,$I62&lt;CH$4+7),IF($K62="Deadline","◇","◆"),"")</f>
        <v/>
      </c>
      <c r="CI62" s="14" t="str">
        <f>IF(AND(ISNUMBER($I62),OR($K62="Milestone",$K62="Deadline"),$I62&gt;=CI$4,$I62&lt;CI$4+7),IF($K62="Deadline","◇","◆"),"")</f>
        <v/>
      </c>
      <c r="CJ62" s="14" t="str">
        <f>IF(AND(ISNUMBER($I62),OR($K62="Milestone",$K62="Deadline"),$I62&gt;=CJ$4,$I62&lt;CJ$4+7),IF($K62="Deadline","◇","◆"),"")</f>
        <v/>
      </c>
      <c r="CK62" s="14" t="str">
        <f>IF(AND(ISNUMBER($I62),OR($K62="Milestone",$K62="Deadline"),$I62&gt;=CK$4,$I62&lt;CK$4+7),IF($K62="Deadline","◇","◆"),"")</f>
        <v/>
      </c>
      <c r="CL62" s="14" t="str">
        <f>IF(AND(ISNUMBER($I62),OR($K62="Milestone",$K62="Deadline"),$I62&gt;=CL$4,$I62&lt;CL$4+7),IF($K62="Deadline","◇","◆"),"")</f>
        <v/>
      </c>
      <c r="CM62" s="14" t="str">
        <f>IF(AND(ISNUMBER($I62),OR($K62="Milestone",$K62="Deadline"),$I62&gt;=CM$4,$I62&lt;CM$4+7),IF($K62="Deadline","◇","◆"),"")</f>
        <v/>
      </c>
    </row>
    <row r="63" spans="1:91" ht="15" hidden="1" customHeight="1">
      <c r="A63" s="24" t="s">
        <v>215</v>
      </c>
      <c r="B63" s="24" t="s">
        <v>167</v>
      </c>
      <c r="C63" s="24" t="s">
        <v>191</v>
      </c>
      <c r="D63" s="24" t="s">
        <v>168</v>
      </c>
      <c r="E63" s="24"/>
      <c r="F63" s="24" t="s">
        <v>216</v>
      </c>
      <c r="G63" s="24" t="s">
        <v>217</v>
      </c>
      <c r="H63" s="24">
        <v>14</v>
      </c>
      <c r="I63" s="25">
        <f>MAX($C$2,J52+1,J56+1,J237+1)</f>
        <v>46387</v>
      </c>
      <c r="J63" s="26">
        <f>IF(AND(ISNUMBER(I63),ISNUMBER(H63)),I63+H63-1,"")</f>
        <v>46400</v>
      </c>
      <c r="K63" s="24" t="s">
        <v>27</v>
      </c>
      <c r="L63" s="24" t="s">
        <v>218</v>
      </c>
      <c r="M63" s="27" t="s">
        <v>219</v>
      </c>
      <c r="N63" s="24"/>
      <c r="O63" s="27">
        <f>IF(AND(ISNUMBER(I63),ISNUMBER(J63)),J63-I63+1,"")</f>
        <v>14</v>
      </c>
      <c r="P63" s="13"/>
      <c r="Q63" s="13"/>
      <c r="R63" s="13"/>
      <c r="S63" s="13"/>
      <c r="T63" s="13" t="s">
        <v>140</v>
      </c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  <c r="AO63" s="14" t="str">
        <f>IF(AND(ISNUMBER($I63),OR($K63="Milestone",$K63="Deadline"),$I63&gt;=AO$4,$I63&lt;AO$4+7),IF($K63="Deadline","◇","◆"),"")</f>
        <v/>
      </c>
      <c r="AP63" s="14" t="str">
        <f>IF(AND(ISNUMBER($I63),OR($K63="Milestone",$K63="Deadline"),$I63&gt;=AP$4,$I63&lt;AP$4+7),IF($K63="Deadline","◇","◆"),"")</f>
        <v/>
      </c>
      <c r="AQ63" s="14" t="str">
        <f>IF(AND(ISNUMBER($I63),OR($K63="Milestone",$K63="Deadline"),$I63&gt;=AQ$4,$I63&lt;AQ$4+7),IF($K63="Deadline","◇","◆"),"")</f>
        <v/>
      </c>
      <c r="AR63" s="14" t="str">
        <f>IF(AND(ISNUMBER($I63),OR($K63="Milestone",$K63="Deadline"),$I63&gt;=AR$4,$I63&lt;AR$4+7),IF($K63="Deadline","◇","◆"),"")</f>
        <v/>
      </c>
      <c r="AS63" s="14" t="str">
        <f>IF(AND(ISNUMBER($I63),OR($K63="Milestone",$K63="Deadline"),$I63&gt;=AS$4,$I63&lt;AS$4+7),IF($K63="Deadline","◇","◆"),"")</f>
        <v/>
      </c>
      <c r="AT63" s="14" t="str">
        <f>IF(AND(ISNUMBER($I63),OR($K63="Milestone",$K63="Deadline"),$I63&gt;=AT$4,$I63&lt;AT$4+7),IF($K63="Deadline","◇","◆"),"")</f>
        <v/>
      </c>
      <c r="AU63" s="14" t="str">
        <f>IF(AND(ISNUMBER($I63),OR($K63="Milestone",$K63="Deadline"),$I63&gt;=AU$4,$I63&lt;AU$4+7),IF($K63="Deadline","◇","◆"),"")</f>
        <v/>
      </c>
      <c r="AV63" s="14" t="str">
        <f>IF(AND(ISNUMBER($I63),OR($K63="Milestone",$K63="Deadline"),$I63&gt;=AV$4,$I63&lt;AV$4+7),IF($K63="Deadline","◇","◆"),"")</f>
        <v/>
      </c>
      <c r="AW63" s="14" t="str">
        <f>IF(AND(ISNUMBER($I63),OR($K63="Milestone",$K63="Deadline"),$I63&gt;=AW$4,$I63&lt;AW$4+7),IF($K63="Deadline","◇","◆"),"")</f>
        <v/>
      </c>
      <c r="AX63" s="14" t="str">
        <f>IF(AND(ISNUMBER($I63),OR($K63="Milestone",$K63="Deadline"),$I63&gt;=AX$4,$I63&lt;AX$4+7),IF($K63="Deadline","◇","◆"),"")</f>
        <v/>
      </c>
      <c r="AY63" s="14" t="str">
        <f>IF(AND(ISNUMBER($I63),OR($K63="Milestone",$K63="Deadline"),$I63&gt;=AY$4,$I63&lt;AY$4+7),IF($K63="Deadline","◇","◆"),"")</f>
        <v/>
      </c>
      <c r="AZ63" s="14" t="str">
        <f>IF(AND(ISNUMBER($I63),OR($K63="Milestone",$K63="Deadline"),$I63&gt;=AZ$4,$I63&lt;AZ$4+7),IF($K63="Deadline","◇","◆"),"")</f>
        <v/>
      </c>
      <c r="BA63" s="14" t="str">
        <f>IF(AND(ISNUMBER($I63),OR($K63="Milestone",$K63="Deadline"),$I63&gt;=BA$4,$I63&lt;BA$4+7),IF($K63="Deadline","◇","◆"),"")</f>
        <v/>
      </c>
      <c r="BB63" s="14" t="str">
        <f>IF(AND(ISNUMBER($I63),OR($K63="Milestone",$K63="Deadline"),$I63&gt;=BB$4,$I63&lt;BB$4+7),IF($K63="Deadline","◇","◆"),"")</f>
        <v/>
      </c>
      <c r="BC63" s="14" t="str">
        <f>IF(AND(ISNUMBER($I63),OR($K63="Milestone",$K63="Deadline"),$I63&gt;=BC$4,$I63&lt;BC$4+7),IF($K63="Deadline","◇","◆"),"")</f>
        <v/>
      </c>
      <c r="BD63" s="14" t="str">
        <f>IF(AND(ISNUMBER($I63),OR($K63="Milestone",$K63="Deadline"),$I63&gt;=BD$4,$I63&lt;BD$4+7),IF($K63="Deadline","◇","◆"),"")</f>
        <v/>
      </c>
      <c r="BE63" s="14" t="str">
        <f>IF(AND(ISNUMBER($I63),OR($K63="Milestone",$K63="Deadline"),$I63&gt;=BE$4,$I63&lt;BE$4+7),IF($K63="Deadline","◇","◆"),"")</f>
        <v/>
      </c>
      <c r="BF63" s="14" t="str">
        <f>IF(AND(ISNUMBER($I63),OR($K63="Milestone",$K63="Deadline"),$I63&gt;=BF$4,$I63&lt;BF$4+7),IF($K63="Deadline","◇","◆"),"")</f>
        <v/>
      </c>
      <c r="BG63" s="14" t="str">
        <f>IF(AND(ISNUMBER($I63),OR($K63="Milestone",$K63="Deadline"),$I63&gt;=BG$4,$I63&lt;BG$4+7),IF($K63="Deadline","◇","◆"),"")</f>
        <v/>
      </c>
      <c r="BH63" s="14" t="str">
        <f>IF(AND(ISNUMBER($I63),OR($K63="Milestone",$K63="Deadline"),$I63&gt;=BH$4,$I63&lt;BH$4+7),IF($K63="Deadline","◇","◆"),"")</f>
        <v/>
      </c>
      <c r="BI63" s="14" t="str">
        <f>IF(AND(ISNUMBER($I63),OR($K63="Milestone",$K63="Deadline"),$I63&gt;=BI$4,$I63&lt;BI$4+7),IF($K63="Deadline","◇","◆"),"")</f>
        <v/>
      </c>
      <c r="BJ63" s="14" t="str">
        <f>IF(AND(ISNUMBER($I63),OR($K63="Milestone",$K63="Deadline"),$I63&gt;=BJ$4,$I63&lt;BJ$4+7),IF($K63="Deadline","◇","◆"),"")</f>
        <v/>
      </c>
      <c r="BK63" s="14" t="str">
        <f>IF(AND(ISNUMBER($I63),OR($K63="Milestone",$K63="Deadline"),$I63&gt;=BK$4,$I63&lt;BK$4+7),IF($K63="Deadline","◇","◆"),"")</f>
        <v/>
      </c>
      <c r="BL63" s="14" t="str">
        <f>IF(AND(ISNUMBER($I63),OR($K63="Milestone",$K63="Deadline"),$I63&gt;=BL$4,$I63&lt;BL$4+7),IF($K63="Deadline","◇","◆"),"")</f>
        <v/>
      </c>
      <c r="BM63" s="14" t="str">
        <f>IF(AND(ISNUMBER($I63),OR($K63="Milestone",$K63="Deadline"),$I63&gt;=BM$4,$I63&lt;BM$4+7),IF($K63="Deadline","◇","◆"),"")</f>
        <v/>
      </c>
      <c r="BN63" s="14" t="str">
        <f>IF(AND(ISNUMBER($I63),OR($K63="Milestone",$K63="Deadline"),$I63&gt;=BN$4,$I63&lt;BN$4+7),IF($K63="Deadline","◇","◆"),"")</f>
        <v/>
      </c>
      <c r="BO63" s="14" t="str">
        <f>IF(AND(ISNUMBER($I63),OR($K63="Milestone",$K63="Deadline"),$I63&gt;=BO$4,$I63&lt;BO$4+7),IF($K63="Deadline","◇","◆"),"")</f>
        <v/>
      </c>
      <c r="BP63" s="14" t="str">
        <f>IF(AND(ISNUMBER($I63),OR($K63="Milestone",$K63="Deadline"),$I63&gt;=BP$4,$I63&lt;BP$4+7),IF($K63="Deadline","◇","◆"),"")</f>
        <v/>
      </c>
      <c r="BQ63" s="14" t="str">
        <f>IF(AND(ISNUMBER($I63),OR($K63="Milestone",$K63="Deadline"),$I63&gt;=BQ$4,$I63&lt;BQ$4+7),IF($K63="Deadline","◇","◆"),"")</f>
        <v/>
      </c>
      <c r="BR63" s="14" t="str">
        <f>IF(AND(ISNUMBER($I63),OR($K63="Milestone",$K63="Deadline"),$I63&gt;=BR$4,$I63&lt;BR$4+7),IF($K63="Deadline","◇","◆"),"")</f>
        <v/>
      </c>
      <c r="BS63" s="14" t="str">
        <f>IF(AND(ISNUMBER($I63),OR($K63="Milestone",$K63="Deadline"),$I63&gt;=BS$4,$I63&lt;BS$4+7),IF($K63="Deadline","◇","◆"),"")</f>
        <v/>
      </c>
      <c r="BT63" s="14" t="str">
        <f>IF(AND(ISNUMBER($I63),OR($K63="Milestone",$K63="Deadline"),$I63&gt;=BT$4,$I63&lt;BT$4+7),IF($K63="Deadline","◇","◆"),"")</f>
        <v/>
      </c>
      <c r="BU63" s="14" t="str">
        <f>IF(AND(ISNUMBER($I63),OR($K63="Milestone",$K63="Deadline"),$I63&gt;=BU$4,$I63&lt;BU$4+7),IF($K63="Deadline","◇","◆"),"")</f>
        <v/>
      </c>
      <c r="BV63" s="14" t="str">
        <f>IF(AND(ISNUMBER($I63),OR($K63="Milestone",$K63="Deadline"),$I63&gt;=BV$4,$I63&lt;BV$4+7),IF($K63="Deadline","◇","◆"),"")</f>
        <v/>
      </c>
      <c r="BW63" s="14" t="str">
        <f>IF(AND(ISNUMBER($I63),OR($K63="Milestone",$K63="Deadline"),$I63&gt;=BW$4,$I63&lt;BW$4+7),IF($K63="Deadline","◇","◆"),"")</f>
        <v/>
      </c>
      <c r="BX63" s="14" t="str">
        <f>IF(AND(ISNUMBER($I63),OR($K63="Milestone",$K63="Deadline"),$I63&gt;=BX$4,$I63&lt;BX$4+7),IF($K63="Deadline","◇","◆"),"")</f>
        <v/>
      </c>
      <c r="BY63" s="14" t="str">
        <f>IF(AND(ISNUMBER($I63),OR($K63="Milestone",$K63="Deadline"),$I63&gt;=BY$4,$I63&lt;BY$4+7),IF($K63="Deadline","◇","◆"),"")</f>
        <v/>
      </c>
      <c r="BZ63" s="14" t="str">
        <f>IF(AND(ISNUMBER($I63),OR($K63="Milestone",$K63="Deadline"),$I63&gt;=BZ$4,$I63&lt;BZ$4+7),IF($K63="Deadline","◇","◆"),"")</f>
        <v/>
      </c>
      <c r="CA63" s="14" t="str">
        <f>IF(AND(ISNUMBER($I63),OR($K63="Milestone",$K63="Deadline"),$I63&gt;=CA$4,$I63&lt;CA$4+7),IF($K63="Deadline","◇","◆"),"")</f>
        <v/>
      </c>
      <c r="CB63" s="14" t="str">
        <f>IF(AND(ISNUMBER($I63),OR($K63="Milestone",$K63="Deadline"),$I63&gt;=CB$4,$I63&lt;CB$4+7),IF($K63="Deadline","◇","◆"),"")</f>
        <v/>
      </c>
      <c r="CC63" s="14" t="str">
        <f>IF(AND(ISNUMBER($I63),OR($K63="Milestone",$K63="Deadline"),$I63&gt;=CC$4,$I63&lt;CC$4+7),IF($K63="Deadline","◇","◆"),"")</f>
        <v/>
      </c>
      <c r="CD63" s="14" t="str">
        <f>IF(AND(ISNUMBER($I63),OR($K63="Milestone",$K63="Deadline"),$I63&gt;=CD$4,$I63&lt;CD$4+7),IF($K63="Deadline","◇","◆"),"")</f>
        <v/>
      </c>
      <c r="CE63" s="14" t="str">
        <f>IF(AND(ISNUMBER($I63),OR($K63="Milestone",$K63="Deadline"),$I63&gt;=CE$4,$I63&lt;CE$4+7),IF($K63="Deadline","◇","◆"),"")</f>
        <v/>
      </c>
      <c r="CF63" s="14" t="str">
        <f>IF(AND(ISNUMBER($I63),OR($K63="Milestone",$K63="Deadline"),$I63&gt;=CF$4,$I63&lt;CF$4+7),IF($K63="Deadline","◇","◆"),"")</f>
        <v/>
      </c>
      <c r="CG63" s="14" t="str">
        <f>IF(AND(ISNUMBER($I63),OR($K63="Milestone",$K63="Deadline"),$I63&gt;=CG$4,$I63&lt;CG$4+7),IF($K63="Deadline","◇","◆"),"")</f>
        <v/>
      </c>
      <c r="CH63" s="14" t="str">
        <f>IF(AND(ISNUMBER($I63),OR($K63="Milestone",$K63="Deadline"),$I63&gt;=CH$4,$I63&lt;CH$4+7),IF($K63="Deadline","◇","◆"),"")</f>
        <v/>
      </c>
      <c r="CI63" s="14" t="str">
        <f>IF(AND(ISNUMBER($I63),OR($K63="Milestone",$K63="Deadline"),$I63&gt;=CI$4,$I63&lt;CI$4+7),IF($K63="Deadline","◇","◆"),"")</f>
        <v/>
      </c>
      <c r="CJ63" s="14" t="str">
        <f>IF(AND(ISNUMBER($I63),OR($K63="Milestone",$K63="Deadline"),$I63&gt;=CJ$4,$I63&lt;CJ$4+7),IF($K63="Deadline","◇","◆"),"")</f>
        <v/>
      </c>
      <c r="CK63" s="14" t="str">
        <f>IF(AND(ISNUMBER($I63),OR($K63="Milestone",$K63="Deadline"),$I63&gt;=CK$4,$I63&lt;CK$4+7),IF($K63="Deadline","◇","◆"),"")</f>
        <v/>
      </c>
      <c r="CL63" s="14" t="str">
        <f>IF(AND(ISNUMBER($I63),OR($K63="Milestone",$K63="Deadline"),$I63&gt;=CL$4,$I63&lt;CL$4+7),IF($K63="Deadline","◇","◆"),"")</f>
        <v/>
      </c>
      <c r="CM63" s="14" t="str">
        <f>IF(AND(ISNUMBER($I63),OR($K63="Milestone",$K63="Deadline"),$I63&gt;=CM$4,$I63&lt;CM$4+7),IF($K63="Deadline","◇","◆"),"")</f>
        <v/>
      </c>
    </row>
    <row r="64" spans="1:91" ht="15" hidden="1" customHeight="1">
      <c r="A64" s="24" t="s">
        <v>220</v>
      </c>
      <c r="B64" s="24" t="s">
        <v>167</v>
      </c>
      <c r="C64" s="24" t="s">
        <v>221</v>
      </c>
      <c r="D64" s="24" t="s">
        <v>168</v>
      </c>
      <c r="E64" s="24"/>
      <c r="F64" s="24" t="s">
        <v>216</v>
      </c>
      <c r="G64" s="24" t="s">
        <v>222</v>
      </c>
      <c r="H64" s="24">
        <v>7</v>
      </c>
      <c r="I64" s="25">
        <f>MAX($C$2,J50+1,J61+1,J227+1,J280+1)</f>
        <v>46524</v>
      </c>
      <c r="J64" s="26">
        <f>IF(AND(ISNUMBER(I64),ISNUMBER(H64)),I64+H64-1,"")</f>
        <v>46530</v>
      </c>
      <c r="K64" s="24" t="s">
        <v>27</v>
      </c>
      <c r="L64" s="24" t="s">
        <v>223</v>
      </c>
      <c r="M64" s="27" t="s">
        <v>224</v>
      </c>
      <c r="N64" s="24"/>
      <c r="O64" s="27">
        <f>IF(AND(ISNUMBER(I64),ISNUMBER(J64)),J64-I64+1,"")</f>
        <v>7</v>
      </c>
      <c r="P64" s="13"/>
      <c r="Q64" s="13"/>
      <c r="R64" s="13"/>
      <c r="S64" s="13"/>
      <c r="T64" s="13" t="s">
        <v>140</v>
      </c>
      <c r="U64" s="13"/>
      <c r="V64" s="13"/>
      <c r="W64" s="13"/>
      <c r="X64" s="13"/>
      <c r="Y64" s="13"/>
      <c r="Z64" s="13"/>
      <c r="AA64" s="13"/>
      <c r="AB64" s="13"/>
      <c r="AC64" s="13"/>
      <c r="AD64" s="13" t="s">
        <v>140</v>
      </c>
      <c r="AE64" s="13"/>
      <c r="AF64" s="13"/>
      <c r="AG64" s="13"/>
      <c r="AH64" s="13"/>
      <c r="AI64" s="13"/>
      <c r="AJ64" s="13"/>
      <c r="AK64" s="13"/>
      <c r="AL64" s="13"/>
      <c r="AM64" s="13"/>
      <c r="AN64" s="13"/>
      <c r="AO64" s="14" t="str">
        <f>IF(AND(ISNUMBER($I64),OR($K64="Milestone",$K64="Deadline"),$I64&gt;=AO$4,$I64&lt;AO$4+7),IF($K64="Deadline","◇","◆"),"")</f>
        <v/>
      </c>
      <c r="AP64" s="14" t="str">
        <f>IF(AND(ISNUMBER($I64),OR($K64="Milestone",$K64="Deadline"),$I64&gt;=AP$4,$I64&lt;AP$4+7),IF($K64="Deadline","◇","◆"),"")</f>
        <v/>
      </c>
      <c r="AQ64" s="14" t="str">
        <f>IF(AND(ISNUMBER($I64),OR($K64="Milestone",$K64="Deadline"),$I64&gt;=AQ$4,$I64&lt;AQ$4+7),IF($K64="Deadline","◇","◆"),"")</f>
        <v/>
      </c>
      <c r="AR64" s="14" t="str">
        <f>IF(AND(ISNUMBER($I64),OR($K64="Milestone",$K64="Deadline"),$I64&gt;=AR$4,$I64&lt;AR$4+7),IF($K64="Deadline","◇","◆"),"")</f>
        <v/>
      </c>
      <c r="AS64" s="14" t="str">
        <f>IF(AND(ISNUMBER($I64),OR($K64="Milestone",$K64="Deadline"),$I64&gt;=AS$4,$I64&lt;AS$4+7),IF($K64="Deadline","◇","◆"),"")</f>
        <v/>
      </c>
      <c r="AT64" s="14" t="str">
        <f>IF(AND(ISNUMBER($I64),OR($K64="Milestone",$K64="Deadline"),$I64&gt;=AT$4,$I64&lt;AT$4+7),IF($K64="Deadline","◇","◆"),"")</f>
        <v/>
      </c>
      <c r="AU64" s="14" t="str">
        <f>IF(AND(ISNUMBER($I64),OR($K64="Milestone",$K64="Deadline"),$I64&gt;=AU$4,$I64&lt;AU$4+7),IF($K64="Deadline","◇","◆"),"")</f>
        <v/>
      </c>
      <c r="AV64" s="14" t="str">
        <f>IF(AND(ISNUMBER($I64),OR($K64="Milestone",$K64="Deadline"),$I64&gt;=AV$4,$I64&lt;AV$4+7),IF($K64="Deadline","◇","◆"),"")</f>
        <v/>
      </c>
      <c r="AW64" s="14" t="str">
        <f>IF(AND(ISNUMBER($I64),OR($K64="Milestone",$K64="Deadline"),$I64&gt;=AW$4,$I64&lt;AW$4+7),IF($K64="Deadline","◇","◆"),"")</f>
        <v/>
      </c>
      <c r="AX64" s="14" t="str">
        <f>IF(AND(ISNUMBER($I64),OR($K64="Milestone",$K64="Deadline"),$I64&gt;=AX$4,$I64&lt;AX$4+7),IF($K64="Deadline","◇","◆"),"")</f>
        <v/>
      </c>
      <c r="AY64" s="14" t="str">
        <f>IF(AND(ISNUMBER($I64),OR($K64="Milestone",$K64="Deadline"),$I64&gt;=AY$4,$I64&lt;AY$4+7),IF($K64="Deadline","◇","◆"),"")</f>
        <v/>
      </c>
      <c r="AZ64" s="14" t="str">
        <f>IF(AND(ISNUMBER($I64),OR($K64="Milestone",$K64="Deadline"),$I64&gt;=AZ$4,$I64&lt;AZ$4+7),IF($K64="Deadline","◇","◆"),"")</f>
        <v/>
      </c>
      <c r="BA64" s="14" t="str">
        <f>IF(AND(ISNUMBER($I64),OR($K64="Milestone",$K64="Deadline"),$I64&gt;=BA$4,$I64&lt;BA$4+7),IF($K64="Deadline","◇","◆"),"")</f>
        <v/>
      </c>
      <c r="BB64" s="14" t="str">
        <f>IF(AND(ISNUMBER($I64),OR($K64="Milestone",$K64="Deadline"),$I64&gt;=BB$4,$I64&lt;BB$4+7),IF($K64="Deadline","◇","◆"),"")</f>
        <v/>
      </c>
      <c r="BC64" s="14" t="str">
        <f>IF(AND(ISNUMBER($I64),OR($K64="Milestone",$K64="Deadline"),$I64&gt;=BC$4,$I64&lt;BC$4+7),IF($K64="Deadline","◇","◆"),"")</f>
        <v/>
      </c>
      <c r="BD64" s="14" t="str">
        <f>IF(AND(ISNUMBER($I64),OR($K64="Milestone",$K64="Deadline"),$I64&gt;=BD$4,$I64&lt;BD$4+7),IF($K64="Deadline","◇","◆"),"")</f>
        <v/>
      </c>
      <c r="BE64" s="14" t="str">
        <f>IF(AND(ISNUMBER($I64),OR($K64="Milestone",$K64="Deadline"),$I64&gt;=BE$4,$I64&lt;BE$4+7),IF($K64="Deadline","◇","◆"),"")</f>
        <v/>
      </c>
      <c r="BF64" s="14" t="str">
        <f>IF(AND(ISNUMBER($I64),OR($K64="Milestone",$K64="Deadline"),$I64&gt;=BF$4,$I64&lt;BF$4+7),IF($K64="Deadline","◇","◆"),"")</f>
        <v/>
      </c>
      <c r="BG64" s="14" t="str">
        <f>IF(AND(ISNUMBER($I64),OR($K64="Milestone",$K64="Deadline"),$I64&gt;=BG$4,$I64&lt;BG$4+7),IF($K64="Deadline","◇","◆"),"")</f>
        <v/>
      </c>
      <c r="BH64" s="14" t="str">
        <f>IF(AND(ISNUMBER($I64),OR($K64="Milestone",$K64="Deadline"),$I64&gt;=BH$4,$I64&lt;BH$4+7),IF($K64="Deadline","◇","◆"),"")</f>
        <v/>
      </c>
      <c r="BI64" s="14" t="str">
        <f>IF(AND(ISNUMBER($I64),OR($K64="Milestone",$K64="Deadline"),$I64&gt;=BI$4,$I64&lt;BI$4+7),IF($K64="Deadline","◇","◆"),"")</f>
        <v/>
      </c>
      <c r="BJ64" s="14" t="str">
        <f>IF(AND(ISNUMBER($I64),OR($K64="Milestone",$K64="Deadline"),$I64&gt;=BJ$4,$I64&lt;BJ$4+7),IF($K64="Deadline","◇","◆"),"")</f>
        <v/>
      </c>
      <c r="BK64" s="14" t="str">
        <f>IF(AND(ISNUMBER($I64),OR($K64="Milestone",$K64="Deadline"),$I64&gt;=BK$4,$I64&lt;BK$4+7),IF($K64="Deadline","◇","◆"),"")</f>
        <v/>
      </c>
      <c r="BL64" s="14" t="str">
        <f>IF(AND(ISNUMBER($I64),OR($K64="Milestone",$K64="Deadline"),$I64&gt;=BL$4,$I64&lt;BL$4+7),IF($K64="Deadline","◇","◆"),"")</f>
        <v/>
      </c>
      <c r="BM64" s="14" t="str">
        <f>IF(AND(ISNUMBER($I64),OR($K64="Milestone",$K64="Deadline"),$I64&gt;=BM$4,$I64&lt;BM$4+7),IF($K64="Deadline","◇","◆"),"")</f>
        <v/>
      </c>
      <c r="BN64" s="14" t="str">
        <f>IF(AND(ISNUMBER($I64),OR($K64="Milestone",$K64="Deadline"),$I64&gt;=BN$4,$I64&lt;BN$4+7),IF($K64="Deadline","◇","◆"),"")</f>
        <v/>
      </c>
      <c r="BO64" s="14" t="str">
        <f>IF(AND(ISNUMBER($I64),OR($K64="Milestone",$K64="Deadline"),$I64&gt;=BO$4,$I64&lt;BO$4+7),IF($K64="Deadline","◇","◆"),"")</f>
        <v/>
      </c>
      <c r="BP64" s="14" t="str">
        <f>IF(AND(ISNUMBER($I64),OR($K64="Milestone",$K64="Deadline"),$I64&gt;=BP$4,$I64&lt;BP$4+7),IF($K64="Deadline","◇","◆"),"")</f>
        <v/>
      </c>
      <c r="BQ64" s="14" t="str">
        <f>IF(AND(ISNUMBER($I64),OR($K64="Milestone",$K64="Deadline"),$I64&gt;=BQ$4,$I64&lt;BQ$4+7),IF($K64="Deadline","◇","◆"),"")</f>
        <v/>
      </c>
      <c r="BR64" s="14" t="str">
        <f>IF(AND(ISNUMBER($I64),OR($K64="Milestone",$K64="Deadline"),$I64&gt;=BR$4,$I64&lt;BR$4+7),IF($K64="Deadline","◇","◆"),"")</f>
        <v/>
      </c>
      <c r="BS64" s="14" t="str">
        <f>IF(AND(ISNUMBER($I64),OR($K64="Milestone",$K64="Deadline"),$I64&gt;=BS$4,$I64&lt;BS$4+7),IF($K64="Deadline","◇","◆"),"")</f>
        <v/>
      </c>
      <c r="BT64" s="14" t="str">
        <f>IF(AND(ISNUMBER($I64),OR($K64="Milestone",$K64="Deadline"),$I64&gt;=BT$4,$I64&lt;BT$4+7),IF($K64="Deadline","◇","◆"),"")</f>
        <v/>
      </c>
      <c r="BU64" s="14" t="str">
        <f>IF(AND(ISNUMBER($I64),OR($K64="Milestone",$K64="Deadline"),$I64&gt;=BU$4,$I64&lt;BU$4+7),IF($K64="Deadline","◇","◆"),"")</f>
        <v/>
      </c>
      <c r="BV64" s="14" t="str">
        <f>IF(AND(ISNUMBER($I64),OR($K64="Milestone",$K64="Deadline"),$I64&gt;=BV$4,$I64&lt;BV$4+7),IF($K64="Deadline","◇","◆"),"")</f>
        <v/>
      </c>
      <c r="BW64" s="14" t="str">
        <f>IF(AND(ISNUMBER($I64),OR($K64="Milestone",$K64="Deadline"),$I64&gt;=BW$4,$I64&lt;BW$4+7),IF($K64="Deadline","◇","◆"),"")</f>
        <v/>
      </c>
      <c r="BX64" s="14" t="str">
        <f>IF(AND(ISNUMBER($I64),OR($K64="Milestone",$K64="Deadline"),$I64&gt;=BX$4,$I64&lt;BX$4+7),IF($K64="Deadline","◇","◆"),"")</f>
        <v/>
      </c>
      <c r="BY64" s="14" t="str">
        <f>IF(AND(ISNUMBER($I64),OR($K64="Milestone",$K64="Deadline"),$I64&gt;=BY$4,$I64&lt;BY$4+7),IF($K64="Deadline","◇","◆"),"")</f>
        <v/>
      </c>
      <c r="BZ64" s="14" t="str">
        <f>IF(AND(ISNUMBER($I64),OR($K64="Milestone",$K64="Deadline"),$I64&gt;=BZ$4,$I64&lt;BZ$4+7),IF($K64="Deadline","◇","◆"),"")</f>
        <v/>
      </c>
      <c r="CA64" s="14" t="str">
        <f>IF(AND(ISNUMBER($I64),OR($K64="Milestone",$K64="Deadline"),$I64&gt;=CA$4,$I64&lt;CA$4+7),IF($K64="Deadline","◇","◆"),"")</f>
        <v/>
      </c>
      <c r="CB64" s="14" t="str">
        <f>IF(AND(ISNUMBER($I64),OR($K64="Milestone",$K64="Deadline"),$I64&gt;=CB$4,$I64&lt;CB$4+7),IF($K64="Deadline","◇","◆"),"")</f>
        <v/>
      </c>
      <c r="CC64" s="14" t="str">
        <f>IF(AND(ISNUMBER($I64),OR($K64="Milestone",$K64="Deadline"),$I64&gt;=CC$4,$I64&lt;CC$4+7),IF($K64="Deadline","◇","◆"),"")</f>
        <v/>
      </c>
      <c r="CD64" s="14" t="str">
        <f>IF(AND(ISNUMBER($I64),OR($K64="Milestone",$K64="Deadline"),$I64&gt;=CD$4,$I64&lt;CD$4+7),IF($K64="Deadline","◇","◆"),"")</f>
        <v/>
      </c>
      <c r="CE64" s="14" t="str">
        <f>IF(AND(ISNUMBER($I64),OR($K64="Milestone",$K64="Deadline"),$I64&gt;=CE$4,$I64&lt;CE$4+7),IF($K64="Deadline","◇","◆"),"")</f>
        <v/>
      </c>
      <c r="CF64" s="14" t="str">
        <f>IF(AND(ISNUMBER($I64),OR($K64="Milestone",$K64="Deadline"),$I64&gt;=CF$4,$I64&lt;CF$4+7),IF($K64="Deadline","◇","◆"),"")</f>
        <v/>
      </c>
      <c r="CG64" s="14" t="str">
        <f>IF(AND(ISNUMBER($I64),OR($K64="Milestone",$K64="Deadline"),$I64&gt;=CG$4,$I64&lt;CG$4+7),IF($K64="Deadline","◇","◆"),"")</f>
        <v/>
      </c>
      <c r="CH64" s="14" t="str">
        <f>IF(AND(ISNUMBER($I64),OR($K64="Milestone",$K64="Deadline"),$I64&gt;=CH$4,$I64&lt;CH$4+7),IF($K64="Deadline","◇","◆"),"")</f>
        <v/>
      </c>
      <c r="CI64" s="14" t="str">
        <f>IF(AND(ISNUMBER($I64),OR($K64="Milestone",$K64="Deadline"),$I64&gt;=CI$4,$I64&lt;CI$4+7),IF($K64="Deadline","◇","◆"),"")</f>
        <v/>
      </c>
      <c r="CJ64" s="14" t="str">
        <f>IF(AND(ISNUMBER($I64),OR($K64="Milestone",$K64="Deadline"),$I64&gt;=CJ$4,$I64&lt;CJ$4+7),IF($K64="Deadline","◇","◆"),"")</f>
        <v/>
      </c>
      <c r="CK64" s="14" t="str">
        <f>IF(AND(ISNUMBER($I64),OR($K64="Milestone",$K64="Deadline"),$I64&gt;=CK$4,$I64&lt;CK$4+7),IF($K64="Deadline","◇","◆"),"")</f>
        <v/>
      </c>
      <c r="CL64" s="14" t="str">
        <f>IF(AND(ISNUMBER($I64),OR($K64="Milestone",$K64="Deadline"),$I64&gt;=CL$4,$I64&lt;CL$4+7),IF($K64="Deadline","◇","◆"),"")</f>
        <v/>
      </c>
      <c r="CM64" s="14" t="str">
        <f>IF(AND(ISNUMBER($I64),OR($K64="Milestone",$K64="Deadline"),$I64&gt;=CM$4,$I64&lt;CM$4+7),IF($K64="Deadline","◇","◆"),"")</f>
        <v/>
      </c>
    </row>
    <row r="65" spans="1:91" ht="15" hidden="1" customHeight="1">
      <c r="A65" s="24" t="s">
        <v>225</v>
      </c>
      <c r="B65" s="24" t="s">
        <v>167</v>
      </c>
      <c r="C65" s="24" t="s">
        <v>226</v>
      </c>
      <c r="D65" s="24" t="s">
        <v>168</v>
      </c>
      <c r="E65" s="24"/>
      <c r="F65" s="24" t="s">
        <v>216</v>
      </c>
      <c r="G65" s="24" t="s">
        <v>227</v>
      </c>
      <c r="H65" s="24">
        <v>7</v>
      </c>
      <c r="I65" s="25">
        <f>MAX($C$2,J294+1)</f>
        <v>46413</v>
      </c>
      <c r="J65" s="26">
        <f>IF(AND(ISNUMBER(I65),ISNUMBER(H65)),I65+H65-1,"")</f>
        <v>46419</v>
      </c>
      <c r="K65" s="24" t="s">
        <v>27</v>
      </c>
      <c r="L65" s="24"/>
      <c r="M65" s="27" t="s">
        <v>228</v>
      </c>
      <c r="N65" s="24"/>
      <c r="O65" s="27">
        <f>IF(AND(ISNUMBER(I65),ISNUMBER(J65)),J65-I65+1,"")</f>
        <v>7</v>
      </c>
      <c r="P65" s="13" t="s">
        <v>140</v>
      </c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  <c r="AO65" s="14" t="str">
        <f>IF(AND(ISNUMBER($I65),OR($K65="Milestone",$K65="Deadline"),$I65&gt;=AO$4,$I65&lt;AO$4+7),IF($K65="Deadline","◇","◆"),"")</f>
        <v/>
      </c>
      <c r="AP65" s="14" t="str">
        <f>IF(AND(ISNUMBER($I65),OR($K65="Milestone",$K65="Deadline"),$I65&gt;=AP$4,$I65&lt;AP$4+7),IF($K65="Deadline","◇","◆"),"")</f>
        <v/>
      </c>
      <c r="AQ65" s="14" t="str">
        <f>IF(AND(ISNUMBER($I65),OR($K65="Milestone",$K65="Deadline"),$I65&gt;=AQ$4,$I65&lt;AQ$4+7),IF($K65="Deadline","◇","◆"),"")</f>
        <v/>
      </c>
      <c r="AR65" s="14" t="str">
        <f>IF(AND(ISNUMBER($I65),OR($K65="Milestone",$K65="Deadline"),$I65&gt;=AR$4,$I65&lt;AR$4+7),IF($K65="Deadline","◇","◆"),"")</f>
        <v/>
      </c>
      <c r="AS65" s="14" t="str">
        <f>IF(AND(ISNUMBER($I65),OR($K65="Milestone",$K65="Deadline"),$I65&gt;=AS$4,$I65&lt;AS$4+7),IF($K65="Deadline","◇","◆"),"")</f>
        <v/>
      </c>
      <c r="AT65" s="14" t="str">
        <f>IF(AND(ISNUMBER($I65),OR($K65="Milestone",$K65="Deadline"),$I65&gt;=AT$4,$I65&lt;AT$4+7),IF($K65="Deadline","◇","◆"),"")</f>
        <v/>
      </c>
      <c r="AU65" s="14" t="str">
        <f>IF(AND(ISNUMBER($I65),OR($K65="Milestone",$K65="Deadline"),$I65&gt;=AU$4,$I65&lt;AU$4+7),IF($K65="Deadline","◇","◆"),"")</f>
        <v/>
      </c>
      <c r="AV65" s="14" t="str">
        <f>IF(AND(ISNUMBER($I65),OR($K65="Milestone",$K65="Deadline"),$I65&gt;=AV$4,$I65&lt;AV$4+7),IF($K65="Deadline","◇","◆"),"")</f>
        <v/>
      </c>
      <c r="AW65" s="14" t="str">
        <f>IF(AND(ISNUMBER($I65),OR($K65="Milestone",$K65="Deadline"),$I65&gt;=AW$4,$I65&lt;AW$4+7),IF($K65="Deadline","◇","◆"),"")</f>
        <v/>
      </c>
      <c r="AX65" s="14" t="str">
        <f>IF(AND(ISNUMBER($I65),OR($K65="Milestone",$K65="Deadline"),$I65&gt;=AX$4,$I65&lt;AX$4+7),IF($K65="Deadline","◇","◆"),"")</f>
        <v/>
      </c>
      <c r="AY65" s="14" t="str">
        <f>IF(AND(ISNUMBER($I65),OR($K65="Milestone",$K65="Deadline"),$I65&gt;=AY$4,$I65&lt;AY$4+7),IF($K65="Deadline","◇","◆"),"")</f>
        <v/>
      </c>
      <c r="AZ65" s="14" t="str">
        <f>IF(AND(ISNUMBER($I65),OR($K65="Milestone",$K65="Deadline"),$I65&gt;=AZ$4,$I65&lt;AZ$4+7),IF($K65="Deadline","◇","◆"),"")</f>
        <v/>
      </c>
      <c r="BA65" s="14" t="str">
        <f>IF(AND(ISNUMBER($I65),OR($K65="Milestone",$K65="Deadline"),$I65&gt;=BA$4,$I65&lt;BA$4+7),IF($K65="Deadline","◇","◆"),"")</f>
        <v/>
      </c>
      <c r="BB65" s="14" t="str">
        <f>IF(AND(ISNUMBER($I65),OR($K65="Milestone",$K65="Deadline"),$I65&gt;=BB$4,$I65&lt;BB$4+7),IF($K65="Deadline","◇","◆"),"")</f>
        <v/>
      </c>
      <c r="BC65" s="14" t="str">
        <f>IF(AND(ISNUMBER($I65),OR($K65="Milestone",$K65="Deadline"),$I65&gt;=BC$4,$I65&lt;BC$4+7),IF($K65="Deadline","◇","◆"),"")</f>
        <v/>
      </c>
      <c r="BD65" s="14" t="str">
        <f>IF(AND(ISNUMBER($I65),OR($K65="Milestone",$K65="Deadline"),$I65&gt;=BD$4,$I65&lt;BD$4+7),IF($K65="Deadline","◇","◆"),"")</f>
        <v/>
      </c>
      <c r="BE65" s="14" t="str">
        <f>IF(AND(ISNUMBER($I65),OR($K65="Milestone",$K65="Deadline"),$I65&gt;=BE$4,$I65&lt;BE$4+7),IF($K65="Deadline","◇","◆"),"")</f>
        <v/>
      </c>
      <c r="BF65" s="14" t="str">
        <f>IF(AND(ISNUMBER($I65),OR($K65="Milestone",$K65="Deadline"),$I65&gt;=BF$4,$I65&lt;BF$4+7),IF($K65="Deadline","◇","◆"),"")</f>
        <v/>
      </c>
      <c r="BG65" s="14" t="str">
        <f>IF(AND(ISNUMBER($I65),OR($K65="Milestone",$K65="Deadline"),$I65&gt;=BG$4,$I65&lt;BG$4+7),IF($K65="Deadline","◇","◆"),"")</f>
        <v/>
      </c>
      <c r="BH65" s="14" t="str">
        <f>IF(AND(ISNUMBER($I65),OR($K65="Milestone",$K65="Deadline"),$I65&gt;=BH$4,$I65&lt;BH$4+7),IF($K65="Deadline","◇","◆"),"")</f>
        <v/>
      </c>
      <c r="BI65" s="14" t="str">
        <f>IF(AND(ISNUMBER($I65),OR($K65="Milestone",$K65="Deadline"),$I65&gt;=BI$4,$I65&lt;BI$4+7),IF($K65="Deadline","◇","◆"),"")</f>
        <v/>
      </c>
      <c r="BJ65" s="14" t="str">
        <f>IF(AND(ISNUMBER($I65),OR($K65="Milestone",$K65="Deadline"),$I65&gt;=BJ$4,$I65&lt;BJ$4+7),IF($K65="Deadline","◇","◆"),"")</f>
        <v/>
      </c>
      <c r="BK65" s="14" t="str">
        <f>IF(AND(ISNUMBER($I65),OR($K65="Milestone",$K65="Deadline"),$I65&gt;=BK$4,$I65&lt;BK$4+7),IF($K65="Deadline","◇","◆"),"")</f>
        <v/>
      </c>
      <c r="BL65" s="14" t="str">
        <f>IF(AND(ISNUMBER($I65),OR($K65="Milestone",$K65="Deadline"),$I65&gt;=BL$4,$I65&lt;BL$4+7),IF($K65="Deadline","◇","◆"),"")</f>
        <v/>
      </c>
      <c r="BM65" s="14" t="str">
        <f>IF(AND(ISNUMBER($I65),OR($K65="Milestone",$K65="Deadline"),$I65&gt;=BM$4,$I65&lt;BM$4+7),IF($K65="Deadline","◇","◆"),"")</f>
        <v/>
      </c>
      <c r="BN65" s="14" t="str">
        <f>IF(AND(ISNUMBER($I65),OR($K65="Milestone",$K65="Deadline"),$I65&gt;=BN$4,$I65&lt;BN$4+7),IF($K65="Deadline","◇","◆"),"")</f>
        <v/>
      </c>
      <c r="BO65" s="14" t="str">
        <f>IF(AND(ISNUMBER($I65),OR($K65="Milestone",$K65="Deadline"),$I65&gt;=BO$4,$I65&lt;BO$4+7),IF($K65="Deadline","◇","◆"),"")</f>
        <v/>
      </c>
      <c r="BP65" s="14" t="str">
        <f>IF(AND(ISNUMBER($I65),OR($K65="Milestone",$K65="Deadline"),$I65&gt;=BP$4,$I65&lt;BP$4+7),IF($K65="Deadline","◇","◆"),"")</f>
        <v/>
      </c>
      <c r="BQ65" s="14" t="str">
        <f>IF(AND(ISNUMBER($I65),OR($K65="Milestone",$K65="Deadline"),$I65&gt;=BQ$4,$I65&lt;BQ$4+7),IF($K65="Deadline","◇","◆"),"")</f>
        <v/>
      </c>
      <c r="BR65" s="14" t="str">
        <f>IF(AND(ISNUMBER($I65),OR($K65="Milestone",$K65="Deadline"),$I65&gt;=BR$4,$I65&lt;BR$4+7),IF($K65="Deadline","◇","◆"),"")</f>
        <v/>
      </c>
      <c r="BS65" s="14" t="str">
        <f>IF(AND(ISNUMBER($I65),OR($K65="Milestone",$K65="Deadline"),$I65&gt;=BS$4,$I65&lt;BS$4+7),IF($K65="Deadline","◇","◆"),"")</f>
        <v/>
      </c>
      <c r="BT65" s="14" t="str">
        <f>IF(AND(ISNUMBER($I65),OR($K65="Milestone",$K65="Deadline"),$I65&gt;=BT$4,$I65&lt;BT$4+7),IF($K65="Deadline","◇","◆"),"")</f>
        <v/>
      </c>
      <c r="BU65" s="14" t="str">
        <f>IF(AND(ISNUMBER($I65),OR($K65="Milestone",$K65="Deadline"),$I65&gt;=BU$4,$I65&lt;BU$4+7),IF($K65="Deadline","◇","◆"),"")</f>
        <v/>
      </c>
      <c r="BV65" s="14" t="str">
        <f>IF(AND(ISNUMBER($I65),OR($K65="Milestone",$K65="Deadline"),$I65&gt;=BV$4,$I65&lt;BV$4+7),IF($K65="Deadline","◇","◆"),"")</f>
        <v/>
      </c>
      <c r="BW65" s="14" t="str">
        <f>IF(AND(ISNUMBER($I65),OR($K65="Milestone",$K65="Deadline"),$I65&gt;=BW$4,$I65&lt;BW$4+7),IF($K65="Deadline","◇","◆"),"")</f>
        <v/>
      </c>
      <c r="BX65" s="14" t="str">
        <f>IF(AND(ISNUMBER($I65),OR($K65="Milestone",$K65="Deadline"),$I65&gt;=BX$4,$I65&lt;BX$4+7),IF($K65="Deadline","◇","◆"),"")</f>
        <v/>
      </c>
      <c r="BY65" s="14" t="str">
        <f>IF(AND(ISNUMBER($I65),OR($K65="Milestone",$K65="Deadline"),$I65&gt;=BY$4,$I65&lt;BY$4+7),IF($K65="Deadline","◇","◆"),"")</f>
        <v/>
      </c>
      <c r="BZ65" s="14" t="str">
        <f>IF(AND(ISNUMBER($I65),OR($K65="Milestone",$K65="Deadline"),$I65&gt;=BZ$4,$I65&lt;BZ$4+7),IF($K65="Deadline","◇","◆"),"")</f>
        <v/>
      </c>
      <c r="CA65" s="14" t="str">
        <f>IF(AND(ISNUMBER($I65),OR($K65="Milestone",$K65="Deadline"),$I65&gt;=CA$4,$I65&lt;CA$4+7),IF($K65="Deadline","◇","◆"),"")</f>
        <v/>
      </c>
      <c r="CB65" s="14" t="str">
        <f>IF(AND(ISNUMBER($I65),OR($K65="Milestone",$K65="Deadline"),$I65&gt;=CB$4,$I65&lt;CB$4+7),IF($K65="Deadline","◇","◆"),"")</f>
        <v/>
      </c>
      <c r="CC65" s="14" t="str">
        <f>IF(AND(ISNUMBER($I65),OR($K65="Milestone",$K65="Deadline"),$I65&gt;=CC$4,$I65&lt;CC$4+7),IF($K65="Deadline","◇","◆"),"")</f>
        <v/>
      </c>
      <c r="CD65" s="14" t="str">
        <f>IF(AND(ISNUMBER($I65),OR($K65="Milestone",$K65="Deadline"),$I65&gt;=CD$4,$I65&lt;CD$4+7),IF($K65="Deadline","◇","◆"),"")</f>
        <v/>
      </c>
      <c r="CE65" s="14" t="str">
        <f>IF(AND(ISNUMBER($I65),OR($K65="Milestone",$K65="Deadline"),$I65&gt;=CE$4,$I65&lt;CE$4+7),IF($K65="Deadline","◇","◆"),"")</f>
        <v/>
      </c>
      <c r="CF65" s="14" t="str">
        <f>IF(AND(ISNUMBER($I65),OR($K65="Milestone",$K65="Deadline"),$I65&gt;=CF$4,$I65&lt;CF$4+7),IF($K65="Deadline","◇","◆"),"")</f>
        <v/>
      </c>
      <c r="CG65" s="14" t="str">
        <f>IF(AND(ISNUMBER($I65),OR($K65="Milestone",$K65="Deadline"),$I65&gt;=CG$4,$I65&lt;CG$4+7),IF($K65="Deadline","◇","◆"),"")</f>
        <v/>
      </c>
      <c r="CH65" s="14" t="str">
        <f>IF(AND(ISNUMBER($I65),OR($K65="Milestone",$K65="Deadline"),$I65&gt;=CH$4,$I65&lt;CH$4+7),IF($K65="Deadline","◇","◆"),"")</f>
        <v/>
      </c>
      <c r="CI65" s="14" t="str">
        <f>IF(AND(ISNUMBER($I65),OR($K65="Milestone",$K65="Deadline"),$I65&gt;=CI$4,$I65&lt;CI$4+7),IF($K65="Deadline","◇","◆"),"")</f>
        <v/>
      </c>
      <c r="CJ65" s="14" t="str">
        <f>IF(AND(ISNUMBER($I65),OR($K65="Milestone",$K65="Deadline"),$I65&gt;=CJ$4,$I65&lt;CJ$4+7),IF($K65="Deadline","◇","◆"),"")</f>
        <v/>
      </c>
      <c r="CK65" s="14" t="str">
        <f>IF(AND(ISNUMBER($I65),OR($K65="Milestone",$K65="Deadline"),$I65&gt;=CK$4,$I65&lt;CK$4+7),IF($K65="Deadline","◇","◆"),"")</f>
        <v/>
      </c>
      <c r="CL65" s="14" t="str">
        <f>IF(AND(ISNUMBER($I65),OR($K65="Milestone",$K65="Deadline"),$I65&gt;=CL$4,$I65&lt;CL$4+7),IF($K65="Deadline","◇","◆"),"")</f>
        <v/>
      </c>
      <c r="CM65" s="14" t="str">
        <f>IF(AND(ISNUMBER($I65),OR($K65="Milestone",$K65="Deadline"),$I65&gt;=CM$4,$I65&lt;CM$4+7),IF($K65="Deadline","◇","◆"),"")</f>
        <v/>
      </c>
    </row>
    <row r="66" spans="1:91" ht="15" hidden="1" customHeight="1">
      <c r="A66" s="24" t="s">
        <v>229</v>
      </c>
      <c r="B66" s="24" t="s">
        <v>167</v>
      </c>
      <c r="C66" s="24" t="s">
        <v>230</v>
      </c>
      <c r="D66" s="24" t="s">
        <v>168</v>
      </c>
      <c r="E66" s="24"/>
      <c r="F66" s="24" t="s">
        <v>216</v>
      </c>
      <c r="G66" s="24" t="s">
        <v>231</v>
      </c>
      <c r="H66" s="24">
        <v>14</v>
      </c>
      <c r="I66" s="25">
        <f>MAX(DATE(2027,3,8),J103+1)</f>
        <v>46454</v>
      </c>
      <c r="J66" s="26">
        <f>IF(AND(ISNUMBER(I66),ISNUMBER(H66)),I66+H66-1,"")</f>
        <v>46467</v>
      </c>
      <c r="K66" s="24" t="s">
        <v>27</v>
      </c>
      <c r="L66" s="24"/>
      <c r="M66" s="27" t="s">
        <v>232</v>
      </c>
      <c r="N66" s="24"/>
      <c r="O66" s="27">
        <f>IF(AND(ISNUMBER(I66),ISNUMBER(J66)),J66-I66+1,"")</f>
        <v>14</v>
      </c>
      <c r="P66" s="13"/>
      <c r="Q66" s="13"/>
      <c r="R66" s="13"/>
      <c r="S66" s="13"/>
      <c r="T66" s="13" t="s">
        <v>140</v>
      </c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  <c r="AO66" s="14" t="str">
        <f>IF(AND(ISNUMBER($I66),OR($K66="Milestone",$K66="Deadline"),$I66&gt;=AO$4,$I66&lt;AO$4+7),IF($K66="Deadline","◇","◆"),"")</f>
        <v/>
      </c>
      <c r="AP66" s="14" t="str">
        <f>IF(AND(ISNUMBER($I66),OR($K66="Milestone",$K66="Deadline"),$I66&gt;=AP$4,$I66&lt;AP$4+7),IF($K66="Deadline","◇","◆"),"")</f>
        <v/>
      </c>
      <c r="AQ66" s="14" t="str">
        <f>IF(AND(ISNUMBER($I66),OR($K66="Milestone",$K66="Deadline"),$I66&gt;=AQ$4,$I66&lt;AQ$4+7),IF($K66="Deadline","◇","◆"),"")</f>
        <v/>
      </c>
      <c r="AR66" s="14" t="str">
        <f>IF(AND(ISNUMBER($I66),OR($K66="Milestone",$K66="Deadline"),$I66&gt;=AR$4,$I66&lt;AR$4+7),IF($K66="Deadline","◇","◆"),"")</f>
        <v/>
      </c>
      <c r="AS66" s="14" t="str">
        <f>IF(AND(ISNUMBER($I66),OR($K66="Milestone",$K66="Deadline"),$I66&gt;=AS$4,$I66&lt;AS$4+7),IF($K66="Deadline","◇","◆"),"")</f>
        <v/>
      </c>
      <c r="AT66" s="14" t="str">
        <f>IF(AND(ISNUMBER($I66),OR($K66="Milestone",$K66="Deadline"),$I66&gt;=AT$4,$I66&lt;AT$4+7),IF($K66="Deadline","◇","◆"),"")</f>
        <v/>
      </c>
      <c r="AU66" s="14" t="str">
        <f>IF(AND(ISNUMBER($I66),OR($K66="Milestone",$K66="Deadline"),$I66&gt;=AU$4,$I66&lt;AU$4+7),IF($K66="Deadline","◇","◆"),"")</f>
        <v/>
      </c>
      <c r="AV66" s="14" t="str">
        <f>IF(AND(ISNUMBER($I66),OR($K66="Milestone",$K66="Deadline"),$I66&gt;=AV$4,$I66&lt;AV$4+7),IF($K66="Deadline","◇","◆"),"")</f>
        <v/>
      </c>
      <c r="AW66" s="14" t="str">
        <f>IF(AND(ISNUMBER($I66),OR($K66="Milestone",$K66="Deadline"),$I66&gt;=AW$4,$I66&lt;AW$4+7),IF($K66="Deadline","◇","◆"),"")</f>
        <v/>
      </c>
      <c r="AX66" s="14" t="str">
        <f>IF(AND(ISNUMBER($I66),OR($K66="Milestone",$K66="Deadline"),$I66&gt;=AX$4,$I66&lt;AX$4+7),IF($K66="Deadline","◇","◆"),"")</f>
        <v/>
      </c>
      <c r="AY66" s="14" t="str">
        <f>IF(AND(ISNUMBER($I66),OR($K66="Milestone",$K66="Deadline"),$I66&gt;=AY$4,$I66&lt;AY$4+7),IF($K66="Deadline","◇","◆"),"")</f>
        <v/>
      </c>
      <c r="AZ66" s="14" t="str">
        <f>IF(AND(ISNUMBER($I66),OR($K66="Milestone",$K66="Deadline"),$I66&gt;=AZ$4,$I66&lt;AZ$4+7),IF($K66="Deadline","◇","◆"),"")</f>
        <v/>
      </c>
      <c r="BA66" s="14" t="str">
        <f>IF(AND(ISNUMBER($I66),OR($K66="Milestone",$K66="Deadline"),$I66&gt;=BA$4,$I66&lt;BA$4+7),IF($K66="Deadline","◇","◆"),"")</f>
        <v/>
      </c>
      <c r="BB66" s="14" t="str">
        <f>IF(AND(ISNUMBER($I66),OR($K66="Milestone",$K66="Deadline"),$I66&gt;=BB$4,$I66&lt;BB$4+7),IF($K66="Deadline","◇","◆"),"")</f>
        <v/>
      </c>
      <c r="BC66" s="14" t="str">
        <f>IF(AND(ISNUMBER($I66),OR($K66="Milestone",$K66="Deadline"),$I66&gt;=BC$4,$I66&lt;BC$4+7),IF($K66="Deadline","◇","◆"),"")</f>
        <v/>
      </c>
      <c r="BD66" s="14" t="str">
        <f>IF(AND(ISNUMBER($I66),OR($K66="Milestone",$K66="Deadline"),$I66&gt;=BD$4,$I66&lt;BD$4+7),IF($K66="Deadline","◇","◆"),"")</f>
        <v/>
      </c>
      <c r="BE66" s="14" t="str">
        <f>IF(AND(ISNUMBER($I66),OR($K66="Milestone",$K66="Deadline"),$I66&gt;=BE$4,$I66&lt;BE$4+7),IF($K66="Deadline","◇","◆"),"")</f>
        <v/>
      </c>
      <c r="BF66" s="14" t="str">
        <f>IF(AND(ISNUMBER($I66),OR($K66="Milestone",$K66="Deadline"),$I66&gt;=BF$4,$I66&lt;BF$4+7),IF($K66="Deadline","◇","◆"),"")</f>
        <v/>
      </c>
      <c r="BG66" s="14" t="str">
        <f>IF(AND(ISNUMBER($I66),OR($K66="Milestone",$K66="Deadline"),$I66&gt;=BG$4,$I66&lt;BG$4+7),IF($K66="Deadline","◇","◆"),"")</f>
        <v/>
      </c>
      <c r="BH66" s="14" t="str">
        <f>IF(AND(ISNUMBER($I66),OR($K66="Milestone",$K66="Deadline"),$I66&gt;=BH$4,$I66&lt;BH$4+7),IF($K66="Deadline","◇","◆"),"")</f>
        <v/>
      </c>
      <c r="BI66" s="14" t="str">
        <f>IF(AND(ISNUMBER($I66),OR($K66="Milestone",$K66="Deadline"),$I66&gt;=BI$4,$I66&lt;BI$4+7),IF($K66="Deadline","◇","◆"),"")</f>
        <v/>
      </c>
      <c r="BJ66" s="14" t="str">
        <f>IF(AND(ISNUMBER($I66),OR($K66="Milestone",$K66="Deadline"),$I66&gt;=BJ$4,$I66&lt;BJ$4+7),IF($K66="Deadline","◇","◆"),"")</f>
        <v/>
      </c>
      <c r="BK66" s="14" t="str">
        <f>IF(AND(ISNUMBER($I66),OR($K66="Milestone",$K66="Deadline"),$I66&gt;=BK$4,$I66&lt;BK$4+7),IF($K66="Deadline","◇","◆"),"")</f>
        <v/>
      </c>
      <c r="BL66" s="14" t="str">
        <f>IF(AND(ISNUMBER($I66),OR($K66="Milestone",$K66="Deadline"),$I66&gt;=BL$4,$I66&lt;BL$4+7),IF($K66="Deadline","◇","◆"),"")</f>
        <v/>
      </c>
      <c r="BM66" s="14" t="str">
        <f>IF(AND(ISNUMBER($I66),OR($K66="Milestone",$K66="Deadline"),$I66&gt;=BM$4,$I66&lt;BM$4+7),IF($K66="Deadline","◇","◆"),"")</f>
        <v/>
      </c>
      <c r="BN66" s="14" t="str">
        <f>IF(AND(ISNUMBER($I66),OR($K66="Milestone",$K66="Deadline"),$I66&gt;=BN$4,$I66&lt;BN$4+7),IF($K66="Deadline","◇","◆"),"")</f>
        <v/>
      </c>
      <c r="BO66" s="14" t="str">
        <f>IF(AND(ISNUMBER($I66),OR($K66="Milestone",$K66="Deadline"),$I66&gt;=BO$4,$I66&lt;BO$4+7),IF($K66="Deadline","◇","◆"),"")</f>
        <v/>
      </c>
      <c r="BP66" s="14" t="str">
        <f>IF(AND(ISNUMBER($I66),OR($K66="Milestone",$K66="Deadline"),$I66&gt;=BP$4,$I66&lt;BP$4+7),IF($K66="Deadline","◇","◆"),"")</f>
        <v/>
      </c>
      <c r="BQ66" s="14" t="str">
        <f>IF(AND(ISNUMBER($I66),OR($K66="Milestone",$K66="Deadline"),$I66&gt;=BQ$4,$I66&lt;BQ$4+7),IF($K66="Deadline","◇","◆"),"")</f>
        <v/>
      </c>
      <c r="BR66" s="14" t="str">
        <f>IF(AND(ISNUMBER($I66),OR($K66="Milestone",$K66="Deadline"),$I66&gt;=BR$4,$I66&lt;BR$4+7),IF($K66="Deadline","◇","◆"),"")</f>
        <v/>
      </c>
      <c r="BS66" s="14" t="str">
        <f>IF(AND(ISNUMBER($I66),OR($K66="Milestone",$K66="Deadline"),$I66&gt;=BS$4,$I66&lt;BS$4+7),IF($K66="Deadline","◇","◆"),"")</f>
        <v/>
      </c>
      <c r="BT66" s="14" t="str">
        <f>IF(AND(ISNUMBER($I66),OR($K66="Milestone",$K66="Deadline"),$I66&gt;=BT$4,$I66&lt;BT$4+7),IF($K66="Deadline","◇","◆"),"")</f>
        <v/>
      </c>
      <c r="BU66" s="14" t="str">
        <f>IF(AND(ISNUMBER($I66),OR($K66="Milestone",$K66="Deadline"),$I66&gt;=BU$4,$I66&lt;BU$4+7),IF($K66="Deadline","◇","◆"),"")</f>
        <v/>
      </c>
      <c r="BV66" s="14" t="str">
        <f>IF(AND(ISNUMBER($I66),OR($K66="Milestone",$K66="Deadline"),$I66&gt;=BV$4,$I66&lt;BV$4+7),IF($K66="Deadline","◇","◆"),"")</f>
        <v/>
      </c>
      <c r="BW66" s="14" t="str">
        <f>IF(AND(ISNUMBER($I66),OR($K66="Milestone",$K66="Deadline"),$I66&gt;=BW$4,$I66&lt;BW$4+7),IF($K66="Deadline","◇","◆"),"")</f>
        <v/>
      </c>
      <c r="BX66" s="14" t="str">
        <f>IF(AND(ISNUMBER($I66),OR($K66="Milestone",$K66="Deadline"),$I66&gt;=BX$4,$I66&lt;BX$4+7),IF($K66="Deadline","◇","◆"),"")</f>
        <v/>
      </c>
      <c r="BY66" s="14" t="str">
        <f>IF(AND(ISNUMBER($I66),OR($K66="Milestone",$K66="Deadline"),$I66&gt;=BY$4,$I66&lt;BY$4+7),IF($K66="Deadline","◇","◆"),"")</f>
        <v/>
      </c>
      <c r="BZ66" s="14" t="str">
        <f>IF(AND(ISNUMBER($I66),OR($K66="Milestone",$K66="Deadline"),$I66&gt;=BZ$4,$I66&lt;BZ$4+7),IF($K66="Deadline","◇","◆"),"")</f>
        <v/>
      </c>
      <c r="CA66" s="14" t="str">
        <f>IF(AND(ISNUMBER($I66),OR($K66="Milestone",$K66="Deadline"),$I66&gt;=CA$4,$I66&lt;CA$4+7),IF($K66="Deadline","◇","◆"),"")</f>
        <v/>
      </c>
      <c r="CB66" s="14" t="str">
        <f>IF(AND(ISNUMBER($I66),OR($K66="Milestone",$K66="Deadline"),$I66&gt;=CB$4,$I66&lt;CB$4+7),IF($K66="Deadline","◇","◆"),"")</f>
        <v/>
      </c>
      <c r="CC66" s="14" t="str">
        <f>IF(AND(ISNUMBER($I66),OR($K66="Milestone",$K66="Deadline"),$I66&gt;=CC$4,$I66&lt;CC$4+7),IF($K66="Deadline","◇","◆"),"")</f>
        <v/>
      </c>
      <c r="CD66" s="14" t="str">
        <f>IF(AND(ISNUMBER($I66),OR($K66="Milestone",$K66="Deadline"),$I66&gt;=CD$4,$I66&lt;CD$4+7),IF($K66="Deadline","◇","◆"),"")</f>
        <v/>
      </c>
      <c r="CE66" s="14" t="str">
        <f>IF(AND(ISNUMBER($I66),OR($K66="Milestone",$K66="Deadline"),$I66&gt;=CE$4,$I66&lt;CE$4+7),IF($K66="Deadline","◇","◆"),"")</f>
        <v/>
      </c>
      <c r="CF66" s="14" t="str">
        <f>IF(AND(ISNUMBER($I66),OR($K66="Milestone",$K66="Deadline"),$I66&gt;=CF$4,$I66&lt;CF$4+7),IF($K66="Deadline","◇","◆"),"")</f>
        <v/>
      </c>
      <c r="CG66" s="14" t="str">
        <f>IF(AND(ISNUMBER($I66),OR($K66="Milestone",$K66="Deadline"),$I66&gt;=CG$4,$I66&lt;CG$4+7),IF($K66="Deadline","◇","◆"),"")</f>
        <v/>
      </c>
      <c r="CH66" s="14" t="str">
        <f>IF(AND(ISNUMBER($I66),OR($K66="Milestone",$K66="Deadline"),$I66&gt;=CH$4,$I66&lt;CH$4+7),IF($K66="Deadline","◇","◆"),"")</f>
        <v/>
      </c>
      <c r="CI66" s="14" t="str">
        <f>IF(AND(ISNUMBER($I66),OR($K66="Milestone",$K66="Deadline"),$I66&gt;=CI$4,$I66&lt;CI$4+7),IF($K66="Deadline","◇","◆"),"")</f>
        <v/>
      </c>
      <c r="CJ66" s="14" t="str">
        <f>IF(AND(ISNUMBER($I66),OR($K66="Milestone",$K66="Deadline"),$I66&gt;=CJ$4,$I66&lt;CJ$4+7),IF($K66="Deadline","◇","◆"),"")</f>
        <v/>
      </c>
      <c r="CK66" s="14" t="str">
        <f>IF(AND(ISNUMBER($I66),OR($K66="Milestone",$K66="Deadline"),$I66&gt;=CK$4,$I66&lt;CK$4+7),IF($K66="Deadline","◇","◆"),"")</f>
        <v/>
      </c>
      <c r="CL66" s="14" t="str">
        <f>IF(AND(ISNUMBER($I66),OR($K66="Milestone",$K66="Deadline"),$I66&gt;=CL$4,$I66&lt;CL$4+7),IF($K66="Deadline","◇","◆"),"")</f>
        <v/>
      </c>
      <c r="CM66" s="14" t="str">
        <f>IF(AND(ISNUMBER($I66),OR($K66="Milestone",$K66="Deadline"),$I66&gt;=CM$4,$I66&lt;CM$4+7),IF($K66="Deadline","◇","◆"),"")</f>
        <v/>
      </c>
    </row>
    <row r="67" spans="1:91" ht="15" hidden="1" customHeight="1">
      <c r="A67" s="29" t="s">
        <v>233</v>
      </c>
      <c r="B67" s="29" t="s">
        <v>234</v>
      </c>
      <c r="C67" s="29" t="s">
        <v>63</v>
      </c>
      <c r="D67" s="29" t="s">
        <v>168</v>
      </c>
      <c r="E67" s="29" t="s">
        <v>169</v>
      </c>
      <c r="F67" s="29" t="s">
        <v>170</v>
      </c>
      <c r="G67" s="29" t="s">
        <v>171</v>
      </c>
      <c r="H67" s="29">
        <v>7</v>
      </c>
      <c r="I67" s="30">
        <f>MAX($C$2,J46+1)</f>
        <v>46349</v>
      </c>
      <c r="J67" s="31">
        <f>IF(AND(ISNUMBER(I67),ISNUMBER(H67)),I67+H67-1,"")</f>
        <v>46355</v>
      </c>
      <c r="K67" s="29" t="s">
        <v>27</v>
      </c>
      <c r="L67" s="29"/>
      <c r="M67" s="32" t="s">
        <v>178</v>
      </c>
      <c r="N67" s="29"/>
      <c r="O67" s="32">
        <f>IF(AND(ISNUMBER(I67),ISNUMBER(J67)),J67-I67+1,"")</f>
        <v>7</v>
      </c>
      <c r="P67" s="13" t="s">
        <v>140</v>
      </c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  <c r="AO67" s="14" t="str">
        <f>IF(AND(ISNUMBER($I67),OR($K67="Milestone",$K67="Deadline"),$I67&gt;=AO$4,$I67&lt;AO$4+7),IF($K67="Deadline","◇","◆"),"")</f>
        <v/>
      </c>
      <c r="AP67" s="14" t="str">
        <f>IF(AND(ISNUMBER($I67),OR($K67="Milestone",$K67="Deadline"),$I67&gt;=AP$4,$I67&lt;AP$4+7),IF($K67="Deadline","◇","◆"),"")</f>
        <v/>
      </c>
      <c r="AQ67" s="14" t="str">
        <f>IF(AND(ISNUMBER($I67),OR($K67="Milestone",$K67="Deadline"),$I67&gt;=AQ$4,$I67&lt;AQ$4+7),IF($K67="Deadline","◇","◆"),"")</f>
        <v/>
      </c>
      <c r="AR67" s="14" t="str">
        <f>IF(AND(ISNUMBER($I67),OR($K67="Milestone",$K67="Deadline"),$I67&gt;=AR$4,$I67&lt;AR$4+7),IF($K67="Deadline","◇","◆"),"")</f>
        <v/>
      </c>
      <c r="AS67" s="14" t="str">
        <f>IF(AND(ISNUMBER($I67),OR($K67="Milestone",$K67="Deadline"),$I67&gt;=AS$4,$I67&lt;AS$4+7),IF($K67="Deadline","◇","◆"),"")</f>
        <v/>
      </c>
      <c r="AT67" s="14" t="str">
        <f>IF(AND(ISNUMBER($I67),OR($K67="Milestone",$K67="Deadline"),$I67&gt;=AT$4,$I67&lt;AT$4+7),IF($K67="Deadline","◇","◆"),"")</f>
        <v/>
      </c>
      <c r="AU67" s="14" t="str">
        <f>IF(AND(ISNUMBER($I67),OR($K67="Milestone",$K67="Deadline"),$I67&gt;=AU$4,$I67&lt;AU$4+7),IF($K67="Deadline","◇","◆"),"")</f>
        <v/>
      </c>
      <c r="AV67" s="14" t="str">
        <f>IF(AND(ISNUMBER($I67),OR($K67="Milestone",$K67="Deadline"),$I67&gt;=AV$4,$I67&lt;AV$4+7),IF($K67="Deadline","◇","◆"),"")</f>
        <v/>
      </c>
      <c r="AW67" s="14" t="str">
        <f>IF(AND(ISNUMBER($I67),OR($K67="Milestone",$K67="Deadline"),$I67&gt;=AW$4,$I67&lt;AW$4+7),IF($K67="Deadline","◇","◆"),"")</f>
        <v/>
      </c>
      <c r="AX67" s="14" t="str">
        <f>IF(AND(ISNUMBER($I67),OR($K67="Milestone",$K67="Deadline"),$I67&gt;=AX$4,$I67&lt;AX$4+7),IF($K67="Deadline","◇","◆"),"")</f>
        <v/>
      </c>
      <c r="AY67" s="14" t="str">
        <f>IF(AND(ISNUMBER($I67),OR($K67="Milestone",$K67="Deadline"),$I67&gt;=AY$4,$I67&lt;AY$4+7),IF($K67="Deadline","◇","◆"),"")</f>
        <v/>
      </c>
      <c r="AZ67" s="14" t="str">
        <f>IF(AND(ISNUMBER($I67),OR($K67="Milestone",$K67="Deadline"),$I67&gt;=AZ$4,$I67&lt;AZ$4+7),IF($K67="Deadline","◇","◆"),"")</f>
        <v/>
      </c>
      <c r="BA67" s="14" t="str">
        <f>IF(AND(ISNUMBER($I67),OR($K67="Milestone",$K67="Deadline"),$I67&gt;=BA$4,$I67&lt;BA$4+7),IF($K67="Deadline","◇","◆"),"")</f>
        <v/>
      </c>
      <c r="BB67" s="14" t="str">
        <f>IF(AND(ISNUMBER($I67),OR($K67="Milestone",$K67="Deadline"),$I67&gt;=BB$4,$I67&lt;BB$4+7),IF($K67="Deadline","◇","◆"),"")</f>
        <v/>
      </c>
      <c r="BC67" s="14" t="str">
        <f>IF(AND(ISNUMBER($I67),OR($K67="Milestone",$K67="Deadline"),$I67&gt;=BC$4,$I67&lt;BC$4+7),IF($K67="Deadline","◇","◆"),"")</f>
        <v/>
      </c>
      <c r="BD67" s="14" t="str">
        <f>IF(AND(ISNUMBER($I67),OR($K67="Milestone",$K67="Deadline"),$I67&gt;=BD$4,$I67&lt;BD$4+7),IF($K67="Deadline","◇","◆"),"")</f>
        <v/>
      </c>
      <c r="BE67" s="14" t="str">
        <f>IF(AND(ISNUMBER($I67),OR($K67="Milestone",$K67="Deadline"),$I67&gt;=BE$4,$I67&lt;BE$4+7),IF($K67="Deadline","◇","◆"),"")</f>
        <v/>
      </c>
      <c r="BF67" s="14" t="str">
        <f>IF(AND(ISNUMBER($I67),OR($K67="Milestone",$K67="Deadline"),$I67&gt;=BF$4,$I67&lt;BF$4+7),IF($K67="Deadline","◇","◆"),"")</f>
        <v/>
      </c>
      <c r="BG67" s="14" t="str">
        <f>IF(AND(ISNUMBER($I67),OR($K67="Milestone",$K67="Deadline"),$I67&gt;=BG$4,$I67&lt;BG$4+7),IF($K67="Deadline","◇","◆"),"")</f>
        <v/>
      </c>
      <c r="BH67" s="14" t="str">
        <f>IF(AND(ISNUMBER($I67),OR($K67="Milestone",$K67="Deadline"),$I67&gt;=BH$4,$I67&lt;BH$4+7),IF($K67="Deadline","◇","◆"),"")</f>
        <v/>
      </c>
      <c r="BI67" s="14" t="str">
        <f>IF(AND(ISNUMBER($I67),OR($K67="Milestone",$K67="Deadline"),$I67&gt;=BI$4,$I67&lt;BI$4+7),IF($K67="Deadline","◇","◆"),"")</f>
        <v/>
      </c>
      <c r="BJ67" s="14" t="str">
        <f>IF(AND(ISNUMBER($I67),OR($K67="Milestone",$K67="Deadline"),$I67&gt;=BJ$4,$I67&lt;BJ$4+7),IF($K67="Deadline","◇","◆"),"")</f>
        <v/>
      </c>
      <c r="BK67" s="14" t="str">
        <f>IF(AND(ISNUMBER($I67),OR($K67="Milestone",$K67="Deadline"),$I67&gt;=BK$4,$I67&lt;BK$4+7),IF($K67="Deadline","◇","◆"),"")</f>
        <v/>
      </c>
      <c r="BL67" s="14" t="str">
        <f>IF(AND(ISNUMBER($I67),OR($K67="Milestone",$K67="Deadline"),$I67&gt;=BL$4,$I67&lt;BL$4+7),IF($K67="Deadline","◇","◆"),"")</f>
        <v/>
      </c>
      <c r="BM67" s="14" t="str">
        <f>IF(AND(ISNUMBER($I67),OR($K67="Milestone",$K67="Deadline"),$I67&gt;=BM$4,$I67&lt;BM$4+7),IF($K67="Deadline","◇","◆"),"")</f>
        <v/>
      </c>
      <c r="BN67" s="14" t="str">
        <f>IF(AND(ISNUMBER($I67),OR($K67="Milestone",$K67="Deadline"),$I67&gt;=BN$4,$I67&lt;BN$4+7),IF($K67="Deadline","◇","◆"),"")</f>
        <v/>
      </c>
      <c r="BO67" s="14" t="str">
        <f>IF(AND(ISNUMBER($I67),OR($K67="Milestone",$K67="Deadline"),$I67&gt;=BO$4,$I67&lt;BO$4+7),IF($K67="Deadline","◇","◆"),"")</f>
        <v/>
      </c>
      <c r="BP67" s="14" t="str">
        <f>IF(AND(ISNUMBER($I67),OR($K67="Milestone",$K67="Deadline"),$I67&gt;=BP$4,$I67&lt;BP$4+7),IF($K67="Deadline","◇","◆"),"")</f>
        <v/>
      </c>
      <c r="BQ67" s="14" t="str">
        <f>IF(AND(ISNUMBER($I67),OR($K67="Milestone",$K67="Deadline"),$I67&gt;=BQ$4,$I67&lt;BQ$4+7),IF($K67="Deadline","◇","◆"),"")</f>
        <v/>
      </c>
      <c r="BR67" s="14" t="str">
        <f>IF(AND(ISNUMBER($I67),OR($K67="Milestone",$K67="Deadline"),$I67&gt;=BR$4,$I67&lt;BR$4+7),IF($K67="Deadline","◇","◆"),"")</f>
        <v/>
      </c>
      <c r="BS67" s="14" t="str">
        <f>IF(AND(ISNUMBER($I67),OR($K67="Milestone",$K67="Deadline"),$I67&gt;=BS$4,$I67&lt;BS$4+7),IF($K67="Deadline","◇","◆"),"")</f>
        <v/>
      </c>
      <c r="BT67" s="14" t="str">
        <f>IF(AND(ISNUMBER($I67),OR($K67="Milestone",$K67="Deadline"),$I67&gt;=BT$4,$I67&lt;BT$4+7),IF($K67="Deadline","◇","◆"),"")</f>
        <v/>
      </c>
      <c r="BU67" s="14" t="str">
        <f>IF(AND(ISNUMBER($I67),OR($K67="Milestone",$K67="Deadline"),$I67&gt;=BU$4,$I67&lt;BU$4+7),IF($K67="Deadline","◇","◆"),"")</f>
        <v/>
      </c>
      <c r="BV67" s="14" t="str">
        <f>IF(AND(ISNUMBER($I67),OR($K67="Milestone",$K67="Deadline"),$I67&gt;=BV$4,$I67&lt;BV$4+7),IF($K67="Deadline","◇","◆"),"")</f>
        <v/>
      </c>
      <c r="BW67" s="14" t="str">
        <f>IF(AND(ISNUMBER($I67),OR($K67="Milestone",$K67="Deadline"),$I67&gt;=BW$4,$I67&lt;BW$4+7),IF($K67="Deadline","◇","◆"),"")</f>
        <v/>
      </c>
      <c r="BX67" s="14" t="str">
        <f>IF(AND(ISNUMBER($I67),OR($K67="Milestone",$K67="Deadline"),$I67&gt;=BX$4,$I67&lt;BX$4+7),IF($K67="Deadline","◇","◆"),"")</f>
        <v/>
      </c>
      <c r="BY67" s="14" t="str">
        <f>IF(AND(ISNUMBER($I67),OR($K67="Milestone",$K67="Deadline"),$I67&gt;=BY$4,$I67&lt;BY$4+7),IF($K67="Deadline","◇","◆"),"")</f>
        <v/>
      </c>
      <c r="BZ67" s="14" t="str">
        <f>IF(AND(ISNUMBER($I67),OR($K67="Milestone",$K67="Deadline"),$I67&gt;=BZ$4,$I67&lt;BZ$4+7),IF($K67="Deadline","◇","◆"),"")</f>
        <v/>
      </c>
      <c r="CA67" s="14" t="str">
        <f>IF(AND(ISNUMBER($I67),OR($K67="Milestone",$K67="Deadline"),$I67&gt;=CA$4,$I67&lt;CA$4+7),IF($K67="Deadline","◇","◆"),"")</f>
        <v/>
      </c>
      <c r="CB67" s="14" t="str">
        <f>IF(AND(ISNUMBER($I67),OR($K67="Milestone",$K67="Deadline"),$I67&gt;=CB$4,$I67&lt;CB$4+7),IF($K67="Deadline","◇","◆"),"")</f>
        <v/>
      </c>
      <c r="CC67" s="14" t="str">
        <f>IF(AND(ISNUMBER($I67),OR($K67="Milestone",$K67="Deadline"),$I67&gt;=CC$4,$I67&lt;CC$4+7),IF($K67="Deadline","◇","◆"),"")</f>
        <v/>
      </c>
      <c r="CD67" s="14" t="str">
        <f>IF(AND(ISNUMBER($I67),OR($K67="Milestone",$K67="Deadline"),$I67&gt;=CD$4,$I67&lt;CD$4+7),IF($K67="Deadline","◇","◆"),"")</f>
        <v/>
      </c>
      <c r="CE67" s="14" t="str">
        <f>IF(AND(ISNUMBER($I67),OR($K67="Milestone",$K67="Deadline"),$I67&gt;=CE$4,$I67&lt;CE$4+7),IF($K67="Deadline","◇","◆"),"")</f>
        <v/>
      </c>
      <c r="CF67" s="14" t="str">
        <f>IF(AND(ISNUMBER($I67),OR($K67="Milestone",$K67="Deadline"),$I67&gt;=CF$4,$I67&lt;CF$4+7),IF($K67="Deadline","◇","◆"),"")</f>
        <v/>
      </c>
      <c r="CG67" s="14" t="str">
        <f>IF(AND(ISNUMBER($I67),OR($K67="Milestone",$K67="Deadline"),$I67&gt;=CG$4,$I67&lt;CG$4+7),IF($K67="Deadline","◇","◆"),"")</f>
        <v/>
      </c>
      <c r="CH67" s="14" t="str">
        <f>IF(AND(ISNUMBER($I67),OR($K67="Milestone",$K67="Deadline"),$I67&gt;=CH$4,$I67&lt;CH$4+7),IF($K67="Deadline","◇","◆"),"")</f>
        <v/>
      </c>
      <c r="CI67" s="14" t="str">
        <f>IF(AND(ISNUMBER($I67),OR($K67="Milestone",$K67="Deadline"),$I67&gt;=CI$4,$I67&lt;CI$4+7),IF($K67="Deadline","◇","◆"),"")</f>
        <v/>
      </c>
      <c r="CJ67" s="14" t="str">
        <f>IF(AND(ISNUMBER($I67),OR($K67="Milestone",$K67="Deadline"),$I67&gt;=CJ$4,$I67&lt;CJ$4+7),IF($K67="Deadline","◇","◆"),"")</f>
        <v/>
      </c>
      <c r="CK67" s="14" t="str">
        <f>IF(AND(ISNUMBER($I67),OR($K67="Milestone",$K67="Deadline"),$I67&gt;=CK$4,$I67&lt;CK$4+7),IF($K67="Deadline","◇","◆"),"")</f>
        <v/>
      </c>
      <c r="CL67" s="14" t="str">
        <f>IF(AND(ISNUMBER($I67),OR($K67="Milestone",$K67="Deadline"),$I67&gt;=CL$4,$I67&lt;CL$4+7),IF($K67="Deadline","◇","◆"),"")</f>
        <v/>
      </c>
      <c r="CM67" s="14" t="str">
        <f>IF(AND(ISNUMBER($I67),OR($K67="Milestone",$K67="Deadline"),$I67&gt;=CM$4,$I67&lt;CM$4+7),IF($K67="Deadline","◇","◆"),"")</f>
        <v/>
      </c>
    </row>
    <row r="68" spans="1:91" ht="15" hidden="1" customHeight="1">
      <c r="A68" s="29" t="s">
        <v>235</v>
      </c>
      <c r="B68" s="29" t="s">
        <v>234</v>
      </c>
      <c r="C68" s="29" t="s">
        <v>63</v>
      </c>
      <c r="D68" s="29" t="s">
        <v>168</v>
      </c>
      <c r="E68" s="29" t="s">
        <v>169</v>
      </c>
      <c r="F68" s="29" t="s">
        <v>170</v>
      </c>
      <c r="G68" s="29" t="s">
        <v>173</v>
      </c>
      <c r="H68" s="29">
        <v>7</v>
      </c>
      <c r="I68" s="30">
        <f>MAX(DATE(2026,12,8),J67+1)</f>
        <v>46364</v>
      </c>
      <c r="J68" s="31">
        <f>IF(AND(ISNUMBER(I68),ISNUMBER(H68)),I68+H68-1,"")</f>
        <v>46370</v>
      </c>
      <c r="K68" s="29" t="s">
        <v>27</v>
      </c>
      <c r="L68" s="29" t="s">
        <v>233</v>
      </c>
      <c r="M68" s="32"/>
      <c r="N68" s="29"/>
      <c r="O68" s="32">
        <f>IF(AND(ISNUMBER(I68),ISNUMBER(J68)),J68-I68+1,"")</f>
        <v>7</v>
      </c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 t="s">
        <v>140</v>
      </c>
      <c r="AL68" s="13"/>
      <c r="AM68" s="13"/>
      <c r="AN68" s="13"/>
      <c r="AO68" s="14" t="str">
        <f>IF(AND(ISNUMBER($I68),OR($K68="Milestone",$K68="Deadline"),$I68&gt;=AO$4,$I68&lt;AO$4+7),IF($K68="Deadline","◇","◆"),"")</f>
        <v/>
      </c>
      <c r="AP68" s="14" t="str">
        <f>IF(AND(ISNUMBER($I68),OR($K68="Milestone",$K68="Deadline"),$I68&gt;=AP$4,$I68&lt;AP$4+7),IF($K68="Deadline","◇","◆"),"")</f>
        <v/>
      </c>
      <c r="AQ68" s="14" t="str">
        <f>IF(AND(ISNUMBER($I68),OR($K68="Milestone",$K68="Deadline"),$I68&gt;=AQ$4,$I68&lt;AQ$4+7),IF($K68="Deadline","◇","◆"),"")</f>
        <v/>
      </c>
      <c r="AR68" s="14" t="str">
        <f>IF(AND(ISNUMBER($I68),OR($K68="Milestone",$K68="Deadline"),$I68&gt;=AR$4,$I68&lt;AR$4+7),IF($K68="Deadline","◇","◆"),"")</f>
        <v/>
      </c>
      <c r="AS68" s="14" t="str">
        <f>IF(AND(ISNUMBER($I68),OR($K68="Milestone",$K68="Deadline"),$I68&gt;=AS$4,$I68&lt;AS$4+7),IF($K68="Deadline","◇","◆"),"")</f>
        <v/>
      </c>
      <c r="AT68" s="14" t="str">
        <f>IF(AND(ISNUMBER($I68),OR($K68="Milestone",$K68="Deadline"),$I68&gt;=AT$4,$I68&lt;AT$4+7),IF($K68="Deadline","◇","◆"),"")</f>
        <v/>
      </c>
      <c r="AU68" s="14" t="str">
        <f>IF(AND(ISNUMBER($I68),OR($K68="Milestone",$K68="Deadline"),$I68&gt;=AU$4,$I68&lt;AU$4+7),IF($K68="Deadline","◇","◆"),"")</f>
        <v/>
      </c>
      <c r="AV68" s="14" t="str">
        <f>IF(AND(ISNUMBER($I68),OR($K68="Milestone",$K68="Deadline"),$I68&gt;=AV$4,$I68&lt;AV$4+7),IF($K68="Deadline","◇","◆"),"")</f>
        <v/>
      </c>
      <c r="AW68" s="14" t="str">
        <f>IF(AND(ISNUMBER($I68),OR($K68="Milestone",$K68="Deadline"),$I68&gt;=AW$4,$I68&lt;AW$4+7),IF($K68="Deadline","◇","◆"),"")</f>
        <v/>
      </c>
      <c r="AX68" s="14" t="str">
        <f>IF(AND(ISNUMBER($I68),OR($K68="Milestone",$K68="Deadline"),$I68&gt;=AX$4,$I68&lt;AX$4+7),IF($K68="Deadline","◇","◆"),"")</f>
        <v/>
      </c>
      <c r="AY68" s="14" t="str">
        <f>IF(AND(ISNUMBER($I68),OR($K68="Milestone",$K68="Deadline"),$I68&gt;=AY$4,$I68&lt;AY$4+7),IF($K68="Deadline","◇","◆"),"")</f>
        <v/>
      </c>
      <c r="AZ68" s="14" t="str">
        <f>IF(AND(ISNUMBER($I68),OR($K68="Milestone",$K68="Deadline"),$I68&gt;=AZ$4,$I68&lt;AZ$4+7),IF($K68="Deadline","◇","◆"),"")</f>
        <v/>
      </c>
      <c r="BA68" s="14" t="str">
        <f>IF(AND(ISNUMBER($I68),OR($K68="Milestone",$K68="Deadline"),$I68&gt;=BA$4,$I68&lt;BA$4+7),IF($K68="Deadline","◇","◆"),"")</f>
        <v/>
      </c>
      <c r="BB68" s="14" t="str">
        <f>IF(AND(ISNUMBER($I68),OR($K68="Milestone",$K68="Deadline"),$I68&gt;=BB$4,$I68&lt;BB$4+7),IF($K68="Deadline","◇","◆"),"")</f>
        <v/>
      </c>
      <c r="BC68" s="14" t="str">
        <f>IF(AND(ISNUMBER($I68),OR($K68="Milestone",$K68="Deadline"),$I68&gt;=BC$4,$I68&lt;BC$4+7),IF($K68="Deadline","◇","◆"),"")</f>
        <v/>
      </c>
      <c r="BD68" s="14" t="str">
        <f>IF(AND(ISNUMBER($I68),OR($K68="Milestone",$K68="Deadline"),$I68&gt;=BD$4,$I68&lt;BD$4+7),IF($K68="Deadline","◇","◆"),"")</f>
        <v/>
      </c>
      <c r="BE68" s="14" t="str">
        <f>IF(AND(ISNUMBER($I68),OR($K68="Milestone",$K68="Deadline"),$I68&gt;=BE$4,$I68&lt;BE$4+7),IF($K68="Deadline","◇","◆"),"")</f>
        <v/>
      </c>
      <c r="BF68" s="14" t="str">
        <f>IF(AND(ISNUMBER($I68),OR($K68="Milestone",$K68="Deadline"),$I68&gt;=BF$4,$I68&lt;BF$4+7),IF($K68="Deadline","◇","◆"),"")</f>
        <v/>
      </c>
      <c r="BG68" s="14" t="str">
        <f>IF(AND(ISNUMBER($I68),OR($K68="Milestone",$K68="Deadline"),$I68&gt;=BG$4,$I68&lt;BG$4+7),IF($K68="Deadline","◇","◆"),"")</f>
        <v/>
      </c>
      <c r="BH68" s="14" t="str">
        <f>IF(AND(ISNUMBER($I68),OR($K68="Milestone",$K68="Deadline"),$I68&gt;=BH$4,$I68&lt;BH$4+7),IF($K68="Deadline","◇","◆"),"")</f>
        <v/>
      </c>
      <c r="BI68" s="14" t="str">
        <f>IF(AND(ISNUMBER($I68),OR($K68="Milestone",$K68="Deadline"),$I68&gt;=BI$4,$I68&lt;BI$4+7),IF($K68="Deadline","◇","◆"),"")</f>
        <v/>
      </c>
      <c r="BJ68" s="14" t="str">
        <f>IF(AND(ISNUMBER($I68),OR($K68="Milestone",$K68="Deadline"),$I68&gt;=BJ$4,$I68&lt;BJ$4+7),IF($K68="Deadline","◇","◆"),"")</f>
        <v/>
      </c>
      <c r="BK68" s="14" t="str">
        <f>IF(AND(ISNUMBER($I68),OR($K68="Milestone",$K68="Deadline"),$I68&gt;=BK$4,$I68&lt;BK$4+7),IF($K68="Deadline","◇","◆"),"")</f>
        <v/>
      </c>
      <c r="BL68" s="14" t="str">
        <f>IF(AND(ISNUMBER($I68),OR($K68="Milestone",$K68="Deadline"),$I68&gt;=BL$4,$I68&lt;BL$4+7),IF($K68="Deadline","◇","◆"),"")</f>
        <v/>
      </c>
      <c r="BM68" s="14" t="str">
        <f>IF(AND(ISNUMBER($I68),OR($K68="Milestone",$K68="Deadline"),$I68&gt;=BM$4,$I68&lt;BM$4+7),IF($K68="Deadline","◇","◆"),"")</f>
        <v/>
      </c>
      <c r="BN68" s="14" t="str">
        <f>IF(AND(ISNUMBER($I68),OR($K68="Milestone",$K68="Deadline"),$I68&gt;=BN$4,$I68&lt;BN$4+7),IF($K68="Deadline","◇","◆"),"")</f>
        <v/>
      </c>
      <c r="BO68" s="14" t="str">
        <f>IF(AND(ISNUMBER($I68),OR($K68="Milestone",$K68="Deadline"),$I68&gt;=BO$4,$I68&lt;BO$4+7),IF($K68="Deadline","◇","◆"),"")</f>
        <v/>
      </c>
      <c r="BP68" s="14" t="str">
        <f>IF(AND(ISNUMBER($I68),OR($K68="Milestone",$K68="Deadline"),$I68&gt;=BP$4,$I68&lt;BP$4+7),IF($K68="Deadline","◇","◆"),"")</f>
        <v/>
      </c>
      <c r="BQ68" s="14" t="str">
        <f>IF(AND(ISNUMBER($I68),OR($K68="Milestone",$K68="Deadline"),$I68&gt;=BQ$4,$I68&lt;BQ$4+7),IF($K68="Deadline","◇","◆"),"")</f>
        <v/>
      </c>
      <c r="BR68" s="14" t="str">
        <f>IF(AND(ISNUMBER($I68),OR($K68="Milestone",$K68="Deadline"),$I68&gt;=BR$4,$I68&lt;BR$4+7),IF($K68="Deadline","◇","◆"),"")</f>
        <v/>
      </c>
      <c r="BS68" s="14" t="str">
        <f>IF(AND(ISNUMBER($I68),OR($K68="Milestone",$K68="Deadline"),$I68&gt;=BS$4,$I68&lt;BS$4+7),IF($K68="Deadline","◇","◆"),"")</f>
        <v/>
      </c>
      <c r="BT68" s="14" t="str">
        <f>IF(AND(ISNUMBER($I68),OR($K68="Milestone",$K68="Deadline"),$I68&gt;=BT$4,$I68&lt;BT$4+7),IF($K68="Deadline","◇","◆"),"")</f>
        <v/>
      </c>
      <c r="BU68" s="14" t="str">
        <f>IF(AND(ISNUMBER($I68),OR($K68="Milestone",$K68="Deadline"),$I68&gt;=BU$4,$I68&lt;BU$4+7),IF($K68="Deadline","◇","◆"),"")</f>
        <v/>
      </c>
      <c r="BV68" s="14" t="str">
        <f>IF(AND(ISNUMBER($I68),OR($K68="Milestone",$K68="Deadline"),$I68&gt;=BV$4,$I68&lt;BV$4+7),IF($K68="Deadline","◇","◆"),"")</f>
        <v/>
      </c>
      <c r="BW68" s="14" t="str">
        <f>IF(AND(ISNUMBER($I68),OR($K68="Milestone",$K68="Deadline"),$I68&gt;=BW$4,$I68&lt;BW$4+7),IF($K68="Deadline","◇","◆"),"")</f>
        <v/>
      </c>
      <c r="BX68" s="14" t="str">
        <f>IF(AND(ISNUMBER($I68),OR($K68="Milestone",$K68="Deadline"),$I68&gt;=BX$4,$I68&lt;BX$4+7),IF($K68="Deadline","◇","◆"),"")</f>
        <v/>
      </c>
      <c r="BY68" s="14" t="str">
        <f>IF(AND(ISNUMBER($I68),OR($K68="Milestone",$K68="Deadline"),$I68&gt;=BY$4,$I68&lt;BY$4+7),IF($K68="Deadline","◇","◆"),"")</f>
        <v/>
      </c>
      <c r="BZ68" s="14" t="str">
        <f>IF(AND(ISNUMBER($I68),OR($K68="Milestone",$K68="Deadline"),$I68&gt;=BZ$4,$I68&lt;BZ$4+7),IF($K68="Deadline","◇","◆"),"")</f>
        <v/>
      </c>
      <c r="CA68" s="14" t="str">
        <f>IF(AND(ISNUMBER($I68),OR($K68="Milestone",$K68="Deadline"),$I68&gt;=CA$4,$I68&lt;CA$4+7),IF($K68="Deadline","◇","◆"),"")</f>
        <v/>
      </c>
      <c r="CB68" s="14" t="str">
        <f>IF(AND(ISNUMBER($I68),OR($K68="Milestone",$K68="Deadline"),$I68&gt;=CB$4,$I68&lt;CB$4+7),IF($K68="Deadline","◇","◆"),"")</f>
        <v/>
      </c>
      <c r="CC68" s="14" t="str">
        <f>IF(AND(ISNUMBER($I68),OR($K68="Milestone",$K68="Deadline"),$I68&gt;=CC$4,$I68&lt;CC$4+7),IF($K68="Deadline","◇","◆"),"")</f>
        <v/>
      </c>
      <c r="CD68" s="14" t="str">
        <f>IF(AND(ISNUMBER($I68),OR($K68="Milestone",$K68="Deadline"),$I68&gt;=CD$4,$I68&lt;CD$4+7),IF($K68="Deadline","◇","◆"),"")</f>
        <v/>
      </c>
      <c r="CE68" s="14" t="str">
        <f>IF(AND(ISNUMBER($I68),OR($K68="Milestone",$K68="Deadline"),$I68&gt;=CE$4,$I68&lt;CE$4+7),IF($K68="Deadline","◇","◆"),"")</f>
        <v/>
      </c>
      <c r="CF68" s="14" t="str">
        <f>IF(AND(ISNUMBER($I68),OR($K68="Milestone",$K68="Deadline"),$I68&gt;=CF$4,$I68&lt;CF$4+7),IF($K68="Deadline","◇","◆"),"")</f>
        <v/>
      </c>
      <c r="CG68" s="14" t="str">
        <f>IF(AND(ISNUMBER($I68),OR($K68="Milestone",$K68="Deadline"),$I68&gt;=CG$4,$I68&lt;CG$4+7),IF($K68="Deadline","◇","◆"),"")</f>
        <v/>
      </c>
      <c r="CH68" s="14" t="str">
        <f>IF(AND(ISNUMBER($I68),OR($K68="Milestone",$K68="Deadline"),$I68&gt;=CH$4,$I68&lt;CH$4+7),IF($K68="Deadline","◇","◆"),"")</f>
        <v/>
      </c>
      <c r="CI68" s="14" t="str">
        <f>IF(AND(ISNUMBER($I68),OR($K68="Milestone",$K68="Deadline"),$I68&gt;=CI$4,$I68&lt;CI$4+7),IF($K68="Deadline","◇","◆"),"")</f>
        <v/>
      </c>
      <c r="CJ68" s="14" t="str">
        <f>IF(AND(ISNUMBER($I68),OR($K68="Milestone",$K68="Deadline"),$I68&gt;=CJ$4,$I68&lt;CJ$4+7),IF($K68="Deadline","◇","◆"),"")</f>
        <v/>
      </c>
      <c r="CK68" s="14" t="str">
        <f>IF(AND(ISNUMBER($I68),OR($K68="Milestone",$K68="Deadline"),$I68&gt;=CK$4,$I68&lt;CK$4+7),IF($K68="Deadline","◇","◆"),"")</f>
        <v/>
      </c>
      <c r="CL68" s="14" t="str">
        <f>IF(AND(ISNUMBER($I68),OR($K68="Milestone",$K68="Deadline"),$I68&gt;=CL$4,$I68&lt;CL$4+7),IF($K68="Deadline","◇","◆"),"")</f>
        <v/>
      </c>
      <c r="CM68" s="14" t="str">
        <f>IF(AND(ISNUMBER($I68),OR($K68="Milestone",$K68="Deadline"),$I68&gt;=CM$4,$I68&lt;CM$4+7),IF($K68="Deadline","◇","◆"),"")</f>
        <v/>
      </c>
    </row>
    <row r="69" spans="1:91" ht="15" hidden="1" customHeight="1">
      <c r="A69" s="29" t="s">
        <v>236</v>
      </c>
      <c r="B69" s="29" t="s">
        <v>234</v>
      </c>
      <c r="C69" s="29" t="s">
        <v>63</v>
      </c>
      <c r="D69" s="29" t="s">
        <v>168</v>
      </c>
      <c r="E69" s="29" t="s">
        <v>169</v>
      </c>
      <c r="F69" s="29" t="s">
        <v>170</v>
      </c>
      <c r="G69" s="29" t="s">
        <v>176</v>
      </c>
      <c r="H69" s="29">
        <v>7</v>
      </c>
      <c r="I69" s="30">
        <f>MAX($C$2,J68+1,J48+1)</f>
        <v>46385</v>
      </c>
      <c r="J69" s="31">
        <f>IF(AND(ISNUMBER(I69),ISNUMBER(H69)),I69+H69-1,"")</f>
        <v>46391</v>
      </c>
      <c r="K69" s="29" t="s">
        <v>27</v>
      </c>
      <c r="L69" s="29" t="s">
        <v>235</v>
      </c>
      <c r="M69" s="32" t="s">
        <v>181</v>
      </c>
      <c r="N69" s="29"/>
      <c r="O69" s="32">
        <f>IF(AND(ISNUMBER(I69),ISNUMBER(J69)),J69-I69+1,"")</f>
        <v>7</v>
      </c>
      <c r="P69" s="13"/>
      <c r="Q69" s="13"/>
      <c r="R69" s="13"/>
      <c r="S69" s="13"/>
      <c r="T69" s="13"/>
      <c r="U69" s="13" t="s">
        <v>140</v>
      </c>
      <c r="V69" s="13" t="s">
        <v>140</v>
      </c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 t="s">
        <v>140</v>
      </c>
      <c r="AJ69" s="13"/>
      <c r="AK69" s="13"/>
      <c r="AL69" s="13"/>
      <c r="AM69" s="13"/>
      <c r="AN69" s="13"/>
      <c r="AO69" s="14" t="str">
        <f>IF(AND(ISNUMBER($I69),OR($K69="Milestone",$K69="Deadline"),$I69&gt;=AO$4,$I69&lt;AO$4+7),IF($K69="Deadline","◇","◆"),"")</f>
        <v/>
      </c>
      <c r="AP69" s="14" t="str">
        <f>IF(AND(ISNUMBER($I69),OR($K69="Milestone",$K69="Deadline"),$I69&gt;=AP$4,$I69&lt;AP$4+7),IF($K69="Deadline","◇","◆"),"")</f>
        <v/>
      </c>
      <c r="AQ69" s="14" t="str">
        <f>IF(AND(ISNUMBER($I69),OR($K69="Milestone",$K69="Deadline"),$I69&gt;=AQ$4,$I69&lt;AQ$4+7),IF($K69="Deadline","◇","◆"),"")</f>
        <v/>
      </c>
      <c r="AR69" s="14" t="str">
        <f>IF(AND(ISNUMBER($I69),OR($K69="Milestone",$K69="Deadline"),$I69&gt;=AR$4,$I69&lt;AR$4+7),IF($K69="Deadline","◇","◆"),"")</f>
        <v/>
      </c>
      <c r="AS69" s="14" t="str">
        <f>IF(AND(ISNUMBER($I69),OR($K69="Milestone",$K69="Deadline"),$I69&gt;=AS$4,$I69&lt;AS$4+7),IF($K69="Deadline","◇","◆"),"")</f>
        <v/>
      </c>
      <c r="AT69" s="14" t="str">
        <f>IF(AND(ISNUMBER($I69),OR($K69="Milestone",$K69="Deadline"),$I69&gt;=AT$4,$I69&lt;AT$4+7),IF($K69="Deadline","◇","◆"),"")</f>
        <v/>
      </c>
      <c r="AU69" s="14" t="str">
        <f>IF(AND(ISNUMBER($I69),OR($K69="Milestone",$K69="Deadline"),$I69&gt;=AU$4,$I69&lt;AU$4+7),IF($K69="Deadline","◇","◆"),"")</f>
        <v/>
      </c>
      <c r="AV69" s="14" t="str">
        <f>IF(AND(ISNUMBER($I69),OR($K69="Milestone",$K69="Deadline"),$I69&gt;=AV$4,$I69&lt;AV$4+7),IF($K69="Deadline","◇","◆"),"")</f>
        <v/>
      </c>
      <c r="AW69" s="14" t="str">
        <f>IF(AND(ISNUMBER($I69),OR($K69="Milestone",$K69="Deadline"),$I69&gt;=AW$4,$I69&lt;AW$4+7),IF($K69="Deadline","◇","◆"),"")</f>
        <v/>
      </c>
      <c r="AX69" s="14" t="str">
        <f>IF(AND(ISNUMBER($I69),OR($K69="Milestone",$K69="Deadline"),$I69&gt;=AX$4,$I69&lt;AX$4+7),IF($K69="Deadline","◇","◆"),"")</f>
        <v/>
      </c>
      <c r="AY69" s="14" t="str">
        <f>IF(AND(ISNUMBER($I69),OR($K69="Milestone",$K69="Deadline"),$I69&gt;=AY$4,$I69&lt;AY$4+7),IF($K69="Deadline","◇","◆"),"")</f>
        <v/>
      </c>
      <c r="AZ69" s="14" t="str">
        <f>IF(AND(ISNUMBER($I69),OR($K69="Milestone",$K69="Deadline"),$I69&gt;=AZ$4,$I69&lt;AZ$4+7),IF($K69="Deadline","◇","◆"),"")</f>
        <v/>
      </c>
      <c r="BA69" s="14" t="str">
        <f>IF(AND(ISNUMBER($I69),OR($K69="Milestone",$K69="Deadline"),$I69&gt;=BA$4,$I69&lt;BA$4+7),IF($K69="Deadline","◇","◆"),"")</f>
        <v/>
      </c>
      <c r="BB69" s="14" t="str">
        <f>IF(AND(ISNUMBER($I69),OR($K69="Milestone",$K69="Deadline"),$I69&gt;=BB$4,$I69&lt;BB$4+7),IF($K69="Deadline","◇","◆"),"")</f>
        <v/>
      </c>
      <c r="BC69" s="14" t="str">
        <f>IF(AND(ISNUMBER($I69),OR($K69="Milestone",$K69="Deadline"),$I69&gt;=BC$4,$I69&lt;BC$4+7),IF($K69="Deadline","◇","◆"),"")</f>
        <v/>
      </c>
      <c r="BD69" s="14" t="str">
        <f>IF(AND(ISNUMBER($I69),OR($K69="Milestone",$K69="Deadline"),$I69&gt;=BD$4,$I69&lt;BD$4+7),IF($K69="Deadline","◇","◆"),"")</f>
        <v/>
      </c>
      <c r="BE69" s="14" t="str">
        <f>IF(AND(ISNUMBER($I69),OR($K69="Milestone",$K69="Deadline"),$I69&gt;=BE$4,$I69&lt;BE$4+7),IF($K69="Deadline","◇","◆"),"")</f>
        <v/>
      </c>
      <c r="BF69" s="14" t="str">
        <f>IF(AND(ISNUMBER($I69),OR($K69="Milestone",$K69="Deadline"),$I69&gt;=BF$4,$I69&lt;BF$4+7),IF($K69="Deadline","◇","◆"),"")</f>
        <v/>
      </c>
      <c r="BG69" s="14" t="str">
        <f>IF(AND(ISNUMBER($I69),OR($K69="Milestone",$K69="Deadline"),$I69&gt;=BG$4,$I69&lt;BG$4+7),IF($K69="Deadline","◇","◆"),"")</f>
        <v/>
      </c>
      <c r="BH69" s="14" t="str">
        <f>IF(AND(ISNUMBER($I69),OR($K69="Milestone",$K69="Deadline"),$I69&gt;=BH$4,$I69&lt;BH$4+7),IF($K69="Deadline","◇","◆"),"")</f>
        <v/>
      </c>
      <c r="BI69" s="14" t="str">
        <f>IF(AND(ISNUMBER($I69),OR($K69="Milestone",$K69="Deadline"),$I69&gt;=BI$4,$I69&lt;BI$4+7),IF($K69="Deadline","◇","◆"),"")</f>
        <v/>
      </c>
      <c r="BJ69" s="14" t="str">
        <f>IF(AND(ISNUMBER($I69),OR($K69="Milestone",$K69="Deadline"),$I69&gt;=BJ$4,$I69&lt;BJ$4+7),IF($K69="Deadline","◇","◆"),"")</f>
        <v/>
      </c>
      <c r="BK69" s="14" t="str">
        <f>IF(AND(ISNUMBER($I69),OR($K69="Milestone",$K69="Deadline"),$I69&gt;=BK$4,$I69&lt;BK$4+7),IF($K69="Deadline","◇","◆"),"")</f>
        <v/>
      </c>
      <c r="BL69" s="14" t="str">
        <f>IF(AND(ISNUMBER($I69),OR($K69="Milestone",$K69="Deadline"),$I69&gt;=BL$4,$I69&lt;BL$4+7),IF($K69="Deadline","◇","◆"),"")</f>
        <v/>
      </c>
      <c r="BM69" s="14" t="str">
        <f>IF(AND(ISNUMBER($I69),OR($K69="Milestone",$K69="Deadline"),$I69&gt;=BM$4,$I69&lt;BM$4+7),IF($K69="Deadline","◇","◆"),"")</f>
        <v/>
      </c>
      <c r="BN69" s="14" t="str">
        <f>IF(AND(ISNUMBER($I69),OR($K69="Milestone",$K69="Deadline"),$I69&gt;=BN$4,$I69&lt;BN$4+7),IF($K69="Deadline","◇","◆"),"")</f>
        <v/>
      </c>
      <c r="BO69" s="14" t="str">
        <f>IF(AND(ISNUMBER($I69),OR($K69="Milestone",$K69="Deadline"),$I69&gt;=BO$4,$I69&lt;BO$4+7),IF($K69="Deadline","◇","◆"),"")</f>
        <v/>
      </c>
      <c r="BP69" s="14" t="str">
        <f>IF(AND(ISNUMBER($I69),OR($K69="Milestone",$K69="Deadline"),$I69&gt;=BP$4,$I69&lt;BP$4+7),IF($K69="Deadline","◇","◆"),"")</f>
        <v/>
      </c>
      <c r="BQ69" s="14" t="str">
        <f>IF(AND(ISNUMBER($I69),OR($K69="Milestone",$K69="Deadline"),$I69&gt;=BQ$4,$I69&lt;BQ$4+7),IF($K69="Deadline","◇","◆"),"")</f>
        <v/>
      </c>
      <c r="BR69" s="14" t="str">
        <f>IF(AND(ISNUMBER($I69),OR($K69="Milestone",$K69="Deadline"),$I69&gt;=BR$4,$I69&lt;BR$4+7),IF($K69="Deadline","◇","◆"),"")</f>
        <v/>
      </c>
      <c r="BS69" s="14" t="str">
        <f>IF(AND(ISNUMBER($I69),OR($K69="Milestone",$K69="Deadline"),$I69&gt;=BS$4,$I69&lt;BS$4+7),IF($K69="Deadline","◇","◆"),"")</f>
        <v/>
      </c>
      <c r="BT69" s="14" t="str">
        <f>IF(AND(ISNUMBER($I69),OR($K69="Milestone",$K69="Deadline"),$I69&gt;=BT$4,$I69&lt;BT$4+7),IF($K69="Deadline","◇","◆"),"")</f>
        <v/>
      </c>
      <c r="BU69" s="14" t="str">
        <f>IF(AND(ISNUMBER($I69),OR($K69="Milestone",$K69="Deadline"),$I69&gt;=BU$4,$I69&lt;BU$4+7),IF($K69="Deadline","◇","◆"),"")</f>
        <v/>
      </c>
      <c r="BV69" s="14" t="str">
        <f>IF(AND(ISNUMBER($I69),OR($K69="Milestone",$K69="Deadline"),$I69&gt;=BV$4,$I69&lt;BV$4+7),IF($K69="Deadline","◇","◆"),"")</f>
        <v/>
      </c>
      <c r="BW69" s="14" t="str">
        <f>IF(AND(ISNUMBER($I69),OR($K69="Milestone",$K69="Deadline"),$I69&gt;=BW$4,$I69&lt;BW$4+7),IF($K69="Deadline","◇","◆"),"")</f>
        <v/>
      </c>
      <c r="BX69" s="14" t="str">
        <f>IF(AND(ISNUMBER($I69),OR($K69="Milestone",$K69="Deadline"),$I69&gt;=BX$4,$I69&lt;BX$4+7),IF($K69="Deadline","◇","◆"),"")</f>
        <v/>
      </c>
      <c r="BY69" s="14" t="str">
        <f>IF(AND(ISNUMBER($I69),OR($K69="Milestone",$K69="Deadline"),$I69&gt;=BY$4,$I69&lt;BY$4+7),IF($K69="Deadline","◇","◆"),"")</f>
        <v/>
      </c>
      <c r="BZ69" s="14" t="str">
        <f>IF(AND(ISNUMBER($I69),OR($K69="Milestone",$K69="Deadline"),$I69&gt;=BZ$4,$I69&lt;BZ$4+7),IF($K69="Deadline","◇","◆"),"")</f>
        <v/>
      </c>
      <c r="CA69" s="14" t="str">
        <f>IF(AND(ISNUMBER($I69),OR($K69="Milestone",$K69="Deadline"),$I69&gt;=CA$4,$I69&lt;CA$4+7),IF($K69="Deadline","◇","◆"),"")</f>
        <v/>
      </c>
      <c r="CB69" s="14" t="str">
        <f>IF(AND(ISNUMBER($I69),OR($K69="Milestone",$K69="Deadline"),$I69&gt;=CB$4,$I69&lt;CB$4+7),IF($K69="Deadline","◇","◆"),"")</f>
        <v/>
      </c>
      <c r="CC69" s="14" t="str">
        <f>IF(AND(ISNUMBER($I69),OR($K69="Milestone",$K69="Deadline"),$I69&gt;=CC$4,$I69&lt;CC$4+7),IF($K69="Deadline","◇","◆"),"")</f>
        <v/>
      </c>
      <c r="CD69" s="14" t="str">
        <f>IF(AND(ISNUMBER($I69),OR($K69="Milestone",$K69="Deadline"),$I69&gt;=CD$4,$I69&lt;CD$4+7),IF($K69="Deadline","◇","◆"),"")</f>
        <v/>
      </c>
      <c r="CE69" s="14" t="str">
        <f>IF(AND(ISNUMBER($I69),OR($K69="Milestone",$K69="Deadline"),$I69&gt;=CE$4,$I69&lt;CE$4+7),IF($K69="Deadline","◇","◆"),"")</f>
        <v/>
      </c>
      <c r="CF69" s="14" t="str">
        <f>IF(AND(ISNUMBER($I69),OR($K69="Milestone",$K69="Deadline"),$I69&gt;=CF$4,$I69&lt;CF$4+7),IF($K69="Deadline","◇","◆"),"")</f>
        <v/>
      </c>
      <c r="CG69" s="14" t="str">
        <f>IF(AND(ISNUMBER($I69),OR($K69="Milestone",$K69="Deadline"),$I69&gt;=CG$4,$I69&lt;CG$4+7),IF($K69="Deadline","◇","◆"),"")</f>
        <v/>
      </c>
      <c r="CH69" s="14" t="str">
        <f>IF(AND(ISNUMBER($I69),OR($K69="Milestone",$K69="Deadline"),$I69&gt;=CH$4,$I69&lt;CH$4+7),IF($K69="Deadline","◇","◆"),"")</f>
        <v/>
      </c>
      <c r="CI69" s="14" t="str">
        <f>IF(AND(ISNUMBER($I69),OR($K69="Milestone",$K69="Deadline"),$I69&gt;=CI$4,$I69&lt;CI$4+7),IF($K69="Deadline","◇","◆"),"")</f>
        <v/>
      </c>
      <c r="CJ69" s="14" t="str">
        <f>IF(AND(ISNUMBER($I69),OR($K69="Milestone",$K69="Deadline"),$I69&gt;=CJ$4,$I69&lt;CJ$4+7),IF($K69="Deadline","◇","◆"),"")</f>
        <v/>
      </c>
      <c r="CK69" s="14" t="str">
        <f>IF(AND(ISNUMBER($I69),OR($K69="Milestone",$K69="Deadline"),$I69&gt;=CK$4,$I69&lt;CK$4+7),IF($K69="Deadline","◇","◆"),"")</f>
        <v/>
      </c>
      <c r="CL69" s="14" t="str">
        <f>IF(AND(ISNUMBER($I69),OR($K69="Milestone",$K69="Deadline"),$I69&gt;=CL$4,$I69&lt;CL$4+7),IF($K69="Deadline","◇","◆"),"")</f>
        <v/>
      </c>
      <c r="CM69" s="14" t="str">
        <f>IF(AND(ISNUMBER($I69),OR($K69="Milestone",$K69="Deadline"),$I69&gt;=CM$4,$I69&lt;CM$4+7),IF($K69="Deadline","◇","◆"),"")</f>
        <v/>
      </c>
    </row>
    <row r="70" spans="1:91" ht="15" hidden="1" customHeight="1">
      <c r="A70" s="29" t="s">
        <v>174</v>
      </c>
      <c r="B70" s="29" t="s">
        <v>234</v>
      </c>
      <c r="C70" s="29" t="s">
        <v>63</v>
      </c>
      <c r="D70" s="29" t="s">
        <v>168</v>
      </c>
      <c r="E70" s="29" t="s">
        <v>169</v>
      </c>
      <c r="F70" s="29" t="s">
        <v>179</v>
      </c>
      <c r="G70" s="29" t="s">
        <v>171</v>
      </c>
      <c r="H70" s="29">
        <v>7</v>
      </c>
      <c r="I70" s="30">
        <f>MAX($C$2,J67+1)</f>
        <v>46356</v>
      </c>
      <c r="J70" s="31">
        <f>IF(AND(ISNUMBER(I70),ISNUMBER(H70)),I70+H70-1,"")</f>
        <v>46362</v>
      </c>
      <c r="K70" s="29" t="s">
        <v>27</v>
      </c>
      <c r="L70" s="29"/>
      <c r="M70" s="32" t="s">
        <v>233</v>
      </c>
      <c r="N70" s="29"/>
      <c r="O70" s="32">
        <f>IF(AND(ISNUMBER(I70),ISNUMBER(J70)),J70-I70+1,"")</f>
        <v>7</v>
      </c>
      <c r="P70" s="13" t="s">
        <v>140</v>
      </c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  <c r="AO70" s="14" t="str">
        <f>IF(AND(ISNUMBER($I70),OR($K70="Milestone",$K70="Deadline"),$I70&gt;=AO$4,$I70&lt;AO$4+7),IF($K70="Deadline","◇","◆"),"")</f>
        <v/>
      </c>
      <c r="AP70" s="14" t="str">
        <f>IF(AND(ISNUMBER($I70),OR($K70="Milestone",$K70="Deadline"),$I70&gt;=AP$4,$I70&lt;AP$4+7),IF($K70="Deadline","◇","◆"),"")</f>
        <v/>
      </c>
      <c r="AQ70" s="14" t="str">
        <f>IF(AND(ISNUMBER($I70),OR($K70="Milestone",$K70="Deadline"),$I70&gt;=AQ$4,$I70&lt;AQ$4+7),IF($K70="Deadline","◇","◆"),"")</f>
        <v/>
      </c>
      <c r="AR70" s="14" t="str">
        <f>IF(AND(ISNUMBER($I70),OR($K70="Milestone",$K70="Deadline"),$I70&gt;=AR$4,$I70&lt;AR$4+7),IF($K70="Deadline","◇","◆"),"")</f>
        <v/>
      </c>
      <c r="AS70" s="14" t="str">
        <f>IF(AND(ISNUMBER($I70),OR($K70="Milestone",$K70="Deadline"),$I70&gt;=AS$4,$I70&lt;AS$4+7),IF($K70="Deadline","◇","◆"),"")</f>
        <v/>
      </c>
      <c r="AT70" s="14" t="str">
        <f>IF(AND(ISNUMBER($I70),OR($K70="Milestone",$K70="Deadline"),$I70&gt;=AT$4,$I70&lt;AT$4+7),IF($K70="Deadline","◇","◆"),"")</f>
        <v/>
      </c>
      <c r="AU70" s="14" t="str">
        <f>IF(AND(ISNUMBER($I70),OR($K70="Milestone",$K70="Deadline"),$I70&gt;=AU$4,$I70&lt;AU$4+7),IF($K70="Deadline","◇","◆"),"")</f>
        <v/>
      </c>
      <c r="AV70" s="14" t="str">
        <f>IF(AND(ISNUMBER($I70),OR($K70="Milestone",$K70="Deadline"),$I70&gt;=AV$4,$I70&lt;AV$4+7),IF($K70="Deadline","◇","◆"),"")</f>
        <v/>
      </c>
      <c r="AW70" s="14" t="str">
        <f>IF(AND(ISNUMBER($I70),OR($K70="Milestone",$K70="Deadline"),$I70&gt;=AW$4,$I70&lt;AW$4+7),IF($K70="Deadline","◇","◆"),"")</f>
        <v/>
      </c>
      <c r="AX70" s="14" t="str">
        <f>IF(AND(ISNUMBER($I70),OR($K70="Milestone",$K70="Deadline"),$I70&gt;=AX$4,$I70&lt;AX$4+7),IF($K70="Deadline","◇","◆"),"")</f>
        <v/>
      </c>
      <c r="AY70" s="14" t="str">
        <f>IF(AND(ISNUMBER($I70),OR($K70="Milestone",$K70="Deadline"),$I70&gt;=AY$4,$I70&lt;AY$4+7),IF($K70="Deadline","◇","◆"),"")</f>
        <v/>
      </c>
      <c r="AZ70" s="14" t="str">
        <f>IF(AND(ISNUMBER($I70),OR($K70="Milestone",$K70="Deadline"),$I70&gt;=AZ$4,$I70&lt;AZ$4+7),IF($K70="Deadline","◇","◆"),"")</f>
        <v/>
      </c>
      <c r="BA70" s="14" t="str">
        <f>IF(AND(ISNUMBER($I70),OR($K70="Milestone",$K70="Deadline"),$I70&gt;=BA$4,$I70&lt;BA$4+7),IF($K70="Deadline","◇","◆"),"")</f>
        <v/>
      </c>
      <c r="BB70" s="14" t="str">
        <f>IF(AND(ISNUMBER($I70),OR($K70="Milestone",$K70="Deadline"),$I70&gt;=BB$4,$I70&lt;BB$4+7),IF($K70="Deadline","◇","◆"),"")</f>
        <v/>
      </c>
      <c r="BC70" s="14" t="str">
        <f>IF(AND(ISNUMBER($I70),OR($K70="Milestone",$K70="Deadline"),$I70&gt;=BC$4,$I70&lt;BC$4+7),IF($K70="Deadline","◇","◆"),"")</f>
        <v/>
      </c>
      <c r="BD70" s="14" t="str">
        <f>IF(AND(ISNUMBER($I70),OR($K70="Milestone",$K70="Deadline"),$I70&gt;=BD$4,$I70&lt;BD$4+7),IF($K70="Deadline","◇","◆"),"")</f>
        <v/>
      </c>
      <c r="BE70" s="14" t="str">
        <f>IF(AND(ISNUMBER($I70),OR($K70="Milestone",$K70="Deadline"),$I70&gt;=BE$4,$I70&lt;BE$4+7),IF($K70="Deadline","◇","◆"),"")</f>
        <v/>
      </c>
      <c r="BF70" s="14" t="str">
        <f>IF(AND(ISNUMBER($I70),OR($K70="Milestone",$K70="Deadline"),$I70&gt;=BF$4,$I70&lt;BF$4+7),IF($K70="Deadline","◇","◆"),"")</f>
        <v/>
      </c>
      <c r="BG70" s="14" t="str">
        <f>IF(AND(ISNUMBER($I70),OR($K70="Milestone",$K70="Deadline"),$I70&gt;=BG$4,$I70&lt;BG$4+7),IF($K70="Deadline","◇","◆"),"")</f>
        <v/>
      </c>
      <c r="BH70" s="14" t="str">
        <f>IF(AND(ISNUMBER($I70),OR($K70="Milestone",$K70="Deadline"),$I70&gt;=BH$4,$I70&lt;BH$4+7),IF($K70="Deadline","◇","◆"),"")</f>
        <v/>
      </c>
      <c r="BI70" s="14" t="str">
        <f>IF(AND(ISNUMBER($I70),OR($K70="Milestone",$K70="Deadline"),$I70&gt;=BI$4,$I70&lt;BI$4+7),IF($K70="Deadline","◇","◆"),"")</f>
        <v/>
      </c>
      <c r="BJ70" s="14" t="str">
        <f>IF(AND(ISNUMBER($I70),OR($K70="Milestone",$K70="Deadline"),$I70&gt;=BJ$4,$I70&lt;BJ$4+7),IF($K70="Deadline","◇","◆"),"")</f>
        <v/>
      </c>
      <c r="BK70" s="14" t="str">
        <f>IF(AND(ISNUMBER($I70),OR($K70="Milestone",$K70="Deadline"),$I70&gt;=BK$4,$I70&lt;BK$4+7),IF($K70="Deadline","◇","◆"),"")</f>
        <v/>
      </c>
      <c r="BL70" s="14" t="str">
        <f>IF(AND(ISNUMBER($I70),OR($K70="Milestone",$K70="Deadline"),$I70&gt;=BL$4,$I70&lt;BL$4+7),IF($K70="Deadline","◇","◆"),"")</f>
        <v/>
      </c>
      <c r="BM70" s="14" t="str">
        <f>IF(AND(ISNUMBER($I70),OR($K70="Milestone",$K70="Deadline"),$I70&gt;=BM$4,$I70&lt;BM$4+7),IF($K70="Deadline","◇","◆"),"")</f>
        <v/>
      </c>
      <c r="BN70" s="14" t="str">
        <f>IF(AND(ISNUMBER($I70),OR($K70="Milestone",$K70="Deadline"),$I70&gt;=BN$4,$I70&lt;BN$4+7),IF($K70="Deadline","◇","◆"),"")</f>
        <v/>
      </c>
      <c r="BO70" s="14" t="str">
        <f>IF(AND(ISNUMBER($I70),OR($K70="Milestone",$K70="Deadline"),$I70&gt;=BO$4,$I70&lt;BO$4+7),IF($K70="Deadline","◇","◆"),"")</f>
        <v/>
      </c>
      <c r="BP70" s="14" t="str">
        <f>IF(AND(ISNUMBER($I70),OR($K70="Milestone",$K70="Deadline"),$I70&gt;=BP$4,$I70&lt;BP$4+7),IF($K70="Deadline","◇","◆"),"")</f>
        <v/>
      </c>
      <c r="BQ70" s="14" t="str">
        <f>IF(AND(ISNUMBER($I70),OR($K70="Milestone",$K70="Deadline"),$I70&gt;=BQ$4,$I70&lt;BQ$4+7),IF($K70="Deadline","◇","◆"),"")</f>
        <v/>
      </c>
      <c r="BR70" s="14" t="str">
        <f>IF(AND(ISNUMBER($I70),OR($K70="Milestone",$K70="Deadline"),$I70&gt;=BR$4,$I70&lt;BR$4+7),IF($K70="Deadline","◇","◆"),"")</f>
        <v/>
      </c>
      <c r="BS70" s="14" t="str">
        <f>IF(AND(ISNUMBER($I70),OR($K70="Milestone",$K70="Deadline"),$I70&gt;=BS$4,$I70&lt;BS$4+7),IF($K70="Deadline","◇","◆"),"")</f>
        <v/>
      </c>
      <c r="BT70" s="14" t="str">
        <f>IF(AND(ISNUMBER($I70),OR($K70="Milestone",$K70="Deadline"),$I70&gt;=BT$4,$I70&lt;BT$4+7),IF($K70="Deadline","◇","◆"),"")</f>
        <v/>
      </c>
      <c r="BU70" s="14" t="str">
        <f>IF(AND(ISNUMBER($I70),OR($K70="Milestone",$K70="Deadline"),$I70&gt;=BU$4,$I70&lt;BU$4+7),IF($K70="Deadline","◇","◆"),"")</f>
        <v/>
      </c>
      <c r="BV70" s="14" t="str">
        <f>IF(AND(ISNUMBER($I70),OR($K70="Milestone",$K70="Deadline"),$I70&gt;=BV$4,$I70&lt;BV$4+7),IF($K70="Deadline","◇","◆"),"")</f>
        <v/>
      </c>
      <c r="BW70" s="14" t="str">
        <f>IF(AND(ISNUMBER($I70),OR($K70="Milestone",$K70="Deadline"),$I70&gt;=BW$4,$I70&lt;BW$4+7),IF($K70="Deadline","◇","◆"),"")</f>
        <v/>
      </c>
      <c r="BX70" s="14" t="str">
        <f>IF(AND(ISNUMBER($I70),OR($K70="Milestone",$K70="Deadline"),$I70&gt;=BX$4,$I70&lt;BX$4+7),IF($K70="Deadline","◇","◆"),"")</f>
        <v/>
      </c>
      <c r="BY70" s="14" t="str">
        <f>IF(AND(ISNUMBER($I70),OR($K70="Milestone",$K70="Deadline"),$I70&gt;=BY$4,$I70&lt;BY$4+7),IF($K70="Deadline","◇","◆"),"")</f>
        <v/>
      </c>
      <c r="BZ70" s="14" t="str">
        <f>IF(AND(ISNUMBER($I70),OR($K70="Milestone",$K70="Deadline"),$I70&gt;=BZ$4,$I70&lt;BZ$4+7),IF($K70="Deadline","◇","◆"),"")</f>
        <v/>
      </c>
      <c r="CA70" s="14" t="str">
        <f>IF(AND(ISNUMBER($I70),OR($K70="Milestone",$K70="Deadline"),$I70&gt;=CA$4,$I70&lt;CA$4+7),IF($K70="Deadline","◇","◆"),"")</f>
        <v/>
      </c>
      <c r="CB70" s="14" t="str">
        <f>IF(AND(ISNUMBER($I70),OR($K70="Milestone",$K70="Deadline"),$I70&gt;=CB$4,$I70&lt;CB$4+7),IF($K70="Deadline","◇","◆"),"")</f>
        <v/>
      </c>
      <c r="CC70" s="14" t="str">
        <f>IF(AND(ISNUMBER($I70),OR($K70="Milestone",$K70="Deadline"),$I70&gt;=CC$4,$I70&lt;CC$4+7),IF($K70="Deadline","◇","◆"),"")</f>
        <v/>
      </c>
      <c r="CD70" s="14" t="str">
        <f>IF(AND(ISNUMBER($I70),OR($K70="Milestone",$K70="Deadline"),$I70&gt;=CD$4,$I70&lt;CD$4+7),IF($K70="Deadline","◇","◆"),"")</f>
        <v/>
      </c>
      <c r="CE70" s="14" t="str">
        <f>IF(AND(ISNUMBER($I70),OR($K70="Milestone",$K70="Deadline"),$I70&gt;=CE$4,$I70&lt;CE$4+7),IF($K70="Deadline","◇","◆"),"")</f>
        <v/>
      </c>
      <c r="CF70" s="14" t="str">
        <f>IF(AND(ISNUMBER($I70),OR($K70="Milestone",$K70="Deadline"),$I70&gt;=CF$4,$I70&lt;CF$4+7),IF($K70="Deadline","◇","◆"),"")</f>
        <v/>
      </c>
      <c r="CG70" s="14" t="str">
        <f>IF(AND(ISNUMBER($I70),OR($K70="Milestone",$K70="Deadline"),$I70&gt;=CG$4,$I70&lt;CG$4+7),IF($K70="Deadline","◇","◆"),"")</f>
        <v/>
      </c>
      <c r="CH70" s="14" t="str">
        <f>IF(AND(ISNUMBER($I70),OR($K70="Milestone",$K70="Deadline"),$I70&gt;=CH$4,$I70&lt;CH$4+7),IF($K70="Deadline","◇","◆"),"")</f>
        <v/>
      </c>
      <c r="CI70" s="14" t="str">
        <f>IF(AND(ISNUMBER($I70),OR($K70="Milestone",$K70="Deadline"),$I70&gt;=CI$4,$I70&lt;CI$4+7),IF($K70="Deadline","◇","◆"),"")</f>
        <v/>
      </c>
      <c r="CJ70" s="14" t="str">
        <f>IF(AND(ISNUMBER($I70),OR($K70="Milestone",$K70="Deadline"),$I70&gt;=CJ$4,$I70&lt;CJ$4+7),IF($K70="Deadline","◇","◆"),"")</f>
        <v/>
      </c>
      <c r="CK70" s="14" t="str">
        <f>IF(AND(ISNUMBER($I70),OR($K70="Milestone",$K70="Deadline"),$I70&gt;=CK$4,$I70&lt;CK$4+7),IF($K70="Deadline","◇","◆"),"")</f>
        <v/>
      </c>
      <c r="CL70" s="14" t="str">
        <f>IF(AND(ISNUMBER($I70),OR($K70="Milestone",$K70="Deadline"),$I70&gt;=CL$4,$I70&lt;CL$4+7),IF($K70="Deadline","◇","◆"),"")</f>
        <v/>
      </c>
      <c r="CM70" s="14" t="str">
        <f>IF(AND(ISNUMBER($I70),OR($K70="Milestone",$K70="Deadline"),$I70&gt;=CM$4,$I70&lt;CM$4+7),IF($K70="Deadline","◇","◆"),"")</f>
        <v/>
      </c>
    </row>
    <row r="71" spans="1:91" ht="15" hidden="1" customHeight="1">
      <c r="A71" s="29" t="s">
        <v>237</v>
      </c>
      <c r="B71" s="29" t="s">
        <v>234</v>
      </c>
      <c r="C71" s="29" t="s">
        <v>63</v>
      </c>
      <c r="D71" s="29" t="s">
        <v>168</v>
      </c>
      <c r="E71" s="29" t="s">
        <v>169</v>
      </c>
      <c r="F71" s="29" t="s">
        <v>179</v>
      </c>
      <c r="G71" s="29" t="s">
        <v>173</v>
      </c>
      <c r="H71" s="29">
        <v>7</v>
      </c>
      <c r="I71" s="30">
        <f>MAX(DATE(2026,12,8),J70+1)</f>
        <v>46364</v>
      </c>
      <c r="J71" s="31">
        <f>IF(AND(ISNUMBER(I71),ISNUMBER(H71)),I71+H71-1,"")</f>
        <v>46370</v>
      </c>
      <c r="K71" s="29" t="s">
        <v>27</v>
      </c>
      <c r="L71" s="29" t="s">
        <v>174</v>
      </c>
      <c r="M71" s="32"/>
      <c r="N71" s="29"/>
      <c r="O71" s="32">
        <f>IF(AND(ISNUMBER(I71),ISNUMBER(J71)),J71-I71+1,"")</f>
        <v>7</v>
      </c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 t="s">
        <v>140</v>
      </c>
      <c r="AM71" s="13"/>
      <c r="AN71" s="13"/>
      <c r="AO71" s="14" t="str">
        <f>IF(AND(ISNUMBER($I71),OR($K71="Milestone",$K71="Deadline"),$I71&gt;=AO$4,$I71&lt;AO$4+7),IF($K71="Deadline","◇","◆"),"")</f>
        <v/>
      </c>
      <c r="AP71" s="14" t="str">
        <f>IF(AND(ISNUMBER($I71),OR($K71="Milestone",$K71="Deadline"),$I71&gt;=AP$4,$I71&lt;AP$4+7),IF($K71="Deadline","◇","◆"),"")</f>
        <v/>
      </c>
      <c r="AQ71" s="14" t="str">
        <f>IF(AND(ISNUMBER($I71),OR($K71="Milestone",$K71="Deadline"),$I71&gt;=AQ$4,$I71&lt;AQ$4+7),IF($K71="Deadline","◇","◆"),"")</f>
        <v/>
      </c>
      <c r="AR71" s="14" t="str">
        <f>IF(AND(ISNUMBER($I71),OR($K71="Milestone",$K71="Deadline"),$I71&gt;=AR$4,$I71&lt;AR$4+7),IF($K71="Deadline","◇","◆"),"")</f>
        <v/>
      </c>
      <c r="AS71" s="14" t="str">
        <f>IF(AND(ISNUMBER($I71),OR($K71="Milestone",$K71="Deadline"),$I71&gt;=AS$4,$I71&lt;AS$4+7),IF($K71="Deadline","◇","◆"),"")</f>
        <v/>
      </c>
      <c r="AT71" s="14" t="str">
        <f>IF(AND(ISNUMBER($I71),OR($K71="Milestone",$K71="Deadline"),$I71&gt;=AT$4,$I71&lt;AT$4+7),IF($K71="Deadline","◇","◆"),"")</f>
        <v/>
      </c>
      <c r="AU71" s="14" t="str">
        <f>IF(AND(ISNUMBER($I71),OR($K71="Milestone",$K71="Deadline"),$I71&gt;=AU$4,$I71&lt;AU$4+7),IF($K71="Deadline","◇","◆"),"")</f>
        <v/>
      </c>
      <c r="AV71" s="14" t="str">
        <f>IF(AND(ISNUMBER($I71),OR($K71="Milestone",$K71="Deadline"),$I71&gt;=AV$4,$I71&lt;AV$4+7),IF($K71="Deadline","◇","◆"),"")</f>
        <v/>
      </c>
      <c r="AW71" s="14" t="str">
        <f>IF(AND(ISNUMBER($I71),OR($K71="Milestone",$K71="Deadline"),$I71&gt;=AW$4,$I71&lt;AW$4+7),IF($K71="Deadline","◇","◆"),"")</f>
        <v/>
      </c>
      <c r="AX71" s="14" t="str">
        <f>IF(AND(ISNUMBER($I71),OR($K71="Milestone",$K71="Deadline"),$I71&gt;=AX$4,$I71&lt;AX$4+7),IF($K71="Deadline","◇","◆"),"")</f>
        <v/>
      </c>
      <c r="AY71" s="14" t="str">
        <f>IF(AND(ISNUMBER($I71),OR($K71="Milestone",$K71="Deadline"),$I71&gt;=AY$4,$I71&lt;AY$4+7),IF($K71="Deadline","◇","◆"),"")</f>
        <v/>
      </c>
      <c r="AZ71" s="14" t="str">
        <f>IF(AND(ISNUMBER($I71),OR($K71="Milestone",$K71="Deadline"),$I71&gt;=AZ$4,$I71&lt;AZ$4+7),IF($K71="Deadline","◇","◆"),"")</f>
        <v/>
      </c>
      <c r="BA71" s="14" t="str">
        <f>IF(AND(ISNUMBER($I71),OR($K71="Milestone",$K71="Deadline"),$I71&gt;=BA$4,$I71&lt;BA$4+7),IF($K71="Deadline","◇","◆"),"")</f>
        <v/>
      </c>
      <c r="BB71" s="14" t="str">
        <f>IF(AND(ISNUMBER($I71),OR($K71="Milestone",$K71="Deadline"),$I71&gt;=BB$4,$I71&lt;BB$4+7),IF($K71="Deadline","◇","◆"),"")</f>
        <v/>
      </c>
      <c r="BC71" s="14" t="str">
        <f>IF(AND(ISNUMBER($I71),OR($K71="Milestone",$K71="Deadline"),$I71&gt;=BC$4,$I71&lt;BC$4+7),IF($K71="Deadline","◇","◆"),"")</f>
        <v/>
      </c>
      <c r="BD71" s="14" t="str">
        <f>IF(AND(ISNUMBER($I71),OR($K71="Milestone",$K71="Deadline"),$I71&gt;=BD$4,$I71&lt;BD$4+7),IF($K71="Deadline","◇","◆"),"")</f>
        <v/>
      </c>
      <c r="BE71" s="14" t="str">
        <f>IF(AND(ISNUMBER($I71),OR($K71="Milestone",$K71="Deadline"),$I71&gt;=BE$4,$I71&lt;BE$4+7),IF($K71="Deadline","◇","◆"),"")</f>
        <v/>
      </c>
      <c r="BF71" s="14" t="str">
        <f>IF(AND(ISNUMBER($I71),OR($K71="Milestone",$K71="Deadline"),$I71&gt;=BF$4,$I71&lt;BF$4+7),IF($K71="Deadline","◇","◆"),"")</f>
        <v/>
      </c>
      <c r="BG71" s="14" t="str">
        <f>IF(AND(ISNUMBER($I71),OR($K71="Milestone",$K71="Deadline"),$I71&gt;=BG$4,$I71&lt;BG$4+7),IF($K71="Deadline","◇","◆"),"")</f>
        <v/>
      </c>
      <c r="BH71" s="14" t="str">
        <f>IF(AND(ISNUMBER($I71),OR($K71="Milestone",$K71="Deadline"),$I71&gt;=BH$4,$I71&lt;BH$4+7),IF($K71="Deadline","◇","◆"),"")</f>
        <v/>
      </c>
      <c r="BI71" s="14" t="str">
        <f>IF(AND(ISNUMBER($I71),OR($K71="Milestone",$K71="Deadline"),$I71&gt;=BI$4,$I71&lt;BI$4+7),IF($K71="Deadline","◇","◆"),"")</f>
        <v/>
      </c>
      <c r="BJ71" s="14" t="str">
        <f>IF(AND(ISNUMBER($I71),OR($K71="Milestone",$K71="Deadline"),$I71&gt;=BJ$4,$I71&lt;BJ$4+7),IF($K71="Deadline","◇","◆"),"")</f>
        <v/>
      </c>
      <c r="BK71" s="14" t="str">
        <f>IF(AND(ISNUMBER($I71),OR($K71="Milestone",$K71="Deadline"),$I71&gt;=BK$4,$I71&lt;BK$4+7),IF($K71="Deadline","◇","◆"),"")</f>
        <v/>
      </c>
      <c r="BL71" s="14" t="str">
        <f>IF(AND(ISNUMBER($I71),OR($K71="Milestone",$K71="Deadline"),$I71&gt;=BL$4,$I71&lt;BL$4+7),IF($K71="Deadline","◇","◆"),"")</f>
        <v/>
      </c>
      <c r="BM71" s="14" t="str">
        <f>IF(AND(ISNUMBER($I71),OR($K71="Milestone",$K71="Deadline"),$I71&gt;=BM$4,$I71&lt;BM$4+7),IF($K71="Deadline","◇","◆"),"")</f>
        <v/>
      </c>
      <c r="BN71" s="14" t="str">
        <f>IF(AND(ISNUMBER($I71),OR($K71="Milestone",$K71="Deadline"),$I71&gt;=BN$4,$I71&lt;BN$4+7),IF($K71="Deadline","◇","◆"),"")</f>
        <v/>
      </c>
      <c r="BO71" s="14" t="str">
        <f>IF(AND(ISNUMBER($I71),OR($K71="Milestone",$K71="Deadline"),$I71&gt;=BO$4,$I71&lt;BO$4+7),IF($K71="Deadline","◇","◆"),"")</f>
        <v/>
      </c>
      <c r="BP71" s="14" t="str">
        <f>IF(AND(ISNUMBER($I71),OR($K71="Milestone",$K71="Deadline"),$I71&gt;=BP$4,$I71&lt;BP$4+7),IF($K71="Deadline","◇","◆"),"")</f>
        <v/>
      </c>
      <c r="BQ71" s="14" t="str">
        <f>IF(AND(ISNUMBER($I71),OR($K71="Milestone",$K71="Deadline"),$I71&gt;=BQ$4,$I71&lt;BQ$4+7),IF($K71="Deadline","◇","◆"),"")</f>
        <v/>
      </c>
      <c r="BR71" s="14" t="str">
        <f>IF(AND(ISNUMBER($I71),OR($K71="Milestone",$K71="Deadline"),$I71&gt;=BR$4,$I71&lt;BR$4+7),IF($K71="Deadline","◇","◆"),"")</f>
        <v/>
      </c>
      <c r="BS71" s="14" t="str">
        <f>IF(AND(ISNUMBER($I71),OR($K71="Milestone",$K71="Deadline"),$I71&gt;=BS$4,$I71&lt;BS$4+7),IF($K71="Deadline","◇","◆"),"")</f>
        <v/>
      </c>
      <c r="BT71" s="14" t="str">
        <f>IF(AND(ISNUMBER($I71),OR($K71="Milestone",$K71="Deadline"),$I71&gt;=BT$4,$I71&lt;BT$4+7),IF($K71="Deadline","◇","◆"),"")</f>
        <v/>
      </c>
      <c r="BU71" s="14" t="str">
        <f>IF(AND(ISNUMBER($I71),OR($K71="Milestone",$K71="Deadline"),$I71&gt;=BU$4,$I71&lt;BU$4+7),IF($K71="Deadline","◇","◆"),"")</f>
        <v/>
      </c>
      <c r="BV71" s="14" t="str">
        <f>IF(AND(ISNUMBER($I71),OR($K71="Milestone",$K71="Deadline"),$I71&gt;=BV$4,$I71&lt;BV$4+7),IF($K71="Deadline","◇","◆"),"")</f>
        <v/>
      </c>
      <c r="BW71" s="14" t="str">
        <f>IF(AND(ISNUMBER($I71),OR($K71="Milestone",$K71="Deadline"),$I71&gt;=BW$4,$I71&lt;BW$4+7),IF($K71="Deadline","◇","◆"),"")</f>
        <v/>
      </c>
      <c r="BX71" s="14" t="str">
        <f>IF(AND(ISNUMBER($I71),OR($K71="Milestone",$K71="Deadline"),$I71&gt;=BX$4,$I71&lt;BX$4+7),IF($K71="Deadline","◇","◆"),"")</f>
        <v/>
      </c>
      <c r="BY71" s="14" t="str">
        <f>IF(AND(ISNUMBER($I71),OR($K71="Milestone",$K71="Deadline"),$I71&gt;=BY$4,$I71&lt;BY$4+7),IF($K71="Deadline","◇","◆"),"")</f>
        <v/>
      </c>
      <c r="BZ71" s="14" t="str">
        <f>IF(AND(ISNUMBER($I71),OR($K71="Milestone",$K71="Deadline"),$I71&gt;=BZ$4,$I71&lt;BZ$4+7),IF($K71="Deadline","◇","◆"),"")</f>
        <v/>
      </c>
      <c r="CA71" s="14" t="str">
        <f>IF(AND(ISNUMBER($I71),OR($K71="Milestone",$K71="Deadline"),$I71&gt;=CA$4,$I71&lt;CA$4+7),IF($K71="Deadline","◇","◆"),"")</f>
        <v/>
      </c>
      <c r="CB71" s="14" t="str">
        <f>IF(AND(ISNUMBER($I71),OR($K71="Milestone",$K71="Deadline"),$I71&gt;=CB$4,$I71&lt;CB$4+7),IF($K71="Deadline","◇","◆"),"")</f>
        <v/>
      </c>
      <c r="CC71" s="14" t="str">
        <f>IF(AND(ISNUMBER($I71),OR($K71="Milestone",$K71="Deadline"),$I71&gt;=CC$4,$I71&lt;CC$4+7),IF($K71="Deadline","◇","◆"),"")</f>
        <v/>
      </c>
      <c r="CD71" s="14" t="str">
        <f>IF(AND(ISNUMBER($I71),OR($K71="Milestone",$K71="Deadline"),$I71&gt;=CD$4,$I71&lt;CD$4+7),IF($K71="Deadline","◇","◆"),"")</f>
        <v/>
      </c>
      <c r="CE71" s="14" t="str">
        <f>IF(AND(ISNUMBER($I71),OR($K71="Milestone",$K71="Deadline"),$I71&gt;=CE$4,$I71&lt;CE$4+7),IF($K71="Deadline","◇","◆"),"")</f>
        <v/>
      </c>
      <c r="CF71" s="14" t="str">
        <f>IF(AND(ISNUMBER($I71),OR($K71="Milestone",$K71="Deadline"),$I71&gt;=CF$4,$I71&lt;CF$4+7),IF($K71="Deadline","◇","◆"),"")</f>
        <v/>
      </c>
      <c r="CG71" s="14" t="str">
        <f>IF(AND(ISNUMBER($I71),OR($K71="Milestone",$K71="Deadline"),$I71&gt;=CG$4,$I71&lt;CG$4+7),IF($K71="Deadline","◇","◆"),"")</f>
        <v/>
      </c>
      <c r="CH71" s="14" t="str">
        <f>IF(AND(ISNUMBER($I71),OR($K71="Milestone",$K71="Deadline"),$I71&gt;=CH$4,$I71&lt;CH$4+7),IF($K71="Deadline","◇","◆"),"")</f>
        <v/>
      </c>
      <c r="CI71" s="14" t="str">
        <f>IF(AND(ISNUMBER($I71),OR($K71="Milestone",$K71="Deadline"),$I71&gt;=CI$4,$I71&lt;CI$4+7),IF($K71="Deadline","◇","◆"),"")</f>
        <v/>
      </c>
      <c r="CJ71" s="14" t="str">
        <f>IF(AND(ISNUMBER($I71),OR($K71="Milestone",$K71="Deadline"),$I71&gt;=CJ$4,$I71&lt;CJ$4+7),IF($K71="Deadline","◇","◆"),"")</f>
        <v/>
      </c>
      <c r="CK71" s="14" t="str">
        <f>IF(AND(ISNUMBER($I71),OR($K71="Milestone",$K71="Deadline"),$I71&gt;=CK$4,$I71&lt;CK$4+7),IF($K71="Deadline","◇","◆"),"")</f>
        <v/>
      </c>
      <c r="CL71" s="14" t="str">
        <f>IF(AND(ISNUMBER($I71),OR($K71="Milestone",$K71="Deadline"),$I71&gt;=CL$4,$I71&lt;CL$4+7),IF($K71="Deadline","◇","◆"),"")</f>
        <v/>
      </c>
      <c r="CM71" s="14" t="str">
        <f>IF(AND(ISNUMBER($I71),OR($K71="Milestone",$K71="Deadline"),$I71&gt;=CM$4,$I71&lt;CM$4+7),IF($K71="Deadline","◇","◆"),"")</f>
        <v/>
      </c>
    </row>
    <row r="72" spans="1:91" ht="15" hidden="1" customHeight="1">
      <c r="A72" s="29" t="s">
        <v>238</v>
      </c>
      <c r="B72" s="29" t="s">
        <v>234</v>
      </c>
      <c r="C72" s="29" t="s">
        <v>63</v>
      </c>
      <c r="D72" s="29" t="s">
        <v>168</v>
      </c>
      <c r="E72" s="29" t="s">
        <v>169</v>
      </c>
      <c r="F72" s="29" t="s">
        <v>179</v>
      </c>
      <c r="G72" s="29" t="s">
        <v>176</v>
      </c>
      <c r="H72" s="29">
        <v>7</v>
      </c>
      <c r="I72" s="30">
        <f>MAX($C$2,J71+1,J38+1)</f>
        <v>46377</v>
      </c>
      <c r="J72" s="31">
        <f>IF(AND(ISNUMBER(I72),ISNUMBER(H72)),I72+H72-1,"")</f>
        <v>46383</v>
      </c>
      <c r="K72" s="29" t="s">
        <v>27</v>
      </c>
      <c r="L72" s="29" t="s">
        <v>237</v>
      </c>
      <c r="M72" s="32" t="s">
        <v>152</v>
      </c>
      <c r="N72" s="29"/>
      <c r="O72" s="32">
        <f>IF(AND(ISNUMBER(I72),ISNUMBER(J72)),J72-I72+1,"")</f>
        <v>7</v>
      </c>
      <c r="P72" s="13"/>
      <c r="Q72" s="13"/>
      <c r="R72" s="13"/>
      <c r="S72" s="13"/>
      <c r="T72" s="13"/>
      <c r="U72" s="13" t="s">
        <v>140</v>
      </c>
      <c r="V72" s="13" t="s">
        <v>140</v>
      </c>
      <c r="W72" s="13"/>
      <c r="X72" s="13"/>
      <c r="Y72" s="13"/>
      <c r="Z72" s="13" t="s">
        <v>140</v>
      </c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  <c r="AO72" s="14" t="str">
        <f>IF(AND(ISNUMBER($I72),OR($K72="Milestone",$K72="Deadline"),$I72&gt;=AO$4,$I72&lt;AO$4+7),IF($K72="Deadline","◇","◆"),"")</f>
        <v/>
      </c>
      <c r="AP72" s="14" t="str">
        <f>IF(AND(ISNUMBER($I72),OR($K72="Milestone",$K72="Deadline"),$I72&gt;=AP$4,$I72&lt;AP$4+7),IF($K72="Deadline","◇","◆"),"")</f>
        <v/>
      </c>
      <c r="AQ72" s="14" t="str">
        <f>IF(AND(ISNUMBER($I72),OR($K72="Milestone",$K72="Deadline"),$I72&gt;=AQ$4,$I72&lt;AQ$4+7),IF($K72="Deadline","◇","◆"),"")</f>
        <v/>
      </c>
      <c r="AR72" s="14" t="str">
        <f>IF(AND(ISNUMBER($I72),OR($K72="Milestone",$K72="Deadline"),$I72&gt;=AR$4,$I72&lt;AR$4+7),IF($K72="Deadline","◇","◆"),"")</f>
        <v/>
      </c>
      <c r="AS72" s="14" t="str">
        <f>IF(AND(ISNUMBER($I72),OR($K72="Milestone",$K72="Deadline"),$I72&gt;=AS$4,$I72&lt;AS$4+7),IF($K72="Deadline","◇","◆"),"")</f>
        <v/>
      </c>
      <c r="AT72" s="14" t="str">
        <f>IF(AND(ISNUMBER($I72),OR($K72="Milestone",$K72="Deadline"),$I72&gt;=AT$4,$I72&lt;AT$4+7),IF($K72="Deadline","◇","◆"),"")</f>
        <v/>
      </c>
      <c r="AU72" s="14" t="str">
        <f>IF(AND(ISNUMBER($I72),OR($K72="Milestone",$K72="Deadline"),$I72&gt;=AU$4,$I72&lt;AU$4+7),IF($K72="Deadline","◇","◆"),"")</f>
        <v/>
      </c>
      <c r="AV72" s="14" t="str">
        <f>IF(AND(ISNUMBER($I72),OR($K72="Milestone",$K72="Deadline"),$I72&gt;=AV$4,$I72&lt;AV$4+7),IF($K72="Deadline","◇","◆"),"")</f>
        <v/>
      </c>
      <c r="AW72" s="14" t="str">
        <f>IF(AND(ISNUMBER($I72),OR($K72="Milestone",$K72="Deadline"),$I72&gt;=AW$4,$I72&lt;AW$4+7),IF($K72="Deadline","◇","◆"),"")</f>
        <v/>
      </c>
      <c r="AX72" s="14" t="str">
        <f>IF(AND(ISNUMBER($I72),OR($K72="Milestone",$K72="Deadline"),$I72&gt;=AX$4,$I72&lt;AX$4+7),IF($K72="Deadline","◇","◆"),"")</f>
        <v/>
      </c>
      <c r="AY72" s="14" t="str">
        <f>IF(AND(ISNUMBER($I72),OR($K72="Milestone",$K72="Deadline"),$I72&gt;=AY$4,$I72&lt;AY$4+7),IF($K72="Deadline","◇","◆"),"")</f>
        <v/>
      </c>
      <c r="AZ72" s="14" t="str">
        <f>IF(AND(ISNUMBER($I72),OR($K72="Milestone",$K72="Deadline"),$I72&gt;=AZ$4,$I72&lt;AZ$4+7),IF($K72="Deadline","◇","◆"),"")</f>
        <v/>
      </c>
      <c r="BA72" s="14" t="str">
        <f>IF(AND(ISNUMBER($I72),OR($K72="Milestone",$K72="Deadline"),$I72&gt;=BA$4,$I72&lt;BA$4+7),IF($K72="Deadline","◇","◆"),"")</f>
        <v/>
      </c>
      <c r="BB72" s="14" t="str">
        <f>IF(AND(ISNUMBER($I72),OR($K72="Milestone",$K72="Deadline"),$I72&gt;=BB$4,$I72&lt;BB$4+7),IF($K72="Deadline","◇","◆"),"")</f>
        <v/>
      </c>
      <c r="BC72" s="14" t="str">
        <f>IF(AND(ISNUMBER($I72),OR($K72="Milestone",$K72="Deadline"),$I72&gt;=BC$4,$I72&lt;BC$4+7),IF($K72="Deadline","◇","◆"),"")</f>
        <v/>
      </c>
      <c r="BD72" s="14" t="str">
        <f>IF(AND(ISNUMBER($I72),OR($K72="Milestone",$K72="Deadline"),$I72&gt;=BD$4,$I72&lt;BD$4+7),IF($K72="Deadline","◇","◆"),"")</f>
        <v/>
      </c>
      <c r="BE72" s="14" t="str">
        <f>IF(AND(ISNUMBER($I72),OR($K72="Milestone",$K72="Deadline"),$I72&gt;=BE$4,$I72&lt;BE$4+7),IF($K72="Deadline","◇","◆"),"")</f>
        <v/>
      </c>
      <c r="BF72" s="14" t="str">
        <f>IF(AND(ISNUMBER($I72),OR($K72="Milestone",$K72="Deadline"),$I72&gt;=BF$4,$I72&lt;BF$4+7),IF($K72="Deadline","◇","◆"),"")</f>
        <v/>
      </c>
      <c r="BG72" s="14" t="str">
        <f>IF(AND(ISNUMBER($I72),OR($K72="Milestone",$K72="Deadline"),$I72&gt;=BG$4,$I72&lt;BG$4+7),IF($K72="Deadline","◇","◆"),"")</f>
        <v/>
      </c>
      <c r="BH72" s="14" t="str">
        <f>IF(AND(ISNUMBER($I72),OR($K72="Milestone",$K72="Deadline"),$I72&gt;=BH$4,$I72&lt;BH$4+7),IF($K72="Deadline","◇","◆"),"")</f>
        <v/>
      </c>
      <c r="BI72" s="14" t="str">
        <f>IF(AND(ISNUMBER($I72),OR($K72="Milestone",$K72="Deadline"),$I72&gt;=BI$4,$I72&lt;BI$4+7),IF($K72="Deadline","◇","◆"),"")</f>
        <v/>
      </c>
      <c r="BJ72" s="14" t="str">
        <f>IF(AND(ISNUMBER($I72),OR($K72="Milestone",$K72="Deadline"),$I72&gt;=BJ$4,$I72&lt;BJ$4+7),IF($K72="Deadline","◇","◆"),"")</f>
        <v/>
      </c>
      <c r="BK72" s="14" t="str">
        <f>IF(AND(ISNUMBER($I72),OR($K72="Milestone",$K72="Deadline"),$I72&gt;=BK$4,$I72&lt;BK$4+7),IF($K72="Deadline","◇","◆"),"")</f>
        <v/>
      </c>
      <c r="BL72" s="14" t="str">
        <f>IF(AND(ISNUMBER($I72),OR($K72="Milestone",$K72="Deadline"),$I72&gt;=BL$4,$I72&lt;BL$4+7),IF($K72="Deadline","◇","◆"),"")</f>
        <v/>
      </c>
      <c r="BM72" s="14" t="str">
        <f>IF(AND(ISNUMBER($I72),OR($K72="Milestone",$K72="Deadline"),$I72&gt;=BM$4,$I72&lt;BM$4+7),IF($K72="Deadline","◇","◆"),"")</f>
        <v/>
      </c>
      <c r="BN72" s="14" t="str">
        <f>IF(AND(ISNUMBER($I72),OR($K72="Milestone",$K72="Deadline"),$I72&gt;=BN$4,$I72&lt;BN$4+7),IF($K72="Deadline","◇","◆"),"")</f>
        <v/>
      </c>
      <c r="BO72" s="14" t="str">
        <f>IF(AND(ISNUMBER($I72),OR($K72="Milestone",$K72="Deadline"),$I72&gt;=BO$4,$I72&lt;BO$4+7),IF($K72="Deadline","◇","◆"),"")</f>
        <v/>
      </c>
      <c r="BP72" s="14" t="str">
        <f>IF(AND(ISNUMBER($I72),OR($K72="Milestone",$K72="Deadline"),$I72&gt;=BP$4,$I72&lt;BP$4+7),IF($K72="Deadline","◇","◆"),"")</f>
        <v/>
      </c>
      <c r="BQ72" s="14" t="str">
        <f>IF(AND(ISNUMBER($I72),OR($K72="Milestone",$K72="Deadline"),$I72&gt;=BQ$4,$I72&lt;BQ$4+7),IF($K72="Deadline","◇","◆"),"")</f>
        <v/>
      </c>
      <c r="BR72" s="14" t="str">
        <f>IF(AND(ISNUMBER($I72),OR($K72="Milestone",$K72="Deadline"),$I72&gt;=BR$4,$I72&lt;BR$4+7),IF($K72="Deadline","◇","◆"),"")</f>
        <v/>
      </c>
      <c r="BS72" s="14" t="str">
        <f>IF(AND(ISNUMBER($I72),OR($K72="Milestone",$K72="Deadline"),$I72&gt;=BS$4,$I72&lt;BS$4+7),IF($K72="Deadline","◇","◆"),"")</f>
        <v/>
      </c>
      <c r="BT72" s="14" t="str">
        <f>IF(AND(ISNUMBER($I72),OR($K72="Milestone",$K72="Deadline"),$I72&gt;=BT$4,$I72&lt;BT$4+7),IF($K72="Deadline","◇","◆"),"")</f>
        <v/>
      </c>
      <c r="BU72" s="14" t="str">
        <f>IF(AND(ISNUMBER($I72),OR($K72="Milestone",$K72="Deadline"),$I72&gt;=BU$4,$I72&lt;BU$4+7),IF($K72="Deadline","◇","◆"),"")</f>
        <v/>
      </c>
      <c r="BV72" s="14" t="str">
        <f>IF(AND(ISNUMBER($I72),OR($K72="Milestone",$K72="Deadline"),$I72&gt;=BV$4,$I72&lt;BV$4+7),IF($K72="Deadline","◇","◆"),"")</f>
        <v/>
      </c>
      <c r="BW72" s="14" t="str">
        <f>IF(AND(ISNUMBER($I72),OR($K72="Milestone",$K72="Deadline"),$I72&gt;=BW$4,$I72&lt;BW$4+7),IF($K72="Deadline","◇","◆"),"")</f>
        <v/>
      </c>
      <c r="BX72" s="14" t="str">
        <f>IF(AND(ISNUMBER($I72),OR($K72="Milestone",$K72="Deadline"),$I72&gt;=BX$4,$I72&lt;BX$4+7),IF($K72="Deadline","◇","◆"),"")</f>
        <v/>
      </c>
      <c r="BY72" s="14" t="str">
        <f>IF(AND(ISNUMBER($I72),OR($K72="Milestone",$K72="Deadline"),$I72&gt;=BY$4,$I72&lt;BY$4+7),IF($K72="Deadline","◇","◆"),"")</f>
        <v/>
      </c>
      <c r="BZ72" s="14" t="str">
        <f>IF(AND(ISNUMBER($I72),OR($K72="Milestone",$K72="Deadline"),$I72&gt;=BZ$4,$I72&lt;BZ$4+7),IF($K72="Deadline","◇","◆"),"")</f>
        <v/>
      </c>
      <c r="CA72" s="14" t="str">
        <f>IF(AND(ISNUMBER($I72),OR($K72="Milestone",$K72="Deadline"),$I72&gt;=CA$4,$I72&lt;CA$4+7),IF($K72="Deadline","◇","◆"),"")</f>
        <v/>
      </c>
      <c r="CB72" s="14" t="str">
        <f>IF(AND(ISNUMBER($I72),OR($K72="Milestone",$K72="Deadline"),$I72&gt;=CB$4,$I72&lt;CB$4+7),IF($K72="Deadline","◇","◆"),"")</f>
        <v/>
      </c>
      <c r="CC72" s="14" t="str">
        <f>IF(AND(ISNUMBER($I72),OR($K72="Milestone",$K72="Deadline"),$I72&gt;=CC$4,$I72&lt;CC$4+7),IF($K72="Deadline","◇","◆"),"")</f>
        <v/>
      </c>
      <c r="CD72" s="14" t="str">
        <f>IF(AND(ISNUMBER($I72),OR($K72="Milestone",$K72="Deadline"),$I72&gt;=CD$4,$I72&lt;CD$4+7),IF($K72="Deadline","◇","◆"),"")</f>
        <v/>
      </c>
      <c r="CE72" s="14" t="str">
        <f>IF(AND(ISNUMBER($I72),OR($K72="Milestone",$K72="Deadline"),$I72&gt;=CE$4,$I72&lt;CE$4+7),IF($K72="Deadline","◇","◆"),"")</f>
        <v/>
      </c>
      <c r="CF72" s="14" t="str">
        <f>IF(AND(ISNUMBER($I72),OR($K72="Milestone",$K72="Deadline"),$I72&gt;=CF$4,$I72&lt;CF$4+7),IF($K72="Deadline","◇","◆"),"")</f>
        <v/>
      </c>
      <c r="CG72" s="14" t="str">
        <f>IF(AND(ISNUMBER($I72),OR($K72="Milestone",$K72="Deadline"),$I72&gt;=CG$4,$I72&lt;CG$4+7),IF($K72="Deadline","◇","◆"),"")</f>
        <v/>
      </c>
      <c r="CH72" s="14" t="str">
        <f>IF(AND(ISNUMBER($I72),OR($K72="Milestone",$K72="Deadline"),$I72&gt;=CH$4,$I72&lt;CH$4+7),IF($K72="Deadline","◇","◆"),"")</f>
        <v/>
      </c>
      <c r="CI72" s="14" t="str">
        <f>IF(AND(ISNUMBER($I72),OR($K72="Milestone",$K72="Deadline"),$I72&gt;=CI$4,$I72&lt;CI$4+7),IF($K72="Deadline","◇","◆"),"")</f>
        <v/>
      </c>
      <c r="CJ72" s="14" t="str">
        <f>IF(AND(ISNUMBER($I72),OR($K72="Milestone",$K72="Deadline"),$I72&gt;=CJ$4,$I72&lt;CJ$4+7),IF($K72="Deadline","◇","◆"),"")</f>
        <v/>
      </c>
      <c r="CK72" s="14" t="str">
        <f>IF(AND(ISNUMBER($I72),OR($K72="Milestone",$K72="Deadline"),$I72&gt;=CK$4,$I72&lt;CK$4+7),IF($K72="Deadline","◇","◆"),"")</f>
        <v/>
      </c>
      <c r="CL72" s="14" t="str">
        <f>IF(AND(ISNUMBER($I72),OR($K72="Milestone",$K72="Deadline"),$I72&gt;=CL$4,$I72&lt;CL$4+7),IF($K72="Deadline","◇","◆"),"")</f>
        <v/>
      </c>
      <c r="CM72" s="14" t="str">
        <f>IF(AND(ISNUMBER($I72),OR($K72="Milestone",$K72="Deadline"),$I72&gt;=CM$4,$I72&lt;CM$4+7),IF($K72="Deadline","◇","◆"),"")</f>
        <v/>
      </c>
    </row>
    <row r="73" spans="1:91" ht="15" hidden="1" customHeight="1">
      <c r="A73" s="29" t="s">
        <v>210</v>
      </c>
      <c r="B73" s="29" t="s">
        <v>234</v>
      </c>
      <c r="C73" s="29" t="s">
        <v>63</v>
      </c>
      <c r="D73" s="29" t="s">
        <v>168</v>
      </c>
      <c r="E73" s="29" t="s">
        <v>169</v>
      </c>
      <c r="F73" s="29" t="s">
        <v>183</v>
      </c>
      <c r="G73" s="29" t="s">
        <v>184</v>
      </c>
      <c r="H73" s="29">
        <v>14</v>
      </c>
      <c r="I73" s="30">
        <f>MAX($C$2,J69+1,J72+1,J9+1,J10+1,J289+1)</f>
        <v>46392</v>
      </c>
      <c r="J73" s="31">
        <f>IF(AND(ISNUMBER(I73),ISNUMBER(H73)),I73+H73-1,"")</f>
        <v>46405</v>
      </c>
      <c r="K73" s="29" t="s">
        <v>27</v>
      </c>
      <c r="L73" s="29" t="s">
        <v>239</v>
      </c>
      <c r="M73" s="32" t="s">
        <v>240</v>
      </c>
      <c r="N73" s="29"/>
      <c r="O73" s="32">
        <f>IF(AND(ISNUMBER(I73),ISNUMBER(J73)),J73-I73+1,"")</f>
        <v>14</v>
      </c>
      <c r="P73" s="13"/>
      <c r="Q73" s="13"/>
      <c r="R73" s="13"/>
      <c r="S73" s="13"/>
      <c r="T73" s="13"/>
      <c r="U73" s="13"/>
      <c r="V73" s="13" t="s">
        <v>140</v>
      </c>
      <c r="W73" s="13"/>
      <c r="X73" s="13"/>
      <c r="Y73" s="13"/>
      <c r="Z73" s="13"/>
      <c r="AA73" s="13" t="s">
        <v>140</v>
      </c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3"/>
      <c r="AO73" s="14" t="str">
        <f>IF(AND(ISNUMBER($I73),OR($K73="Milestone",$K73="Deadline"),$I73&gt;=AO$4,$I73&lt;AO$4+7),IF($K73="Deadline","◇","◆"),"")</f>
        <v/>
      </c>
      <c r="AP73" s="14" t="str">
        <f>IF(AND(ISNUMBER($I73),OR($K73="Milestone",$K73="Deadline"),$I73&gt;=AP$4,$I73&lt;AP$4+7),IF($K73="Deadline","◇","◆"),"")</f>
        <v/>
      </c>
      <c r="AQ73" s="14" t="str">
        <f>IF(AND(ISNUMBER($I73),OR($K73="Milestone",$K73="Deadline"),$I73&gt;=AQ$4,$I73&lt;AQ$4+7),IF($K73="Deadline","◇","◆"),"")</f>
        <v/>
      </c>
      <c r="AR73" s="14" t="str">
        <f>IF(AND(ISNUMBER($I73),OR($K73="Milestone",$K73="Deadline"),$I73&gt;=AR$4,$I73&lt;AR$4+7),IF($K73="Deadline","◇","◆"),"")</f>
        <v/>
      </c>
      <c r="AS73" s="14" t="str">
        <f>IF(AND(ISNUMBER($I73),OR($K73="Milestone",$K73="Deadline"),$I73&gt;=AS$4,$I73&lt;AS$4+7),IF($K73="Deadline","◇","◆"),"")</f>
        <v/>
      </c>
      <c r="AT73" s="14" t="str">
        <f>IF(AND(ISNUMBER($I73),OR($K73="Milestone",$K73="Deadline"),$I73&gt;=AT$4,$I73&lt;AT$4+7),IF($K73="Deadline","◇","◆"),"")</f>
        <v/>
      </c>
      <c r="AU73" s="14" t="str">
        <f>IF(AND(ISNUMBER($I73),OR($K73="Milestone",$K73="Deadline"),$I73&gt;=AU$4,$I73&lt;AU$4+7),IF($K73="Deadline","◇","◆"),"")</f>
        <v/>
      </c>
      <c r="AV73" s="14" t="str">
        <f>IF(AND(ISNUMBER($I73),OR($K73="Milestone",$K73="Deadline"),$I73&gt;=AV$4,$I73&lt;AV$4+7),IF($K73="Deadline","◇","◆"),"")</f>
        <v/>
      </c>
      <c r="AW73" s="14" t="str">
        <f>IF(AND(ISNUMBER($I73),OR($K73="Milestone",$K73="Deadline"),$I73&gt;=AW$4,$I73&lt;AW$4+7),IF($K73="Deadline","◇","◆"),"")</f>
        <v/>
      </c>
      <c r="AX73" s="14" t="str">
        <f>IF(AND(ISNUMBER($I73),OR($K73="Milestone",$K73="Deadline"),$I73&gt;=AX$4,$I73&lt;AX$4+7),IF($K73="Deadline","◇","◆"),"")</f>
        <v/>
      </c>
      <c r="AY73" s="14" t="str">
        <f>IF(AND(ISNUMBER($I73),OR($K73="Milestone",$K73="Deadline"),$I73&gt;=AY$4,$I73&lt;AY$4+7),IF($K73="Deadline","◇","◆"),"")</f>
        <v/>
      </c>
      <c r="AZ73" s="14" t="str">
        <f>IF(AND(ISNUMBER($I73),OR($K73="Milestone",$K73="Deadline"),$I73&gt;=AZ$4,$I73&lt;AZ$4+7),IF($K73="Deadline","◇","◆"),"")</f>
        <v/>
      </c>
      <c r="BA73" s="14" t="str">
        <f>IF(AND(ISNUMBER($I73),OR($K73="Milestone",$K73="Deadline"),$I73&gt;=BA$4,$I73&lt;BA$4+7),IF($K73="Deadline","◇","◆"),"")</f>
        <v/>
      </c>
      <c r="BB73" s="14" t="str">
        <f>IF(AND(ISNUMBER($I73),OR($K73="Milestone",$K73="Deadline"),$I73&gt;=BB$4,$I73&lt;BB$4+7),IF($K73="Deadline","◇","◆"),"")</f>
        <v/>
      </c>
      <c r="BC73" s="14" t="str">
        <f>IF(AND(ISNUMBER($I73),OR($K73="Milestone",$K73="Deadline"),$I73&gt;=BC$4,$I73&lt;BC$4+7),IF($K73="Deadline","◇","◆"),"")</f>
        <v/>
      </c>
      <c r="BD73" s="14" t="str">
        <f>IF(AND(ISNUMBER($I73),OR($K73="Milestone",$K73="Deadline"),$I73&gt;=BD$4,$I73&lt;BD$4+7),IF($K73="Deadline","◇","◆"),"")</f>
        <v/>
      </c>
      <c r="BE73" s="14" t="str">
        <f>IF(AND(ISNUMBER($I73),OR($K73="Milestone",$K73="Deadline"),$I73&gt;=BE$4,$I73&lt;BE$4+7),IF($K73="Deadline","◇","◆"),"")</f>
        <v/>
      </c>
      <c r="BF73" s="14" t="str">
        <f>IF(AND(ISNUMBER($I73),OR($K73="Milestone",$K73="Deadline"),$I73&gt;=BF$4,$I73&lt;BF$4+7),IF($K73="Deadline","◇","◆"),"")</f>
        <v/>
      </c>
      <c r="BG73" s="14" t="str">
        <f>IF(AND(ISNUMBER($I73),OR($K73="Milestone",$K73="Deadline"),$I73&gt;=BG$4,$I73&lt;BG$4+7),IF($K73="Deadline","◇","◆"),"")</f>
        <v/>
      </c>
      <c r="BH73" s="14" t="str">
        <f>IF(AND(ISNUMBER($I73),OR($K73="Milestone",$K73="Deadline"),$I73&gt;=BH$4,$I73&lt;BH$4+7),IF($K73="Deadline","◇","◆"),"")</f>
        <v/>
      </c>
      <c r="BI73" s="14" t="str">
        <f>IF(AND(ISNUMBER($I73),OR($K73="Milestone",$K73="Deadline"),$I73&gt;=BI$4,$I73&lt;BI$4+7),IF($K73="Deadline","◇","◆"),"")</f>
        <v/>
      </c>
      <c r="BJ73" s="14" t="str">
        <f>IF(AND(ISNUMBER($I73),OR($K73="Milestone",$K73="Deadline"),$I73&gt;=BJ$4,$I73&lt;BJ$4+7),IF($K73="Deadline","◇","◆"),"")</f>
        <v/>
      </c>
      <c r="BK73" s="14" t="str">
        <f>IF(AND(ISNUMBER($I73),OR($K73="Milestone",$K73="Deadline"),$I73&gt;=BK$4,$I73&lt;BK$4+7),IF($K73="Deadline","◇","◆"),"")</f>
        <v/>
      </c>
      <c r="BL73" s="14" t="str">
        <f>IF(AND(ISNUMBER($I73),OR($K73="Milestone",$K73="Deadline"),$I73&gt;=BL$4,$I73&lt;BL$4+7),IF($K73="Deadline","◇","◆"),"")</f>
        <v/>
      </c>
      <c r="BM73" s="14" t="str">
        <f>IF(AND(ISNUMBER($I73),OR($K73="Milestone",$K73="Deadline"),$I73&gt;=BM$4,$I73&lt;BM$4+7),IF($K73="Deadline","◇","◆"),"")</f>
        <v/>
      </c>
      <c r="BN73" s="14" t="str">
        <f>IF(AND(ISNUMBER($I73),OR($K73="Milestone",$K73="Deadline"),$I73&gt;=BN$4,$I73&lt;BN$4+7),IF($K73="Deadline","◇","◆"),"")</f>
        <v/>
      </c>
      <c r="BO73" s="14" t="str">
        <f>IF(AND(ISNUMBER($I73),OR($K73="Milestone",$K73="Deadline"),$I73&gt;=BO$4,$I73&lt;BO$4+7),IF($K73="Deadline","◇","◆"),"")</f>
        <v/>
      </c>
      <c r="BP73" s="14" t="str">
        <f>IF(AND(ISNUMBER($I73),OR($K73="Milestone",$K73="Deadline"),$I73&gt;=BP$4,$I73&lt;BP$4+7),IF($K73="Deadline","◇","◆"),"")</f>
        <v/>
      </c>
      <c r="BQ73" s="14" t="str">
        <f>IF(AND(ISNUMBER($I73),OR($K73="Milestone",$K73="Deadline"),$I73&gt;=BQ$4,$I73&lt;BQ$4+7),IF($K73="Deadline","◇","◆"),"")</f>
        <v/>
      </c>
      <c r="BR73" s="14" t="str">
        <f>IF(AND(ISNUMBER($I73),OR($K73="Milestone",$K73="Deadline"),$I73&gt;=BR$4,$I73&lt;BR$4+7),IF($K73="Deadline","◇","◆"),"")</f>
        <v/>
      </c>
      <c r="BS73" s="14" t="str">
        <f>IF(AND(ISNUMBER($I73),OR($K73="Milestone",$K73="Deadline"),$I73&gt;=BS$4,$I73&lt;BS$4+7),IF($K73="Deadline","◇","◆"),"")</f>
        <v/>
      </c>
      <c r="BT73" s="14" t="str">
        <f>IF(AND(ISNUMBER($I73),OR($K73="Milestone",$K73="Deadline"),$I73&gt;=BT$4,$I73&lt;BT$4+7),IF($K73="Deadline","◇","◆"),"")</f>
        <v/>
      </c>
      <c r="BU73" s="14" t="str">
        <f>IF(AND(ISNUMBER($I73),OR($K73="Milestone",$K73="Deadline"),$I73&gt;=BU$4,$I73&lt;BU$4+7),IF($K73="Deadline","◇","◆"),"")</f>
        <v/>
      </c>
      <c r="BV73" s="14" t="str">
        <f>IF(AND(ISNUMBER($I73),OR($K73="Milestone",$K73="Deadline"),$I73&gt;=BV$4,$I73&lt;BV$4+7),IF($K73="Deadline","◇","◆"),"")</f>
        <v/>
      </c>
      <c r="BW73" s="14" t="str">
        <f>IF(AND(ISNUMBER($I73),OR($K73="Milestone",$K73="Deadline"),$I73&gt;=BW$4,$I73&lt;BW$4+7),IF($K73="Deadline","◇","◆"),"")</f>
        <v/>
      </c>
      <c r="BX73" s="14" t="str">
        <f>IF(AND(ISNUMBER($I73),OR($K73="Milestone",$K73="Deadline"),$I73&gt;=BX$4,$I73&lt;BX$4+7),IF($K73="Deadline","◇","◆"),"")</f>
        <v/>
      </c>
      <c r="BY73" s="14" t="str">
        <f>IF(AND(ISNUMBER($I73),OR($K73="Milestone",$K73="Deadline"),$I73&gt;=BY$4,$I73&lt;BY$4+7),IF($K73="Deadline","◇","◆"),"")</f>
        <v/>
      </c>
      <c r="BZ73" s="14" t="str">
        <f>IF(AND(ISNUMBER($I73),OR($K73="Milestone",$K73="Deadline"),$I73&gt;=BZ$4,$I73&lt;BZ$4+7),IF($K73="Deadline","◇","◆"),"")</f>
        <v/>
      </c>
      <c r="CA73" s="14" t="str">
        <f>IF(AND(ISNUMBER($I73),OR($K73="Milestone",$K73="Deadline"),$I73&gt;=CA$4,$I73&lt;CA$4+7),IF($K73="Deadline","◇","◆"),"")</f>
        <v/>
      </c>
      <c r="CB73" s="14" t="str">
        <f>IF(AND(ISNUMBER($I73),OR($K73="Milestone",$K73="Deadline"),$I73&gt;=CB$4,$I73&lt;CB$4+7),IF($K73="Deadline","◇","◆"),"")</f>
        <v/>
      </c>
      <c r="CC73" s="14" t="str">
        <f>IF(AND(ISNUMBER($I73),OR($K73="Milestone",$K73="Deadline"),$I73&gt;=CC$4,$I73&lt;CC$4+7),IF($K73="Deadline","◇","◆"),"")</f>
        <v/>
      </c>
      <c r="CD73" s="14" t="str">
        <f>IF(AND(ISNUMBER($I73),OR($K73="Milestone",$K73="Deadline"),$I73&gt;=CD$4,$I73&lt;CD$4+7),IF($K73="Deadline","◇","◆"),"")</f>
        <v/>
      </c>
      <c r="CE73" s="14" t="str">
        <f>IF(AND(ISNUMBER($I73),OR($K73="Milestone",$K73="Deadline"),$I73&gt;=CE$4,$I73&lt;CE$4+7),IF($K73="Deadline","◇","◆"),"")</f>
        <v/>
      </c>
      <c r="CF73" s="14" t="str">
        <f>IF(AND(ISNUMBER($I73),OR($K73="Milestone",$K73="Deadline"),$I73&gt;=CF$4,$I73&lt;CF$4+7),IF($K73="Deadline","◇","◆"),"")</f>
        <v/>
      </c>
      <c r="CG73" s="14" t="str">
        <f>IF(AND(ISNUMBER($I73),OR($K73="Milestone",$K73="Deadline"),$I73&gt;=CG$4,$I73&lt;CG$4+7),IF($K73="Deadline","◇","◆"),"")</f>
        <v/>
      </c>
      <c r="CH73" s="14" t="str">
        <f>IF(AND(ISNUMBER($I73),OR($K73="Milestone",$K73="Deadline"),$I73&gt;=CH$4,$I73&lt;CH$4+7),IF($K73="Deadline","◇","◆"),"")</f>
        <v/>
      </c>
      <c r="CI73" s="14" t="str">
        <f>IF(AND(ISNUMBER($I73),OR($K73="Milestone",$K73="Deadline"),$I73&gt;=CI$4,$I73&lt;CI$4+7),IF($K73="Deadline","◇","◆"),"")</f>
        <v/>
      </c>
      <c r="CJ73" s="14" t="str">
        <f>IF(AND(ISNUMBER($I73),OR($K73="Milestone",$K73="Deadline"),$I73&gt;=CJ$4,$I73&lt;CJ$4+7),IF($K73="Deadline","◇","◆"),"")</f>
        <v/>
      </c>
      <c r="CK73" s="14" t="str">
        <f>IF(AND(ISNUMBER($I73),OR($K73="Milestone",$K73="Deadline"),$I73&gt;=CK$4,$I73&lt;CK$4+7),IF($K73="Deadline","◇","◆"),"")</f>
        <v/>
      </c>
      <c r="CL73" s="14" t="str">
        <f>IF(AND(ISNUMBER($I73),OR($K73="Milestone",$K73="Deadline"),$I73&gt;=CL$4,$I73&lt;CL$4+7),IF($K73="Deadline","◇","◆"),"")</f>
        <v/>
      </c>
      <c r="CM73" s="14" t="str">
        <f>IF(AND(ISNUMBER($I73),OR($K73="Milestone",$K73="Deadline"),$I73&gt;=CM$4,$I73&lt;CM$4+7),IF($K73="Deadline","◇","◆"),"")</f>
        <v/>
      </c>
    </row>
    <row r="74" spans="1:91" ht="15" hidden="1" customHeight="1">
      <c r="A74" s="29" t="s">
        <v>241</v>
      </c>
      <c r="B74" s="29" t="s">
        <v>234</v>
      </c>
      <c r="C74" s="29" t="s">
        <v>63</v>
      </c>
      <c r="D74" s="29" t="s">
        <v>168</v>
      </c>
      <c r="E74" s="29" t="s">
        <v>169</v>
      </c>
      <c r="F74" s="29" t="s">
        <v>183</v>
      </c>
      <c r="G74" s="29" t="s">
        <v>188</v>
      </c>
      <c r="H74" s="29">
        <v>13</v>
      </c>
      <c r="I74" s="30">
        <f>MAX($C$2,J72+1,J72+1)</f>
        <v>46384</v>
      </c>
      <c r="J74" s="31">
        <f>IF(AND(ISNUMBER(I74),ISNUMBER(H74)),I74+H74-1,"")</f>
        <v>46396</v>
      </c>
      <c r="K74" s="29" t="s">
        <v>27</v>
      </c>
      <c r="L74" s="29" t="s">
        <v>238</v>
      </c>
      <c r="M74" s="32" t="s">
        <v>238</v>
      </c>
      <c r="N74" s="29"/>
      <c r="O74" s="32">
        <f>IF(AND(ISNUMBER(I74),ISNUMBER(J74)),J74-I74+1,"")</f>
        <v>13</v>
      </c>
      <c r="P74" s="13"/>
      <c r="Q74" s="13"/>
      <c r="R74" s="13"/>
      <c r="S74" s="13"/>
      <c r="T74" s="13"/>
      <c r="U74" s="13"/>
      <c r="V74" s="13" t="s">
        <v>140</v>
      </c>
      <c r="W74" s="13"/>
      <c r="X74" s="13"/>
      <c r="Y74" s="13"/>
      <c r="Z74" s="13" t="s">
        <v>140</v>
      </c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3"/>
      <c r="AN74" s="13"/>
      <c r="AO74" s="14" t="str">
        <f>IF(AND(ISNUMBER($I74),OR($K74="Milestone",$K74="Deadline"),$I74&gt;=AO$4,$I74&lt;AO$4+7),IF($K74="Deadline","◇","◆"),"")</f>
        <v/>
      </c>
      <c r="AP74" s="14" t="str">
        <f>IF(AND(ISNUMBER($I74),OR($K74="Milestone",$K74="Deadline"),$I74&gt;=AP$4,$I74&lt;AP$4+7),IF($K74="Deadline","◇","◆"),"")</f>
        <v/>
      </c>
      <c r="AQ74" s="14" t="str">
        <f>IF(AND(ISNUMBER($I74),OR($K74="Milestone",$K74="Deadline"),$I74&gt;=AQ$4,$I74&lt;AQ$4+7),IF($K74="Deadline","◇","◆"),"")</f>
        <v/>
      </c>
      <c r="AR74" s="14" t="str">
        <f>IF(AND(ISNUMBER($I74),OR($K74="Milestone",$K74="Deadline"),$I74&gt;=AR$4,$I74&lt;AR$4+7),IF($K74="Deadline","◇","◆"),"")</f>
        <v/>
      </c>
      <c r="AS74" s="14" t="str">
        <f>IF(AND(ISNUMBER($I74),OR($K74="Milestone",$K74="Deadline"),$I74&gt;=AS$4,$I74&lt;AS$4+7),IF($K74="Deadline","◇","◆"),"")</f>
        <v/>
      </c>
      <c r="AT74" s="14" t="str">
        <f>IF(AND(ISNUMBER($I74),OR($K74="Milestone",$K74="Deadline"),$I74&gt;=AT$4,$I74&lt;AT$4+7),IF($K74="Deadline","◇","◆"),"")</f>
        <v/>
      </c>
      <c r="AU74" s="14" t="str">
        <f>IF(AND(ISNUMBER($I74),OR($K74="Milestone",$K74="Deadline"),$I74&gt;=AU$4,$I74&lt;AU$4+7),IF($K74="Deadline","◇","◆"),"")</f>
        <v/>
      </c>
      <c r="AV74" s="14" t="str">
        <f>IF(AND(ISNUMBER($I74),OR($K74="Milestone",$K74="Deadline"),$I74&gt;=AV$4,$I74&lt;AV$4+7),IF($K74="Deadline","◇","◆"),"")</f>
        <v/>
      </c>
      <c r="AW74" s="14" t="str">
        <f>IF(AND(ISNUMBER($I74),OR($K74="Milestone",$K74="Deadline"),$I74&gt;=AW$4,$I74&lt;AW$4+7),IF($K74="Deadline","◇","◆"),"")</f>
        <v/>
      </c>
      <c r="AX74" s="14" t="str">
        <f>IF(AND(ISNUMBER($I74),OR($K74="Milestone",$K74="Deadline"),$I74&gt;=AX$4,$I74&lt;AX$4+7),IF($K74="Deadline","◇","◆"),"")</f>
        <v/>
      </c>
      <c r="AY74" s="14" t="str">
        <f>IF(AND(ISNUMBER($I74),OR($K74="Milestone",$K74="Deadline"),$I74&gt;=AY$4,$I74&lt;AY$4+7),IF($K74="Deadline","◇","◆"),"")</f>
        <v/>
      </c>
      <c r="AZ74" s="14" t="str">
        <f>IF(AND(ISNUMBER($I74),OR($K74="Milestone",$K74="Deadline"),$I74&gt;=AZ$4,$I74&lt;AZ$4+7),IF($K74="Deadline","◇","◆"),"")</f>
        <v/>
      </c>
      <c r="BA74" s="14" t="str">
        <f>IF(AND(ISNUMBER($I74),OR($K74="Milestone",$K74="Deadline"),$I74&gt;=BA$4,$I74&lt;BA$4+7),IF($K74="Deadline","◇","◆"),"")</f>
        <v/>
      </c>
      <c r="BB74" s="14" t="str">
        <f>IF(AND(ISNUMBER($I74),OR($K74="Milestone",$K74="Deadline"),$I74&gt;=BB$4,$I74&lt;BB$4+7),IF($K74="Deadline","◇","◆"),"")</f>
        <v/>
      </c>
      <c r="BC74" s="14" t="str">
        <f>IF(AND(ISNUMBER($I74),OR($K74="Milestone",$K74="Deadline"),$I74&gt;=BC$4,$I74&lt;BC$4+7),IF($K74="Deadline","◇","◆"),"")</f>
        <v/>
      </c>
      <c r="BD74" s="14" t="str">
        <f>IF(AND(ISNUMBER($I74),OR($K74="Milestone",$K74="Deadline"),$I74&gt;=BD$4,$I74&lt;BD$4+7),IF($K74="Deadline","◇","◆"),"")</f>
        <v/>
      </c>
      <c r="BE74" s="14" t="str">
        <f>IF(AND(ISNUMBER($I74),OR($K74="Milestone",$K74="Deadline"),$I74&gt;=BE$4,$I74&lt;BE$4+7),IF($K74="Deadline","◇","◆"),"")</f>
        <v/>
      </c>
      <c r="BF74" s="14" t="str">
        <f>IF(AND(ISNUMBER($I74),OR($K74="Milestone",$K74="Deadline"),$I74&gt;=BF$4,$I74&lt;BF$4+7),IF($K74="Deadline","◇","◆"),"")</f>
        <v/>
      </c>
      <c r="BG74" s="14" t="str">
        <f>IF(AND(ISNUMBER($I74),OR($K74="Milestone",$K74="Deadline"),$I74&gt;=BG$4,$I74&lt;BG$4+7),IF($K74="Deadline","◇","◆"),"")</f>
        <v/>
      </c>
      <c r="BH74" s="14" t="str">
        <f>IF(AND(ISNUMBER($I74),OR($K74="Milestone",$K74="Deadline"),$I74&gt;=BH$4,$I74&lt;BH$4+7),IF($K74="Deadline","◇","◆"),"")</f>
        <v/>
      </c>
      <c r="BI74" s="14" t="str">
        <f>IF(AND(ISNUMBER($I74),OR($K74="Milestone",$K74="Deadline"),$I74&gt;=BI$4,$I74&lt;BI$4+7),IF($K74="Deadline","◇","◆"),"")</f>
        <v/>
      </c>
      <c r="BJ74" s="14" t="str">
        <f>IF(AND(ISNUMBER($I74),OR($K74="Milestone",$K74="Deadline"),$I74&gt;=BJ$4,$I74&lt;BJ$4+7),IF($K74="Deadline","◇","◆"),"")</f>
        <v/>
      </c>
      <c r="BK74" s="14" t="str">
        <f>IF(AND(ISNUMBER($I74),OR($K74="Milestone",$K74="Deadline"),$I74&gt;=BK$4,$I74&lt;BK$4+7),IF($K74="Deadline","◇","◆"),"")</f>
        <v/>
      </c>
      <c r="BL74" s="14" t="str">
        <f>IF(AND(ISNUMBER($I74),OR($K74="Milestone",$K74="Deadline"),$I74&gt;=BL$4,$I74&lt;BL$4+7),IF($K74="Deadline","◇","◆"),"")</f>
        <v/>
      </c>
      <c r="BM74" s="14" t="str">
        <f>IF(AND(ISNUMBER($I74),OR($K74="Milestone",$K74="Deadline"),$I74&gt;=BM$4,$I74&lt;BM$4+7),IF($K74="Deadline","◇","◆"),"")</f>
        <v/>
      </c>
      <c r="BN74" s="14" t="str">
        <f>IF(AND(ISNUMBER($I74),OR($K74="Milestone",$K74="Deadline"),$I74&gt;=BN$4,$I74&lt;BN$4+7),IF($K74="Deadline","◇","◆"),"")</f>
        <v/>
      </c>
      <c r="BO74" s="14" t="str">
        <f>IF(AND(ISNUMBER($I74),OR($K74="Milestone",$K74="Deadline"),$I74&gt;=BO$4,$I74&lt;BO$4+7),IF($K74="Deadline","◇","◆"),"")</f>
        <v/>
      </c>
      <c r="BP74" s="14" t="str">
        <f>IF(AND(ISNUMBER($I74),OR($K74="Milestone",$K74="Deadline"),$I74&gt;=BP$4,$I74&lt;BP$4+7),IF($K74="Deadline","◇","◆"),"")</f>
        <v/>
      </c>
      <c r="BQ74" s="14" t="str">
        <f>IF(AND(ISNUMBER($I74),OR($K74="Milestone",$K74="Deadline"),$I74&gt;=BQ$4,$I74&lt;BQ$4+7),IF($K74="Deadline","◇","◆"),"")</f>
        <v/>
      </c>
      <c r="BR74" s="14" t="str">
        <f>IF(AND(ISNUMBER($I74),OR($K74="Milestone",$K74="Deadline"),$I74&gt;=BR$4,$I74&lt;BR$4+7),IF($K74="Deadline","◇","◆"),"")</f>
        <v/>
      </c>
      <c r="BS74" s="14" t="str">
        <f>IF(AND(ISNUMBER($I74),OR($K74="Milestone",$K74="Deadline"),$I74&gt;=BS$4,$I74&lt;BS$4+7),IF($K74="Deadline","◇","◆"),"")</f>
        <v/>
      </c>
      <c r="BT74" s="14" t="str">
        <f>IF(AND(ISNUMBER($I74),OR($K74="Milestone",$K74="Deadline"),$I74&gt;=BT$4,$I74&lt;BT$4+7),IF($K74="Deadline","◇","◆"),"")</f>
        <v/>
      </c>
      <c r="BU74" s="14" t="str">
        <f>IF(AND(ISNUMBER($I74),OR($K74="Milestone",$K74="Deadline"),$I74&gt;=BU$4,$I74&lt;BU$4+7),IF($K74="Deadline","◇","◆"),"")</f>
        <v/>
      </c>
      <c r="BV74" s="14" t="str">
        <f>IF(AND(ISNUMBER($I74),OR($K74="Milestone",$K74="Deadline"),$I74&gt;=BV$4,$I74&lt;BV$4+7),IF($K74="Deadline","◇","◆"),"")</f>
        <v/>
      </c>
      <c r="BW74" s="14" t="str">
        <f>IF(AND(ISNUMBER($I74),OR($K74="Milestone",$K74="Deadline"),$I74&gt;=BW$4,$I74&lt;BW$4+7),IF($K74="Deadline","◇","◆"),"")</f>
        <v/>
      </c>
      <c r="BX74" s="14" t="str">
        <f>IF(AND(ISNUMBER($I74),OR($K74="Milestone",$K74="Deadline"),$I74&gt;=BX$4,$I74&lt;BX$4+7),IF($K74="Deadline","◇","◆"),"")</f>
        <v/>
      </c>
      <c r="BY74" s="14" t="str">
        <f>IF(AND(ISNUMBER($I74),OR($K74="Milestone",$K74="Deadline"),$I74&gt;=BY$4,$I74&lt;BY$4+7),IF($K74="Deadline","◇","◆"),"")</f>
        <v/>
      </c>
      <c r="BZ74" s="14" t="str">
        <f>IF(AND(ISNUMBER($I74),OR($K74="Milestone",$K74="Deadline"),$I74&gt;=BZ$4,$I74&lt;BZ$4+7),IF($K74="Deadline","◇","◆"),"")</f>
        <v/>
      </c>
      <c r="CA74" s="14" t="str">
        <f>IF(AND(ISNUMBER($I74),OR($K74="Milestone",$K74="Deadline"),$I74&gt;=CA$4,$I74&lt;CA$4+7),IF($K74="Deadline","◇","◆"),"")</f>
        <v/>
      </c>
      <c r="CB74" s="14" t="str">
        <f>IF(AND(ISNUMBER($I74),OR($K74="Milestone",$K74="Deadline"),$I74&gt;=CB$4,$I74&lt;CB$4+7),IF($K74="Deadline","◇","◆"),"")</f>
        <v/>
      </c>
      <c r="CC74" s="14" t="str">
        <f>IF(AND(ISNUMBER($I74),OR($K74="Milestone",$K74="Deadline"),$I74&gt;=CC$4,$I74&lt;CC$4+7),IF($K74="Deadline","◇","◆"),"")</f>
        <v/>
      </c>
      <c r="CD74" s="14" t="str">
        <f>IF(AND(ISNUMBER($I74),OR($K74="Milestone",$K74="Deadline"),$I74&gt;=CD$4,$I74&lt;CD$4+7),IF($K74="Deadline","◇","◆"),"")</f>
        <v/>
      </c>
      <c r="CE74" s="14" t="str">
        <f>IF(AND(ISNUMBER($I74),OR($K74="Milestone",$K74="Deadline"),$I74&gt;=CE$4,$I74&lt;CE$4+7),IF($K74="Deadline","◇","◆"),"")</f>
        <v/>
      </c>
      <c r="CF74" s="14" t="str">
        <f>IF(AND(ISNUMBER($I74),OR($K74="Milestone",$K74="Deadline"),$I74&gt;=CF$4,$I74&lt;CF$4+7),IF($K74="Deadline","◇","◆"),"")</f>
        <v/>
      </c>
      <c r="CG74" s="14" t="str">
        <f>IF(AND(ISNUMBER($I74),OR($K74="Milestone",$K74="Deadline"),$I74&gt;=CG$4,$I74&lt;CG$4+7),IF($K74="Deadline","◇","◆"),"")</f>
        <v/>
      </c>
      <c r="CH74" s="14" t="str">
        <f>IF(AND(ISNUMBER($I74),OR($K74="Milestone",$K74="Deadline"),$I74&gt;=CH$4,$I74&lt;CH$4+7),IF($K74="Deadline","◇","◆"),"")</f>
        <v/>
      </c>
      <c r="CI74" s="14" t="str">
        <f>IF(AND(ISNUMBER($I74),OR($K74="Milestone",$K74="Deadline"),$I74&gt;=CI$4,$I74&lt;CI$4+7),IF($K74="Deadline","◇","◆"),"")</f>
        <v/>
      </c>
      <c r="CJ74" s="14" t="str">
        <f>IF(AND(ISNUMBER($I74),OR($K74="Milestone",$K74="Deadline"),$I74&gt;=CJ$4,$I74&lt;CJ$4+7),IF($K74="Deadline","◇","◆"),"")</f>
        <v/>
      </c>
      <c r="CK74" s="14" t="str">
        <f>IF(AND(ISNUMBER($I74),OR($K74="Milestone",$K74="Deadline"),$I74&gt;=CK$4,$I74&lt;CK$4+7),IF($K74="Deadline","◇","◆"),"")</f>
        <v/>
      </c>
      <c r="CL74" s="14" t="str">
        <f>IF(AND(ISNUMBER($I74),OR($K74="Milestone",$K74="Deadline"),$I74&gt;=CL$4,$I74&lt;CL$4+7),IF($K74="Deadline","◇","◆"),"")</f>
        <v/>
      </c>
      <c r="CM74" s="14" t="str">
        <f>IF(AND(ISNUMBER($I74),OR($K74="Milestone",$K74="Deadline"),$I74&gt;=CM$4,$I74&lt;CM$4+7),IF($K74="Deadline","◇","◆"),"")</f>
        <v/>
      </c>
    </row>
    <row r="75" spans="1:91" ht="15" hidden="1" customHeight="1">
      <c r="A75" s="29" t="s">
        <v>242</v>
      </c>
      <c r="B75" s="29" t="s">
        <v>234</v>
      </c>
      <c r="C75" s="29" t="s">
        <v>191</v>
      </c>
      <c r="D75" s="29" t="s">
        <v>168</v>
      </c>
      <c r="E75" s="29" t="s">
        <v>169</v>
      </c>
      <c r="F75" s="29" t="s">
        <v>183</v>
      </c>
      <c r="G75" s="29" t="s">
        <v>192</v>
      </c>
      <c r="H75" s="29">
        <v>8</v>
      </c>
      <c r="I75" s="30">
        <f>MAX(DATE(2027,3,1),J74+1,J279+1)</f>
        <v>46451</v>
      </c>
      <c r="J75" s="31">
        <f>IF(AND(ISNUMBER(I75),ISNUMBER(H75)),I75+H75-1,"")</f>
        <v>46458</v>
      </c>
      <c r="K75" s="29" t="s">
        <v>27</v>
      </c>
      <c r="L75" s="29" t="s">
        <v>241</v>
      </c>
      <c r="M75" s="32" t="s">
        <v>243</v>
      </c>
      <c r="N75" s="29"/>
      <c r="O75" s="32">
        <f>IF(AND(ISNUMBER(I75),ISNUMBER(J75)),J75-I75+1,"")</f>
        <v>8</v>
      </c>
      <c r="P75" s="13"/>
      <c r="Q75" s="13"/>
      <c r="R75" s="13"/>
      <c r="S75" s="13"/>
      <c r="T75" s="13"/>
      <c r="U75" s="13"/>
      <c r="V75" s="13" t="s">
        <v>140</v>
      </c>
      <c r="W75" s="13"/>
      <c r="X75" s="13"/>
      <c r="Y75" s="13"/>
      <c r="Z75" s="13"/>
      <c r="AA75" s="13"/>
      <c r="AB75" s="13"/>
      <c r="AC75" s="13"/>
      <c r="AD75" s="13"/>
      <c r="AE75" s="13" t="s">
        <v>140</v>
      </c>
      <c r="AF75" s="13"/>
      <c r="AG75" s="13"/>
      <c r="AH75" s="13"/>
      <c r="AI75" s="13"/>
      <c r="AJ75" s="13"/>
      <c r="AK75" s="13"/>
      <c r="AL75" s="13"/>
      <c r="AM75" s="13"/>
      <c r="AN75" s="13"/>
      <c r="AO75" s="14" t="str">
        <f>IF(AND(ISNUMBER($I75),OR($K75="Milestone",$K75="Deadline"),$I75&gt;=AO$4,$I75&lt;AO$4+7),IF($K75="Deadline","◇","◆"),"")</f>
        <v/>
      </c>
      <c r="AP75" s="14" t="str">
        <f>IF(AND(ISNUMBER($I75),OR($K75="Milestone",$K75="Deadline"),$I75&gt;=AP$4,$I75&lt;AP$4+7),IF($K75="Deadline","◇","◆"),"")</f>
        <v/>
      </c>
      <c r="AQ75" s="14" t="str">
        <f>IF(AND(ISNUMBER($I75),OR($K75="Milestone",$K75="Deadline"),$I75&gt;=AQ$4,$I75&lt;AQ$4+7),IF($K75="Deadline","◇","◆"),"")</f>
        <v/>
      </c>
      <c r="AR75" s="14" t="str">
        <f>IF(AND(ISNUMBER($I75),OR($K75="Milestone",$K75="Deadline"),$I75&gt;=AR$4,$I75&lt;AR$4+7),IF($K75="Deadline","◇","◆"),"")</f>
        <v/>
      </c>
      <c r="AS75" s="14" t="str">
        <f>IF(AND(ISNUMBER($I75),OR($K75="Milestone",$K75="Deadline"),$I75&gt;=AS$4,$I75&lt;AS$4+7),IF($K75="Deadline","◇","◆"),"")</f>
        <v/>
      </c>
      <c r="AT75" s="14" t="str">
        <f>IF(AND(ISNUMBER($I75),OR($K75="Milestone",$K75="Deadline"),$I75&gt;=AT$4,$I75&lt;AT$4+7),IF($K75="Deadline","◇","◆"),"")</f>
        <v/>
      </c>
      <c r="AU75" s="14" t="str">
        <f>IF(AND(ISNUMBER($I75),OR($K75="Milestone",$K75="Deadline"),$I75&gt;=AU$4,$I75&lt;AU$4+7),IF($K75="Deadline","◇","◆"),"")</f>
        <v/>
      </c>
      <c r="AV75" s="14" t="str">
        <f>IF(AND(ISNUMBER($I75),OR($K75="Milestone",$K75="Deadline"),$I75&gt;=AV$4,$I75&lt;AV$4+7),IF($K75="Deadline","◇","◆"),"")</f>
        <v/>
      </c>
      <c r="AW75" s="14" t="str">
        <f>IF(AND(ISNUMBER($I75),OR($K75="Milestone",$K75="Deadline"),$I75&gt;=AW$4,$I75&lt;AW$4+7),IF($K75="Deadline","◇","◆"),"")</f>
        <v/>
      </c>
      <c r="AX75" s="14" t="str">
        <f>IF(AND(ISNUMBER($I75),OR($K75="Milestone",$K75="Deadline"),$I75&gt;=AX$4,$I75&lt;AX$4+7),IF($K75="Deadline","◇","◆"),"")</f>
        <v/>
      </c>
      <c r="AY75" s="14" t="str">
        <f>IF(AND(ISNUMBER($I75),OR($K75="Milestone",$K75="Deadline"),$I75&gt;=AY$4,$I75&lt;AY$4+7),IF($K75="Deadline","◇","◆"),"")</f>
        <v/>
      </c>
      <c r="AZ75" s="14" t="str">
        <f>IF(AND(ISNUMBER($I75),OR($K75="Milestone",$K75="Deadline"),$I75&gt;=AZ$4,$I75&lt;AZ$4+7),IF($K75="Deadline","◇","◆"),"")</f>
        <v/>
      </c>
      <c r="BA75" s="14" t="str">
        <f>IF(AND(ISNUMBER($I75),OR($K75="Milestone",$K75="Deadline"),$I75&gt;=BA$4,$I75&lt;BA$4+7),IF($K75="Deadline","◇","◆"),"")</f>
        <v/>
      </c>
      <c r="BB75" s="14" t="str">
        <f>IF(AND(ISNUMBER($I75),OR($K75="Milestone",$K75="Deadline"),$I75&gt;=BB$4,$I75&lt;BB$4+7),IF($K75="Deadline","◇","◆"),"")</f>
        <v/>
      </c>
      <c r="BC75" s="14" t="str">
        <f>IF(AND(ISNUMBER($I75),OR($K75="Milestone",$K75="Deadline"),$I75&gt;=BC$4,$I75&lt;BC$4+7),IF($K75="Deadline","◇","◆"),"")</f>
        <v/>
      </c>
      <c r="BD75" s="14" t="str">
        <f>IF(AND(ISNUMBER($I75),OR($K75="Milestone",$K75="Deadline"),$I75&gt;=BD$4,$I75&lt;BD$4+7),IF($K75="Deadline","◇","◆"),"")</f>
        <v/>
      </c>
      <c r="BE75" s="14" t="str">
        <f>IF(AND(ISNUMBER($I75),OR($K75="Milestone",$K75="Deadline"),$I75&gt;=BE$4,$I75&lt;BE$4+7),IF($K75="Deadline","◇","◆"),"")</f>
        <v/>
      </c>
      <c r="BF75" s="14" t="str">
        <f>IF(AND(ISNUMBER($I75),OR($K75="Milestone",$K75="Deadline"),$I75&gt;=BF$4,$I75&lt;BF$4+7),IF($K75="Deadline","◇","◆"),"")</f>
        <v/>
      </c>
      <c r="BG75" s="14" t="str">
        <f>IF(AND(ISNUMBER($I75),OR($K75="Milestone",$K75="Deadline"),$I75&gt;=BG$4,$I75&lt;BG$4+7),IF($K75="Deadline","◇","◆"),"")</f>
        <v/>
      </c>
      <c r="BH75" s="14" t="str">
        <f>IF(AND(ISNUMBER($I75),OR($K75="Milestone",$K75="Deadline"),$I75&gt;=BH$4,$I75&lt;BH$4+7),IF($K75="Deadline","◇","◆"),"")</f>
        <v/>
      </c>
      <c r="BI75" s="14" t="str">
        <f>IF(AND(ISNUMBER($I75),OR($K75="Milestone",$K75="Deadline"),$I75&gt;=BI$4,$I75&lt;BI$4+7),IF($K75="Deadline","◇","◆"),"")</f>
        <v/>
      </c>
      <c r="BJ75" s="14" t="str">
        <f>IF(AND(ISNUMBER($I75),OR($K75="Milestone",$K75="Deadline"),$I75&gt;=BJ$4,$I75&lt;BJ$4+7),IF($K75="Deadline","◇","◆"),"")</f>
        <v/>
      </c>
      <c r="BK75" s="14" t="str">
        <f>IF(AND(ISNUMBER($I75),OR($K75="Milestone",$K75="Deadline"),$I75&gt;=BK$4,$I75&lt;BK$4+7),IF($K75="Deadline","◇","◆"),"")</f>
        <v/>
      </c>
      <c r="BL75" s="14" t="str">
        <f>IF(AND(ISNUMBER($I75),OR($K75="Milestone",$K75="Deadline"),$I75&gt;=BL$4,$I75&lt;BL$4+7),IF($K75="Deadline","◇","◆"),"")</f>
        <v/>
      </c>
      <c r="BM75" s="14" t="str">
        <f>IF(AND(ISNUMBER($I75),OR($K75="Milestone",$K75="Deadline"),$I75&gt;=BM$4,$I75&lt;BM$4+7),IF($K75="Deadline","◇","◆"),"")</f>
        <v/>
      </c>
      <c r="BN75" s="14" t="str">
        <f>IF(AND(ISNUMBER($I75),OR($K75="Milestone",$K75="Deadline"),$I75&gt;=BN$4,$I75&lt;BN$4+7),IF($K75="Deadline","◇","◆"),"")</f>
        <v/>
      </c>
      <c r="BO75" s="14" t="str">
        <f>IF(AND(ISNUMBER($I75),OR($K75="Milestone",$K75="Deadline"),$I75&gt;=BO$4,$I75&lt;BO$4+7),IF($K75="Deadline","◇","◆"),"")</f>
        <v/>
      </c>
      <c r="BP75" s="14" t="str">
        <f>IF(AND(ISNUMBER($I75),OR($K75="Milestone",$K75="Deadline"),$I75&gt;=BP$4,$I75&lt;BP$4+7),IF($K75="Deadline","◇","◆"),"")</f>
        <v/>
      </c>
      <c r="BQ75" s="14" t="str">
        <f>IF(AND(ISNUMBER($I75),OR($K75="Milestone",$K75="Deadline"),$I75&gt;=BQ$4,$I75&lt;BQ$4+7),IF($K75="Deadline","◇","◆"),"")</f>
        <v/>
      </c>
      <c r="BR75" s="14" t="str">
        <f>IF(AND(ISNUMBER($I75),OR($K75="Milestone",$K75="Deadline"),$I75&gt;=BR$4,$I75&lt;BR$4+7),IF($K75="Deadline","◇","◆"),"")</f>
        <v/>
      </c>
      <c r="BS75" s="14" t="str">
        <f>IF(AND(ISNUMBER($I75),OR($K75="Milestone",$K75="Deadline"),$I75&gt;=BS$4,$I75&lt;BS$4+7),IF($K75="Deadline","◇","◆"),"")</f>
        <v/>
      </c>
      <c r="BT75" s="14" t="str">
        <f>IF(AND(ISNUMBER($I75),OR($K75="Milestone",$K75="Deadline"),$I75&gt;=BT$4,$I75&lt;BT$4+7),IF($K75="Deadline","◇","◆"),"")</f>
        <v/>
      </c>
      <c r="BU75" s="14" t="str">
        <f>IF(AND(ISNUMBER($I75),OR($K75="Milestone",$K75="Deadline"),$I75&gt;=BU$4,$I75&lt;BU$4+7),IF($K75="Deadline","◇","◆"),"")</f>
        <v/>
      </c>
      <c r="BV75" s="14" t="str">
        <f>IF(AND(ISNUMBER($I75),OR($K75="Milestone",$K75="Deadline"),$I75&gt;=BV$4,$I75&lt;BV$4+7),IF($K75="Deadline","◇","◆"),"")</f>
        <v/>
      </c>
      <c r="BW75" s="14" t="str">
        <f>IF(AND(ISNUMBER($I75),OR($K75="Milestone",$K75="Deadline"),$I75&gt;=BW$4,$I75&lt;BW$4+7),IF($K75="Deadline","◇","◆"),"")</f>
        <v/>
      </c>
      <c r="BX75" s="14" t="str">
        <f>IF(AND(ISNUMBER($I75),OR($K75="Milestone",$K75="Deadline"),$I75&gt;=BX$4,$I75&lt;BX$4+7),IF($K75="Deadline","◇","◆"),"")</f>
        <v/>
      </c>
      <c r="BY75" s="14" t="str">
        <f>IF(AND(ISNUMBER($I75),OR($K75="Milestone",$K75="Deadline"),$I75&gt;=BY$4,$I75&lt;BY$4+7),IF($K75="Deadline","◇","◆"),"")</f>
        <v/>
      </c>
      <c r="BZ75" s="14" t="str">
        <f>IF(AND(ISNUMBER($I75),OR($K75="Milestone",$K75="Deadline"),$I75&gt;=BZ$4,$I75&lt;BZ$4+7),IF($K75="Deadline","◇","◆"),"")</f>
        <v/>
      </c>
      <c r="CA75" s="14" t="str">
        <f>IF(AND(ISNUMBER($I75),OR($K75="Milestone",$K75="Deadline"),$I75&gt;=CA$4,$I75&lt;CA$4+7),IF($K75="Deadline","◇","◆"),"")</f>
        <v/>
      </c>
      <c r="CB75" s="14" t="str">
        <f>IF(AND(ISNUMBER($I75),OR($K75="Milestone",$K75="Deadline"),$I75&gt;=CB$4,$I75&lt;CB$4+7),IF($K75="Deadline","◇","◆"),"")</f>
        <v/>
      </c>
      <c r="CC75" s="14" t="str">
        <f>IF(AND(ISNUMBER($I75),OR($K75="Milestone",$K75="Deadline"),$I75&gt;=CC$4,$I75&lt;CC$4+7),IF($K75="Deadline","◇","◆"),"")</f>
        <v/>
      </c>
      <c r="CD75" s="14" t="str">
        <f>IF(AND(ISNUMBER($I75),OR($K75="Milestone",$K75="Deadline"),$I75&gt;=CD$4,$I75&lt;CD$4+7),IF($K75="Deadline","◇","◆"),"")</f>
        <v/>
      </c>
      <c r="CE75" s="14" t="str">
        <f>IF(AND(ISNUMBER($I75),OR($K75="Milestone",$K75="Deadline"),$I75&gt;=CE$4,$I75&lt;CE$4+7),IF($K75="Deadline","◇","◆"),"")</f>
        <v/>
      </c>
      <c r="CF75" s="14" t="str">
        <f>IF(AND(ISNUMBER($I75),OR($K75="Milestone",$K75="Deadline"),$I75&gt;=CF$4,$I75&lt;CF$4+7),IF($K75="Deadline","◇","◆"),"")</f>
        <v/>
      </c>
      <c r="CG75" s="14" t="str">
        <f>IF(AND(ISNUMBER($I75),OR($K75="Milestone",$K75="Deadline"),$I75&gt;=CG$4,$I75&lt;CG$4+7),IF($K75="Deadline","◇","◆"),"")</f>
        <v/>
      </c>
      <c r="CH75" s="14" t="str">
        <f>IF(AND(ISNUMBER($I75),OR($K75="Milestone",$K75="Deadline"),$I75&gt;=CH$4,$I75&lt;CH$4+7),IF($K75="Deadline","◇","◆"),"")</f>
        <v/>
      </c>
      <c r="CI75" s="14" t="str">
        <f>IF(AND(ISNUMBER($I75),OR($K75="Milestone",$K75="Deadline"),$I75&gt;=CI$4,$I75&lt;CI$4+7),IF($K75="Deadline","◇","◆"),"")</f>
        <v/>
      </c>
      <c r="CJ75" s="14" t="str">
        <f>IF(AND(ISNUMBER($I75),OR($K75="Milestone",$K75="Deadline"),$I75&gt;=CJ$4,$I75&lt;CJ$4+7),IF($K75="Deadline","◇","◆"),"")</f>
        <v/>
      </c>
      <c r="CK75" s="14" t="str">
        <f>IF(AND(ISNUMBER($I75),OR($K75="Milestone",$K75="Deadline"),$I75&gt;=CK$4,$I75&lt;CK$4+7),IF($K75="Deadline","◇","◆"),"")</f>
        <v/>
      </c>
      <c r="CL75" s="14" t="str">
        <f>IF(AND(ISNUMBER($I75),OR($K75="Milestone",$K75="Deadline"),$I75&gt;=CL$4,$I75&lt;CL$4+7),IF($K75="Deadline","◇","◆"),"")</f>
        <v/>
      </c>
      <c r="CM75" s="14" t="str">
        <f>IF(AND(ISNUMBER($I75),OR($K75="Milestone",$K75="Deadline"),$I75&gt;=CM$4,$I75&lt;CM$4+7),IF($K75="Deadline","◇","◆"),"")</f>
        <v/>
      </c>
    </row>
    <row r="76" spans="1:91" ht="15" customHeight="1">
      <c r="A76" s="29" t="s">
        <v>244</v>
      </c>
      <c r="B76" s="29" t="s">
        <v>234</v>
      </c>
      <c r="C76" s="29" t="s">
        <v>63</v>
      </c>
      <c r="D76" s="29" t="s">
        <v>195</v>
      </c>
      <c r="E76" s="29" t="s">
        <v>196</v>
      </c>
      <c r="F76" s="29" t="s">
        <v>197</v>
      </c>
      <c r="G76" s="29" t="s">
        <v>198</v>
      </c>
      <c r="H76" s="29">
        <v>14</v>
      </c>
      <c r="I76" s="30">
        <f>MAX(DATE(2026,11,9),J78+1,J122+1)</f>
        <v>46346</v>
      </c>
      <c r="J76" s="31">
        <f>IF(AND(ISNUMBER(I76),ISNUMBER(H76)),I76+H76-1,"")</f>
        <v>46359</v>
      </c>
      <c r="K76" s="29" t="s">
        <v>27</v>
      </c>
      <c r="L76" s="29" t="s">
        <v>146</v>
      </c>
      <c r="M76" s="32" t="s">
        <v>245</v>
      </c>
      <c r="N76" s="29"/>
      <c r="O76" s="32">
        <f>IF(AND(ISNUMBER(I76),ISNUMBER(J76)),J76-I76+1,"")</f>
        <v>14</v>
      </c>
      <c r="P76" s="13"/>
      <c r="Q76" s="13"/>
      <c r="R76" s="13"/>
      <c r="S76" s="13"/>
      <c r="T76" s="13" t="s">
        <v>140</v>
      </c>
      <c r="U76" s="13" t="s">
        <v>140</v>
      </c>
      <c r="V76" s="13" t="s">
        <v>140</v>
      </c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13"/>
      <c r="AM76" s="13"/>
      <c r="AN76" s="13"/>
      <c r="AO76" s="14" t="str">
        <f>IF(AND(ISNUMBER($I76),OR($K76="Milestone",$K76="Deadline"),$I76&gt;=AO$4,$I76&lt;AO$4+7),IF($K76="Deadline","◇","◆"),"")</f>
        <v/>
      </c>
      <c r="AP76" s="14" t="str">
        <f>IF(AND(ISNUMBER($I76),OR($K76="Milestone",$K76="Deadline"),$I76&gt;=AP$4,$I76&lt;AP$4+7),IF($K76="Deadline","◇","◆"),"")</f>
        <v/>
      </c>
      <c r="AQ76" s="14" t="str">
        <f>IF(AND(ISNUMBER($I76),OR($K76="Milestone",$K76="Deadline"),$I76&gt;=AQ$4,$I76&lt;AQ$4+7),IF($K76="Deadline","◇","◆"),"")</f>
        <v/>
      </c>
      <c r="AR76" s="14" t="str">
        <f>IF(AND(ISNUMBER($I76),OR($K76="Milestone",$K76="Deadline"),$I76&gt;=AR$4,$I76&lt;AR$4+7),IF($K76="Deadline","◇","◆"),"")</f>
        <v/>
      </c>
      <c r="AS76" s="14" t="str">
        <f>IF(AND(ISNUMBER($I76),OR($K76="Milestone",$K76="Deadline"),$I76&gt;=AS$4,$I76&lt;AS$4+7),IF($K76="Deadline","◇","◆"),"")</f>
        <v/>
      </c>
      <c r="AT76" s="14" t="str">
        <f>IF(AND(ISNUMBER($I76),OR($K76="Milestone",$K76="Deadline"),$I76&gt;=AT$4,$I76&lt;AT$4+7),IF($K76="Deadline","◇","◆"),"")</f>
        <v/>
      </c>
      <c r="AU76" s="14" t="str">
        <f>IF(AND(ISNUMBER($I76),OR($K76="Milestone",$K76="Deadline"),$I76&gt;=AU$4,$I76&lt;AU$4+7),IF($K76="Deadline","◇","◆"),"")</f>
        <v/>
      </c>
      <c r="AV76" s="14" t="str">
        <f>IF(AND(ISNUMBER($I76),OR($K76="Milestone",$K76="Deadline"),$I76&gt;=AV$4,$I76&lt;AV$4+7),IF($K76="Deadline","◇","◆"),"")</f>
        <v/>
      </c>
      <c r="AW76" s="14" t="str">
        <f>IF(AND(ISNUMBER($I76),OR($K76="Milestone",$K76="Deadline"),$I76&gt;=AW$4,$I76&lt;AW$4+7),IF($K76="Deadline","◇","◆"),"")</f>
        <v/>
      </c>
      <c r="AX76" s="14" t="str">
        <f>IF(AND(ISNUMBER($I76),OR($K76="Milestone",$K76="Deadline"),$I76&gt;=AX$4,$I76&lt;AX$4+7),IF($K76="Deadline","◇","◆"),"")</f>
        <v/>
      </c>
      <c r="AY76" s="14" t="str">
        <f>IF(AND(ISNUMBER($I76),OR($K76="Milestone",$K76="Deadline"),$I76&gt;=AY$4,$I76&lt;AY$4+7),IF($K76="Deadline","◇","◆"),"")</f>
        <v/>
      </c>
      <c r="AZ76" s="14" t="str">
        <f>IF(AND(ISNUMBER($I76),OR($K76="Milestone",$K76="Deadline"),$I76&gt;=AZ$4,$I76&lt;AZ$4+7),IF($K76="Deadline","◇","◆"),"")</f>
        <v/>
      </c>
      <c r="BA76" s="14" t="str">
        <f>IF(AND(ISNUMBER($I76),OR($K76="Milestone",$K76="Deadline"),$I76&gt;=BA$4,$I76&lt;BA$4+7),IF($K76="Deadline","◇","◆"),"")</f>
        <v/>
      </c>
      <c r="BB76" s="14" t="str">
        <f>IF(AND(ISNUMBER($I76),OR($K76="Milestone",$K76="Deadline"),$I76&gt;=BB$4,$I76&lt;BB$4+7),IF($K76="Deadline","◇","◆"),"")</f>
        <v/>
      </c>
      <c r="BC76" s="14" t="str">
        <f>IF(AND(ISNUMBER($I76),OR($K76="Milestone",$K76="Deadline"),$I76&gt;=BC$4,$I76&lt;BC$4+7),IF($K76="Deadline","◇","◆"),"")</f>
        <v/>
      </c>
      <c r="BD76" s="14" t="str">
        <f>IF(AND(ISNUMBER($I76),OR($K76="Milestone",$K76="Deadline"),$I76&gt;=BD$4,$I76&lt;BD$4+7),IF($K76="Deadline","◇","◆"),"")</f>
        <v/>
      </c>
      <c r="BE76" s="14" t="str">
        <f>IF(AND(ISNUMBER($I76),OR($K76="Milestone",$K76="Deadline"),$I76&gt;=BE$4,$I76&lt;BE$4+7),IF($K76="Deadline","◇","◆"),"")</f>
        <v/>
      </c>
      <c r="BF76" s="14" t="str">
        <f>IF(AND(ISNUMBER($I76),OR($K76="Milestone",$K76="Deadline"),$I76&gt;=BF$4,$I76&lt;BF$4+7),IF($K76="Deadline","◇","◆"),"")</f>
        <v/>
      </c>
      <c r="BG76" s="14" t="str">
        <f>IF(AND(ISNUMBER($I76),OR($K76="Milestone",$K76="Deadline"),$I76&gt;=BG$4,$I76&lt;BG$4+7),IF($K76="Deadline","◇","◆"),"")</f>
        <v/>
      </c>
      <c r="BH76" s="14" t="str">
        <f>IF(AND(ISNUMBER($I76),OR($K76="Milestone",$K76="Deadline"),$I76&gt;=BH$4,$I76&lt;BH$4+7),IF($K76="Deadline","◇","◆"),"")</f>
        <v/>
      </c>
      <c r="BI76" s="14" t="str">
        <f>IF(AND(ISNUMBER($I76),OR($K76="Milestone",$K76="Deadline"),$I76&gt;=BI$4,$I76&lt;BI$4+7),IF($K76="Deadline","◇","◆"),"")</f>
        <v/>
      </c>
      <c r="BJ76" s="14" t="str">
        <f>IF(AND(ISNUMBER($I76),OR($K76="Milestone",$K76="Deadline"),$I76&gt;=BJ$4,$I76&lt;BJ$4+7),IF($K76="Deadline","◇","◆"),"")</f>
        <v/>
      </c>
      <c r="BK76" s="14" t="str">
        <f>IF(AND(ISNUMBER($I76),OR($K76="Milestone",$K76="Deadline"),$I76&gt;=BK$4,$I76&lt;BK$4+7),IF($K76="Deadline","◇","◆"),"")</f>
        <v/>
      </c>
      <c r="BL76" s="14" t="str">
        <f>IF(AND(ISNUMBER($I76),OR($K76="Milestone",$K76="Deadline"),$I76&gt;=BL$4,$I76&lt;BL$4+7),IF($K76="Deadline","◇","◆"),"")</f>
        <v/>
      </c>
      <c r="BM76" s="14" t="str">
        <f>IF(AND(ISNUMBER($I76),OR($K76="Milestone",$K76="Deadline"),$I76&gt;=BM$4,$I76&lt;BM$4+7),IF($K76="Deadline","◇","◆"),"")</f>
        <v/>
      </c>
      <c r="BN76" s="14" t="str">
        <f>IF(AND(ISNUMBER($I76),OR($K76="Milestone",$K76="Deadline"),$I76&gt;=BN$4,$I76&lt;BN$4+7),IF($K76="Deadline","◇","◆"),"")</f>
        <v/>
      </c>
      <c r="BO76" s="14" t="str">
        <f>IF(AND(ISNUMBER($I76),OR($K76="Milestone",$K76="Deadline"),$I76&gt;=BO$4,$I76&lt;BO$4+7),IF($K76="Deadline","◇","◆"),"")</f>
        <v/>
      </c>
      <c r="BP76" s="14" t="str">
        <f>IF(AND(ISNUMBER($I76),OR($K76="Milestone",$K76="Deadline"),$I76&gt;=BP$4,$I76&lt;BP$4+7),IF($K76="Deadline","◇","◆"),"")</f>
        <v/>
      </c>
      <c r="BQ76" s="14" t="str">
        <f>IF(AND(ISNUMBER($I76),OR($K76="Milestone",$K76="Deadline"),$I76&gt;=BQ$4,$I76&lt;BQ$4+7),IF($K76="Deadline","◇","◆"),"")</f>
        <v/>
      </c>
      <c r="BR76" s="14" t="str">
        <f>IF(AND(ISNUMBER($I76),OR($K76="Milestone",$K76="Deadline"),$I76&gt;=BR$4,$I76&lt;BR$4+7),IF($K76="Deadline","◇","◆"),"")</f>
        <v/>
      </c>
      <c r="BS76" s="14" t="str">
        <f>IF(AND(ISNUMBER($I76),OR($K76="Milestone",$K76="Deadline"),$I76&gt;=BS$4,$I76&lt;BS$4+7),IF($K76="Deadline","◇","◆"),"")</f>
        <v/>
      </c>
      <c r="BT76" s="14" t="str">
        <f>IF(AND(ISNUMBER($I76),OR($K76="Milestone",$K76="Deadline"),$I76&gt;=BT$4,$I76&lt;BT$4+7),IF($K76="Deadline","◇","◆"),"")</f>
        <v/>
      </c>
      <c r="BU76" s="14" t="str">
        <f>IF(AND(ISNUMBER($I76),OR($K76="Milestone",$K76="Deadline"),$I76&gt;=BU$4,$I76&lt;BU$4+7),IF($K76="Deadline","◇","◆"),"")</f>
        <v/>
      </c>
      <c r="BV76" s="14" t="str">
        <f>IF(AND(ISNUMBER($I76),OR($K76="Milestone",$K76="Deadline"),$I76&gt;=BV$4,$I76&lt;BV$4+7),IF($K76="Deadline","◇","◆"),"")</f>
        <v/>
      </c>
      <c r="BW76" s="14" t="str">
        <f>IF(AND(ISNUMBER($I76),OR($K76="Milestone",$K76="Deadline"),$I76&gt;=BW$4,$I76&lt;BW$4+7),IF($K76="Deadline","◇","◆"),"")</f>
        <v/>
      </c>
      <c r="BX76" s="14" t="str">
        <f>IF(AND(ISNUMBER($I76),OR($K76="Milestone",$K76="Deadline"),$I76&gt;=BX$4,$I76&lt;BX$4+7),IF($K76="Deadline","◇","◆"),"")</f>
        <v/>
      </c>
      <c r="BY76" s="14" t="str">
        <f>IF(AND(ISNUMBER($I76),OR($K76="Milestone",$K76="Deadline"),$I76&gt;=BY$4,$I76&lt;BY$4+7),IF($K76="Deadline","◇","◆"),"")</f>
        <v/>
      </c>
      <c r="BZ76" s="14" t="str">
        <f>IF(AND(ISNUMBER($I76),OR($K76="Milestone",$K76="Deadline"),$I76&gt;=BZ$4,$I76&lt;BZ$4+7),IF($K76="Deadline","◇","◆"),"")</f>
        <v/>
      </c>
      <c r="CA76" s="14" t="str">
        <f>IF(AND(ISNUMBER($I76),OR($K76="Milestone",$K76="Deadline"),$I76&gt;=CA$4,$I76&lt;CA$4+7),IF($K76="Deadline","◇","◆"),"")</f>
        <v/>
      </c>
      <c r="CB76" s="14" t="str">
        <f>IF(AND(ISNUMBER($I76),OR($K76="Milestone",$K76="Deadline"),$I76&gt;=CB$4,$I76&lt;CB$4+7),IF($K76="Deadline","◇","◆"),"")</f>
        <v/>
      </c>
      <c r="CC76" s="14" t="str">
        <f>IF(AND(ISNUMBER($I76),OR($K76="Milestone",$K76="Deadline"),$I76&gt;=CC$4,$I76&lt;CC$4+7),IF($K76="Deadline","◇","◆"),"")</f>
        <v/>
      </c>
      <c r="CD76" s="14" t="str">
        <f>IF(AND(ISNUMBER($I76),OR($K76="Milestone",$K76="Deadline"),$I76&gt;=CD$4,$I76&lt;CD$4+7),IF($K76="Deadline","◇","◆"),"")</f>
        <v/>
      </c>
      <c r="CE76" s="14" t="str">
        <f>IF(AND(ISNUMBER($I76),OR($K76="Milestone",$K76="Deadline"),$I76&gt;=CE$4,$I76&lt;CE$4+7),IF($K76="Deadline","◇","◆"),"")</f>
        <v/>
      </c>
      <c r="CF76" s="14" t="str">
        <f>IF(AND(ISNUMBER($I76),OR($K76="Milestone",$K76="Deadline"),$I76&gt;=CF$4,$I76&lt;CF$4+7),IF($K76="Deadline","◇","◆"),"")</f>
        <v/>
      </c>
      <c r="CG76" s="14" t="str">
        <f>IF(AND(ISNUMBER($I76),OR($K76="Milestone",$K76="Deadline"),$I76&gt;=CG$4,$I76&lt;CG$4+7),IF($K76="Deadline","◇","◆"),"")</f>
        <v/>
      </c>
      <c r="CH76" s="14" t="str">
        <f>IF(AND(ISNUMBER($I76),OR($K76="Milestone",$K76="Deadline"),$I76&gt;=CH$4,$I76&lt;CH$4+7),IF($K76="Deadline","◇","◆"),"")</f>
        <v/>
      </c>
      <c r="CI76" s="14" t="str">
        <f>IF(AND(ISNUMBER($I76),OR($K76="Milestone",$K76="Deadline"),$I76&gt;=CI$4,$I76&lt;CI$4+7),IF($K76="Deadline","◇","◆"),"")</f>
        <v/>
      </c>
      <c r="CJ76" s="14" t="str">
        <f>IF(AND(ISNUMBER($I76),OR($K76="Milestone",$K76="Deadline"),$I76&gt;=CJ$4,$I76&lt;CJ$4+7),IF($K76="Deadline","◇","◆"),"")</f>
        <v/>
      </c>
      <c r="CK76" s="14" t="str">
        <f>IF(AND(ISNUMBER($I76),OR($K76="Milestone",$K76="Deadline"),$I76&gt;=CK$4,$I76&lt;CK$4+7),IF($K76="Deadline","◇","◆"),"")</f>
        <v/>
      </c>
      <c r="CL76" s="14" t="str">
        <f>IF(AND(ISNUMBER($I76),OR($K76="Milestone",$K76="Deadline"),$I76&gt;=CL$4,$I76&lt;CL$4+7),IF($K76="Deadline","◇","◆"),"")</f>
        <v/>
      </c>
      <c r="CM76" s="14" t="str">
        <f>IF(AND(ISNUMBER($I76),OR($K76="Milestone",$K76="Deadline"),$I76&gt;=CM$4,$I76&lt;CM$4+7),IF($K76="Deadline","◇","◆"),"")</f>
        <v/>
      </c>
    </row>
    <row r="77" spans="1:91" ht="15" hidden="1" customHeight="1">
      <c r="A77" s="29" t="s">
        <v>246</v>
      </c>
      <c r="B77" s="29" t="s">
        <v>234</v>
      </c>
      <c r="C77" s="29" t="s">
        <v>63</v>
      </c>
      <c r="D77" s="29" t="s">
        <v>195</v>
      </c>
      <c r="E77" s="29" t="s">
        <v>196</v>
      </c>
      <c r="F77" s="29" t="s">
        <v>197</v>
      </c>
      <c r="G77" s="29" t="s">
        <v>173</v>
      </c>
      <c r="H77" s="29">
        <v>14</v>
      </c>
      <c r="I77" s="33">
        <v>46364</v>
      </c>
      <c r="J77" s="31">
        <f>IF(AND(ISNUMBER(I77),ISNUMBER(H77)),I77+H77-1,"")</f>
        <v>46377</v>
      </c>
      <c r="K77" s="29" t="s">
        <v>27</v>
      </c>
      <c r="L77" s="29"/>
      <c r="M77" s="32"/>
      <c r="N77" s="29"/>
      <c r="O77" s="32">
        <f>IF(AND(ISNUMBER(I77),ISNUMBER(J77)),J77-I77+1,"")</f>
        <v>14</v>
      </c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13"/>
      <c r="AK77" s="13" t="s">
        <v>140</v>
      </c>
      <c r="AL77" s="13"/>
      <c r="AM77" s="13"/>
      <c r="AN77" s="13"/>
      <c r="AO77" s="14" t="str">
        <f>IF(AND(ISNUMBER($I77),OR($K77="Milestone",$K77="Deadline"),$I77&gt;=AO$4,$I77&lt;AO$4+7),IF($K77="Deadline","◇","◆"),"")</f>
        <v/>
      </c>
      <c r="AP77" s="14" t="str">
        <f>IF(AND(ISNUMBER($I77),OR($K77="Milestone",$K77="Deadline"),$I77&gt;=AP$4,$I77&lt;AP$4+7),IF($K77="Deadline","◇","◆"),"")</f>
        <v/>
      </c>
      <c r="AQ77" s="14" t="str">
        <f>IF(AND(ISNUMBER($I77),OR($K77="Milestone",$K77="Deadline"),$I77&gt;=AQ$4,$I77&lt;AQ$4+7),IF($K77="Deadline","◇","◆"),"")</f>
        <v/>
      </c>
      <c r="AR77" s="14" t="str">
        <f>IF(AND(ISNUMBER($I77),OR($K77="Milestone",$K77="Deadline"),$I77&gt;=AR$4,$I77&lt;AR$4+7),IF($K77="Deadline","◇","◆"),"")</f>
        <v/>
      </c>
      <c r="AS77" s="14" t="str">
        <f>IF(AND(ISNUMBER($I77),OR($K77="Milestone",$K77="Deadline"),$I77&gt;=AS$4,$I77&lt;AS$4+7),IF($K77="Deadline","◇","◆"),"")</f>
        <v/>
      </c>
      <c r="AT77" s="14" t="str">
        <f>IF(AND(ISNUMBER($I77),OR($K77="Milestone",$K77="Deadline"),$I77&gt;=AT$4,$I77&lt;AT$4+7),IF($K77="Deadline","◇","◆"),"")</f>
        <v/>
      </c>
      <c r="AU77" s="14" t="str">
        <f>IF(AND(ISNUMBER($I77),OR($K77="Milestone",$K77="Deadline"),$I77&gt;=AU$4,$I77&lt;AU$4+7),IF($K77="Deadline","◇","◆"),"")</f>
        <v/>
      </c>
      <c r="AV77" s="14" t="str">
        <f>IF(AND(ISNUMBER($I77),OR($K77="Milestone",$K77="Deadline"),$I77&gt;=AV$4,$I77&lt;AV$4+7),IF($K77="Deadline","◇","◆"),"")</f>
        <v/>
      </c>
      <c r="AW77" s="14" t="str">
        <f>IF(AND(ISNUMBER($I77),OR($K77="Milestone",$K77="Deadline"),$I77&gt;=AW$4,$I77&lt;AW$4+7),IF($K77="Deadline","◇","◆"),"")</f>
        <v/>
      </c>
      <c r="AX77" s="14" t="str">
        <f>IF(AND(ISNUMBER($I77),OR($K77="Milestone",$K77="Deadline"),$I77&gt;=AX$4,$I77&lt;AX$4+7),IF($K77="Deadline","◇","◆"),"")</f>
        <v/>
      </c>
      <c r="AY77" s="14" t="str">
        <f>IF(AND(ISNUMBER($I77),OR($K77="Milestone",$K77="Deadline"),$I77&gt;=AY$4,$I77&lt;AY$4+7),IF($K77="Deadline","◇","◆"),"")</f>
        <v/>
      </c>
      <c r="AZ77" s="14" t="str">
        <f>IF(AND(ISNUMBER($I77),OR($K77="Milestone",$K77="Deadline"),$I77&gt;=AZ$4,$I77&lt;AZ$4+7),IF($K77="Deadline","◇","◆"),"")</f>
        <v/>
      </c>
      <c r="BA77" s="14" t="str">
        <f>IF(AND(ISNUMBER($I77),OR($K77="Milestone",$K77="Deadline"),$I77&gt;=BA$4,$I77&lt;BA$4+7),IF($K77="Deadline","◇","◆"),"")</f>
        <v/>
      </c>
      <c r="BB77" s="14" t="str">
        <f>IF(AND(ISNUMBER($I77),OR($K77="Milestone",$K77="Deadline"),$I77&gt;=BB$4,$I77&lt;BB$4+7),IF($K77="Deadline","◇","◆"),"")</f>
        <v/>
      </c>
      <c r="BC77" s="14" t="str">
        <f>IF(AND(ISNUMBER($I77),OR($K77="Milestone",$K77="Deadline"),$I77&gt;=BC$4,$I77&lt;BC$4+7),IF($K77="Deadline","◇","◆"),"")</f>
        <v/>
      </c>
      <c r="BD77" s="14" t="str">
        <f>IF(AND(ISNUMBER($I77),OR($K77="Milestone",$K77="Deadline"),$I77&gt;=BD$4,$I77&lt;BD$4+7),IF($K77="Deadline","◇","◆"),"")</f>
        <v/>
      </c>
      <c r="BE77" s="14" t="str">
        <f>IF(AND(ISNUMBER($I77),OR($K77="Milestone",$K77="Deadline"),$I77&gt;=BE$4,$I77&lt;BE$4+7),IF($K77="Deadline","◇","◆"),"")</f>
        <v/>
      </c>
      <c r="BF77" s="14" t="str">
        <f>IF(AND(ISNUMBER($I77),OR($K77="Milestone",$K77="Deadline"),$I77&gt;=BF$4,$I77&lt;BF$4+7),IF($K77="Deadline","◇","◆"),"")</f>
        <v/>
      </c>
      <c r="BG77" s="14" t="str">
        <f>IF(AND(ISNUMBER($I77),OR($K77="Milestone",$K77="Deadline"),$I77&gt;=BG$4,$I77&lt;BG$4+7),IF($K77="Deadline","◇","◆"),"")</f>
        <v/>
      </c>
      <c r="BH77" s="14" t="str">
        <f>IF(AND(ISNUMBER($I77),OR($K77="Milestone",$K77="Deadline"),$I77&gt;=BH$4,$I77&lt;BH$4+7),IF($K77="Deadline","◇","◆"),"")</f>
        <v/>
      </c>
      <c r="BI77" s="14" t="str">
        <f>IF(AND(ISNUMBER($I77),OR($K77="Milestone",$K77="Deadline"),$I77&gt;=BI$4,$I77&lt;BI$4+7),IF($K77="Deadline","◇","◆"),"")</f>
        <v/>
      </c>
      <c r="BJ77" s="14" t="str">
        <f>IF(AND(ISNUMBER($I77),OR($K77="Milestone",$K77="Deadline"),$I77&gt;=BJ$4,$I77&lt;BJ$4+7),IF($K77="Deadline","◇","◆"),"")</f>
        <v/>
      </c>
      <c r="BK77" s="14" t="str">
        <f>IF(AND(ISNUMBER($I77),OR($K77="Milestone",$K77="Deadline"),$I77&gt;=BK$4,$I77&lt;BK$4+7),IF($K77="Deadline","◇","◆"),"")</f>
        <v/>
      </c>
      <c r="BL77" s="14" t="str">
        <f>IF(AND(ISNUMBER($I77),OR($K77="Milestone",$K77="Deadline"),$I77&gt;=BL$4,$I77&lt;BL$4+7),IF($K77="Deadline","◇","◆"),"")</f>
        <v/>
      </c>
      <c r="BM77" s="14" t="str">
        <f>IF(AND(ISNUMBER($I77),OR($K77="Milestone",$K77="Deadline"),$I77&gt;=BM$4,$I77&lt;BM$4+7),IF($K77="Deadline","◇","◆"),"")</f>
        <v/>
      </c>
      <c r="BN77" s="14" t="str">
        <f>IF(AND(ISNUMBER($I77),OR($K77="Milestone",$K77="Deadline"),$I77&gt;=BN$4,$I77&lt;BN$4+7),IF($K77="Deadline","◇","◆"),"")</f>
        <v/>
      </c>
      <c r="BO77" s="14" t="str">
        <f>IF(AND(ISNUMBER($I77),OR($K77="Milestone",$K77="Deadline"),$I77&gt;=BO$4,$I77&lt;BO$4+7),IF($K77="Deadline","◇","◆"),"")</f>
        <v/>
      </c>
      <c r="BP77" s="14" t="str">
        <f>IF(AND(ISNUMBER($I77),OR($K77="Milestone",$K77="Deadline"),$I77&gt;=BP$4,$I77&lt;BP$4+7),IF($K77="Deadline","◇","◆"),"")</f>
        <v/>
      </c>
      <c r="BQ77" s="14" t="str">
        <f>IF(AND(ISNUMBER($I77),OR($K77="Milestone",$K77="Deadline"),$I77&gt;=BQ$4,$I77&lt;BQ$4+7),IF($K77="Deadline","◇","◆"),"")</f>
        <v/>
      </c>
      <c r="BR77" s="14" t="str">
        <f>IF(AND(ISNUMBER($I77),OR($K77="Milestone",$K77="Deadline"),$I77&gt;=BR$4,$I77&lt;BR$4+7),IF($K77="Deadline","◇","◆"),"")</f>
        <v/>
      </c>
      <c r="BS77" s="14" t="str">
        <f>IF(AND(ISNUMBER($I77),OR($K77="Milestone",$K77="Deadline"),$I77&gt;=BS$4,$I77&lt;BS$4+7),IF($K77="Deadline","◇","◆"),"")</f>
        <v/>
      </c>
      <c r="BT77" s="14" t="str">
        <f>IF(AND(ISNUMBER($I77),OR($K77="Milestone",$K77="Deadline"),$I77&gt;=BT$4,$I77&lt;BT$4+7),IF($K77="Deadline","◇","◆"),"")</f>
        <v/>
      </c>
      <c r="BU77" s="14" t="str">
        <f>IF(AND(ISNUMBER($I77),OR($K77="Milestone",$K77="Deadline"),$I77&gt;=BU$4,$I77&lt;BU$4+7),IF($K77="Deadline","◇","◆"),"")</f>
        <v/>
      </c>
      <c r="BV77" s="14" t="str">
        <f>IF(AND(ISNUMBER($I77),OR($K77="Milestone",$K77="Deadline"),$I77&gt;=BV$4,$I77&lt;BV$4+7),IF($K77="Deadline","◇","◆"),"")</f>
        <v/>
      </c>
      <c r="BW77" s="14" t="str">
        <f>IF(AND(ISNUMBER($I77),OR($K77="Milestone",$K77="Deadline"),$I77&gt;=BW$4,$I77&lt;BW$4+7),IF($K77="Deadline","◇","◆"),"")</f>
        <v/>
      </c>
      <c r="BX77" s="14" t="str">
        <f>IF(AND(ISNUMBER($I77),OR($K77="Milestone",$K77="Deadline"),$I77&gt;=BX$4,$I77&lt;BX$4+7),IF($K77="Deadline","◇","◆"),"")</f>
        <v/>
      </c>
      <c r="BY77" s="14" t="str">
        <f>IF(AND(ISNUMBER($I77),OR($K77="Milestone",$K77="Deadline"),$I77&gt;=BY$4,$I77&lt;BY$4+7),IF($K77="Deadline","◇","◆"),"")</f>
        <v/>
      </c>
      <c r="BZ77" s="14" t="str">
        <f>IF(AND(ISNUMBER($I77),OR($K77="Milestone",$K77="Deadline"),$I77&gt;=BZ$4,$I77&lt;BZ$4+7),IF($K77="Deadline","◇","◆"),"")</f>
        <v/>
      </c>
      <c r="CA77" s="14" t="str">
        <f>IF(AND(ISNUMBER($I77),OR($K77="Milestone",$K77="Deadline"),$I77&gt;=CA$4,$I77&lt;CA$4+7),IF($K77="Deadline","◇","◆"),"")</f>
        <v/>
      </c>
      <c r="CB77" s="14" t="str">
        <f>IF(AND(ISNUMBER($I77),OR($K77="Milestone",$K77="Deadline"),$I77&gt;=CB$4,$I77&lt;CB$4+7),IF($K77="Deadline","◇","◆"),"")</f>
        <v/>
      </c>
      <c r="CC77" s="14" t="str">
        <f>IF(AND(ISNUMBER($I77),OR($K77="Milestone",$K77="Deadline"),$I77&gt;=CC$4,$I77&lt;CC$4+7),IF($K77="Deadline","◇","◆"),"")</f>
        <v/>
      </c>
      <c r="CD77" s="14" t="str">
        <f>IF(AND(ISNUMBER($I77),OR($K77="Milestone",$K77="Deadline"),$I77&gt;=CD$4,$I77&lt;CD$4+7),IF($K77="Deadline","◇","◆"),"")</f>
        <v/>
      </c>
      <c r="CE77" s="14" t="str">
        <f>IF(AND(ISNUMBER($I77),OR($K77="Milestone",$K77="Deadline"),$I77&gt;=CE$4,$I77&lt;CE$4+7),IF($K77="Deadline","◇","◆"),"")</f>
        <v/>
      </c>
      <c r="CF77" s="14" t="str">
        <f>IF(AND(ISNUMBER($I77),OR($K77="Milestone",$K77="Deadline"),$I77&gt;=CF$4,$I77&lt;CF$4+7),IF($K77="Deadline","◇","◆"),"")</f>
        <v/>
      </c>
      <c r="CG77" s="14" t="str">
        <f>IF(AND(ISNUMBER($I77),OR($K77="Milestone",$K77="Deadline"),$I77&gt;=CG$4,$I77&lt;CG$4+7),IF($K77="Deadline","◇","◆"),"")</f>
        <v/>
      </c>
      <c r="CH77" s="14" t="str">
        <f>IF(AND(ISNUMBER($I77),OR($K77="Milestone",$K77="Deadline"),$I77&gt;=CH$4,$I77&lt;CH$4+7),IF($K77="Deadline","◇","◆"),"")</f>
        <v/>
      </c>
      <c r="CI77" s="14" t="str">
        <f>IF(AND(ISNUMBER($I77),OR($K77="Milestone",$K77="Deadline"),$I77&gt;=CI$4,$I77&lt;CI$4+7),IF($K77="Deadline","◇","◆"),"")</f>
        <v/>
      </c>
      <c r="CJ77" s="14" t="str">
        <f>IF(AND(ISNUMBER($I77),OR($K77="Milestone",$K77="Deadline"),$I77&gt;=CJ$4,$I77&lt;CJ$4+7),IF($K77="Deadline","◇","◆"),"")</f>
        <v/>
      </c>
      <c r="CK77" s="14" t="str">
        <f>IF(AND(ISNUMBER($I77),OR($K77="Milestone",$K77="Deadline"),$I77&gt;=CK$4,$I77&lt;CK$4+7),IF($K77="Deadline","◇","◆"),"")</f>
        <v/>
      </c>
      <c r="CL77" s="14" t="str">
        <f>IF(AND(ISNUMBER($I77),OR($K77="Milestone",$K77="Deadline"),$I77&gt;=CL$4,$I77&lt;CL$4+7),IF($K77="Deadline","◇","◆"),"")</f>
        <v/>
      </c>
      <c r="CM77" s="14" t="str">
        <f>IF(AND(ISNUMBER($I77),OR($K77="Milestone",$K77="Deadline"),$I77&gt;=CM$4,$I77&lt;CM$4+7),IF($K77="Deadline","◇","◆"),"")</f>
        <v/>
      </c>
    </row>
    <row r="78" spans="1:91" ht="15" hidden="1" customHeight="1">
      <c r="A78" s="29" t="s">
        <v>146</v>
      </c>
      <c r="B78" s="29" t="s">
        <v>234</v>
      </c>
      <c r="C78" s="29" t="s">
        <v>63</v>
      </c>
      <c r="D78" s="29" t="s">
        <v>195</v>
      </c>
      <c r="E78" s="29" t="s">
        <v>196</v>
      </c>
      <c r="F78" s="29" t="s">
        <v>197</v>
      </c>
      <c r="G78" s="29" t="s">
        <v>201</v>
      </c>
      <c r="H78" s="29">
        <v>2</v>
      </c>
      <c r="I78" s="30">
        <f>MAX(DATE(2026,11,2),J54+1,J54+1)</f>
        <v>46330</v>
      </c>
      <c r="J78" s="31">
        <f>IF(AND(ISNUMBER(I78),ISNUMBER(H78)),I78+H78-1,"")</f>
        <v>46331</v>
      </c>
      <c r="K78" s="29" t="s">
        <v>27</v>
      </c>
      <c r="L78" s="29" t="s">
        <v>199</v>
      </c>
      <c r="M78" s="32" t="s">
        <v>199</v>
      </c>
      <c r="N78" s="29"/>
      <c r="O78" s="32">
        <f>IF(AND(ISNUMBER(I78),ISNUMBER(J78)),J78-I78+1,"")</f>
        <v>2</v>
      </c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 t="s">
        <v>140</v>
      </c>
      <c r="AE78" s="13"/>
      <c r="AF78" s="13"/>
      <c r="AG78" s="13"/>
      <c r="AH78" s="13"/>
      <c r="AI78" s="13"/>
      <c r="AJ78" s="13"/>
      <c r="AK78" s="13" t="s">
        <v>140</v>
      </c>
      <c r="AL78" s="13"/>
      <c r="AM78" s="13"/>
      <c r="AN78" s="13"/>
      <c r="AO78" s="14" t="str">
        <f>IF(AND(ISNUMBER($I78),OR($K78="Milestone",$K78="Deadline"),$I78&gt;=AO$4,$I78&lt;AO$4+7),IF($K78="Deadline","◇","◆"),"")</f>
        <v/>
      </c>
      <c r="AP78" s="14" t="str">
        <f>IF(AND(ISNUMBER($I78),OR($K78="Milestone",$K78="Deadline"),$I78&gt;=AP$4,$I78&lt;AP$4+7),IF($K78="Deadline","◇","◆"),"")</f>
        <v/>
      </c>
      <c r="AQ78" s="14" t="str">
        <f>IF(AND(ISNUMBER($I78),OR($K78="Milestone",$K78="Deadline"),$I78&gt;=AQ$4,$I78&lt;AQ$4+7),IF($K78="Deadline","◇","◆"),"")</f>
        <v/>
      </c>
      <c r="AR78" s="14" t="str">
        <f>IF(AND(ISNUMBER($I78),OR($K78="Milestone",$K78="Deadline"),$I78&gt;=AR$4,$I78&lt;AR$4+7),IF($K78="Deadline","◇","◆"),"")</f>
        <v/>
      </c>
      <c r="AS78" s="14" t="str">
        <f>IF(AND(ISNUMBER($I78),OR($K78="Milestone",$K78="Deadline"),$I78&gt;=AS$4,$I78&lt;AS$4+7),IF($K78="Deadline","◇","◆"),"")</f>
        <v/>
      </c>
      <c r="AT78" s="14" t="str">
        <f>IF(AND(ISNUMBER($I78),OR($K78="Milestone",$K78="Deadline"),$I78&gt;=AT$4,$I78&lt;AT$4+7),IF($K78="Deadline","◇","◆"),"")</f>
        <v/>
      </c>
      <c r="AU78" s="14" t="str">
        <f>IF(AND(ISNUMBER($I78),OR($K78="Milestone",$K78="Deadline"),$I78&gt;=AU$4,$I78&lt;AU$4+7),IF($K78="Deadline","◇","◆"),"")</f>
        <v/>
      </c>
      <c r="AV78" s="14" t="str">
        <f>IF(AND(ISNUMBER($I78),OR($K78="Milestone",$K78="Deadline"),$I78&gt;=AV$4,$I78&lt;AV$4+7),IF($K78="Deadline","◇","◆"),"")</f>
        <v/>
      </c>
      <c r="AW78" s="14" t="str">
        <f>IF(AND(ISNUMBER($I78),OR($K78="Milestone",$K78="Deadline"),$I78&gt;=AW$4,$I78&lt;AW$4+7),IF($K78="Deadline","◇","◆"),"")</f>
        <v/>
      </c>
      <c r="AX78" s="14" t="str">
        <f>IF(AND(ISNUMBER($I78),OR($K78="Milestone",$K78="Deadline"),$I78&gt;=AX$4,$I78&lt;AX$4+7),IF($K78="Deadline","◇","◆"),"")</f>
        <v/>
      </c>
      <c r="AY78" s="14" t="str">
        <f>IF(AND(ISNUMBER($I78),OR($K78="Milestone",$K78="Deadline"),$I78&gt;=AY$4,$I78&lt;AY$4+7),IF($K78="Deadline","◇","◆"),"")</f>
        <v/>
      </c>
      <c r="AZ78" s="14" t="str">
        <f>IF(AND(ISNUMBER($I78),OR($K78="Milestone",$K78="Deadline"),$I78&gt;=AZ$4,$I78&lt;AZ$4+7),IF($K78="Deadline","◇","◆"),"")</f>
        <v/>
      </c>
      <c r="BA78" s="14" t="str">
        <f>IF(AND(ISNUMBER($I78),OR($K78="Milestone",$K78="Deadline"),$I78&gt;=BA$4,$I78&lt;BA$4+7),IF($K78="Deadline","◇","◆"),"")</f>
        <v/>
      </c>
      <c r="BB78" s="14" t="str">
        <f>IF(AND(ISNUMBER($I78),OR($K78="Milestone",$K78="Deadline"),$I78&gt;=BB$4,$I78&lt;BB$4+7),IF($K78="Deadline","◇","◆"),"")</f>
        <v/>
      </c>
      <c r="BC78" s="14" t="str">
        <f>IF(AND(ISNUMBER($I78),OR($K78="Milestone",$K78="Deadline"),$I78&gt;=BC$4,$I78&lt;BC$4+7),IF($K78="Deadline","◇","◆"),"")</f>
        <v/>
      </c>
      <c r="BD78" s="14" t="str">
        <f>IF(AND(ISNUMBER($I78),OR($K78="Milestone",$K78="Deadline"),$I78&gt;=BD$4,$I78&lt;BD$4+7),IF($K78="Deadline","◇","◆"),"")</f>
        <v/>
      </c>
      <c r="BE78" s="14" t="str">
        <f>IF(AND(ISNUMBER($I78),OR($K78="Milestone",$K78="Deadline"),$I78&gt;=BE$4,$I78&lt;BE$4+7),IF($K78="Deadline","◇","◆"),"")</f>
        <v/>
      </c>
      <c r="BF78" s="14" t="str">
        <f>IF(AND(ISNUMBER($I78),OR($K78="Milestone",$K78="Deadline"),$I78&gt;=BF$4,$I78&lt;BF$4+7),IF($K78="Deadline","◇","◆"),"")</f>
        <v/>
      </c>
      <c r="BG78" s="14" t="str">
        <f>IF(AND(ISNUMBER($I78),OR($K78="Milestone",$K78="Deadline"),$I78&gt;=BG$4,$I78&lt;BG$4+7),IF($K78="Deadline","◇","◆"),"")</f>
        <v/>
      </c>
      <c r="BH78" s="14" t="str">
        <f>IF(AND(ISNUMBER($I78),OR($K78="Milestone",$K78="Deadline"),$I78&gt;=BH$4,$I78&lt;BH$4+7),IF($K78="Deadline","◇","◆"),"")</f>
        <v/>
      </c>
      <c r="BI78" s="14" t="str">
        <f>IF(AND(ISNUMBER($I78),OR($K78="Milestone",$K78="Deadline"),$I78&gt;=BI$4,$I78&lt;BI$4+7),IF($K78="Deadline","◇","◆"),"")</f>
        <v/>
      </c>
      <c r="BJ78" s="14" t="str">
        <f>IF(AND(ISNUMBER($I78),OR($K78="Milestone",$K78="Deadline"),$I78&gt;=BJ$4,$I78&lt;BJ$4+7),IF($K78="Deadline","◇","◆"),"")</f>
        <v/>
      </c>
      <c r="BK78" s="14" t="str">
        <f>IF(AND(ISNUMBER($I78),OR($K78="Milestone",$K78="Deadline"),$I78&gt;=BK$4,$I78&lt;BK$4+7),IF($K78="Deadline","◇","◆"),"")</f>
        <v/>
      </c>
      <c r="BL78" s="14" t="str">
        <f>IF(AND(ISNUMBER($I78),OR($K78="Milestone",$K78="Deadline"),$I78&gt;=BL$4,$I78&lt;BL$4+7),IF($K78="Deadline","◇","◆"),"")</f>
        <v/>
      </c>
      <c r="BM78" s="14" t="str">
        <f>IF(AND(ISNUMBER($I78),OR($K78="Milestone",$K78="Deadline"),$I78&gt;=BM$4,$I78&lt;BM$4+7),IF($K78="Deadline","◇","◆"),"")</f>
        <v/>
      </c>
      <c r="BN78" s="14" t="str">
        <f>IF(AND(ISNUMBER($I78),OR($K78="Milestone",$K78="Deadline"),$I78&gt;=BN$4,$I78&lt;BN$4+7),IF($K78="Deadline","◇","◆"),"")</f>
        <v/>
      </c>
      <c r="BO78" s="14" t="str">
        <f>IF(AND(ISNUMBER($I78),OR($K78="Milestone",$K78="Deadline"),$I78&gt;=BO$4,$I78&lt;BO$4+7),IF($K78="Deadline","◇","◆"),"")</f>
        <v/>
      </c>
      <c r="BP78" s="14" t="str">
        <f>IF(AND(ISNUMBER($I78),OR($K78="Milestone",$K78="Deadline"),$I78&gt;=BP$4,$I78&lt;BP$4+7),IF($K78="Deadline","◇","◆"),"")</f>
        <v/>
      </c>
      <c r="BQ78" s="14" t="str">
        <f>IF(AND(ISNUMBER($I78),OR($K78="Milestone",$K78="Deadline"),$I78&gt;=BQ$4,$I78&lt;BQ$4+7),IF($K78="Deadline","◇","◆"),"")</f>
        <v/>
      </c>
      <c r="BR78" s="14" t="str">
        <f>IF(AND(ISNUMBER($I78),OR($K78="Milestone",$K78="Deadline"),$I78&gt;=BR$4,$I78&lt;BR$4+7),IF($K78="Deadline","◇","◆"),"")</f>
        <v/>
      </c>
      <c r="BS78" s="14" t="str">
        <f>IF(AND(ISNUMBER($I78),OR($K78="Milestone",$K78="Deadline"),$I78&gt;=BS$4,$I78&lt;BS$4+7),IF($K78="Deadline","◇","◆"),"")</f>
        <v/>
      </c>
      <c r="BT78" s="14" t="str">
        <f>IF(AND(ISNUMBER($I78),OR($K78="Milestone",$K78="Deadline"),$I78&gt;=BT$4,$I78&lt;BT$4+7),IF($K78="Deadline","◇","◆"),"")</f>
        <v/>
      </c>
      <c r="BU78" s="14" t="str">
        <f>IF(AND(ISNUMBER($I78),OR($K78="Milestone",$K78="Deadline"),$I78&gt;=BU$4,$I78&lt;BU$4+7),IF($K78="Deadline","◇","◆"),"")</f>
        <v/>
      </c>
      <c r="BV78" s="14" t="str">
        <f>IF(AND(ISNUMBER($I78),OR($K78="Milestone",$K78="Deadline"),$I78&gt;=BV$4,$I78&lt;BV$4+7),IF($K78="Deadline","◇","◆"),"")</f>
        <v/>
      </c>
      <c r="BW78" s="14" t="str">
        <f>IF(AND(ISNUMBER($I78),OR($K78="Milestone",$K78="Deadline"),$I78&gt;=BW$4,$I78&lt;BW$4+7),IF($K78="Deadline","◇","◆"),"")</f>
        <v/>
      </c>
      <c r="BX78" s="14" t="str">
        <f>IF(AND(ISNUMBER($I78),OR($K78="Milestone",$K78="Deadline"),$I78&gt;=BX$4,$I78&lt;BX$4+7),IF($K78="Deadline","◇","◆"),"")</f>
        <v/>
      </c>
      <c r="BY78" s="14" t="str">
        <f>IF(AND(ISNUMBER($I78),OR($K78="Milestone",$K78="Deadline"),$I78&gt;=BY$4,$I78&lt;BY$4+7),IF($K78="Deadline","◇","◆"),"")</f>
        <v/>
      </c>
      <c r="BZ78" s="14" t="str">
        <f>IF(AND(ISNUMBER($I78),OR($K78="Milestone",$K78="Deadline"),$I78&gt;=BZ$4,$I78&lt;BZ$4+7),IF($K78="Deadline","◇","◆"),"")</f>
        <v/>
      </c>
      <c r="CA78" s="14" t="str">
        <f>IF(AND(ISNUMBER($I78),OR($K78="Milestone",$K78="Deadline"),$I78&gt;=CA$4,$I78&lt;CA$4+7),IF($K78="Deadline","◇","◆"),"")</f>
        <v/>
      </c>
      <c r="CB78" s="14" t="str">
        <f>IF(AND(ISNUMBER($I78),OR($K78="Milestone",$K78="Deadline"),$I78&gt;=CB$4,$I78&lt;CB$4+7),IF($K78="Deadline","◇","◆"),"")</f>
        <v/>
      </c>
      <c r="CC78" s="14" t="str">
        <f>IF(AND(ISNUMBER($I78),OR($K78="Milestone",$K78="Deadline"),$I78&gt;=CC$4,$I78&lt;CC$4+7),IF($K78="Deadline","◇","◆"),"")</f>
        <v/>
      </c>
      <c r="CD78" s="14" t="str">
        <f>IF(AND(ISNUMBER($I78),OR($K78="Milestone",$K78="Deadline"),$I78&gt;=CD$4,$I78&lt;CD$4+7),IF($K78="Deadline","◇","◆"),"")</f>
        <v/>
      </c>
      <c r="CE78" s="14" t="str">
        <f>IF(AND(ISNUMBER($I78),OR($K78="Milestone",$K78="Deadline"),$I78&gt;=CE$4,$I78&lt;CE$4+7),IF($K78="Deadline","◇","◆"),"")</f>
        <v/>
      </c>
      <c r="CF78" s="14" t="str">
        <f>IF(AND(ISNUMBER($I78),OR($K78="Milestone",$K78="Deadline"),$I78&gt;=CF$4,$I78&lt;CF$4+7),IF($K78="Deadline","◇","◆"),"")</f>
        <v/>
      </c>
      <c r="CG78" s="14" t="str">
        <f>IF(AND(ISNUMBER($I78),OR($K78="Milestone",$K78="Deadline"),$I78&gt;=CG$4,$I78&lt;CG$4+7),IF($K78="Deadline","◇","◆"),"")</f>
        <v/>
      </c>
      <c r="CH78" s="14" t="str">
        <f>IF(AND(ISNUMBER($I78),OR($K78="Milestone",$K78="Deadline"),$I78&gt;=CH$4,$I78&lt;CH$4+7),IF($K78="Deadline","◇","◆"),"")</f>
        <v/>
      </c>
      <c r="CI78" s="14" t="str">
        <f>IF(AND(ISNUMBER($I78),OR($K78="Milestone",$K78="Deadline"),$I78&gt;=CI$4,$I78&lt;CI$4+7),IF($K78="Deadline","◇","◆"),"")</f>
        <v/>
      </c>
      <c r="CJ78" s="14" t="str">
        <f>IF(AND(ISNUMBER($I78),OR($K78="Milestone",$K78="Deadline"),$I78&gt;=CJ$4,$I78&lt;CJ$4+7),IF($K78="Deadline","◇","◆"),"")</f>
        <v/>
      </c>
      <c r="CK78" s="14" t="str">
        <f>IF(AND(ISNUMBER($I78),OR($K78="Milestone",$K78="Deadline"),$I78&gt;=CK$4,$I78&lt;CK$4+7),IF($K78="Deadline","◇","◆"),"")</f>
        <v/>
      </c>
      <c r="CL78" s="14" t="str">
        <f>IF(AND(ISNUMBER($I78),OR($K78="Milestone",$K78="Deadline"),$I78&gt;=CL$4,$I78&lt;CL$4+7),IF($K78="Deadline","◇","◆"),"")</f>
        <v/>
      </c>
      <c r="CM78" s="14" t="str">
        <f>IF(AND(ISNUMBER($I78),OR($K78="Milestone",$K78="Deadline"),$I78&gt;=CM$4,$I78&lt;CM$4+7),IF($K78="Deadline","◇","◆"),"")</f>
        <v/>
      </c>
    </row>
    <row r="79" spans="1:91" ht="15" hidden="1" customHeight="1">
      <c r="A79" s="29" t="s">
        <v>247</v>
      </c>
      <c r="B79" s="29" t="s">
        <v>234</v>
      </c>
      <c r="C79" s="29" t="s">
        <v>63</v>
      </c>
      <c r="D79" s="29" t="s">
        <v>195</v>
      </c>
      <c r="E79" s="29" t="s">
        <v>196</v>
      </c>
      <c r="F79" s="29" t="s">
        <v>197</v>
      </c>
      <c r="G79" s="29" t="s">
        <v>176</v>
      </c>
      <c r="H79" s="29">
        <v>7</v>
      </c>
      <c r="I79" s="30">
        <f>MAX($C$2,J76+1,J263+1)</f>
        <v>46360</v>
      </c>
      <c r="J79" s="31">
        <f>IF(AND(ISNUMBER(I79),ISNUMBER(H79)),I79+H79-1,"")</f>
        <v>46366</v>
      </c>
      <c r="K79" s="29" t="s">
        <v>27</v>
      </c>
      <c r="L79" s="29" t="s">
        <v>244</v>
      </c>
      <c r="M79" s="32" t="s">
        <v>248</v>
      </c>
      <c r="N79" s="29"/>
      <c r="O79" s="32">
        <f>IF(AND(ISNUMBER(I79),ISNUMBER(J79)),J79-I79+1,"")</f>
        <v>7</v>
      </c>
      <c r="P79" s="13"/>
      <c r="Q79" s="13"/>
      <c r="R79" s="13"/>
      <c r="S79" s="13"/>
      <c r="T79" s="13"/>
      <c r="U79" s="13" t="s">
        <v>140</v>
      </c>
      <c r="V79" s="13" t="s">
        <v>140</v>
      </c>
      <c r="W79" s="13"/>
      <c r="X79" s="13"/>
      <c r="Y79" s="13" t="s">
        <v>140</v>
      </c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  <c r="AL79" s="13"/>
      <c r="AM79" s="13"/>
      <c r="AN79" s="13"/>
      <c r="AO79" s="14" t="str">
        <f>IF(AND(ISNUMBER($I79),OR($K79="Milestone",$K79="Deadline"),$I79&gt;=AO$4,$I79&lt;AO$4+7),IF($K79="Deadline","◇","◆"),"")</f>
        <v/>
      </c>
      <c r="AP79" s="14" t="str">
        <f>IF(AND(ISNUMBER($I79),OR($K79="Milestone",$K79="Deadline"),$I79&gt;=AP$4,$I79&lt;AP$4+7),IF($K79="Deadline","◇","◆"),"")</f>
        <v/>
      </c>
      <c r="AQ79" s="14" t="str">
        <f>IF(AND(ISNUMBER($I79),OR($K79="Milestone",$K79="Deadline"),$I79&gt;=AQ$4,$I79&lt;AQ$4+7),IF($K79="Deadline","◇","◆"),"")</f>
        <v/>
      </c>
      <c r="AR79" s="14" t="str">
        <f>IF(AND(ISNUMBER($I79),OR($K79="Milestone",$K79="Deadline"),$I79&gt;=AR$4,$I79&lt;AR$4+7),IF($K79="Deadline","◇","◆"),"")</f>
        <v/>
      </c>
      <c r="AS79" s="14" t="str">
        <f>IF(AND(ISNUMBER($I79),OR($K79="Milestone",$K79="Deadline"),$I79&gt;=AS$4,$I79&lt;AS$4+7),IF($K79="Deadline","◇","◆"),"")</f>
        <v/>
      </c>
      <c r="AT79" s="14" t="str">
        <f>IF(AND(ISNUMBER($I79),OR($K79="Milestone",$K79="Deadline"),$I79&gt;=AT$4,$I79&lt;AT$4+7),IF($K79="Deadline","◇","◆"),"")</f>
        <v/>
      </c>
      <c r="AU79" s="14" t="str">
        <f>IF(AND(ISNUMBER($I79),OR($K79="Milestone",$K79="Deadline"),$I79&gt;=AU$4,$I79&lt;AU$4+7),IF($K79="Deadline","◇","◆"),"")</f>
        <v/>
      </c>
      <c r="AV79" s="14" t="str">
        <f>IF(AND(ISNUMBER($I79),OR($K79="Milestone",$K79="Deadline"),$I79&gt;=AV$4,$I79&lt;AV$4+7),IF($K79="Deadline","◇","◆"),"")</f>
        <v/>
      </c>
      <c r="AW79" s="14" t="str">
        <f>IF(AND(ISNUMBER($I79),OR($K79="Milestone",$K79="Deadline"),$I79&gt;=AW$4,$I79&lt;AW$4+7),IF($K79="Deadline","◇","◆"),"")</f>
        <v/>
      </c>
      <c r="AX79" s="14" t="str">
        <f>IF(AND(ISNUMBER($I79),OR($K79="Milestone",$K79="Deadline"),$I79&gt;=AX$4,$I79&lt;AX$4+7),IF($K79="Deadline","◇","◆"),"")</f>
        <v/>
      </c>
      <c r="AY79" s="14" t="str">
        <f>IF(AND(ISNUMBER($I79),OR($K79="Milestone",$K79="Deadline"),$I79&gt;=AY$4,$I79&lt;AY$4+7),IF($K79="Deadline","◇","◆"),"")</f>
        <v/>
      </c>
      <c r="AZ79" s="14" t="str">
        <f>IF(AND(ISNUMBER($I79),OR($K79="Milestone",$K79="Deadline"),$I79&gt;=AZ$4,$I79&lt;AZ$4+7),IF($K79="Deadline","◇","◆"),"")</f>
        <v/>
      </c>
      <c r="BA79" s="14" t="str">
        <f>IF(AND(ISNUMBER($I79),OR($K79="Milestone",$K79="Deadline"),$I79&gt;=BA$4,$I79&lt;BA$4+7),IF($K79="Deadline","◇","◆"),"")</f>
        <v/>
      </c>
      <c r="BB79" s="14" t="str">
        <f>IF(AND(ISNUMBER($I79),OR($K79="Milestone",$K79="Deadline"),$I79&gt;=BB$4,$I79&lt;BB$4+7),IF($K79="Deadline","◇","◆"),"")</f>
        <v/>
      </c>
      <c r="BC79" s="14" t="str">
        <f>IF(AND(ISNUMBER($I79),OR($K79="Milestone",$K79="Deadline"),$I79&gt;=BC$4,$I79&lt;BC$4+7),IF($K79="Deadline","◇","◆"),"")</f>
        <v/>
      </c>
      <c r="BD79" s="14" t="str">
        <f>IF(AND(ISNUMBER($I79),OR($K79="Milestone",$K79="Deadline"),$I79&gt;=BD$4,$I79&lt;BD$4+7),IF($K79="Deadline","◇","◆"),"")</f>
        <v/>
      </c>
      <c r="BE79" s="14" t="str">
        <f>IF(AND(ISNUMBER($I79),OR($K79="Milestone",$K79="Deadline"),$I79&gt;=BE$4,$I79&lt;BE$4+7),IF($K79="Deadline","◇","◆"),"")</f>
        <v/>
      </c>
      <c r="BF79" s="14" t="str">
        <f>IF(AND(ISNUMBER($I79),OR($K79="Milestone",$K79="Deadline"),$I79&gt;=BF$4,$I79&lt;BF$4+7),IF($K79="Deadline","◇","◆"),"")</f>
        <v/>
      </c>
      <c r="BG79" s="14" t="str">
        <f>IF(AND(ISNUMBER($I79),OR($K79="Milestone",$K79="Deadline"),$I79&gt;=BG$4,$I79&lt;BG$4+7),IF($K79="Deadline","◇","◆"),"")</f>
        <v/>
      </c>
      <c r="BH79" s="14" t="str">
        <f>IF(AND(ISNUMBER($I79),OR($K79="Milestone",$K79="Deadline"),$I79&gt;=BH$4,$I79&lt;BH$4+7),IF($K79="Deadline","◇","◆"),"")</f>
        <v/>
      </c>
      <c r="BI79" s="14" t="str">
        <f>IF(AND(ISNUMBER($I79),OR($K79="Milestone",$K79="Deadline"),$I79&gt;=BI$4,$I79&lt;BI$4+7),IF($K79="Deadline","◇","◆"),"")</f>
        <v/>
      </c>
      <c r="BJ79" s="14" t="str">
        <f>IF(AND(ISNUMBER($I79),OR($K79="Milestone",$K79="Deadline"),$I79&gt;=BJ$4,$I79&lt;BJ$4+7),IF($K79="Deadline","◇","◆"),"")</f>
        <v/>
      </c>
      <c r="BK79" s="14" t="str">
        <f>IF(AND(ISNUMBER($I79),OR($K79="Milestone",$K79="Deadline"),$I79&gt;=BK$4,$I79&lt;BK$4+7),IF($K79="Deadline","◇","◆"),"")</f>
        <v/>
      </c>
      <c r="BL79" s="14" t="str">
        <f>IF(AND(ISNUMBER($I79),OR($K79="Milestone",$K79="Deadline"),$I79&gt;=BL$4,$I79&lt;BL$4+7),IF($K79="Deadline","◇","◆"),"")</f>
        <v/>
      </c>
      <c r="BM79" s="14" t="str">
        <f>IF(AND(ISNUMBER($I79),OR($K79="Milestone",$K79="Deadline"),$I79&gt;=BM$4,$I79&lt;BM$4+7),IF($K79="Deadline","◇","◆"),"")</f>
        <v/>
      </c>
      <c r="BN79" s="14" t="str">
        <f>IF(AND(ISNUMBER($I79),OR($K79="Milestone",$K79="Deadline"),$I79&gt;=BN$4,$I79&lt;BN$4+7),IF($K79="Deadline","◇","◆"),"")</f>
        <v/>
      </c>
      <c r="BO79" s="14" t="str">
        <f>IF(AND(ISNUMBER($I79),OR($K79="Milestone",$K79="Deadline"),$I79&gt;=BO$4,$I79&lt;BO$4+7),IF($K79="Deadline","◇","◆"),"")</f>
        <v/>
      </c>
      <c r="BP79" s="14" t="str">
        <f>IF(AND(ISNUMBER($I79),OR($K79="Milestone",$K79="Deadline"),$I79&gt;=BP$4,$I79&lt;BP$4+7),IF($K79="Deadline","◇","◆"),"")</f>
        <v/>
      </c>
      <c r="BQ79" s="14" t="str">
        <f>IF(AND(ISNUMBER($I79),OR($K79="Milestone",$K79="Deadline"),$I79&gt;=BQ$4,$I79&lt;BQ$4+7),IF($K79="Deadline","◇","◆"),"")</f>
        <v/>
      </c>
      <c r="BR79" s="14" t="str">
        <f>IF(AND(ISNUMBER($I79),OR($K79="Milestone",$K79="Deadline"),$I79&gt;=BR$4,$I79&lt;BR$4+7),IF($K79="Deadline","◇","◆"),"")</f>
        <v/>
      </c>
      <c r="BS79" s="14" t="str">
        <f>IF(AND(ISNUMBER($I79),OR($K79="Milestone",$K79="Deadline"),$I79&gt;=BS$4,$I79&lt;BS$4+7),IF($K79="Deadline","◇","◆"),"")</f>
        <v/>
      </c>
      <c r="BT79" s="14" t="str">
        <f>IF(AND(ISNUMBER($I79),OR($K79="Milestone",$K79="Deadline"),$I79&gt;=BT$4,$I79&lt;BT$4+7),IF($K79="Deadline","◇","◆"),"")</f>
        <v/>
      </c>
      <c r="BU79" s="14" t="str">
        <f>IF(AND(ISNUMBER($I79),OR($K79="Milestone",$K79="Deadline"),$I79&gt;=BU$4,$I79&lt;BU$4+7),IF($K79="Deadline","◇","◆"),"")</f>
        <v/>
      </c>
      <c r="BV79" s="14" t="str">
        <f>IF(AND(ISNUMBER($I79),OR($K79="Milestone",$K79="Deadline"),$I79&gt;=BV$4,$I79&lt;BV$4+7),IF($K79="Deadline","◇","◆"),"")</f>
        <v/>
      </c>
      <c r="BW79" s="14" t="str">
        <f>IF(AND(ISNUMBER($I79),OR($K79="Milestone",$K79="Deadline"),$I79&gt;=BW$4,$I79&lt;BW$4+7),IF($K79="Deadline","◇","◆"),"")</f>
        <v/>
      </c>
      <c r="BX79" s="14" t="str">
        <f>IF(AND(ISNUMBER($I79),OR($K79="Milestone",$K79="Deadline"),$I79&gt;=BX$4,$I79&lt;BX$4+7),IF($K79="Deadline","◇","◆"),"")</f>
        <v/>
      </c>
      <c r="BY79" s="14" t="str">
        <f>IF(AND(ISNUMBER($I79),OR($K79="Milestone",$K79="Deadline"),$I79&gt;=BY$4,$I79&lt;BY$4+7),IF($K79="Deadline","◇","◆"),"")</f>
        <v/>
      </c>
      <c r="BZ79" s="14" t="str">
        <f>IF(AND(ISNUMBER($I79),OR($K79="Milestone",$K79="Deadline"),$I79&gt;=BZ$4,$I79&lt;BZ$4+7),IF($K79="Deadline","◇","◆"),"")</f>
        <v/>
      </c>
      <c r="CA79" s="14" t="str">
        <f>IF(AND(ISNUMBER($I79),OR($K79="Milestone",$K79="Deadline"),$I79&gt;=CA$4,$I79&lt;CA$4+7),IF($K79="Deadline","◇","◆"),"")</f>
        <v/>
      </c>
      <c r="CB79" s="14" t="str">
        <f>IF(AND(ISNUMBER($I79),OR($K79="Milestone",$K79="Deadline"),$I79&gt;=CB$4,$I79&lt;CB$4+7),IF($K79="Deadline","◇","◆"),"")</f>
        <v/>
      </c>
      <c r="CC79" s="14" t="str">
        <f>IF(AND(ISNUMBER($I79),OR($K79="Milestone",$K79="Deadline"),$I79&gt;=CC$4,$I79&lt;CC$4+7),IF($K79="Deadline","◇","◆"),"")</f>
        <v/>
      </c>
      <c r="CD79" s="14" t="str">
        <f>IF(AND(ISNUMBER($I79),OR($K79="Milestone",$K79="Deadline"),$I79&gt;=CD$4,$I79&lt;CD$4+7),IF($K79="Deadline","◇","◆"),"")</f>
        <v/>
      </c>
      <c r="CE79" s="14" t="str">
        <f>IF(AND(ISNUMBER($I79),OR($K79="Milestone",$K79="Deadline"),$I79&gt;=CE$4,$I79&lt;CE$4+7),IF($K79="Deadline","◇","◆"),"")</f>
        <v/>
      </c>
      <c r="CF79" s="14" t="str">
        <f>IF(AND(ISNUMBER($I79),OR($K79="Milestone",$K79="Deadline"),$I79&gt;=CF$4,$I79&lt;CF$4+7),IF($K79="Deadline","◇","◆"),"")</f>
        <v/>
      </c>
      <c r="CG79" s="14" t="str">
        <f>IF(AND(ISNUMBER($I79),OR($K79="Milestone",$K79="Deadline"),$I79&gt;=CG$4,$I79&lt;CG$4+7),IF($K79="Deadline","◇","◆"),"")</f>
        <v/>
      </c>
      <c r="CH79" s="14" t="str">
        <f>IF(AND(ISNUMBER($I79),OR($K79="Milestone",$K79="Deadline"),$I79&gt;=CH$4,$I79&lt;CH$4+7),IF($K79="Deadline","◇","◆"),"")</f>
        <v/>
      </c>
      <c r="CI79" s="14" t="str">
        <f>IF(AND(ISNUMBER($I79),OR($K79="Milestone",$K79="Deadline"),$I79&gt;=CI$4,$I79&lt;CI$4+7),IF($K79="Deadline","◇","◆"),"")</f>
        <v/>
      </c>
      <c r="CJ79" s="14" t="str">
        <f>IF(AND(ISNUMBER($I79),OR($K79="Milestone",$K79="Deadline"),$I79&gt;=CJ$4,$I79&lt;CJ$4+7),IF($K79="Deadline","◇","◆"),"")</f>
        <v/>
      </c>
      <c r="CK79" s="14" t="str">
        <f>IF(AND(ISNUMBER($I79),OR($K79="Milestone",$K79="Deadline"),$I79&gt;=CK$4,$I79&lt;CK$4+7),IF($K79="Deadline","◇","◆"),"")</f>
        <v/>
      </c>
      <c r="CL79" s="14" t="str">
        <f>IF(AND(ISNUMBER($I79),OR($K79="Milestone",$K79="Deadline"),$I79&gt;=CL$4,$I79&lt;CL$4+7),IF($K79="Deadline","◇","◆"),"")</f>
        <v/>
      </c>
      <c r="CM79" s="14" t="str">
        <f>IF(AND(ISNUMBER($I79),OR($K79="Milestone",$K79="Deadline"),$I79&gt;=CM$4,$I79&lt;CM$4+7),IF($K79="Deadline","◇","◆"),"")</f>
        <v/>
      </c>
    </row>
    <row r="80" spans="1:91" ht="15" customHeight="1">
      <c r="A80" s="29" t="s">
        <v>249</v>
      </c>
      <c r="B80" s="29" t="s">
        <v>234</v>
      </c>
      <c r="C80" s="29" t="s">
        <v>63</v>
      </c>
      <c r="D80" s="29" t="s">
        <v>195</v>
      </c>
      <c r="E80" s="29" t="s">
        <v>196</v>
      </c>
      <c r="F80" s="29" t="s">
        <v>204</v>
      </c>
      <c r="G80" s="29" t="s">
        <v>198</v>
      </c>
      <c r="H80" s="29">
        <v>14</v>
      </c>
      <c r="I80" s="30">
        <f>MAX(DATE(2026,11,9),J78+1,J125+1)</f>
        <v>46347</v>
      </c>
      <c r="J80" s="31">
        <f>IF(AND(ISNUMBER(I80),ISNUMBER(H80)),I80+H80-1,"")</f>
        <v>46360</v>
      </c>
      <c r="K80" s="29" t="s">
        <v>27</v>
      </c>
      <c r="L80" s="29" t="s">
        <v>146</v>
      </c>
      <c r="M80" s="32" t="s">
        <v>250</v>
      </c>
      <c r="N80" s="29"/>
      <c r="O80" s="32">
        <f>IF(AND(ISNUMBER(I80),ISNUMBER(J80)),J80-I80+1,"")</f>
        <v>14</v>
      </c>
      <c r="P80" s="13"/>
      <c r="Q80" s="13" t="s">
        <v>140</v>
      </c>
      <c r="R80" s="13"/>
      <c r="S80" s="13"/>
      <c r="T80" s="13"/>
      <c r="U80" s="13" t="s">
        <v>140</v>
      </c>
      <c r="V80" s="13"/>
      <c r="W80" s="13" t="s">
        <v>140</v>
      </c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  <c r="AL80" s="13"/>
      <c r="AM80" s="13"/>
      <c r="AN80" s="13"/>
      <c r="AO80" s="14" t="str">
        <f>IF(AND(ISNUMBER($I80),OR($K80="Milestone",$K80="Deadline"),$I80&gt;=AO$4,$I80&lt;AO$4+7),IF($K80="Deadline","◇","◆"),"")</f>
        <v/>
      </c>
      <c r="AP80" s="14" t="str">
        <f>IF(AND(ISNUMBER($I80),OR($K80="Milestone",$K80="Deadline"),$I80&gt;=AP$4,$I80&lt;AP$4+7),IF($K80="Deadline","◇","◆"),"")</f>
        <v/>
      </c>
      <c r="AQ80" s="14" t="str">
        <f>IF(AND(ISNUMBER($I80),OR($K80="Milestone",$K80="Deadline"),$I80&gt;=AQ$4,$I80&lt;AQ$4+7),IF($K80="Deadline","◇","◆"),"")</f>
        <v/>
      </c>
      <c r="AR80" s="14" t="str">
        <f>IF(AND(ISNUMBER($I80),OR($K80="Milestone",$K80="Deadline"),$I80&gt;=AR$4,$I80&lt;AR$4+7),IF($K80="Deadline","◇","◆"),"")</f>
        <v/>
      </c>
      <c r="AS80" s="14" t="str">
        <f>IF(AND(ISNUMBER($I80),OR($K80="Milestone",$K80="Deadline"),$I80&gt;=AS$4,$I80&lt;AS$4+7),IF($K80="Deadline","◇","◆"),"")</f>
        <v/>
      </c>
      <c r="AT80" s="14" t="str">
        <f>IF(AND(ISNUMBER($I80),OR($K80="Milestone",$K80="Deadline"),$I80&gt;=AT$4,$I80&lt;AT$4+7),IF($K80="Deadline","◇","◆"),"")</f>
        <v/>
      </c>
      <c r="AU80" s="14" t="str">
        <f>IF(AND(ISNUMBER($I80),OR($K80="Milestone",$K80="Deadline"),$I80&gt;=AU$4,$I80&lt;AU$4+7),IF($K80="Deadline","◇","◆"),"")</f>
        <v/>
      </c>
      <c r="AV80" s="14" t="str">
        <f>IF(AND(ISNUMBER($I80),OR($K80="Milestone",$K80="Deadline"),$I80&gt;=AV$4,$I80&lt;AV$4+7),IF($K80="Deadline","◇","◆"),"")</f>
        <v/>
      </c>
      <c r="AW80" s="14" t="str">
        <f>IF(AND(ISNUMBER($I80),OR($K80="Milestone",$K80="Deadline"),$I80&gt;=AW$4,$I80&lt;AW$4+7),IF($K80="Deadline","◇","◆"),"")</f>
        <v/>
      </c>
      <c r="AX80" s="14" t="str">
        <f>IF(AND(ISNUMBER($I80),OR($K80="Milestone",$K80="Deadline"),$I80&gt;=AX$4,$I80&lt;AX$4+7),IF($K80="Deadline","◇","◆"),"")</f>
        <v/>
      </c>
      <c r="AY80" s="14" t="str">
        <f>IF(AND(ISNUMBER($I80),OR($K80="Milestone",$K80="Deadline"),$I80&gt;=AY$4,$I80&lt;AY$4+7),IF($K80="Deadline","◇","◆"),"")</f>
        <v/>
      </c>
      <c r="AZ80" s="14" t="str">
        <f>IF(AND(ISNUMBER($I80),OR($K80="Milestone",$K80="Deadline"),$I80&gt;=AZ$4,$I80&lt;AZ$4+7),IF($K80="Deadline","◇","◆"),"")</f>
        <v/>
      </c>
      <c r="BA80" s="14" t="str">
        <f>IF(AND(ISNUMBER($I80),OR($K80="Milestone",$K80="Deadline"),$I80&gt;=BA$4,$I80&lt;BA$4+7),IF($K80="Deadline","◇","◆"),"")</f>
        <v/>
      </c>
      <c r="BB80" s="14" t="str">
        <f>IF(AND(ISNUMBER($I80),OR($K80="Milestone",$K80="Deadline"),$I80&gt;=BB$4,$I80&lt;BB$4+7),IF($K80="Deadline","◇","◆"),"")</f>
        <v/>
      </c>
      <c r="BC80" s="14" t="str">
        <f>IF(AND(ISNUMBER($I80),OR($K80="Milestone",$K80="Deadline"),$I80&gt;=BC$4,$I80&lt;BC$4+7),IF($K80="Deadline","◇","◆"),"")</f>
        <v/>
      </c>
      <c r="BD80" s="14" t="str">
        <f>IF(AND(ISNUMBER($I80),OR($K80="Milestone",$K80="Deadline"),$I80&gt;=BD$4,$I80&lt;BD$4+7),IF($K80="Deadline","◇","◆"),"")</f>
        <v/>
      </c>
      <c r="BE80" s="14" t="str">
        <f>IF(AND(ISNUMBER($I80),OR($K80="Milestone",$K80="Deadline"),$I80&gt;=BE$4,$I80&lt;BE$4+7),IF($K80="Deadline","◇","◆"),"")</f>
        <v/>
      </c>
      <c r="BF80" s="14" t="str">
        <f>IF(AND(ISNUMBER($I80),OR($K80="Milestone",$K80="Deadline"),$I80&gt;=BF$4,$I80&lt;BF$4+7),IF($K80="Deadline","◇","◆"),"")</f>
        <v/>
      </c>
      <c r="BG80" s="14" t="str">
        <f>IF(AND(ISNUMBER($I80),OR($K80="Milestone",$K80="Deadline"),$I80&gt;=BG$4,$I80&lt;BG$4+7),IF($K80="Deadline","◇","◆"),"")</f>
        <v/>
      </c>
      <c r="BH80" s="14" t="str">
        <f>IF(AND(ISNUMBER($I80),OR($K80="Milestone",$K80="Deadline"),$I80&gt;=BH$4,$I80&lt;BH$4+7),IF($K80="Deadline","◇","◆"),"")</f>
        <v/>
      </c>
      <c r="BI80" s="14" t="str">
        <f>IF(AND(ISNUMBER($I80),OR($K80="Milestone",$K80="Deadline"),$I80&gt;=BI$4,$I80&lt;BI$4+7),IF($K80="Deadline","◇","◆"),"")</f>
        <v/>
      </c>
      <c r="BJ80" s="14" t="str">
        <f>IF(AND(ISNUMBER($I80),OR($K80="Milestone",$K80="Deadline"),$I80&gt;=BJ$4,$I80&lt;BJ$4+7),IF($K80="Deadline","◇","◆"),"")</f>
        <v/>
      </c>
      <c r="BK80" s="14" t="str">
        <f>IF(AND(ISNUMBER($I80),OR($K80="Milestone",$K80="Deadline"),$I80&gt;=BK$4,$I80&lt;BK$4+7),IF($K80="Deadline","◇","◆"),"")</f>
        <v/>
      </c>
      <c r="BL80" s="14" t="str">
        <f>IF(AND(ISNUMBER($I80),OR($K80="Milestone",$K80="Deadline"),$I80&gt;=BL$4,$I80&lt;BL$4+7),IF($K80="Deadline","◇","◆"),"")</f>
        <v/>
      </c>
      <c r="BM80" s="14" t="str">
        <f>IF(AND(ISNUMBER($I80),OR($K80="Milestone",$K80="Deadline"),$I80&gt;=BM$4,$I80&lt;BM$4+7),IF($K80="Deadline","◇","◆"),"")</f>
        <v/>
      </c>
      <c r="BN80" s="14" t="str">
        <f>IF(AND(ISNUMBER($I80),OR($K80="Milestone",$K80="Deadline"),$I80&gt;=BN$4,$I80&lt;BN$4+7),IF($K80="Deadline","◇","◆"),"")</f>
        <v/>
      </c>
      <c r="BO80" s="14" t="str">
        <f>IF(AND(ISNUMBER($I80),OR($K80="Milestone",$K80="Deadline"),$I80&gt;=BO$4,$I80&lt;BO$4+7),IF($K80="Deadline","◇","◆"),"")</f>
        <v/>
      </c>
      <c r="BP80" s="14" t="str">
        <f>IF(AND(ISNUMBER($I80),OR($K80="Milestone",$K80="Deadline"),$I80&gt;=BP$4,$I80&lt;BP$4+7),IF($K80="Deadline","◇","◆"),"")</f>
        <v/>
      </c>
      <c r="BQ80" s="14" t="str">
        <f>IF(AND(ISNUMBER($I80),OR($K80="Milestone",$K80="Deadline"),$I80&gt;=BQ$4,$I80&lt;BQ$4+7),IF($K80="Deadline","◇","◆"),"")</f>
        <v/>
      </c>
      <c r="BR80" s="14" t="str">
        <f>IF(AND(ISNUMBER($I80),OR($K80="Milestone",$K80="Deadline"),$I80&gt;=BR$4,$I80&lt;BR$4+7),IF($K80="Deadline","◇","◆"),"")</f>
        <v/>
      </c>
      <c r="BS80" s="14" t="str">
        <f>IF(AND(ISNUMBER($I80),OR($K80="Milestone",$K80="Deadline"),$I80&gt;=BS$4,$I80&lt;BS$4+7),IF($K80="Deadline","◇","◆"),"")</f>
        <v/>
      </c>
      <c r="BT80" s="14" t="str">
        <f>IF(AND(ISNUMBER($I80),OR($K80="Milestone",$K80="Deadline"),$I80&gt;=BT$4,$I80&lt;BT$4+7),IF($K80="Deadline","◇","◆"),"")</f>
        <v/>
      </c>
      <c r="BU80" s="14" t="str">
        <f>IF(AND(ISNUMBER($I80),OR($K80="Milestone",$K80="Deadline"),$I80&gt;=BU$4,$I80&lt;BU$4+7),IF($K80="Deadline","◇","◆"),"")</f>
        <v/>
      </c>
      <c r="BV80" s="14" t="str">
        <f>IF(AND(ISNUMBER($I80),OR($K80="Milestone",$K80="Deadline"),$I80&gt;=BV$4,$I80&lt;BV$4+7),IF($K80="Deadline","◇","◆"),"")</f>
        <v/>
      </c>
      <c r="BW80" s="14" t="str">
        <f>IF(AND(ISNUMBER($I80),OR($K80="Milestone",$K80="Deadline"),$I80&gt;=BW$4,$I80&lt;BW$4+7),IF($K80="Deadline","◇","◆"),"")</f>
        <v/>
      </c>
      <c r="BX80" s="14" t="str">
        <f>IF(AND(ISNUMBER($I80),OR($K80="Milestone",$K80="Deadline"),$I80&gt;=BX$4,$I80&lt;BX$4+7),IF($K80="Deadline","◇","◆"),"")</f>
        <v/>
      </c>
      <c r="BY80" s="14" t="str">
        <f>IF(AND(ISNUMBER($I80),OR($K80="Milestone",$K80="Deadline"),$I80&gt;=BY$4,$I80&lt;BY$4+7),IF($K80="Deadline","◇","◆"),"")</f>
        <v/>
      </c>
      <c r="BZ80" s="14" t="str">
        <f>IF(AND(ISNUMBER($I80),OR($K80="Milestone",$K80="Deadline"),$I80&gt;=BZ$4,$I80&lt;BZ$4+7),IF($K80="Deadline","◇","◆"),"")</f>
        <v/>
      </c>
      <c r="CA80" s="14" t="str">
        <f>IF(AND(ISNUMBER($I80),OR($K80="Milestone",$K80="Deadline"),$I80&gt;=CA$4,$I80&lt;CA$4+7),IF($K80="Deadline","◇","◆"),"")</f>
        <v/>
      </c>
      <c r="CB80" s="14" t="str">
        <f>IF(AND(ISNUMBER($I80),OR($K80="Milestone",$K80="Deadline"),$I80&gt;=CB$4,$I80&lt;CB$4+7),IF($K80="Deadline","◇","◆"),"")</f>
        <v/>
      </c>
      <c r="CC80" s="14" t="str">
        <f>IF(AND(ISNUMBER($I80),OR($K80="Milestone",$K80="Deadline"),$I80&gt;=CC$4,$I80&lt;CC$4+7),IF($K80="Deadline","◇","◆"),"")</f>
        <v/>
      </c>
      <c r="CD80" s="14" t="str">
        <f>IF(AND(ISNUMBER($I80),OR($K80="Milestone",$K80="Deadline"),$I80&gt;=CD$4,$I80&lt;CD$4+7),IF($K80="Deadline","◇","◆"),"")</f>
        <v/>
      </c>
      <c r="CE80" s="14" t="str">
        <f>IF(AND(ISNUMBER($I80),OR($K80="Milestone",$K80="Deadline"),$I80&gt;=CE$4,$I80&lt;CE$4+7),IF($K80="Deadline","◇","◆"),"")</f>
        <v/>
      </c>
      <c r="CF80" s="14" t="str">
        <f>IF(AND(ISNUMBER($I80),OR($K80="Milestone",$K80="Deadline"),$I80&gt;=CF$4,$I80&lt;CF$4+7),IF($K80="Deadline","◇","◆"),"")</f>
        <v/>
      </c>
      <c r="CG80" s="14" t="str">
        <f>IF(AND(ISNUMBER($I80),OR($K80="Milestone",$K80="Deadline"),$I80&gt;=CG$4,$I80&lt;CG$4+7),IF($K80="Deadline","◇","◆"),"")</f>
        <v/>
      </c>
      <c r="CH80" s="14" t="str">
        <f>IF(AND(ISNUMBER($I80),OR($K80="Milestone",$K80="Deadline"),$I80&gt;=CH$4,$I80&lt;CH$4+7),IF($K80="Deadline","◇","◆"),"")</f>
        <v/>
      </c>
      <c r="CI80" s="14" t="str">
        <f>IF(AND(ISNUMBER($I80),OR($K80="Milestone",$K80="Deadline"),$I80&gt;=CI$4,$I80&lt;CI$4+7),IF($K80="Deadline","◇","◆"),"")</f>
        <v/>
      </c>
      <c r="CJ80" s="14" t="str">
        <f>IF(AND(ISNUMBER($I80),OR($K80="Milestone",$K80="Deadline"),$I80&gt;=CJ$4,$I80&lt;CJ$4+7),IF($K80="Deadline","◇","◆"),"")</f>
        <v/>
      </c>
      <c r="CK80" s="14" t="str">
        <f>IF(AND(ISNUMBER($I80),OR($K80="Milestone",$K80="Deadline"),$I80&gt;=CK$4,$I80&lt;CK$4+7),IF($K80="Deadline","◇","◆"),"")</f>
        <v/>
      </c>
      <c r="CL80" s="14" t="str">
        <f>IF(AND(ISNUMBER($I80),OR($K80="Milestone",$K80="Deadline"),$I80&gt;=CL$4,$I80&lt;CL$4+7),IF($K80="Deadline","◇","◆"),"")</f>
        <v/>
      </c>
      <c r="CM80" s="14" t="str">
        <f>IF(AND(ISNUMBER($I80),OR($K80="Milestone",$K80="Deadline"),$I80&gt;=CM$4,$I80&lt;CM$4+7),IF($K80="Deadline","◇","◆"),"")</f>
        <v/>
      </c>
    </row>
    <row r="81" spans="1:91" ht="15" hidden="1" customHeight="1">
      <c r="A81" s="29" t="s">
        <v>251</v>
      </c>
      <c r="B81" s="29" t="s">
        <v>234</v>
      </c>
      <c r="C81" s="29" t="s">
        <v>63</v>
      </c>
      <c r="D81" s="29" t="s">
        <v>195</v>
      </c>
      <c r="E81" s="29" t="s">
        <v>196</v>
      </c>
      <c r="F81" s="29" t="s">
        <v>204</v>
      </c>
      <c r="G81" s="29" t="s">
        <v>173</v>
      </c>
      <c r="H81" s="29">
        <v>14</v>
      </c>
      <c r="I81" s="33">
        <v>46364</v>
      </c>
      <c r="J81" s="31">
        <f>IF(AND(ISNUMBER(I81),ISNUMBER(H81)),I81+H81-1,"")</f>
        <v>46377</v>
      </c>
      <c r="K81" s="29" t="s">
        <v>27</v>
      </c>
      <c r="L81" s="29"/>
      <c r="M81" s="32"/>
      <c r="N81" s="29"/>
      <c r="O81" s="32">
        <f>IF(AND(ISNUMBER(I81),ISNUMBER(J81)),J81-I81+1,"")</f>
        <v>14</v>
      </c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13" t="s">
        <v>140</v>
      </c>
      <c r="AM81" s="13"/>
      <c r="AN81" s="13"/>
      <c r="AO81" s="14" t="str">
        <f>IF(AND(ISNUMBER($I81),OR($K81="Milestone",$K81="Deadline"),$I81&gt;=AO$4,$I81&lt;AO$4+7),IF($K81="Deadline","◇","◆"),"")</f>
        <v/>
      </c>
      <c r="AP81" s="14" t="str">
        <f>IF(AND(ISNUMBER($I81),OR($K81="Milestone",$K81="Deadline"),$I81&gt;=AP$4,$I81&lt;AP$4+7),IF($K81="Deadline","◇","◆"),"")</f>
        <v/>
      </c>
      <c r="AQ81" s="14" t="str">
        <f>IF(AND(ISNUMBER($I81),OR($K81="Milestone",$K81="Deadline"),$I81&gt;=AQ$4,$I81&lt;AQ$4+7),IF($K81="Deadline","◇","◆"),"")</f>
        <v/>
      </c>
      <c r="AR81" s="14" t="str">
        <f>IF(AND(ISNUMBER($I81),OR($K81="Milestone",$K81="Deadline"),$I81&gt;=AR$4,$I81&lt;AR$4+7),IF($K81="Deadline","◇","◆"),"")</f>
        <v/>
      </c>
      <c r="AS81" s="14" t="str">
        <f>IF(AND(ISNUMBER($I81),OR($K81="Milestone",$K81="Deadline"),$I81&gt;=AS$4,$I81&lt;AS$4+7),IF($K81="Deadline","◇","◆"),"")</f>
        <v/>
      </c>
      <c r="AT81" s="14" t="str">
        <f>IF(AND(ISNUMBER($I81),OR($K81="Milestone",$K81="Deadline"),$I81&gt;=AT$4,$I81&lt;AT$4+7),IF($K81="Deadline","◇","◆"),"")</f>
        <v/>
      </c>
      <c r="AU81" s="14" t="str">
        <f>IF(AND(ISNUMBER($I81),OR($K81="Milestone",$K81="Deadline"),$I81&gt;=AU$4,$I81&lt;AU$4+7),IF($K81="Deadline","◇","◆"),"")</f>
        <v/>
      </c>
      <c r="AV81" s="14" t="str">
        <f>IF(AND(ISNUMBER($I81),OR($K81="Milestone",$K81="Deadline"),$I81&gt;=AV$4,$I81&lt;AV$4+7),IF($K81="Deadline","◇","◆"),"")</f>
        <v/>
      </c>
      <c r="AW81" s="14" t="str">
        <f>IF(AND(ISNUMBER($I81),OR($K81="Milestone",$K81="Deadline"),$I81&gt;=AW$4,$I81&lt;AW$4+7),IF($K81="Deadline","◇","◆"),"")</f>
        <v/>
      </c>
      <c r="AX81" s="14" t="str">
        <f>IF(AND(ISNUMBER($I81),OR($K81="Milestone",$K81="Deadline"),$I81&gt;=AX$4,$I81&lt;AX$4+7),IF($K81="Deadline","◇","◆"),"")</f>
        <v/>
      </c>
      <c r="AY81" s="14" t="str">
        <f>IF(AND(ISNUMBER($I81),OR($K81="Milestone",$K81="Deadline"),$I81&gt;=AY$4,$I81&lt;AY$4+7),IF($K81="Deadline","◇","◆"),"")</f>
        <v/>
      </c>
      <c r="AZ81" s="14" t="str">
        <f>IF(AND(ISNUMBER($I81),OR($K81="Milestone",$K81="Deadline"),$I81&gt;=AZ$4,$I81&lt;AZ$4+7),IF($K81="Deadline","◇","◆"),"")</f>
        <v/>
      </c>
      <c r="BA81" s="14" t="str">
        <f>IF(AND(ISNUMBER($I81),OR($K81="Milestone",$K81="Deadline"),$I81&gt;=BA$4,$I81&lt;BA$4+7),IF($K81="Deadline","◇","◆"),"")</f>
        <v/>
      </c>
      <c r="BB81" s="14" t="str">
        <f>IF(AND(ISNUMBER($I81),OR($K81="Milestone",$K81="Deadline"),$I81&gt;=BB$4,$I81&lt;BB$4+7),IF($K81="Deadline","◇","◆"),"")</f>
        <v/>
      </c>
      <c r="BC81" s="14" t="str">
        <f>IF(AND(ISNUMBER($I81),OR($K81="Milestone",$K81="Deadline"),$I81&gt;=BC$4,$I81&lt;BC$4+7),IF($K81="Deadline","◇","◆"),"")</f>
        <v/>
      </c>
      <c r="BD81" s="14" t="str">
        <f>IF(AND(ISNUMBER($I81),OR($K81="Milestone",$K81="Deadline"),$I81&gt;=BD$4,$I81&lt;BD$4+7),IF($K81="Deadline","◇","◆"),"")</f>
        <v/>
      </c>
      <c r="BE81" s="14" t="str">
        <f>IF(AND(ISNUMBER($I81),OR($K81="Milestone",$K81="Deadline"),$I81&gt;=BE$4,$I81&lt;BE$4+7),IF($K81="Deadline","◇","◆"),"")</f>
        <v/>
      </c>
      <c r="BF81" s="14" t="str">
        <f>IF(AND(ISNUMBER($I81),OR($K81="Milestone",$K81="Deadline"),$I81&gt;=BF$4,$I81&lt;BF$4+7),IF($K81="Deadline","◇","◆"),"")</f>
        <v/>
      </c>
      <c r="BG81" s="14" t="str">
        <f>IF(AND(ISNUMBER($I81),OR($K81="Milestone",$K81="Deadline"),$I81&gt;=BG$4,$I81&lt;BG$4+7),IF($K81="Deadline","◇","◆"),"")</f>
        <v/>
      </c>
      <c r="BH81" s="14" t="str">
        <f>IF(AND(ISNUMBER($I81),OR($K81="Milestone",$K81="Deadline"),$I81&gt;=BH$4,$I81&lt;BH$4+7),IF($K81="Deadline","◇","◆"),"")</f>
        <v/>
      </c>
      <c r="BI81" s="14" t="str">
        <f>IF(AND(ISNUMBER($I81),OR($K81="Milestone",$K81="Deadline"),$I81&gt;=BI$4,$I81&lt;BI$4+7),IF($K81="Deadline","◇","◆"),"")</f>
        <v/>
      </c>
      <c r="BJ81" s="14" t="str">
        <f>IF(AND(ISNUMBER($I81),OR($K81="Milestone",$K81="Deadline"),$I81&gt;=BJ$4,$I81&lt;BJ$4+7),IF($K81="Deadline","◇","◆"),"")</f>
        <v/>
      </c>
      <c r="BK81" s="14" t="str">
        <f>IF(AND(ISNUMBER($I81),OR($K81="Milestone",$K81="Deadline"),$I81&gt;=BK$4,$I81&lt;BK$4+7),IF($K81="Deadline","◇","◆"),"")</f>
        <v/>
      </c>
      <c r="BL81" s="14" t="str">
        <f>IF(AND(ISNUMBER($I81),OR($K81="Milestone",$K81="Deadline"),$I81&gt;=BL$4,$I81&lt;BL$4+7),IF($K81="Deadline","◇","◆"),"")</f>
        <v/>
      </c>
      <c r="BM81" s="14" t="str">
        <f>IF(AND(ISNUMBER($I81),OR($K81="Milestone",$K81="Deadline"),$I81&gt;=BM$4,$I81&lt;BM$4+7),IF($K81="Deadline","◇","◆"),"")</f>
        <v/>
      </c>
      <c r="BN81" s="14" t="str">
        <f>IF(AND(ISNUMBER($I81),OR($K81="Milestone",$K81="Deadline"),$I81&gt;=BN$4,$I81&lt;BN$4+7),IF($K81="Deadline","◇","◆"),"")</f>
        <v/>
      </c>
      <c r="BO81" s="14" t="str">
        <f>IF(AND(ISNUMBER($I81),OR($K81="Milestone",$K81="Deadline"),$I81&gt;=BO$4,$I81&lt;BO$4+7),IF($K81="Deadline","◇","◆"),"")</f>
        <v/>
      </c>
      <c r="BP81" s="14" t="str">
        <f>IF(AND(ISNUMBER($I81),OR($K81="Milestone",$K81="Deadline"),$I81&gt;=BP$4,$I81&lt;BP$4+7),IF($K81="Deadline","◇","◆"),"")</f>
        <v/>
      </c>
      <c r="BQ81" s="14" t="str">
        <f>IF(AND(ISNUMBER($I81),OR($K81="Milestone",$K81="Deadline"),$I81&gt;=BQ$4,$I81&lt;BQ$4+7),IF($K81="Deadline","◇","◆"),"")</f>
        <v/>
      </c>
      <c r="BR81" s="14" t="str">
        <f>IF(AND(ISNUMBER($I81),OR($K81="Milestone",$K81="Deadline"),$I81&gt;=BR$4,$I81&lt;BR$4+7),IF($K81="Deadline","◇","◆"),"")</f>
        <v/>
      </c>
      <c r="BS81" s="14" t="str">
        <f>IF(AND(ISNUMBER($I81),OR($K81="Milestone",$K81="Deadline"),$I81&gt;=BS$4,$I81&lt;BS$4+7),IF($K81="Deadline","◇","◆"),"")</f>
        <v/>
      </c>
      <c r="BT81" s="14" t="str">
        <f>IF(AND(ISNUMBER($I81),OR($K81="Milestone",$K81="Deadline"),$I81&gt;=BT$4,$I81&lt;BT$4+7),IF($K81="Deadline","◇","◆"),"")</f>
        <v/>
      </c>
      <c r="BU81" s="14" t="str">
        <f>IF(AND(ISNUMBER($I81),OR($K81="Milestone",$K81="Deadline"),$I81&gt;=BU$4,$I81&lt;BU$4+7),IF($K81="Deadline","◇","◆"),"")</f>
        <v/>
      </c>
      <c r="BV81" s="14" t="str">
        <f>IF(AND(ISNUMBER($I81),OR($K81="Milestone",$K81="Deadline"),$I81&gt;=BV$4,$I81&lt;BV$4+7),IF($K81="Deadline","◇","◆"),"")</f>
        <v/>
      </c>
      <c r="BW81" s="14" t="str">
        <f>IF(AND(ISNUMBER($I81),OR($K81="Milestone",$K81="Deadline"),$I81&gt;=BW$4,$I81&lt;BW$4+7),IF($K81="Deadline","◇","◆"),"")</f>
        <v/>
      </c>
      <c r="BX81" s="14" t="str">
        <f>IF(AND(ISNUMBER($I81),OR($K81="Milestone",$K81="Deadline"),$I81&gt;=BX$4,$I81&lt;BX$4+7),IF($K81="Deadline","◇","◆"),"")</f>
        <v/>
      </c>
      <c r="BY81" s="14" t="str">
        <f>IF(AND(ISNUMBER($I81),OR($K81="Milestone",$K81="Deadline"),$I81&gt;=BY$4,$I81&lt;BY$4+7),IF($K81="Deadline","◇","◆"),"")</f>
        <v/>
      </c>
      <c r="BZ81" s="14" t="str">
        <f>IF(AND(ISNUMBER($I81),OR($K81="Milestone",$K81="Deadline"),$I81&gt;=BZ$4,$I81&lt;BZ$4+7),IF($K81="Deadline","◇","◆"),"")</f>
        <v/>
      </c>
      <c r="CA81" s="14" t="str">
        <f>IF(AND(ISNUMBER($I81),OR($K81="Milestone",$K81="Deadline"),$I81&gt;=CA$4,$I81&lt;CA$4+7),IF($K81="Deadline","◇","◆"),"")</f>
        <v/>
      </c>
      <c r="CB81" s="14" t="str">
        <f>IF(AND(ISNUMBER($I81),OR($K81="Milestone",$K81="Deadline"),$I81&gt;=CB$4,$I81&lt;CB$4+7),IF($K81="Deadline","◇","◆"),"")</f>
        <v/>
      </c>
      <c r="CC81" s="14" t="str">
        <f>IF(AND(ISNUMBER($I81),OR($K81="Milestone",$K81="Deadline"),$I81&gt;=CC$4,$I81&lt;CC$4+7),IF($K81="Deadline","◇","◆"),"")</f>
        <v/>
      </c>
      <c r="CD81" s="14" t="str">
        <f>IF(AND(ISNUMBER($I81),OR($K81="Milestone",$K81="Deadline"),$I81&gt;=CD$4,$I81&lt;CD$4+7),IF($K81="Deadline","◇","◆"),"")</f>
        <v/>
      </c>
      <c r="CE81" s="14" t="str">
        <f>IF(AND(ISNUMBER($I81),OR($K81="Milestone",$K81="Deadline"),$I81&gt;=CE$4,$I81&lt;CE$4+7),IF($K81="Deadline","◇","◆"),"")</f>
        <v/>
      </c>
      <c r="CF81" s="14" t="str">
        <f>IF(AND(ISNUMBER($I81),OR($K81="Milestone",$K81="Deadline"),$I81&gt;=CF$4,$I81&lt;CF$4+7),IF($K81="Deadline","◇","◆"),"")</f>
        <v/>
      </c>
      <c r="CG81" s="14" t="str">
        <f>IF(AND(ISNUMBER($I81),OR($K81="Milestone",$K81="Deadline"),$I81&gt;=CG$4,$I81&lt;CG$4+7),IF($K81="Deadline","◇","◆"),"")</f>
        <v/>
      </c>
      <c r="CH81" s="14" t="str">
        <f>IF(AND(ISNUMBER($I81),OR($K81="Milestone",$K81="Deadline"),$I81&gt;=CH$4,$I81&lt;CH$4+7),IF($K81="Deadline","◇","◆"),"")</f>
        <v/>
      </c>
      <c r="CI81" s="14" t="str">
        <f>IF(AND(ISNUMBER($I81),OR($K81="Milestone",$K81="Deadline"),$I81&gt;=CI$4,$I81&lt;CI$4+7),IF($K81="Deadline","◇","◆"),"")</f>
        <v/>
      </c>
      <c r="CJ81" s="14" t="str">
        <f>IF(AND(ISNUMBER($I81),OR($K81="Milestone",$K81="Deadline"),$I81&gt;=CJ$4,$I81&lt;CJ$4+7),IF($K81="Deadline","◇","◆"),"")</f>
        <v/>
      </c>
      <c r="CK81" s="14" t="str">
        <f>IF(AND(ISNUMBER($I81),OR($K81="Milestone",$K81="Deadline"),$I81&gt;=CK$4,$I81&lt;CK$4+7),IF($K81="Deadline","◇","◆"),"")</f>
        <v/>
      </c>
      <c r="CL81" s="14" t="str">
        <f>IF(AND(ISNUMBER($I81),OR($K81="Milestone",$K81="Deadline"),$I81&gt;=CL$4,$I81&lt;CL$4+7),IF($K81="Deadline","◇","◆"),"")</f>
        <v/>
      </c>
      <c r="CM81" s="14" t="str">
        <f>IF(AND(ISNUMBER($I81),OR($K81="Milestone",$K81="Deadline"),$I81&gt;=CM$4,$I81&lt;CM$4+7),IF($K81="Deadline","◇","◆"),"")</f>
        <v/>
      </c>
    </row>
    <row r="82" spans="1:91" ht="15" hidden="1" customHeight="1">
      <c r="A82" s="29" t="s">
        <v>252</v>
      </c>
      <c r="B82" s="29" t="s">
        <v>234</v>
      </c>
      <c r="C82" s="29" t="s">
        <v>63</v>
      </c>
      <c r="D82" s="29" t="s">
        <v>195</v>
      </c>
      <c r="E82" s="29" t="s">
        <v>196</v>
      </c>
      <c r="F82" s="29" t="s">
        <v>204</v>
      </c>
      <c r="G82" s="29" t="s">
        <v>201</v>
      </c>
      <c r="H82" s="29">
        <v>3</v>
      </c>
      <c r="I82" s="30">
        <f>MAX(DATE(2026,11,2),J58+1)</f>
        <v>46331</v>
      </c>
      <c r="J82" s="31">
        <f>IF(AND(ISNUMBER(I82),ISNUMBER(H82)),I82+H82-1,"")</f>
        <v>46333</v>
      </c>
      <c r="K82" s="29" t="s">
        <v>27</v>
      </c>
      <c r="L82" s="29" t="s">
        <v>165</v>
      </c>
      <c r="M82" s="32"/>
      <c r="N82" s="29"/>
      <c r="O82" s="32">
        <f>IF(AND(ISNUMBER(I82),ISNUMBER(J82)),J82-I82+1,"")</f>
        <v>3</v>
      </c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 t="s">
        <v>140</v>
      </c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13" t="s">
        <v>140</v>
      </c>
      <c r="AM82" s="13"/>
      <c r="AN82" s="13"/>
      <c r="AO82" s="14" t="str">
        <f>IF(AND(ISNUMBER($I82),OR($K82="Milestone",$K82="Deadline"),$I82&gt;=AO$4,$I82&lt;AO$4+7),IF($K82="Deadline","◇","◆"),"")</f>
        <v/>
      </c>
      <c r="AP82" s="14" t="str">
        <f>IF(AND(ISNUMBER($I82),OR($K82="Milestone",$K82="Deadline"),$I82&gt;=AP$4,$I82&lt;AP$4+7),IF($K82="Deadline","◇","◆"),"")</f>
        <v/>
      </c>
      <c r="AQ82" s="14" t="str">
        <f>IF(AND(ISNUMBER($I82),OR($K82="Milestone",$K82="Deadline"),$I82&gt;=AQ$4,$I82&lt;AQ$4+7),IF($K82="Deadline","◇","◆"),"")</f>
        <v/>
      </c>
      <c r="AR82" s="14" t="str">
        <f>IF(AND(ISNUMBER($I82),OR($K82="Milestone",$K82="Deadline"),$I82&gt;=AR$4,$I82&lt;AR$4+7),IF($K82="Deadline","◇","◆"),"")</f>
        <v/>
      </c>
      <c r="AS82" s="14" t="str">
        <f>IF(AND(ISNUMBER($I82),OR($K82="Milestone",$K82="Deadline"),$I82&gt;=AS$4,$I82&lt;AS$4+7),IF($K82="Deadline","◇","◆"),"")</f>
        <v/>
      </c>
      <c r="AT82" s="14" t="str">
        <f>IF(AND(ISNUMBER($I82),OR($K82="Milestone",$K82="Deadline"),$I82&gt;=AT$4,$I82&lt;AT$4+7),IF($K82="Deadline","◇","◆"),"")</f>
        <v/>
      </c>
      <c r="AU82" s="14" t="str">
        <f>IF(AND(ISNUMBER($I82),OR($K82="Milestone",$K82="Deadline"),$I82&gt;=AU$4,$I82&lt;AU$4+7),IF($K82="Deadline","◇","◆"),"")</f>
        <v/>
      </c>
      <c r="AV82" s="14" t="str">
        <f>IF(AND(ISNUMBER($I82),OR($K82="Milestone",$K82="Deadline"),$I82&gt;=AV$4,$I82&lt;AV$4+7),IF($K82="Deadline","◇","◆"),"")</f>
        <v/>
      </c>
      <c r="AW82" s="14" t="str">
        <f>IF(AND(ISNUMBER($I82),OR($K82="Milestone",$K82="Deadline"),$I82&gt;=AW$4,$I82&lt;AW$4+7),IF($K82="Deadline","◇","◆"),"")</f>
        <v/>
      </c>
      <c r="AX82" s="14" t="str">
        <f>IF(AND(ISNUMBER($I82),OR($K82="Milestone",$K82="Deadline"),$I82&gt;=AX$4,$I82&lt;AX$4+7),IF($K82="Deadline","◇","◆"),"")</f>
        <v/>
      </c>
      <c r="AY82" s="14" t="str">
        <f>IF(AND(ISNUMBER($I82),OR($K82="Milestone",$K82="Deadline"),$I82&gt;=AY$4,$I82&lt;AY$4+7),IF($K82="Deadline","◇","◆"),"")</f>
        <v/>
      </c>
      <c r="AZ82" s="14" t="str">
        <f>IF(AND(ISNUMBER($I82),OR($K82="Milestone",$K82="Deadline"),$I82&gt;=AZ$4,$I82&lt;AZ$4+7),IF($K82="Deadline","◇","◆"),"")</f>
        <v/>
      </c>
      <c r="BA82" s="14" t="str">
        <f>IF(AND(ISNUMBER($I82),OR($K82="Milestone",$K82="Deadline"),$I82&gt;=BA$4,$I82&lt;BA$4+7),IF($K82="Deadline","◇","◆"),"")</f>
        <v/>
      </c>
      <c r="BB82" s="14" t="str">
        <f>IF(AND(ISNUMBER($I82),OR($K82="Milestone",$K82="Deadline"),$I82&gt;=BB$4,$I82&lt;BB$4+7),IF($K82="Deadline","◇","◆"),"")</f>
        <v/>
      </c>
      <c r="BC82" s="14" t="str">
        <f>IF(AND(ISNUMBER($I82),OR($K82="Milestone",$K82="Deadline"),$I82&gt;=BC$4,$I82&lt;BC$4+7),IF($K82="Deadline","◇","◆"),"")</f>
        <v/>
      </c>
      <c r="BD82" s="14" t="str">
        <f>IF(AND(ISNUMBER($I82),OR($K82="Milestone",$K82="Deadline"),$I82&gt;=BD$4,$I82&lt;BD$4+7),IF($K82="Deadline","◇","◆"),"")</f>
        <v/>
      </c>
      <c r="BE82" s="14" t="str">
        <f>IF(AND(ISNUMBER($I82),OR($K82="Milestone",$K82="Deadline"),$I82&gt;=BE$4,$I82&lt;BE$4+7),IF($K82="Deadline","◇","◆"),"")</f>
        <v/>
      </c>
      <c r="BF82" s="14" t="str">
        <f>IF(AND(ISNUMBER($I82),OR($K82="Milestone",$K82="Deadline"),$I82&gt;=BF$4,$I82&lt;BF$4+7),IF($K82="Deadline","◇","◆"),"")</f>
        <v/>
      </c>
      <c r="BG82" s="14" t="str">
        <f>IF(AND(ISNUMBER($I82),OR($K82="Milestone",$K82="Deadline"),$I82&gt;=BG$4,$I82&lt;BG$4+7),IF($K82="Deadline","◇","◆"),"")</f>
        <v/>
      </c>
      <c r="BH82" s="14" t="str">
        <f>IF(AND(ISNUMBER($I82),OR($K82="Milestone",$K82="Deadline"),$I82&gt;=BH$4,$I82&lt;BH$4+7),IF($K82="Deadline","◇","◆"),"")</f>
        <v/>
      </c>
      <c r="BI82" s="14" t="str">
        <f>IF(AND(ISNUMBER($I82),OR($K82="Milestone",$K82="Deadline"),$I82&gt;=BI$4,$I82&lt;BI$4+7),IF($K82="Deadline","◇","◆"),"")</f>
        <v/>
      </c>
      <c r="BJ82" s="14" t="str">
        <f>IF(AND(ISNUMBER($I82),OR($K82="Milestone",$K82="Deadline"),$I82&gt;=BJ$4,$I82&lt;BJ$4+7),IF($K82="Deadline","◇","◆"),"")</f>
        <v/>
      </c>
      <c r="BK82" s="14" t="str">
        <f>IF(AND(ISNUMBER($I82),OR($K82="Milestone",$K82="Deadline"),$I82&gt;=BK$4,$I82&lt;BK$4+7),IF($K82="Deadline","◇","◆"),"")</f>
        <v/>
      </c>
      <c r="BL82" s="14" t="str">
        <f>IF(AND(ISNUMBER($I82),OR($K82="Milestone",$K82="Deadline"),$I82&gt;=BL$4,$I82&lt;BL$4+7),IF($K82="Deadline","◇","◆"),"")</f>
        <v/>
      </c>
      <c r="BM82" s="14" t="str">
        <f>IF(AND(ISNUMBER($I82),OR($K82="Milestone",$K82="Deadline"),$I82&gt;=BM$4,$I82&lt;BM$4+7),IF($K82="Deadline","◇","◆"),"")</f>
        <v/>
      </c>
      <c r="BN82" s="14" t="str">
        <f>IF(AND(ISNUMBER($I82),OR($K82="Milestone",$K82="Deadline"),$I82&gt;=BN$4,$I82&lt;BN$4+7),IF($K82="Deadline","◇","◆"),"")</f>
        <v/>
      </c>
      <c r="BO82" s="14" t="str">
        <f>IF(AND(ISNUMBER($I82),OR($K82="Milestone",$K82="Deadline"),$I82&gt;=BO$4,$I82&lt;BO$4+7),IF($K82="Deadline","◇","◆"),"")</f>
        <v/>
      </c>
      <c r="BP82" s="14" t="str">
        <f>IF(AND(ISNUMBER($I82),OR($K82="Milestone",$K82="Deadline"),$I82&gt;=BP$4,$I82&lt;BP$4+7),IF($K82="Deadline","◇","◆"),"")</f>
        <v/>
      </c>
      <c r="BQ82" s="14" t="str">
        <f>IF(AND(ISNUMBER($I82),OR($K82="Milestone",$K82="Deadline"),$I82&gt;=BQ$4,$I82&lt;BQ$4+7),IF($K82="Deadline","◇","◆"),"")</f>
        <v/>
      </c>
      <c r="BR82" s="14" t="str">
        <f>IF(AND(ISNUMBER($I82),OR($K82="Milestone",$K82="Deadline"),$I82&gt;=BR$4,$I82&lt;BR$4+7),IF($K82="Deadline","◇","◆"),"")</f>
        <v/>
      </c>
      <c r="BS82" s="14" t="str">
        <f>IF(AND(ISNUMBER($I82),OR($K82="Milestone",$K82="Deadline"),$I82&gt;=BS$4,$I82&lt;BS$4+7),IF($K82="Deadline","◇","◆"),"")</f>
        <v/>
      </c>
      <c r="BT82" s="14" t="str">
        <f>IF(AND(ISNUMBER($I82),OR($K82="Milestone",$K82="Deadline"),$I82&gt;=BT$4,$I82&lt;BT$4+7),IF($K82="Deadline","◇","◆"),"")</f>
        <v/>
      </c>
      <c r="BU82" s="14" t="str">
        <f>IF(AND(ISNUMBER($I82),OR($K82="Milestone",$K82="Deadline"),$I82&gt;=BU$4,$I82&lt;BU$4+7),IF($K82="Deadline","◇","◆"),"")</f>
        <v/>
      </c>
      <c r="BV82" s="14" t="str">
        <f>IF(AND(ISNUMBER($I82),OR($K82="Milestone",$K82="Deadline"),$I82&gt;=BV$4,$I82&lt;BV$4+7),IF($K82="Deadline","◇","◆"),"")</f>
        <v/>
      </c>
      <c r="BW82" s="14" t="str">
        <f>IF(AND(ISNUMBER($I82),OR($K82="Milestone",$K82="Deadline"),$I82&gt;=BW$4,$I82&lt;BW$4+7),IF($K82="Deadline","◇","◆"),"")</f>
        <v/>
      </c>
      <c r="BX82" s="14" t="str">
        <f>IF(AND(ISNUMBER($I82),OR($K82="Milestone",$K82="Deadline"),$I82&gt;=BX$4,$I82&lt;BX$4+7),IF($K82="Deadline","◇","◆"),"")</f>
        <v/>
      </c>
      <c r="BY82" s="14" t="str">
        <f>IF(AND(ISNUMBER($I82),OR($K82="Milestone",$K82="Deadline"),$I82&gt;=BY$4,$I82&lt;BY$4+7),IF($K82="Deadline","◇","◆"),"")</f>
        <v/>
      </c>
      <c r="BZ82" s="14" t="str">
        <f>IF(AND(ISNUMBER($I82),OR($K82="Milestone",$K82="Deadline"),$I82&gt;=BZ$4,$I82&lt;BZ$4+7),IF($K82="Deadline","◇","◆"),"")</f>
        <v/>
      </c>
      <c r="CA82" s="14" t="str">
        <f>IF(AND(ISNUMBER($I82),OR($K82="Milestone",$K82="Deadline"),$I82&gt;=CA$4,$I82&lt;CA$4+7),IF($K82="Deadline","◇","◆"),"")</f>
        <v/>
      </c>
      <c r="CB82" s="14" t="str">
        <f>IF(AND(ISNUMBER($I82),OR($K82="Milestone",$K82="Deadline"),$I82&gt;=CB$4,$I82&lt;CB$4+7),IF($K82="Deadline","◇","◆"),"")</f>
        <v/>
      </c>
      <c r="CC82" s="14" t="str">
        <f>IF(AND(ISNUMBER($I82),OR($K82="Milestone",$K82="Deadline"),$I82&gt;=CC$4,$I82&lt;CC$4+7),IF($K82="Deadline","◇","◆"),"")</f>
        <v/>
      </c>
      <c r="CD82" s="14" t="str">
        <f>IF(AND(ISNUMBER($I82),OR($K82="Milestone",$K82="Deadline"),$I82&gt;=CD$4,$I82&lt;CD$4+7),IF($K82="Deadline","◇","◆"),"")</f>
        <v/>
      </c>
      <c r="CE82" s="14" t="str">
        <f>IF(AND(ISNUMBER($I82),OR($K82="Milestone",$K82="Deadline"),$I82&gt;=CE$4,$I82&lt;CE$4+7),IF($K82="Deadline","◇","◆"),"")</f>
        <v/>
      </c>
      <c r="CF82" s="14" t="str">
        <f>IF(AND(ISNUMBER($I82),OR($K82="Milestone",$K82="Deadline"),$I82&gt;=CF$4,$I82&lt;CF$4+7),IF($K82="Deadline","◇","◆"),"")</f>
        <v/>
      </c>
      <c r="CG82" s="14" t="str">
        <f>IF(AND(ISNUMBER($I82),OR($K82="Milestone",$K82="Deadline"),$I82&gt;=CG$4,$I82&lt;CG$4+7),IF($K82="Deadline","◇","◆"),"")</f>
        <v/>
      </c>
      <c r="CH82" s="14" t="str">
        <f>IF(AND(ISNUMBER($I82),OR($K82="Milestone",$K82="Deadline"),$I82&gt;=CH$4,$I82&lt;CH$4+7),IF($K82="Deadline","◇","◆"),"")</f>
        <v/>
      </c>
      <c r="CI82" s="14" t="str">
        <f>IF(AND(ISNUMBER($I82),OR($K82="Milestone",$K82="Deadline"),$I82&gt;=CI$4,$I82&lt;CI$4+7),IF($K82="Deadline","◇","◆"),"")</f>
        <v/>
      </c>
      <c r="CJ82" s="14" t="str">
        <f>IF(AND(ISNUMBER($I82),OR($K82="Milestone",$K82="Deadline"),$I82&gt;=CJ$4,$I82&lt;CJ$4+7),IF($K82="Deadline","◇","◆"),"")</f>
        <v/>
      </c>
      <c r="CK82" s="14" t="str">
        <f>IF(AND(ISNUMBER($I82),OR($K82="Milestone",$K82="Deadline"),$I82&gt;=CK$4,$I82&lt;CK$4+7),IF($K82="Deadline","◇","◆"),"")</f>
        <v/>
      </c>
      <c r="CL82" s="14" t="str">
        <f>IF(AND(ISNUMBER($I82),OR($K82="Milestone",$K82="Deadline"),$I82&gt;=CL$4,$I82&lt;CL$4+7),IF($K82="Deadline","◇","◆"),"")</f>
        <v/>
      </c>
      <c r="CM82" s="14" t="str">
        <f>IF(AND(ISNUMBER($I82),OR($K82="Milestone",$K82="Deadline"),$I82&gt;=CM$4,$I82&lt;CM$4+7),IF($K82="Deadline","◇","◆"),"")</f>
        <v/>
      </c>
    </row>
    <row r="83" spans="1:91" ht="15" hidden="1" customHeight="1">
      <c r="A83" s="29" t="s">
        <v>253</v>
      </c>
      <c r="B83" s="29" t="s">
        <v>234</v>
      </c>
      <c r="C83" s="29" t="s">
        <v>63</v>
      </c>
      <c r="D83" s="29" t="s">
        <v>195</v>
      </c>
      <c r="E83" s="29" t="s">
        <v>196</v>
      </c>
      <c r="F83" s="29" t="s">
        <v>204</v>
      </c>
      <c r="G83" s="29" t="s">
        <v>176</v>
      </c>
      <c r="H83" s="29">
        <v>21</v>
      </c>
      <c r="I83" s="30">
        <f>MAX($C$2,J80+1)</f>
        <v>46361</v>
      </c>
      <c r="J83" s="31">
        <f>IF(AND(ISNUMBER(I83),ISNUMBER(H83)),I83+H83-1,"")</f>
        <v>46381</v>
      </c>
      <c r="K83" s="29" t="s">
        <v>27</v>
      </c>
      <c r="L83" s="29" t="s">
        <v>249</v>
      </c>
      <c r="M83" s="32"/>
      <c r="N83" s="29"/>
      <c r="O83" s="32">
        <f>IF(AND(ISNUMBER(I83),ISNUMBER(J83)),J83-I83+1,"")</f>
        <v>21</v>
      </c>
      <c r="P83" s="13"/>
      <c r="Q83" s="13"/>
      <c r="R83" s="13"/>
      <c r="S83" s="13"/>
      <c r="T83" s="13"/>
      <c r="U83" s="13" t="s">
        <v>140</v>
      </c>
      <c r="V83" s="13" t="s">
        <v>140</v>
      </c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 t="s">
        <v>140</v>
      </c>
      <c r="AH83" s="13"/>
      <c r="AI83" s="13"/>
      <c r="AJ83" s="13"/>
      <c r="AK83" s="13"/>
      <c r="AL83" s="13"/>
      <c r="AM83" s="13"/>
      <c r="AN83" s="13"/>
      <c r="AO83" s="14" t="str">
        <f>IF(AND(ISNUMBER($I83),OR($K83="Milestone",$K83="Deadline"),$I83&gt;=AO$4,$I83&lt;AO$4+7),IF($K83="Deadline","◇","◆"),"")</f>
        <v/>
      </c>
      <c r="AP83" s="14" t="str">
        <f>IF(AND(ISNUMBER($I83),OR($K83="Milestone",$K83="Deadline"),$I83&gt;=AP$4,$I83&lt;AP$4+7),IF($K83="Deadline","◇","◆"),"")</f>
        <v/>
      </c>
      <c r="AQ83" s="14" t="str">
        <f>IF(AND(ISNUMBER($I83),OR($K83="Milestone",$K83="Deadline"),$I83&gt;=AQ$4,$I83&lt;AQ$4+7),IF($K83="Deadline","◇","◆"),"")</f>
        <v/>
      </c>
      <c r="AR83" s="14" t="str">
        <f>IF(AND(ISNUMBER($I83),OR($K83="Milestone",$K83="Deadline"),$I83&gt;=AR$4,$I83&lt;AR$4+7),IF($K83="Deadline","◇","◆"),"")</f>
        <v/>
      </c>
      <c r="AS83" s="14" t="str">
        <f>IF(AND(ISNUMBER($I83),OR($K83="Milestone",$K83="Deadline"),$I83&gt;=AS$4,$I83&lt;AS$4+7),IF($K83="Deadline","◇","◆"),"")</f>
        <v/>
      </c>
      <c r="AT83" s="14" t="str">
        <f>IF(AND(ISNUMBER($I83),OR($K83="Milestone",$K83="Deadline"),$I83&gt;=AT$4,$I83&lt;AT$4+7),IF($K83="Deadline","◇","◆"),"")</f>
        <v/>
      </c>
      <c r="AU83" s="14" t="str">
        <f>IF(AND(ISNUMBER($I83),OR($K83="Milestone",$K83="Deadline"),$I83&gt;=AU$4,$I83&lt;AU$4+7),IF($K83="Deadline","◇","◆"),"")</f>
        <v/>
      </c>
      <c r="AV83" s="14" t="str">
        <f>IF(AND(ISNUMBER($I83),OR($K83="Milestone",$K83="Deadline"),$I83&gt;=AV$4,$I83&lt;AV$4+7),IF($K83="Deadline","◇","◆"),"")</f>
        <v/>
      </c>
      <c r="AW83" s="14" t="str">
        <f>IF(AND(ISNUMBER($I83),OR($K83="Milestone",$K83="Deadline"),$I83&gt;=AW$4,$I83&lt;AW$4+7),IF($K83="Deadline","◇","◆"),"")</f>
        <v/>
      </c>
      <c r="AX83" s="14" t="str">
        <f>IF(AND(ISNUMBER($I83),OR($K83="Milestone",$K83="Deadline"),$I83&gt;=AX$4,$I83&lt;AX$4+7),IF($K83="Deadline","◇","◆"),"")</f>
        <v/>
      </c>
      <c r="AY83" s="14" t="str">
        <f>IF(AND(ISNUMBER($I83),OR($K83="Milestone",$K83="Deadline"),$I83&gt;=AY$4,$I83&lt;AY$4+7),IF($K83="Deadline","◇","◆"),"")</f>
        <v/>
      </c>
      <c r="AZ83" s="14" t="str">
        <f>IF(AND(ISNUMBER($I83),OR($K83="Milestone",$K83="Deadline"),$I83&gt;=AZ$4,$I83&lt;AZ$4+7),IF($K83="Deadline","◇","◆"),"")</f>
        <v/>
      </c>
      <c r="BA83" s="14" t="str">
        <f>IF(AND(ISNUMBER($I83),OR($K83="Milestone",$K83="Deadline"),$I83&gt;=BA$4,$I83&lt;BA$4+7),IF($K83="Deadline","◇","◆"),"")</f>
        <v/>
      </c>
      <c r="BB83" s="14" t="str">
        <f>IF(AND(ISNUMBER($I83),OR($K83="Milestone",$K83="Deadline"),$I83&gt;=BB$4,$I83&lt;BB$4+7),IF($K83="Deadline","◇","◆"),"")</f>
        <v/>
      </c>
      <c r="BC83" s="14" t="str">
        <f>IF(AND(ISNUMBER($I83),OR($K83="Milestone",$K83="Deadline"),$I83&gt;=BC$4,$I83&lt;BC$4+7),IF($K83="Deadline","◇","◆"),"")</f>
        <v/>
      </c>
      <c r="BD83" s="14" t="str">
        <f>IF(AND(ISNUMBER($I83),OR($K83="Milestone",$K83="Deadline"),$I83&gt;=BD$4,$I83&lt;BD$4+7),IF($K83="Deadline","◇","◆"),"")</f>
        <v/>
      </c>
      <c r="BE83" s="14" t="str">
        <f>IF(AND(ISNUMBER($I83),OR($K83="Milestone",$K83="Deadline"),$I83&gt;=BE$4,$I83&lt;BE$4+7),IF($K83="Deadline","◇","◆"),"")</f>
        <v/>
      </c>
      <c r="BF83" s="14" t="str">
        <f>IF(AND(ISNUMBER($I83),OR($K83="Milestone",$K83="Deadline"),$I83&gt;=BF$4,$I83&lt;BF$4+7),IF($K83="Deadline","◇","◆"),"")</f>
        <v/>
      </c>
      <c r="BG83" s="14" t="str">
        <f>IF(AND(ISNUMBER($I83),OR($K83="Milestone",$K83="Deadline"),$I83&gt;=BG$4,$I83&lt;BG$4+7),IF($K83="Deadline","◇","◆"),"")</f>
        <v/>
      </c>
      <c r="BH83" s="14" t="str">
        <f>IF(AND(ISNUMBER($I83),OR($K83="Milestone",$K83="Deadline"),$I83&gt;=BH$4,$I83&lt;BH$4+7),IF($K83="Deadline","◇","◆"),"")</f>
        <v/>
      </c>
      <c r="BI83" s="14" t="str">
        <f>IF(AND(ISNUMBER($I83),OR($K83="Milestone",$K83="Deadline"),$I83&gt;=BI$4,$I83&lt;BI$4+7),IF($K83="Deadline","◇","◆"),"")</f>
        <v/>
      </c>
      <c r="BJ83" s="14" t="str">
        <f>IF(AND(ISNUMBER($I83),OR($K83="Milestone",$K83="Deadline"),$I83&gt;=BJ$4,$I83&lt;BJ$4+7),IF($K83="Deadline","◇","◆"),"")</f>
        <v/>
      </c>
      <c r="BK83" s="14" t="str">
        <f>IF(AND(ISNUMBER($I83),OR($K83="Milestone",$K83="Deadline"),$I83&gt;=BK$4,$I83&lt;BK$4+7),IF($K83="Deadline","◇","◆"),"")</f>
        <v/>
      </c>
      <c r="BL83" s="14" t="str">
        <f>IF(AND(ISNUMBER($I83),OR($K83="Milestone",$K83="Deadline"),$I83&gt;=BL$4,$I83&lt;BL$4+7),IF($K83="Deadline","◇","◆"),"")</f>
        <v/>
      </c>
      <c r="BM83" s="14" t="str">
        <f>IF(AND(ISNUMBER($I83),OR($K83="Milestone",$K83="Deadline"),$I83&gt;=BM$4,$I83&lt;BM$4+7),IF($K83="Deadline","◇","◆"),"")</f>
        <v/>
      </c>
      <c r="BN83" s="14" t="str">
        <f>IF(AND(ISNUMBER($I83),OR($K83="Milestone",$K83="Deadline"),$I83&gt;=BN$4,$I83&lt;BN$4+7),IF($K83="Deadline","◇","◆"),"")</f>
        <v/>
      </c>
      <c r="BO83" s="14" t="str">
        <f>IF(AND(ISNUMBER($I83),OR($K83="Milestone",$K83="Deadline"),$I83&gt;=BO$4,$I83&lt;BO$4+7),IF($K83="Deadline","◇","◆"),"")</f>
        <v/>
      </c>
      <c r="BP83" s="14" t="str">
        <f>IF(AND(ISNUMBER($I83),OR($K83="Milestone",$K83="Deadline"),$I83&gt;=BP$4,$I83&lt;BP$4+7),IF($K83="Deadline","◇","◆"),"")</f>
        <v/>
      </c>
      <c r="BQ83" s="14" t="str">
        <f>IF(AND(ISNUMBER($I83),OR($K83="Milestone",$K83="Deadline"),$I83&gt;=BQ$4,$I83&lt;BQ$4+7),IF($K83="Deadline","◇","◆"),"")</f>
        <v/>
      </c>
      <c r="BR83" s="14" t="str">
        <f>IF(AND(ISNUMBER($I83),OR($K83="Milestone",$K83="Deadline"),$I83&gt;=BR$4,$I83&lt;BR$4+7),IF($K83="Deadline","◇","◆"),"")</f>
        <v/>
      </c>
      <c r="BS83" s="14" t="str">
        <f>IF(AND(ISNUMBER($I83),OR($K83="Milestone",$K83="Deadline"),$I83&gt;=BS$4,$I83&lt;BS$4+7),IF($K83="Deadline","◇","◆"),"")</f>
        <v/>
      </c>
      <c r="BT83" s="14" t="str">
        <f>IF(AND(ISNUMBER($I83),OR($K83="Milestone",$K83="Deadline"),$I83&gt;=BT$4,$I83&lt;BT$4+7),IF($K83="Deadline","◇","◆"),"")</f>
        <v/>
      </c>
      <c r="BU83" s="14" t="str">
        <f>IF(AND(ISNUMBER($I83),OR($K83="Milestone",$K83="Deadline"),$I83&gt;=BU$4,$I83&lt;BU$4+7),IF($K83="Deadline","◇","◆"),"")</f>
        <v/>
      </c>
      <c r="BV83" s="14" t="str">
        <f>IF(AND(ISNUMBER($I83),OR($K83="Milestone",$K83="Deadline"),$I83&gt;=BV$4,$I83&lt;BV$4+7),IF($K83="Deadline","◇","◆"),"")</f>
        <v/>
      </c>
      <c r="BW83" s="14" t="str">
        <f>IF(AND(ISNUMBER($I83),OR($K83="Milestone",$K83="Deadline"),$I83&gt;=BW$4,$I83&lt;BW$4+7),IF($K83="Deadline","◇","◆"),"")</f>
        <v/>
      </c>
      <c r="BX83" s="14" t="str">
        <f>IF(AND(ISNUMBER($I83),OR($K83="Milestone",$K83="Deadline"),$I83&gt;=BX$4,$I83&lt;BX$4+7),IF($K83="Deadline","◇","◆"),"")</f>
        <v/>
      </c>
      <c r="BY83" s="14" t="str">
        <f>IF(AND(ISNUMBER($I83),OR($K83="Milestone",$K83="Deadline"),$I83&gt;=BY$4,$I83&lt;BY$4+7),IF($K83="Deadline","◇","◆"),"")</f>
        <v/>
      </c>
      <c r="BZ83" s="14" t="str">
        <f>IF(AND(ISNUMBER($I83),OR($K83="Milestone",$K83="Deadline"),$I83&gt;=BZ$4,$I83&lt;BZ$4+7),IF($K83="Deadline","◇","◆"),"")</f>
        <v/>
      </c>
      <c r="CA83" s="14" t="str">
        <f>IF(AND(ISNUMBER($I83),OR($K83="Milestone",$K83="Deadline"),$I83&gt;=CA$4,$I83&lt;CA$4+7),IF($K83="Deadline","◇","◆"),"")</f>
        <v/>
      </c>
      <c r="CB83" s="14" t="str">
        <f>IF(AND(ISNUMBER($I83),OR($K83="Milestone",$K83="Deadline"),$I83&gt;=CB$4,$I83&lt;CB$4+7),IF($K83="Deadline","◇","◆"),"")</f>
        <v/>
      </c>
      <c r="CC83" s="14" t="str">
        <f>IF(AND(ISNUMBER($I83),OR($K83="Milestone",$K83="Deadline"),$I83&gt;=CC$4,$I83&lt;CC$4+7),IF($K83="Deadline","◇","◆"),"")</f>
        <v/>
      </c>
      <c r="CD83" s="14" t="str">
        <f>IF(AND(ISNUMBER($I83),OR($K83="Milestone",$K83="Deadline"),$I83&gt;=CD$4,$I83&lt;CD$4+7),IF($K83="Deadline","◇","◆"),"")</f>
        <v/>
      </c>
      <c r="CE83" s="14" t="str">
        <f>IF(AND(ISNUMBER($I83),OR($K83="Milestone",$K83="Deadline"),$I83&gt;=CE$4,$I83&lt;CE$4+7),IF($K83="Deadline","◇","◆"),"")</f>
        <v/>
      </c>
      <c r="CF83" s="14" t="str">
        <f>IF(AND(ISNUMBER($I83),OR($K83="Milestone",$K83="Deadline"),$I83&gt;=CF$4,$I83&lt;CF$4+7),IF($K83="Deadline","◇","◆"),"")</f>
        <v/>
      </c>
      <c r="CG83" s="14" t="str">
        <f>IF(AND(ISNUMBER($I83),OR($K83="Milestone",$K83="Deadline"),$I83&gt;=CG$4,$I83&lt;CG$4+7),IF($K83="Deadline","◇","◆"),"")</f>
        <v/>
      </c>
      <c r="CH83" s="14" t="str">
        <f>IF(AND(ISNUMBER($I83),OR($K83="Milestone",$K83="Deadline"),$I83&gt;=CH$4,$I83&lt;CH$4+7),IF($K83="Deadline","◇","◆"),"")</f>
        <v/>
      </c>
      <c r="CI83" s="14" t="str">
        <f>IF(AND(ISNUMBER($I83),OR($K83="Milestone",$K83="Deadline"),$I83&gt;=CI$4,$I83&lt;CI$4+7),IF($K83="Deadline","◇","◆"),"")</f>
        <v/>
      </c>
      <c r="CJ83" s="14" t="str">
        <f>IF(AND(ISNUMBER($I83),OR($K83="Milestone",$K83="Deadline"),$I83&gt;=CJ$4,$I83&lt;CJ$4+7),IF($K83="Deadline","◇","◆"),"")</f>
        <v/>
      </c>
      <c r="CK83" s="14" t="str">
        <f>IF(AND(ISNUMBER($I83),OR($K83="Milestone",$K83="Deadline"),$I83&gt;=CK$4,$I83&lt;CK$4+7),IF($K83="Deadline","◇","◆"),"")</f>
        <v/>
      </c>
      <c r="CL83" s="14" t="str">
        <f>IF(AND(ISNUMBER($I83),OR($K83="Milestone",$K83="Deadline"),$I83&gt;=CL$4,$I83&lt;CL$4+7),IF($K83="Deadline","◇","◆"),"")</f>
        <v/>
      </c>
      <c r="CM83" s="14" t="str">
        <f>IF(AND(ISNUMBER($I83),OR($K83="Milestone",$K83="Deadline"),$I83&gt;=CM$4,$I83&lt;CM$4+7),IF($K83="Deadline","◇","◆"),"")</f>
        <v/>
      </c>
    </row>
    <row r="84" spans="1:91" ht="15" hidden="1" customHeight="1">
      <c r="A84" s="29" t="s">
        <v>254</v>
      </c>
      <c r="B84" s="29" t="s">
        <v>234</v>
      </c>
      <c r="C84" s="29" t="s">
        <v>63</v>
      </c>
      <c r="D84" s="29" t="s">
        <v>195</v>
      </c>
      <c r="E84" s="29" t="s">
        <v>196</v>
      </c>
      <c r="F84" s="29" t="s">
        <v>208</v>
      </c>
      <c r="G84" s="29" t="s">
        <v>184</v>
      </c>
      <c r="H84" s="29">
        <v>14</v>
      </c>
      <c r="I84" s="30">
        <f>MAX($C$2,J79+1,J83+1,J9+1,J10+1,J210+1)</f>
        <v>46382</v>
      </c>
      <c r="J84" s="31">
        <f>IF(AND(ISNUMBER(I84),ISNUMBER(H84)),I84+H84-1,"")</f>
        <v>46395</v>
      </c>
      <c r="K84" s="29" t="s">
        <v>27</v>
      </c>
      <c r="L84" s="29" t="s">
        <v>255</v>
      </c>
      <c r="M84" s="32" t="s">
        <v>256</v>
      </c>
      <c r="N84" s="29"/>
      <c r="O84" s="32">
        <f>IF(AND(ISNUMBER(I84),ISNUMBER(J84)),J84-I84+1,"")</f>
        <v>14</v>
      </c>
      <c r="P84" s="13"/>
      <c r="Q84" s="13"/>
      <c r="R84" s="13"/>
      <c r="S84" s="13"/>
      <c r="T84" s="13"/>
      <c r="U84" s="13"/>
      <c r="V84" s="13" t="s">
        <v>140</v>
      </c>
      <c r="W84" s="13"/>
      <c r="X84" s="13"/>
      <c r="Y84" s="13"/>
      <c r="Z84" s="13"/>
      <c r="AA84" s="13"/>
      <c r="AB84" s="13"/>
      <c r="AC84" s="13"/>
      <c r="AD84" s="13" t="s">
        <v>140</v>
      </c>
      <c r="AE84" s="13"/>
      <c r="AF84" s="13"/>
      <c r="AG84" s="13"/>
      <c r="AH84" s="13"/>
      <c r="AI84" s="13"/>
      <c r="AJ84" s="13"/>
      <c r="AK84" s="13"/>
      <c r="AL84" s="13"/>
      <c r="AM84" s="13"/>
      <c r="AN84" s="13"/>
      <c r="AO84" s="14" t="str">
        <f>IF(AND(ISNUMBER($I84),OR($K84="Milestone",$K84="Deadline"),$I84&gt;=AO$4,$I84&lt;AO$4+7),IF($K84="Deadline","◇","◆"),"")</f>
        <v/>
      </c>
      <c r="AP84" s="14" t="str">
        <f>IF(AND(ISNUMBER($I84),OR($K84="Milestone",$K84="Deadline"),$I84&gt;=AP$4,$I84&lt;AP$4+7),IF($K84="Deadline","◇","◆"),"")</f>
        <v/>
      </c>
      <c r="AQ84" s="14" t="str">
        <f>IF(AND(ISNUMBER($I84),OR($K84="Milestone",$K84="Deadline"),$I84&gt;=AQ$4,$I84&lt;AQ$4+7),IF($K84="Deadline","◇","◆"),"")</f>
        <v/>
      </c>
      <c r="AR84" s="14" t="str">
        <f>IF(AND(ISNUMBER($I84),OR($K84="Milestone",$K84="Deadline"),$I84&gt;=AR$4,$I84&lt;AR$4+7),IF($K84="Deadline","◇","◆"),"")</f>
        <v/>
      </c>
      <c r="AS84" s="14" t="str">
        <f>IF(AND(ISNUMBER($I84),OR($K84="Milestone",$K84="Deadline"),$I84&gt;=AS$4,$I84&lt;AS$4+7),IF($K84="Deadline","◇","◆"),"")</f>
        <v/>
      </c>
      <c r="AT84" s="14" t="str">
        <f>IF(AND(ISNUMBER($I84),OR($K84="Milestone",$K84="Deadline"),$I84&gt;=AT$4,$I84&lt;AT$4+7),IF($K84="Deadline","◇","◆"),"")</f>
        <v/>
      </c>
      <c r="AU84" s="14" t="str">
        <f>IF(AND(ISNUMBER($I84),OR($K84="Milestone",$K84="Deadline"),$I84&gt;=AU$4,$I84&lt;AU$4+7),IF($K84="Deadline","◇","◆"),"")</f>
        <v/>
      </c>
      <c r="AV84" s="14" t="str">
        <f>IF(AND(ISNUMBER($I84),OR($K84="Milestone",$K84="Deadline"),$I84&gt;=AV$4,$I84&lt;AV$4+7),IF($K84="Deadline","◇","◆"),"")</f>
        <v/>
      </c>
      <c r="AW84" s="14" t="str">
        <f>IF(AND(ISNUMBER($I84),OR($K84="Milestone",$K84="Deadline"),$I84&gt;=AW$4,$I84&lt;AW$4+7),IF($K84="Deadline","◇","◆"),"")</f>
        <v/>
      </c>
      <c r="AX84" s="14" t="str">
        <f>IF(AND(ISNUMBER($I84),OR($K84="Milestone",$K84="Deadline"),$I84&gt;=AX$4,$I84&lt;AX$4+7),IF($K84="Deadline","◇","◆"),"")</f>
        <v/>
      </c>
      <c r="AY84" s="14" t="str">
        <f>IF(AND(ISNUMBER($I84),OR($K84="Milestone",$K84="Deadline"),$I84&gt;=AY$4,$I84&lt;AY$4+7),IF($K84="Deadline","◇","◆"),"")</f>
        <v/>
      </c>
      <c r="AZ84" s="14" t="str">
        <f>IF(AND(ISNUMBER($I84),OR($K84="Milestone",$K84="Deadline"),$I84&gt;=AZ$4,$I84&lt;AZ$4+7),IF($K84="Deadline","◇","◆"),"")</f>
        <v/>
      </c>
      <c r="BA84" s="14" t="str">
        <f>IF(AND(ISNUMBER($I84),OR($K84="Milestone",$K84="Deadline"),$I84&gt;=BA$4,$I84&lt;BA$4+7),IF($K84="Deadline","◇","◆"),"")</f>
        <v/>
      </c>
      <c r="BB84" s="14" t="str">
        <f>IF(AND(ISNUMBER($I84),OR($K84="Milestone",$K84="Deadline"),$I84&gt;=BB$4,$I84&lt;BB$4+7),IF($K84="Deadline","◇","◆"),"")</f>
        <v/>
      </c>
      <c r="BC84" s="14" t="str">
        <f>IF(AND(ISNUMBER($I84),OR($K84="Milestone",$K84="Deadline"),$I84&gt;=BC$4,$I84&lt;BC$4+7),IF($K84="Deadline","◇","◆"),"")</f>
        <v/>
      </c>
      <c r="BD84" s="14" t="str">
        <f>IF(AND(ISNUMBER($I84),OR($K84="Milestone",$K84="Deadline"),$I84&gt;=BD$4,$I84&lt;BD$4+7),IF($K84="Deadline","◇","◆"),"")</f>
        <v/>
      </c>
      <c r="BE84" s="14" t="str">
        <f>IF(AND(ISNUMBER($I84),OR($K84="Milestone",$K84="Deadline"),$I84&gt;=BE$4,$I84&lt;BE$4+7),IF($K84="Deadline","◇","◆"),"")</f>
        <v/>
      </c>
      <c r="BF84" s="14" t="str">
        <f>IF(AND(ISNUMBER($I84),OR($K84="Milestone",$K84="Deadline"),$I84&gt;=BF$4,$I84&lt;BF$4+7),IF($K84="Deadline","◇","◆"),"")</f>
        <v/>
      </c>
      <c r="BG84" s="14" t="str">
        <f>IF(AND(ISNUMBER($I84),OR($K84="Milestone",$K84="Deadline"),$I84&gt;=BG$4,$I84&lt;BG$4+7),IF($K84="Deadline","◇","◆"),"")</f>
        <v/>
      </c>
      <c r="BH84" s="14" t="str">
        <f>IF(AND(ISNUMBER($I84),OR($K84="Milestone",$K84="Deadline"),$I84&gt;=BH$4,$I84&lt;BH$4+7),IF($K84="Deadline","◇","◆"),"")</f>
        <v/>
      </c>
      <c r="BI84" s="14" t="str">
        <f>IF(AND(ISNUMBER($I84),OR($K84="Milestone",$K84="Deadline"),$I84&gt;=BI$4,$I84&lt;BI$4+7),IF($K84="Deadline","◇","◆"),"")</f>
        <v/>
      </c>
      <c r="BJ84" s="14" t="str">
        <f>IF(AND(ISNUMBER($I84),OR($K84="Milestone",$K84="Deadline"),$I84&gt;=BJ$4,$I84&lt;BJ$4+7),IF($K84="Deadline","◇","◆"),"")</f>
        <v/>
      </c>
      <c r="BK84" s="14" t="str">
        <f>IF(AND(ISNUMBER($I84),OR($K84="Milestone",$K84="Deadline"),$I84&gt;=BK$4,$I84&lt;BK$4+7),IF($K84="Deadline","◇","◆"),"")</f>
        <v/>
      </c>
      <c r="BL84" s="14" t="str">
        <f>IF(AND(ISNUMBER($I84),OR($K84="Milestone",$K84="Deadline"),$I84&gt;=BL$4,$I84&lt;BL$4+7),IF($K84="Deadline","◇","◆"),"")</f>
        <v/>
      </c>
      <c r="BM84" s="14" t="str">
        <f>IF(AND(ISNUMBER($I84),OR($K84="Milestone",$K84="Deadline"),$I84&gt;=BM$4,$I84&lt;BM$4+7),IF($K84="Deadline","◇","◆"),"")</f>
        <v/>
      </c>
      <c r="BN84" s="14" t="str">
        <f>IF(AND(ISNUMBER($I84),OR($K84="Milestone",$K84="Deadline"),$I84&gt;=BN$4,$I84&lt;BN$4+7),IF($K84="Deadline","◇","◆"),"")</f>
        <v/>
      </c>
      <c r="BO84" s="14" t="str">
        <f>IF(AND(ISNUMBER($I84),OR($K84="Milestone",$K84="Deadline"),$I84&gt;=BO$4,$I84&lt;BO$4+7),IF($K84="Deadline","◇","◆"),"")</f>
        <v/>
      </c>
      <c r="BP84" s="14" t="str">
        <f>IF(AND(ISNUMBER($I84),OR($K84="Milestone",$K84="Deadline"),$I84&gt;=BP$4,$I84&lt;BP$4+7),IF($K84="Deadline","◇","◆"),"")</f>
        <v/>
      </c>
      <c r="BQ84" s="14" t="str">
        <f>IF(AND(ISNUMBER($I84),OR($K84="Milestone",$K84="Deadline"),$I84&gt;=BQ$4,$I84&lt;BQ$4+7),IF($K84="Deadline","◇","◆"),"")</f>
        <v/>
      </c>
      <c r="BR84" s="14" t="str">
        <f>IF(AND(ISNUMBER($I84),OR($K84="Milestone",$K84="Deadline"),$I84&gt;=BR$4,$I84&lt;BR$4+7),IF($K84="Deadline","◇","◆"),"")</f>
        <v/>
      </c>
      <c r="BS84" s="14" t="str">
        <f>IF(AND(ISNUMBER($I84),OR($K84="Milestone",$K84="Deadline"),$I84&gt;=BS$4,$I84&lt;BS$4+7),IF($K84="Deadline","◇","◆"),"")</f>
        <v/>
      </c>
      <c r="BT84" s="14" t="str">
        <f>IF(AND(ISNUMBER($I84),OR($K84="Milestone",$K84="Deadline"),$I84&gt;=BT$4,$I84&lt;BT$4+7),IF($K84="Deadline","◇","◆"),"")</f>
        <v/>
      </c>
      <c r="BU84" s="14" t="str">
        <f>IF(AND(ISNUMBER($I84),OR($K84="Milestone",$K84="Deadline"),$I84&gt;=BU$4,$I84&lt;BU$4+7),IF($K84="Deadline","◇","◆"),"")</f>
        <v/>
      </c>
      <c r="BV84" s="14" t="str">
        <f>IF(AND(ISNUMBER($I84),OR($K84="Milestone",$K84="Deadline"),$I84&gt;=BV$4,$I84&lt;BV$4+7),IF($K84="Deadline","◇","◆"),"")</f>
        <v/>
      </c>
      <c r="BW84" s="14" t="str">
        <f>IF(AND(ISNUMBER($I84),OR($K84="Milestone",$K84="Deadline"),$I84&gt;=BW$4,$I84&lt;BW$4+7),IF($K84="Deadline","◇","◆"),"")</f>
        <v/>
      </c>
      <c r="BX84" s="14" t="str">
        <f>IF(AND(ISNUMBER($I84),OR($K84="Milestone",$K84="Deadline"),$I84&gt;=BX$4,$I84&lt;BX$4+7),IF($K84="Deadline","◇","◆"),"")</f>
        <v/>
      </c>
      <c r="BY84" s="14" t="str">
        <f>IF(AND(ISNUMBER($I84),OR($K84="Milestone",$K84="Deadline"),$I84&gt;=BY$4,$I84&lt;BY$4+7),IF($K84="Deadline","◇","◆"),"")</f>
        <v/>
      </c>
      <c r="BZ84" s="14" t="str">
        <f>IF(AND(ISNUMBER($I84),OR($K84="Milestone",$K84="Deadline"),$I84&gt;=BZ$4,$I84&lt;BZ$4+7),IF($K84="Deadline","◇","◆"),"")</f>
        <v/>
      </c>
      <c r="CA84" s="14" t="str">
        <f>IF(AND(ISNUMBER($I84),OR($K84="Milestone",$K84="Deadline"),$I84&gt;=CA$4,$I84&lt;CA$4+7),IF($K84="Deadline","◇","◆"),"")</f>
        <v/>
      </c>
      <c r="CB84" s="14" t="str">
        <f>IF(AND(ISNUMBER($I84),OR($K84="Milestone",$K84="Deadline"),$I84&gt;=CB$4,$I84&lt;CB$4+7),IF($K84="Deadline","◇","◆"),"")</f>
        <v/>
      </c>
      <c r="CC84" s="14" t="str">
        <f>IF(AND(ISNUMBER($I84),OR($K84="Milestone",$K84="Deadline"),$I84&gt;=CC$4,$I84&lt;CC$4+7),IF($K84="Deadline","◇","◆"),"")</f>
        <v/>
      </c>
      <c r="CD84" s="14" t="str">
        <f>IF(AND(ISNUMBER($I84),OR($K84="Milestone",$K84="Deadline"),$I84&gt;=CD$4,$I84&lt;CD$4+7),IF($K84="Deadline","◇","◆"),"")</f>
        <v/>
      </c>
      <c r="CE84" s="14" t="str">
        <f>IF(AND(ISNUMBER($I84),OR($K84="Milestone",$K84="Deadline"),$I84&gt;=CE$4,$I84&lt;CE$4+7),IF($K84="Deadline","◇","◆"),"")</f>
        <v/>
      </c>
      <c r="CF84" s="14" t="str">
        <f>IF(AND(ISNUMBER($I84),OR($K84="Milestone",$K84="Deadline"),$I84&gt;=CF$4,$I84&lt;CF$4+7),IF($K84="Deadline","◇","◆"),"")</f>
        <v/>
      </c>
      <c r="CG84" s="14" t="str">
        <f>IF(AND(ISNUMBER($I84),OR($K84="Milestone",$K84="Deadline"),$I84&gt;=CG$4,$I84&lt;CG$4+7),IF($K84="Deadline","◇","◆"),"")</f>
        <v/>
      </c>
      <c r="CH84" s="14" t="str">
        <f>IF(AND(ISNUMBER($I84),OR($K84="Milestone",$K84="Deadline"),$I84&gt;=CH$4,$I84&lt;CH$4+7),IF($K84="Deadline","◇","◆"),"")</f>
        <v/>
      </c>
      <c r="CI84" s="14" t="str">
        <f>IF(AND(ISNUMBER($I84),OR($K84="Milestone",$K84="Deadline"),$I84&gt;=CI$4,$I84&lt;CI$4+7),IF($K84="Deadline","◇","◆"),"")</f>
        <v/>
      </c>
      <c r="CJ84" s="14" t="str">
        <f>IF(AND(ISNUMBER($I84),OR($K84="Milestone",$K84="Deadline"),$I84&gt;=CJ$4,$I84&lt;CJ$4+7),IF($K84="Deadline","◇","◆"),"")</f>
        <v/>
      </c>
      <c r="CK84" s="14" t="str">
        <f>IF(AND(ISNUMBER($I84),OR($K84="Milestone",$K84="Deadline"),$I84&gt;=CK$4,$I84&lt;CK$4+7),IF($K84="Deadline","◇","◆"),"")</f>
        <v/>
      </c>
      <c r="CL84" s="14" t="str">
        <f>IF(AND(ISNUMBER($I84),OR($K84="Milestone",$K84="Deadline"),$I84&gt;=CL$4,$I84&lt;CL$4+7),IF($K84="Deadline","◇","◆"),"")</f>
        <v/>
      </c>
      <c r="CM84" s="14" t="str">
        <f>IF(AND(ISNUMBER($I84),OR($K84="Milestone",$K84="Deadline"),$I84&gt;=CM$4,$I84&lt;CM$4+7),IF($K84="Deadline","◇","◆"),"")</f>
        <v/>
      </c>
    </row>
    <row r="85" spans="1:91" ht="15" hidden="1" customHeight="1">
      <c r="A85" s="29" t="s">
        <v>257</v>
      </c>
      <c r="B85" s="29" t="s">
        <v>234</v>
      </c>
      <c r="C85" s="29" t="s">
        <v>63</v>
      </c>
      <c r="D85" s="29" t="s">
        <v>195</v>
      </c>
      <c r="E85" s="29" t="s">
        <v>196</v>
      </c>
      <c r="F85" s="29" t="s">
        <v>208</v>
      </c>
      <c r="G85" s="29" t="s">
        <v>188</v>
      </c>
      <c r="H85" s="29">
        <v>13</v>
      </c>
      <c r="I85" s="30">
        <f>MAX($C$2,J84+1,J74+1,J161+1)</f>
        <v>46397</v>
      </c>
      <c r="J85" s="31">
        <f>IF(AND(ISNUMBER(I85),ISNUMBER(H85)),I85+H85-1,"")</f>
        <v>46409</v>
      </c>
      <c r="K85" s="29" t="s">
        <v>27</v>
      </c>
      <c r="L85" s="29" t="s">
        <v>258</v>
      </c>
      <c r="M85" s="32" t="s">
        <v>259</v>
      </c>
      <c r="N85" s="29"/>
      <c r="O85" s="32">
        <f>IF(AND(ISNUMBER(I85),ISNUMBER(J85)),J85-I85+1,"")</f>
        <v>13</v>
      </c>
      <c r="P85" s="13"/>
      <c r="Q85" s="13"/>
      <c r="R85" s="13"/>
      <c r="S85" s="13"/>
      <c r="T85" s="13"/>
      <c r="U85" s="13"/>
      <c r="V85" s="13" t="s">
        <v>140</v>
      </c>
      <c r="W85" s="13"/>
      <c r="X85" s="13"/>
      <c r="Y85" s="13" t="s">
        <v>140</v>
      </c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13"/>
      <c r="AK85" s="13"/>
      <c r="AL85" s="13"/>
      <c r="AM85" s="13"/>
      <c r="AN85" s="13"/>
      <c r="AO85" s="14" t="str">
        <f>IF(AND(ISNUMBER($I85),OR($K85="Milestone",$K85="Deadline"),$I85&gt;=AO$4,$I85&lt;AO$4+7),IF($K85="Deadline","◇","◆"),"")</f>
        <v/>
      </c>
      <c r="AP85" s="14" t="str">
        <f>IF(AND(ISNUMBER($I85),OR($K85="Milestone",$K85="Deadline"),$I85&gt;=AP$4,$I85&lt;AP$4+7),IF($K85="Deadline","◇","◆"),"")</f>
        <v/>
      </c>
      <c r="AQ85" s="14" t="str">
        <f>IF(AND(ISNUMBER($I85),OR($K85="Milestone",$K85="Deadline"),$I85&gt;=AQ$4,$I85&lt;AQ$4+7),IF($K85="Deadline","◇","◆"),"")</f>
        <v/>
      </c>
      <c r="AR85" s="14" t="str">
        <f>IF(AND(ISNUMBER($I85),OR($K85="Milestone",$K85="Deadline"),$I85&gt;=AR$4,$I85&lt;AR$4+7),IF($K85="Deadline","◇","◆"),"")</f>
        <v/>
      </c>
      <c r="AS85" s="14" t="str">
        <f>IF(AND(ISNUMBER($I85),OR($K85="Milestone",$K85="Deadline"),$I85&gt;=AS$4,$I85&lt;AS$4+7),IF($K85="Deadline","◇","◆"),"")</f>
        <v/>
      </c>
      <c r="AT85" s="14" t="str">
        <f>IF(AND(ISNUMBER($I85),OR($K85="Milestone",$K85="Deadline"),$I85&gt;=AT$4,$I85&lt;AT$4+7),IF($K85="Deadline","◇","◆"),"")</f>
        <v/>
      </c>
      <c r="AU85" s="14" t="str">
        <f>IF(AND(ISNUMBER($I85),OR($K85="Milestone",$K85="Deadline"),$I85&gt;=AU$4,$I85&lt;AU$4+7),IF($K85="Deadline","◇","◆"),"")</f>
        <v/>
      </c>
      <c r="AV85" s="14" t="str">
        <f>IF(AND(ISNUMBER($I85),OR($K85="Milestone",$K85="Deadline"),$I85&gt;=AV$4,$I85&lt;AV$4+7),IF($K85="Deadline","◇","◆"),"")</f>
        <v/>
      </c>
      <c r="AW85" s="14" t="str">
        <f>IF(AND(ISNUMBER($I85),OR($K85="Milestone",$K85="Deadline"),$I85&gt;=AW$4,$I85&lt;AW$4+7),IF($K85="Deadline","◇","◆"),"")</f>
        <v/>
      </c>
      <c r="AX85" s="14" t="str">
        <f>IF(AND(ISNUMBER($I85),OR($K85="Milestone",$K85="Deadline"),$I85&gt;=AX$4,$I85&lt;AX$4+7),IF($K85="Deadline","◇","◆"),"")</f>
        <v/>
      </c>
      <c r="AY85" s="14" t="str">
        <f>IF(AND(ISNUMBER($I85),OR($K85="Milestone",$K85="Deadline"),$I85&gt;=AY$4,$I85&lt;AY$4+7),IF($K85="Deadline","◇","◆"),"")</f>
        <v/>
      </c>
      <c r="AZ85" s="14" t="str">
        <f>IF(AND(ISNUMBER($I85),OR($K85="Milestone",$K85="Deadline"),$I85&gt;=AZ$4,$I85&lt;AZ$4+7),IF($K85="Deadline","◇","◆"),"")</f>
        <v/>
      </c>
      <c r="BA85" s="14" t="str">
        <f>IF(AND(ISNUMBER($I85),OR($K85="Milestone",$K85="Deadline"),$I85&gt;=BA$4,$I85&lt;BA$4+7),IF($K85="Deadline","◇","◆"),"")</f>
        <v/>
      </c>
      <c r="BB85" s="14" t="str">
        <f>IF(AND(ISNUMBER($I85),OR($K85="Milestone",$K85="Deadline"),$I85&gt;=BB$4,$I85&lt;BB$4+7),IF($K85="Deadline","◇","◆"),"")</f>
        <v/>
      </c>
      <c r="BC85" s="14" t="str">
        <f>IF(AND(ISNUMBER($I85),OR($K85="Milestone",$K85="Deadline"),$I85&gt;=BC$4,$I85&lt;BC$4+7),IF($K85="Deadline","◇","◆"),"")</f>
        <v/>
      </c>
      <c r="BD85" s="14" t="str">
        <f>IF(AND(ISNUMBER($I85),OR($K85="Milestone",$K85="Deadline"),$I85&gt;=BD$4,$I85&lt;BD$4+7),IF($K85="Deadline","◇","◆"),"")</f>
        <v/>
      </c>
      <c r="BE85" s="14" t="str">
        <f>IF(AND(ISNUMBER($I85),OR($K85="Milestone",$K85="Deadline"),$I85&gt;=BE$4,$I85&lt;BE$4+7),IF($K85="Deadline","◇","◆"),"")</f>
        <v/>
      </c>
      <c r="BF85" s="14" t="str">
        <f>IF(AND(ISNUMBER($I85),OR($K85="Milestone",$K85="Deadline"),$I85&gt;=BF$4,$I85&lt;BF$4+7),IF($K85="Deadline","◇","◆"),"")</f>
        <v/>
      </c>
      <c r="BG85" s="14" t="str">
        <f>IF(AND(ISNUMBER($I85),OR($K85="Milestone",$K85="Deadline"),$I85&gt;=BG$4,$I85&lt;BG$4+7),IF($K85="Deadline","◇","◆"),"")</f>
        <v/>
      </c>
      <c r="BH85" s="14" t="str">
        <f>IF(AND(ISNUMBER($I85),OR($K85="Milestone",$K85="Deadline"),$I85&gt;=BH$4,$I85&lt;BH$4+7),IF($K85="Deadline","◇","◆"),"")</f>
        <v/>
      </c>
      <c r="BI85" s="14" t="str">
        <f>IF(AND(ISNUMBER($I85),OR($K85="Milestone",$K85="Deadline"),$I85&gt;=BI$4,$I85&lt;BI$4+7),IF($K85="Deadline","◇","◆"),"")</f>
        <v/>
      </c>
      <c r="BJ85" s="14" t="str">
        <f>IF(AND(ISNUMBER($I85),OR($K85="Milestone",$K85="Deadline"),$I85&gt;=BJ$4,$I85&lt;BJ$4+7),IF($K85="Deadline","◇","◆"),"")</f>
        <v/>
      </c>
      <c r="BK85" s="14" t="str">
        <f>IF(AND(ISNUMBER($I85),OR($K85="Milestone",$K85="Deadline"),$I85&gt;=BK$4,$I85&lt;BK$4+7),IF($K85="Deadline","◇","◆"),"")</f>
        <v/>
      </c>
      <c r="BL85" s="14" t="str">
        <f>IF(AND(ISNUMBER($I85),OR($K85="Milestone",$K85="Deadline"),$I85&gt;=BL$4,$I85&lt;BL$4+7),IF($K85="Deadline","◇","◆"),"")</f>
        <v/>
      </c>
      <c r="BM85" s="14" t="str">
        <f>IF(AND(ISNUMBER($I85),OR($K85="Milestone",$K85="Deadline"),$I85&gt;=BM$4,$I85&lt;BM$4+7),IF($K85="Deadline","◇","◆"),"")</f>
        <v/>
      </c>
      <c r="BN85" s="14" t="str">
        <f>IF(AND(ISNUMBER($I85),OR($K85="Milestone",$K85="Deadline"),$I85&gt;=BN$4,$I85&lt;BN$4+7),IF($K85="Deadline","◇","◆"),"")</f>
        <v/>
      </c>
      <c r="BO85" s="14" t="str">
        <f>IF(AND(ISNUMBER($I85),OR($K85="Milestone",$K85="Deadline"),$I85&gt;=BO$4,$I85&lt;BO$4+7),IF($K85="Deadline","◇","◆"),"")</f>
        <v/>
      </c>
      <c r="BP85" s="14" t="str">
        <f>IF(AND(ISNUMBER($I85),OR($K85="Milestone",$K85="Deadline"),$I85&gt;=BP$4,$I85&lt;BP$4+7),IF($K85="Deadline","◇","◆"),"")</f>
        <v/>
      </c>
      <c r="BQ85" s="14" t="str">
        <f>IF(AND(ISNUMBER($I85),OR($K85="Milestone",$K85="Deadline"),$I85&gt;=BQ$4,$I85&lt;BQ$4+7),IF($K85="Deadline","◇","◆"),"")</f>
        <v/>
      </c>
      <c r="BR85" s="14" t="str">
        <f>IF(AND(ISNUMBER($I85),OR($K85="Milestone",$K85="Deadline"),$I85&gt;=BR$4,$I85&lt;BR$4+7),IF($K85="Deadline","◇","◆"),"")</f>
        <v/>
      </c>
      <c r="BS85" s="14" t="str">
        <f>IF(AND(ISNUMBER($I85),OR($K85="Milestone",$K85="Deadline"),$I85&gt;=BS$4,$I85&lt;BS$4+7),IF($K85="Deadline","◇","◆"),"")</f>
        <v/>
      </c>
      <c r="BT85" s="14" t="str">
        <f>IF(AND(ISNUMBER($I85),OR($K85="Milestone",$K85="Deadline"),$I85&gt;=BT$4,$I85&lt;BT$4+7),IF($K85="Deadline","◇","◆"),"")</f>
        <v/>
      </c>
      <c r="BU85" s="14" t="str">
        <f>IF(AND(ISNUMBER($I85),OR($K85="Milestone",$K85="Deadline"),$I85&gt;=BU$4,$I85&lt;BU$4+7),IF($K85="Deadline","◇","◆"),"")</f>
        <v/>
      </c>
      <c r="BV85" s="14" t="str">
        <f>IF(AND(ISNUMBER($I85),OR($K85="Milestone",$K85="Deadline"),$I85&gt;=BV$4,$I85&lt;BV$4+7),IF($K85="Deadline","◇","◆"),"")</f>
        <v/>
      </c>
      <c r="BW85" s="14" t="str">
        <f>IF(AND(ISNUMBER($I85),OR($K85="Milestone",$K85="Deadline"),$I85&gt;=BW$4,$I85&lt;BW$4+7),IF($K85="Deadline","◇","◆"),"")</f>
        <v/>
      </c>
      <c r="BX85" s="14" t="str">
        <f>IF(AND(ISNUMBER($I85),OR($K85="Milestone",$K85="Deadline"),$I85&gt;=BX$4,$I85&lt;BX$4+7),IF($K85="Deadline","◇","◆"),"")</f>
        <v/>
      </c>
      <c r="BY85" s="14" t="str">
        <f>IF(AND(ISNUMBER($I85),OR($K85="Milestone",$K85="Deadline"),$I85&gt;=BY$4,$I85&lt;BY$4+7),IF($K85="Deadline","◇","◆"),"")</f>
        <v/>
      </c>
      <c r="BZ85" s="14" t="str">
        <f>IF(AND(ISNUMBER($I85),OR($K85="Milestone",$K85="Deadline"),$I85&gt;=BZ$4,$I85&lt;BZ$4+7),IF($K85="Deadline","◇","◆"),"")</f>
        <v/>
      </c>
      <c r="CA85" s="14" t="str">
        <f>IF(AND(ISNUMBER($I85),OR($K85="Milestone",$K85="Deadline"),$I85&gt;=CA$4,$I85&lt;CA$4+7),IF($K85="Deadline","◇","◆"),"")</f>
        <v/>
      </c>
      <c r="CB85" s="14" t="str">
        <f>IF(AND(ISNUMBER($I85),OR($K85="Milestone",$K85="Deadline"),$I85&gt;=CB$4,$I85&lt;CB$4+7),IF($K85="Deadline","◇","◆"),"")</f>
        <v/>
      </c>
      <c r="CC85" s="14" t="str">
        <f>IF(AND(ISNUMBER($I85),OR($K85="Milestone",$K85="Deadline"),$I85&gt;=CC$4,$I85&lt;CC$4+7),IF($K85="Deadline","◇","◆"),"")</f>
        <v/>
      </c>
      <c r="CD85" s="14" t="str">
        <f>IF(AND(ISNUMBER($I85),OR($K85="Milestone",$K85="Deadline"),$I85&gt;=CD$4,$I85&lt;CD$4+7),IF($K85="Deadline","◇","◆"),"")</f>
        <v/>
      </c>
      <c r="CE85" s="14" t="str">
        <f>IF(AND(ISNUMBER($I85),OR($K85="Milestone",$K85="Deadline"),$I85&gt;=CE$4,$I85&lt;CE$4+7),IF($K85="Deadline","◇","◆"),"")</f>
        <v/>
      </c>
      <c r="CF85" s="14" t="str">
        <f>IF(AND(ISNUMBER($I85),OR($K85="Milestone",$K85="Deadline"),$I85&gt;=CF$4,$I85&lt;CF$4+7),IF($K85="Deadline","◇","◆"),"")</f>
        <v/>
      </c>
      <c r="CG85" s="14" t="str">
        <f>IF(AND(ISNUMBER($I85),OR($K85="Milestone",$K85="Deadline"),$I85&gt;=CG$4,$I85&lt;CG$4+7),IF($K85="Deadline","◇","◆"),"")</f>
        <v/>
      </c>
      <c r="CH85" s="14" t="str">
        <f>IF(AND(ISNUMBER($I85),OR($K85="Milestone",$K85="Deadline"),$I85&gt;=CH$4,$I85&lt;CH$4+7),IF($K85="Deadline","◇","◆"),"")</f>
        <v/>
      </c>
      <c r="CI85" s="14" t="str">
        <f>IF(AND(ISNUMBER($I85),OR($K85="Milestone",$K85="Deadline"),$I85&gt;=CI$4,$I85&lt;CI$4+7),IF($K85="Deadline","◇","◆"),"")</f>
        <v/>
      </c>
      <c r="CJ85" s="14" t="str">
        <f>IF(AND(ISNUMBER($I85),OR($K85="Milestone",$K85="Deadline"),$I85&gt;=CJ$4,$I85&lt;CJ$4+7),IF($K85="Deadline","◇","◆"),"")</f>
        <v/>
      </c>
      <c r="CK85" s="14" t="str">
        <f>IF(AND(ISNUMBER($I85),OR($K85="Milestone",$K85="Deadline"),$I85&gt;=CK$4,$I85&lt;CK$4+7),IF($K85="Deadline","◇","◆"),"")</f>
        <v/>
      </c>
      <c r="CL85" s="14" t="str">
        <f>IF(AND(ISNUMBER($I85),OR($K85="Milestone",$K85="Deadline"),$I85&gt;=CL$4,$I85&lt;CL$4+7),IF($K85="Deadline","◇","◆"),"")</f>
        <v/>
      </c>
      <c r="CM85" s="14" t="str">
        <f>IF(AND(ISNUMBER($I85),OR($K85="Milestone",$K85="Deadline"),$I85&gt;=CM$4,$I85&lt;CM$4+7),IF($K85="Deadline","◇","◆"),"")</f>
        <v/>
      </c>
    </row>
    <row r="86" spans="1:91" ht="15" hidden="1" customHeight="1">
      <c r="A86" s="29" t="s">
        <v>260</v>
      </c>
      <c r="B86" s="29" t="s">
        <v>234</v>
      </c>
      <c r="C86" s="29" t="s">
        <v>191</v>
      </c>
      <c r="D86" s="29" t="s">
        <v>195</v>
      </c>
      <c r="E86" s="29" t="s">
        <v>196</v>
      </c>
      <c r="F86" s="29" t="s">
        <v>208</v>
      </c>
      <c r="G86" s="29" t="s">
        <v>192</v>
      </c>
      <c r="H86" s="29">
        <v>8</v>
      </c>
      <c r="I86" s="30">
        <f>MAX(DATE(2027,3,1),J85+1,J75+1)</f>
        <v>46459</v>
      </c>
      <c r="J86" s="31">
        <f>IF(AND(ISNUMBER(I86),ISNUMBER(H86)),I86+H86-1,"")</f>
        <v>46466</v>
      </c>
      <c r="K86" s="29" t="s">
        <v>27</v>
      </c>
      <c r="L86" s="29" t="s">
        <v>257</v>
      </c>
      <c r="M86" s="32" t="s">
        <v>242</v>
      </c>
      <c r="N86" s="29"/>
      <c r="O86" s="32">
        <f>IF(AND(ISNUMBER(I86),ISNUMBER(J86)),J86-I86+1,"")</f>
        <v>8</v>
      </c>
      <c r="P86" s="13"/>
      <c r="Q86" s="13"/>
      <c r="R86" s="13"/>
      <c r="S86" s="13"/>
      <c r="T86" s="13"/>
      <c r="U86" s="13"/>
      <c r="V86" s="13" t="s">
        <v>140</v>
      </c>
      <c r="W86" s="13"/>
      <c r="X86" s="13"/>
      <c r="Y86" s="13"/>
      <c r="Z86" s="13"/>
      <c r="AA86" s="13"/>
      <c r="AB86" s="13"/>
      <c r="AC86" s="13"/>
      <c r="AD86" s="13"/>
      <c r="AE86" s="13" t="s">
        <v>140</v>
      </c>
      <c r="AF86" s="13"/>
      <c r="AG86" s="13"/>
      <c r="AH86" s="13"/>
      <c r="AI86" s="13"/>
      <c r="AJ86" s="13"/>
      <c r="AK86" s="13"/>
      <c r="AL86" s="13"/>
      <c r="AM86" s="13"/>
      <c r="AN86" s="13"/>
      <c r="AO86" s="14" t="str">
        <f>IF(AND(ISNUMBER($I86),OR($K86="Milestone",$K86="Deadline"),$I86&gt;=AO$4,$I86&lt;AO$4+7),IF($K86="Deadline","◇","◆"),"")</f>
        <v/>
      </c>
      <c r="AP86" s="14" t="str">
        <f>IF(AND(ISNUMBER($I86),OR($K86="Milestone",$K86="Deadline"),$I86&gt;=AP$4,$I86&lt;AP$4+7),IF($K86="Deadline","◇","◆"),"")</f>
        <v/>
      </c>
      <c r="AQ86" s="14" t="str">
        <f>IF(AND(ISNUMBER($I86),OR($K86="Milestone",$K86="Deadline"),$I86&gt;=AQ$4,$I86&lt;AQ$4+7),IF($K86="Deadline","◇","◆"),"")</f>
        <v/>
      </c>
      <c r="AR86" s="14" t="str">
        <f>IF(AND(ISNUMBER($I86),OR($K86="Milestone",$K86="Deadline"),$I86&gt;=AR$4,$I86&lt;AR$4+7),IF($K86="Deadline","◇","◆"),"")</f>
        <v/>
      </c>
      <c r="AS86" s="14" t="str">
        <f>IF(AND(ISNUMBER($I86),OR($K86="Milestone",$K86="Deadline"),$I86&gt;=AS$4,$I86&lt;AS$4+7),IF($K86="Deadline","◇","◆"),"")</f>
        <v/>
      </c>
      <c r="AT86" s="14" t="str">
        <f>IF(AND(ISNUMBER($I86),OR($K86="Milestone",$K86="Deadline"),$I86&gt;=AT$4,$I86&lt;AT$4+7),IF($K86="Deadline","◇","◆"),"")</f>
        <v/>
      </c>
      <c r="AU86" s="14" t="str">
        <f>IF(AND(ISNUMBER($I86),OR($K86="Milestone",$K86="Deadline"),$I86&gt;=AU$4,$I86&lt;AU$4+7),IF($K86="Deadline","◇","◆"),"")</f>
        <v/>
      </c>
      <c r="AV86" s="14" t="str">
        <f>IF(AND(ISNUMBER($I86),OR($K86="Milestone",$K86="Deadline"),$I86&gt;=AV$4,$I86&lt;AV$4+7),IF($K86="Deadline","◇","◆"),"")</f>
        <v/>
      </c>
      <c r="AW86" s="14" t="str">
        <f>IF(AND(ISNUMBER($I86),OR($K86="Milestone",$K86="Deadline"),$I86&gt;=AW$4,$I86&lt;AW$4+7),IF($K86="Deadline","◇","◆"),"")</f>
        <v/>
      </c>
      <c r="AX86" s="14" t="str">
        <f>IF(AND(ISNUMBER($I86),OR($K86="Milestone",$K86="Deadline"),$I86&gt;=AX$4,$I86&lt;AX$4+7),IF($K86="Deadline","◇","◆"),"")</f>
        <v/>
      </c>
      <c r="AY86" s="14" t="str">
        <f>IF(AND(ISNUMBER($I86),OR($K86="Milestone",$K86="Deadline"),$I86&gt;=AY$4,$I86&lt;AY$4+7),IF($K86="Deadline","◇","◆"),"")</f>
        <v/>
      </c>
      <c r="AZ86" s="14" t="str">
        <f>IF(AND(ISNUMBER($I86),OR($K86="Milestone",$K86="Deadline"),$I86&gt;=AZ$4,$I86&lt;AZ$4+7),IF($K86="Deadline","◇","◆"),"")</f>
        <v/>
      </c>
      <c r="BA86" s="14" t="str">
        <f>IF(AND(ISNUMBER($I86),OR($K86="Milestone",$K86="Deadline"),$I86&gt;=BA$4,$I86&lt;BA$4+7),IF($K86="Deadline","◇","◆"),"")</f>
        <v/>
      </c>
      <c r="BB86" s="14" t="str">
        <f>IF(AND(ISNUMBER($I86),OR($K86="Milestone",$K86="Deadline"),$I86&gt;=BB$4,$I86&lt;BB$4+7),IF($K86="Deadline","◇","◆"),"")</f>
        <v/>
      </c>
      <c r="BC86" s="14" t="str">
        <f>IF(AND(ISNUMBER($I86),OR($K86="Milestone",$K86="Deadline"),$I86&gt;=BC$4,$I86&lt;BC$4+7),IF($K86="Deadline","◇","◆"),"")</f>
        <v/>
      </c>
      <c r="BD86" s="14" t="str">
        <f>IF(AND(ISNUMBER($I86),OR($K86="Milestone",$K86="Deadline"),$I86&gt;=BD$4,$I86&lt;BD$4+7),IF($K86="Deadline","◇","◆"),"")</f>
        <v/>
      </c>
      <c r="BE86" s="14" t="str">
        <f>IF(AND(ISNUMBER($I86),OR($K86="Milestone",$K86="Deadline"),$I86&gt;=BE$4,$I86&lt;BE$4+7),IF($K86="Deadline","◇","◆"),"")</f>
        <v/>
      </c>
      <c r="BF86" s="14" t="str">
        <f>IF(AND(ISNUMBER($I86),OR($K86="Milestone",$K86="Deadline"),$I86&gt;=BF$4,$I86&lt;BF$4+7),IF($K86="Deadline","◇","◆"),"")</f>
        <v/>
      </c>
      <c r="BG86" s="14" t="str">
        <f>IF(AND(ISNUMBER($I86),OR($K86="Milestone",$K86="Deadline"),$I86&gt;=BG$4,$I86&lt;BG$4+7),IF($K86="Deadline","◇","◆"),"")</f>
        <v/>
      </c>
      <c r="BH86" s="14" t="str">
        <f>IF(AND(ISNUMBER($I86),OR($K86="Milestone",$K86="Deadline"),$I86&gt;=BH$4,$I86&lt;BH$4+7),IF($K86="Deadline","◇","◆"),"")</f>
        <v/>
      </c>
      <c r="BI86" s="14" t="str">
        <f>IF(AND(ISNUMBER($I86),OR($K86="Milestone",$K86="Deadline"),$I86&gt;=BI$4,$I86&lt;BI$4+7),IF($K86="Deadline","◇","◆"),"")</f>
        <v/>
      </c>
      <c r="BJ86" s="14" t="str">
        <f>IF(AND(ISNUMBER($I86),OR($K86="Milestone",$K86="Deadline"),$I86&gt;=BJ$4,$I86&lt;BJ$4+7),IF($K86="Deadline","◇","◆"),"")</f>
        <v/>
      </c>
      <c r="BK86" s="14" t="str">
        <f>IF(AND(ISNUMBER($I86),OR($K86="Milestone",$K86="Deadline"),$I86&gt;=BK$4,$I86&lt;BK$4+7),IF($K86="Deadline","◇","◆"),"")</f>
        <v/>
      </c>
      <c r="BL86" s="14" t="str">
        <f>IF(AND(ISNUMBER($I86),OR($K86="Milestone",$K86="Deadline"),$I86&gt;=BL$4,$I86&lt;BL$4+7),IF($K86="Deadline","◇","◆"),"")</f>
        <v/>
      </c>
      <c r="BM86" s="14" t="str">
        <f>IF(AND(ISNUMBER($I86),OR($K86="Milestone",$K86="Deadline"),$I86&gt;=BM$4,$I86&lt;BM$4+7),IF($K86="Deadline","◇","◆"),"")</f>
        <v/>
      </c>
      <c r="BN86" s="14" t="str">
        <f>IF(AND(ISNUMBER($I86),OR($K86="Milestone",$K86="Deadline"),$I86&gt;=BN$4,$I86&lt;BN$4+7),IF($K86="Deadline","◇","◆"),"")</f>
        <v/>
      </c>
      <c r="BO86" s="14" t="str">
        <f>IF(AND(ISNUMBER($I86),OR($K86="Milestone",$K86="Deadline"),$I86&gt;=BO$4,$I86&lt;BO$4+7),IF($K86="Deadline","◇","◆"),"")</f>
        <v/>
      </c>
      <c r="BP86" s="14" t="str">
        <f>IF(AND(ISNUMBER($I86),OR($K86="Milestone",$K86="Deadline"),$I86&gt;=BP$4,$I86&lt;BP$4+7),IF($K86="Deadline","◇","◆"),"")</f>
        <v/>
      </c>
      <c r="BQ86" s="14" t="str">
        <f>IF(AND(ISNUMBER($I86),OR($K86="Milestone",$K86="Deadline"),$I86&gt;=BQ$4,$I86&lt;BQ$4+7),IF($K86="Deadline","◇","◆"),"")</f>
        <v/>
      </c>
      <c r="BR86" s="14" t="str">
        <f>IF(AND(ISNUMBER($I86),OR($K86="Milestone",$K86="Deadline"),$I86&gt;=BR$4,$I86&lt;BR$4+7),IF($K86="Deadline","◇","◆"),"")</f>
        <v/>
      </c>
      <c r="BS86" s="14" t="str">
        <f>IF(AND(ISNUMBER($I86),OR($K86="Milestone",$K86="Deadline"),$I86&gt;=BS$4,$I86&lt;BS$4+7),IF($K86="Deadline","◇","◆"),"")</f>
        <v/>
      </c>
      <c r="BT86" s="14" t="str">
        <f>IF(AND(ISNUMBER($I86),OR($K86="Milestone",$K86="Deadline"),$I86&gt;=BT$4,$I86&lt;BT$4+7),IF($K86="Deadline","◇","◆"),"")</f>
        <v/>
      </c>
      <c r="BU86" s="14" t="str">
        <f>IF(AND(ISNUMBER($I86),OR($K86="Milestone",$K86="Deadline"),$I86&gt;=BU$4,$I86&lt;BU$4+7),IF($K86="Deadline","◇","◆"),"")</f>
        <v/>
      </c>
      <c r="BV86" s="14" t="str">
        <f>IF(AND(ISNUMBER($I86),OR($K86="Milestone",$K86="Deadline"),$I86&gt;=BV$4,$I86&lt;BV$4+7),IF($K86="Deadline","◇","◆"),"")</f>
        <v/>
      </c>
      <c r="BW86" s="14" t="str">
        <f>IF(AND(ISNUMBER($I86),OR($K86="Milestone",$K86="Deadline"),$I86&gt;=BW$4,$I86&lt;BW$4+7),IF($K86="Deadline","◇","◆"),"")</f>
        <v/>
      </c>
      <c r="BX86" s="14" t="str">
        <f>IF(AND(ISNUMBER($I86),OR($K86="Milestone",$K86="Deadline"),$I86&gt;=BX$4,$I86&lt;BX$4+7),IF($K86="Deadline","◇","◆"),"")</f>
        <v/>
      </c>
      <c r="BY86" s="14" t="str">
        <f>IF(AND(ISNUMBER($I86),OR($K86="Milestone",$K86="Deadline"),$I86&gt;=BY$4,$I86&lt;BY$4+7),IF($K86="Deadline","◇","◆"),"")</f>
        <v/>
      </c>
      <c r="BZ86" s="14" t="str">
        <f>IF(AND(ISNUMBER($I86),OR($K86="Milestone",$K86="Deadline"),$I86&gt;=BZ$4,$I86&lt;BZ$4+7),IF($K86="Deadline","◇","◆"),"")</f>
        <v/>
      </c>
      <c r="CA86" s="14" t="str">
        <f>IF(AND(ISNUMBER($I86),OR($K86="Milestone",$K86="Deadline"),$I86&gt;=CA$4,$I86&lt;CA$4+7),IF($K86="Deadline","◇","◆"),"")</f>
        <v/>
      </c>
      <c r="CB86" s="14" t="str">
        <f>IF(AND(ISNUMBER($I86),OR($K86="Milestone",$K86="Deadline"),$I86&gt;=CB$4,$I86&lt;CB$4+7),IF($K86="Deadline","◇","◆"),"")</f>
        <v/>
      </c>
      <c r="CC86" s="14" t="str">
        <f>IF(AND(ISNUMBER($I86),OR($K86="Milestone",$K86="Deadline"),$I86&gt;=CC$4,$I86&lt;CC$4+7),IF($K86="Deadline","◇","◆"),"")</f>
        <v/>
      </c>
      <c r="CD86" s="14" t="str">
        <f>IF(AND(ISNUMBER($I86),OR($K86="Milestone",$K86="Deadline"),$I86&gt;=CD$4,$I86&lt;CD$4+7),IF($K86="Deadline","◇","◆"),"")</f>
        <v/>
      </c>
      <c r="CE86" s="14" t="str">
        <f>IF(AND(ISNUMBER($I86),OR($K86="Milestone",$K86="Deadline"),$I86&gt;=CE$4,$I86&lt;CE$4+7),IF($K86="Deadline","◇","◆"),"")</f>
        <v/>
      </c>
      <c r="CF86" s="14" t="str">
        <f>IF(AND(ISNUMBER($I86),OR($K86="Milestone",$K86="Deadline"),$I86&gt;=CF$4,$I86&lt;CF$4+7),IF($K86="Deadline","◇","◆"),"")</f>
        <v/>
      </c>
      <c r="CG86" s="14" t="str">
        <f>IF(AND(ISNUMBER($I86),OR($K86="Milestone",$K86="Deadline"),$I86&gt;=CG$4,$I86&lt;CG$4+7),IF($K86="Deadline","◇","◆"),"")</f>
        <v/>
      </c>
      <c r="CH86" s="14" t="str">
        <f>IF(AND(ISNUMBER($I86),OR($K86="Milestone",$K86="Deadline"),$I86&gt;=CH$4,$I86&lt;CH$4+7),IF($K86="Deadline","◇","◆"),"")</f>
        <v/>
      </c>
      <c r="CI86" s="14" t="str">
        <f>IF(AND(ISNUMBER($I86),OR($K86="Milestone",$K86="Deadline"),$I86&gt;=CI$4,$I86&lt;CI$4+7),IF($K86="Deadline","◇","◆"),"")</f>
        <v/>
      </c>
      <c r="CJ86" s="14" t="str">
        <f>IF(AND(ISNUMBER($I86),OR($K86="Milestone",$K86="Deadline"),$I86&gt;=CJ$4,$I86&lt;CJ$4+7),IF($K86="Deadline","◇","◆"),"")</f>
        <v/>
      </c>
      <c r="CK86" s="14" t="str">
        <f>IF(AND(ISNUMBER($I86),OR($K86="Milestone",$K86="Deadline"),$I86&gt;=CK$4,$I86&lt;CK$4+7),IF($K86="Deadline","◇","◆"),"")</f>
        <v/>
      </c>
      <c r="CL86" s="14" t="str">
        <f>IF(AND(ISNUMBER($I86),OR($K86="Milestone",$K86="Deadline"),$I86&gt;=CL$4,$I86&lt;CL$4+7),IF($K86="Deadline","◇","◆"),"")</f>
        <v/>
      </c>
      <c r="CM86" s="14" t="str">
        <f>IF(AND(ISNUMBER($I86),OR($K86="Milestone",$K86="Deadline"),$I86&gt;=CM$4,$I86&lt;CM$4+7),IF($K86="Deadline","◇","◆"),"")</f>
        <v/>
      </c>
    </row>
    <row r="87" spans="1:91" ht="15" hidden="1" customHeight="1">
      <c r="A87" s="29" t="s">
        <v>261</v>
      </c>
      <c r="B87" s="29" t="s">
        <v>234</v>
      </c>
      <c r="C87" s="29" t="s">
        <v>191</v>
      </c>
      <c r="D87" s="29" t="s">
        <v>168</v>
      </c>
      <c r="E87" s="29"/>
      <c r="F87" s="29" t="s">
        <v>216</v>
      </c>
      <c r="G87" s="29" t="s">
        <v>217</v>
      </c>
      <c r="H87" s="29">
        <v>14</v>
      </c>
      <c r="I87" s="30">
        <f>MAX($C$2,J76+1,J80+1,J131+1)</f>
        <v>46415</v>
      </c>
      <c r="J87" s="31">
        <f>IF(AND(ISNUMBER(I87),ISNUMBER(H87)),I87+H87-1,"")</f>
        <v>46428</v>
      </c>
      <c r="K87" s="29" t="s">
        <v>27</v>
      </c>
      <c r="L87" s="29" t="s">
        <v>262</v>
      </c>
      <c r="M87" s="32" t="s">
        <v>263</v>
      </c>
      <c r="N87" s="29"/>
      <c r="O87" s="32">
        <f>IF(AND(ISNUMBER(I87),ISNUMBER(J87)),J87-I87+1,"")</f>
        <v>14</v>
      </c>
      <c r="P87" s="13"/>
      <c r="Q87" s="13"/>
      <c r="R87" s="13"/>
      <c r="S87" s="13"/>
      <c r="T87" s="13" t="s">
        <v>140</v>
      </c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  <c r="AJ87" s="13"/>
      <c r="AK87" s="13"/>
      <c r="AL87" s="13"/>
      <c r="AM87" s="13"/>
      <c r="AN87" s="13"/>
      <c r="AO87" s="14" t="str">
        <f>IF(AND(ISNUMBER($I87),OR($K87="Milestone",$K87="Deadline"),$I87&gt;=AO$4,$I87&lt;AO$4+7),IF($K87="Deadline","◇","◆"),"")</f>
        <v/>
      </c>
      <c r="AP87" s="14" t="str">
        <f>IF(AND(ISNUMBER($I87),OR($K87="Milestone",$K87="Deadline"),$I87&gt;=AP$4,$I87&lt;AP$4+7),IF($K87="Deadline","◇","◆"),"")</f>
        <v/>
      </c>
      <c r="AQ87" s="14" t="str">
        <f>IF(AND(ISNUMBER($I87),OR($K87="Milestone",$K87="Deadline"),$I87&gt;=AQ$4,$I87&lt;AQ$4+7),IF($K87="Deadline","◇","◆"),"")</f>
        <v/>
      </c>
      <c r="AR87" s="14" t="str">
        <f>IF(AND(ISNUMBER($I87),OR($K87="Milestone",$K87="Deadline"),$I87&gt;=AR$4,$I87&lt;AR$4+7),IF($K87="Deadline","◇","◆"),"")</f>
        <v/>
      </c>
      <c r="AS87" s="14" t="str">
        <f>IF(AND(ISNUMBER($I87),OR($K87="Milestone",$K87="Deadline"),$I87&gt;=AS$4,$I87&lt;AS$4+7),IF($K87="Deadline","◇","◆"),"")</f>
        <v/>
      </c>
      <c r="AT87" s="14" t="str">
        <f>IF(AND(ISNUMBER($I87),OR($K87="Milestone",$K87="Deadline"),$I87&gt;=AT$4,$I87&lt;AT$4+7),IF($K87="Deadline","◇","◆"),"")</f>
        <v/>
      </c>
      <c r="AU87" s="14" t="str">
        <f>IF(AND(ISNUMBER($I87),OR($K87="Milestone",$K87="Deadline"),$I87&gt;=AU$4,$I87&lt;AU$4+7),IF($K87="Deadline","◇","◆"),"")</f>
        <v/>
      </c>
      <c r="AV87" s="14" t="str">
        <f>IF(AND(ISNUMBER($I87),OR($K87="Milestone",$K87="Deadline"),$I87&gt;=AV$4,$I87&lt;AV$4+7),IF($K87="Deadline","◇","◆"),"")</f>
        <v/>
      </c>
      <c r="AW87" s="14" t="str">
        <f>IF(AND(ISNUMBER($I87),OR($K87="Milestone",$K87="Deadline"),$I87&gt;=AW$4,$I87&lt;AW$4+7),IF($K87="Deadline","◇","◆"),"")</f>
        <v/>
      </c>
      <c r="AX87" s="14" t="str">
        <f>IF(AND(ISNUMBER($I87),OR($K87="Milestone",$K87="Deadline"),$I87&gt;=AX$4,$I87&lt;AX$4+7),IF($K87="Deadline","◇","◆"),"")</f>
        <v/>
      </c>
      <c r="AY87" s="14" t="str">
        <f>IF(AND(ISNUMBER($I87),OR($K87="Milestone",$K87="Deadline"),$I87&gt;=AY$4,$I87&lt;AY$4+7),IF($K87="Deadline","◇","◆"),"")</f>
        <v/>
      </c>
      <c r="AZ87" s="14" t="str">
        <f>IF(AND(ISNUMBER($I87),OR($K87="Milestone",$K87="Deadline"),$I87&gt;=AZ$4,$I87&lt;AZ$4+7),IF($K87="Deadline","◇","◆"),"")</f>
        <v/>
      </c>
      <c r="BA87" s="14" t="str">
        <f>IF(AND(ISNUMBER($I87),OR($K87="Milestone",$K87="Deadline"),$I87&gt;=BA$4,$I87&lt;BA$4+7),IF($K87="Deadline","◇","◆"),"")</f>
        <v/>
      </c>
      <c r="BB87" s="14" t="str">
        <f>IF(AND(ISNUMBER($I87),OR($K87="Milestone",$K87="Deadline"),$I87&gt;=BB$4,$I87&lt;BB$4+7),IF($K87="Deadline","◇","◆"),"")</f>
        <v/>
      </c>
      <c r="BC87" s="14" t="str">
        <f>IF(AND(ISNUMBER($I87),OR($K87="Milestone",$K87="Deadline"),$I87&gt;=BC$4,$I87&lt;BC$4+7),IF($K87="Deadline","◇","◆"),"")</f>
        <v/>
      </c>
      <c r="BD87" s="14" t="str">
        <f>IF(AND(ISNUMBER($I87),OR($K87="Milestone",$K87="Deadline"),$I87&gt;=BD$4,$I87&lt;BD$4+7),IF($K87="Deadline","◇","◆"),"")</f>
        <v/>
      </c>
      <c r="BE87" s="14" t="str">
        <f>IF(AND(ISNUMBER($I87),OR($K87="Milestone",$K87="Deadline"),$I87&gt;=BE$4,$I87&lt;BE$4+7),IF($K87="Deadline","◇","◆"),"")</f>
        <v/>
      </c>
      <c r="BF87" s="14" t="str">
        <f>IF(AND(ISNUMBER($I87),OR($K87="Milestone",$K87="Deadline"),$I87&gt;=BF$4,$I87&lt;BF$4+7),IF($K87="Deadline","◇","◆"),"")</f>
        <v/>
      </c>
      <c r="BG87" s="14" t="str">
        <f>IF(AND(ISNUMBER($I87),OR($K87="Milestone",$K87="Deadline"),$I87&gt;=BG$4,$I87&lt;BG$4+7),IF($K87="Deadline","◇","◆"),"")</f>
        <v/>
      </c>
      <c r="BH87" s="14" t="str">
        <f>IF(AND(ISNUMBER($I87),OR($K87="Milestone",$K87="Deadline"),$I87&gt;=BH$4,$I87&lt;BH$4+7),IF($K87="Deadline","◇","◆"),"")</f>
        <v/>
      </c>
      <c r="BI87" s="14" t="str">
        <f>IF(AND(ISNUMBER($I87),OR($K87="Milestone",$K87="Deadline"),$I87&gt;=BI$4,$I87&lt;BI$4+7),IF($K87="Deadline","◇","◆"),"")</f>
        <v/>
      </c>
      <c r="BJ87" s="14" t="str">
        <f>IF(AND(ISNUMBER($I87),OR($K87="Milestone",$K87="Deadline"),$I87&gt;=BJ$4,$I87&lt;BJ$4+7),IF($K87="Deadline","◇","◆"),"")</f>
        <v/>
      </c>
      <c r="BK87" s="14" t="str">
        <f>IF(AND(ISNUMBER($I87),OR($K87="Milestone",$K87="Deadline"),$I87&gt;=BK$4,$I87&lt;BK$4+7),IF($K87="Deadline","◇","◆"),"")</f>
        <v/>
      </c>
      <c r="BL87" s="14" t="str">
        <f>IF(AND(ISNUMBER($I87),OR($K87="Milestone",$K87="Deadline"),$I87&gt;=BL$4,$I87&lt;BL$4+7),IF($K87="Deadline","◇","◆"),"")</f>
        <v/>
      </c>
      <c r="BM87" s="14" t="str">
        <f>IF(AND(ISNUMBER($I87),OR($K87="Milestone",$K87="Deadline"),$I87&gt;=BM$4,$I87&lt;BM$4+7),IF($K87="Deadline","◇","◆"),"")</f>
        <v/>
      </c>
      <c r="BN87" s="14" t="str">
        <f>IF(AND(ISNUMBER($I87),OR($K87="Milestone",$K87="Deadline"),$I87&gt;=BN$4,$I87&lt;BN$4+7),IF($K87="Deadline","◇","◆"),"")</f>
        <v/>
      </c>
      <c r="BO87" s="14" t="str">
        <f>IF(AND(ISNUMBER($I87),OR($K87="Milestone",$K87="Deadline"),$I87&gt;=BO$4,$I87&lt;BO$4+7),IF($K87="Deadline","◇","◆"),"")</f>
        <v/>
      </c>
      <c r="BP87" s="14" t="str">
        <f>IF(AND(ISNUMBER($I87),OR($K87="Milestone",$K87="Deadline"),$I87&gt;=BP$4,$I87&lt;BP$4+7),IF($K87="Deadline","◇","◆"),"")</f>
        <v/>
      </c>
      <c r="BQ87" s="14" t="str">
        <f>IF(AND(ISNUMBER($I87),OR($K87="Milestone",$K87="Deadline"),$I87&gt;=BQ$4,$I87&lt;BQ$4+7),IF($K87="Deadline","◇","◆"),"")</f>
        <v/>
      </c>
      <c r="BR87" s="14" t="str">
        <f>IF(AND(ISNUMBER($I87),OR($K87="Milestone",$K87="Deadline"),$I87&gt;=BR$4,$I87&lt;BR$4+7),IF($K87="Deadline","◇","◆"),"")</f>
        <v/>
      </c>
      <c r="BS87" s="14" t="str">
        <f>IF(AND(ISNUMBER($I87),OR($K87="Milestone",$K87="Deadline"),$I87&gt;=BS$4,$I87&lt;BS$4+7),IF($K87="Deadline","◇","◆"),"")</f>
        <v/>
      </c>
      <c r="BT87" s="14" t="str">
        <f>IF(AND(ISNUMBER($I87),OR($K87="Milestone",$K87="Deadline"),$I87&gt;=BT$4,$I87&lt;BT$4+7),IF($K87="Deadline","◇","◆"),"")</f>
        <v/>
      </c>
      <c r="BU87" s="14" t="str">
        <f>IF(AND(ISNUMBER($I87),OR($K87="Milestone",$K87="Deadline"),$I87&gt;=BU$4,$I87&lt;BU$4+7),IF($K87="Deadline","◇","◆"),"")</f>
        <v/>
      </c>
      <c r="BV87" s="14" t="str">
        <f>IF(AND(ISNUMBER($I87),OR($K87="Milestone",$K87="Deadline"),$I87&gt;=BV$4,$I87&lt;BV$4+7),IF($K87="Deadline","◇","◆"),"")</f>
        <v/>
      </c>
      <c r="BW87" s="14" t="str">
        <f>IF(AND(ISNUMBER($I87),OR($K87="Milestone",$K87="Deadline"),$I87&gt;=BW$4,$I87&lt;BW$4+7),IF($K87="Deadline","◇","◆"),"")</f>
        <v/>
      </c>
      <c r="BX87" s="14" t="str">
        <f>IF(AND(ISNUMBER($I87),OR($K87="Milestone",$K87="Deadline"),$I87&gt;=BX$4,$I87&lt;BX$4+7),IF($K87="Deadline","◇","◆"),"")</f>
        <v/>
      </c>
      <c r="BY87" s="14" t="str">
        <f>IF(AND(ISNUMBER($I87),OR($K87="Milestone",$K87="Deadline"),$I87&gt;=BY$4,$I87&lt;BY$4+7),IF($K87="Deadline","◇","◆"),"")</f>
        <v/>
      </c>
      <c r="BZ87" s="14" t="str">
        <f>IF(AND(ISNUMBER($I87),OR($K87="Milestone",$K87="Deadline"),$I87&gt;=BZ$4,$I87&lt;BZ$4+7),IF($K87="Deadline","◇","◆"),"")</f>
        <v/>
      </c>
      <c r="CA87" s="14" t="str">
        <f>IF(AND(ISNUMBER($I87),OR($K87="Milestone",$K87="Deadline"),$I87&gt;=CA$4,$I87&lt;CA$4+7),IF($K87="Deadline","◇","◆"),"")</f>
        <v/>
      </c>
      <c r="CB87" s="14" t="str">
        <f>IF(AND(ISNUMBER($I87),OR($K87="Milestone",$K87="Deadline"),$I87&gt;=CB$4,$I87&lt;CB$4+7),IF($K87="Deadline","◇","◆"),"")</f>
        <v/>
      </c>
      <c r="CC87" s="14" t="str">
        <f>IF(AND(ISNUMBER($I87),OR($K87="Milestone",$K87="Deadline"),$I87&gt;=CC$4,$I87&lt;CC$4+7),IF($K87="Deadline","◇","◆"),"")</f>
        <v/>
      </c>
      <c r="CD87" s="14" t="str">
        <f>IF(AND(ISNUMBER($I87),OR($K87="Milestone",$K87="Deadline"),$I87&gt;=CD$4,$I87&lt;CD$4+7),IF($K87="Deadline","◇","◆"),"")</f>
        <v/>
      </c>
      <c r="CE87" s="14" t="str">
        <f>IF(AND(ISNUMBER($I87),OR($K87="Milestone",$K87="Deadline"),$I87&gt;=CE$4,$I87&lt;CE$4+7),IF($K87="Deadline","◇","◆"),"")</f>
        <v/>
      </c>
      <c r="CF87" s="14" t="str">
        <f>IF(AND(ISNUMBER($I87),OR($K87="Milestone",$K87="Deadline"),$I87&gt;=CF$4,$I87&lt;CF$4+7),IF($K87="Deadline","◇","◆"),"")</f>
        <v/>
      </c>
      <c r="CG87" s="14" t="str">
        <f>IF(AND(ISNUMBER($I87),OR($K87="Milestone",$K87="Deadline"),$I87&gt;=CG$4,$I87&lt;CG$4+7),IF($K87="Deadline","◇","◆"),"")</f>
        <v/>
      </c>
      <c r="CH87" s="14" t="str">
        <f>IF(AND(ISNUMBER($I87),OR($K87="Milestone",$K87="Deadline"),$I87&gt;=CH$4,$I87&lt;CH$4+7),IF($K87="Deadline","◇","◆"),"")</f>
        <v/>
      </c>
      <c r="CI87" s="14" t="str">
        <f>IF(AND(ISNUMBER($I87),OR($K87="Milestone",$K87="Deadline"),$I87&gt;=CI$4,$I87&lt;CI$4+7),IF($K87="Deadline","◇","◆"),"")</f>
        <v/>
      </c>
      <c r="CJ87" s="14" t="str">
        <f>IF(AND(ISNUMBER($I87),OR($K87="Milestone",$K87="Deadline"),$I87&gt;=CJ$4,$I87&lt;CJ$4+7),IF($K87="Deadline","◇","◆"),"")</f>
        <v/>
      </c>
      <c r="CK87" s="14" t="str">
        <f>IF(AND(ISNUMBER($I87),OR($K87="Milestone",$K87="Deadline"),$I87&gt;=CK$4,$I87&lt;CK$4+7),IF($K87="Deadline","◇","◆"),"")</f>
        <v/>
      </c>
      <c r="CL87" s="14" t="str">
        <f>IF(AND(ISNUMBER($I87),OR($K87="Milestone",$K87="Deadline"),$I87&gt;=CL$4,$I87&lt;CL$4+7),IF($K87="Deadline","◇","◆"),"")</f>
        <v/>
      </c>
      <c r="CM87" s="14" t="str">
        <f>IF(AND(ISNUMBER($I87),OR($K87="Milestone",$K87="Deadline"),$I87&gt;=CM$4,$I87&lt;CM$4+7),IF($K87="Deadline","◇","◆"),"")</f>
        <v/>
      </c>
    </row>
    <row r="88" spans="1:91" ht="15" hidden="1" customHeight="1">
      <c r="A88" s="29" t="s">
        <v>264</v>
      </c>
      <c r="B88" s="29" t="s">
        <v>234</v>
      </c>
      <c r="C88" s="29" t="s">
        <v>221</v>
      </c>
      <c r="D88" s="29" t="s">
        <v>168</v>
      </c>
      <c r="E88" s="29"/>
      <c r="F88" s="29" t="s">
        <v>216</v>
      </c>
      <c r="G88" s="29" t="s">
        <v>222</v>
      </c>
      <c r="H88" s="29">
        <v>7</v>
      </c>
      <c r="I88" s="30">
        <f>MAX($C$2,J74+1,J85+1,J284+1,J197+1)</f>
        <v>46496</v>
      </c>
      <c r="J88" s="31">
        <f>IF(AND(ISNUMBER(I88),ISNUMBER(H88)),I88+H88-1,"")</f>
        <v>46502</v>
      </c>
      <c r="K88" s="29" t="s">
        <v>27</v>
      </c>
      <c r="L88" s="29" t="s">
        <v>265</v>
      </c>
      <c r="M88" s="32" t="s">
        <v>266</v>
      </c>
      <c r="N88" s="29"/>
      <c r="O88" s="32">
        <f>IF(AND(ISNUMBER(I88),ISNUMBER(J88)),J88-I88+1,"")</f>
        <v>7</v>
      </c>
      <c r="P88" s="13"/>
      <c r="Q88" s="13" t="s">
        <v>140</v>
      </c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 t="s">
        <v>140</v>
      </c>
      <c r="AG88" s="13"/>
      <c r="AH88" s="13"/>
      <c r="AI88" s="13"/>
      <c r="AJ88" s="13"/>
      <c r="AK88" s="13"/>
      <c r="AL88" s="13"/>
      <c r="AM88" s="13"/>
      <c r="AN88" s="13"/>
      <c r="AO88" s="14" t="str">
        <f>IF(AND(ISNUMBER($I88),OR($K88="Milestone",$K88="Deadline"),$I88&gt;=AO$4,$I88&lt;AO$4+7),IF($K88="Deadline","◇","◆"),"")</f>
        <v/>
      </c>
      <c r="AP88" s="14" t="str">
        <f>IF(AND(ISNUMBER($I88),OR($K88="Milestone",$K88="Deadline"),$I88&gt;=AP$4,$I88&lt;AP$4+7),IF($K88="Deadline","◇","◆"),"")</f>
        <v/>
      </c>
      <c r="AQ88" s="14" t="str">
        <f>IF(AND(ISNUMBER($I88),OR($K88="Milestone",$K88="Deadline"),$I88&gt;=AQ$4,$I88&lt;AQ$4+7),IF($K88="Deadline","◇","◆"),"")</f>
        <v/>
      </c>
      <c r="AR88" s="14" t="str">
        <f>IF(AND(ISNUMBER($I88),OR($K88="Milestone",$K88="Deadline"),$I88&gt;=AR$4,$I88&lt;AR$4+7),IF($K88="Deadline","◇","◆"),"")</f>
        <v/>
      </c>
      <c r="AS88" s="14" t="str">
        <f>IF(AND(ISNUMBER($I88),OR($K88="Milestone",$K88="Deadline"),$I88&gt;=AS$4,$I88&lt;AS$4+7),IF($K88="Deadline","◇","◆"),"")</f>
        <v/>
      </c>
      <c r="AT88" s="14" t="str">
        <f>IF(AND(ISNUMBER($I88),OR($K88="Milestone",$K88="Deadline"),$I88&gt;=AT$4,$I88&lt;AT$4+7),IF($K88="Deadline","◇","◆"),"")</f>
        <v/>
      </c>
      <c r="AU88" s="14" t="str">
        <f>IF(AND(ISNUMBER($I88),OR($K88="Milestone",$K88="Deadline"),$I88&gt;=AU$4,$I88&lt;AU$4+7),IF($K88="Deadline","◇","◆"),"")</f>
        <v/>
      </c>
      <c r="AV88" s="14" t="str">
        <f>IF(AND(ISNUMBER($I88),OR($K88="Milestone",$K88="Deadline"),$I88&gt;=AV$4,$I88&lt;AV$4+7),IF($K88="Deadline","◇","◆"),"")</f>
        <v/>
      </c>
      <c r="AW88" s="14" t="str">
        <f>IF(AND(ISNUMBER($I88),OR($K88="Milestone",$K88="Deadline"),$I88&gt;=AW$4,$I88&lt;AW$4+7),IF($K88="Deadline","◇","◆"),"")</f>
        <v/>
      </c>
      <c r="AX88" s="14" t="str">
        <f>IF(AND(ISNUMBER($I88),OR($K88="Milestone",$K88="Deadline"),$I88&gt;=AX$4,$I88&lt;AX$4+7),IF($K88="Deadline","◇","◆"),"")</f>
        <v/>
      </c>
      <c r="AY88" s="14" t="str">
        <f>IF(AND(ISNUMBER($I88),OR($K88="Milestone",$K88="Deadline"),$I88&gt;=AY$4,$I88&lt;AY$4+7),IF($K88="Deadline","◇","◆"),"")</f>
        <v/>
      </c>
      <c r="AZ88" s="14" t="str">
        <f>IF(AND(ISNUMBER($I88),OR($K88="Milestone",$K88="Deadline"),$I88&gt;=AZ$4,$I88&lt;AZ$4+7),IF($K88="Deadline","◇","◆"),"")</f>
        <v/>
      </c>
      <c r="BA88" s="14" t="str">
        <f>IF(AND(ISNUMBER($I88),OR($K88="Milestone",$K88="Deadline"),$I88&gt;=BA$4,$I88&lt;BA$4+7),IF($K88="Deadline","◇","◆"),"")</f>
        <v/>
      </c>
      <c r="BB88" s="14" t="str">
        <f>IF(AND(ISNUMBER($I88),OR($K88="Milestone",$K88="Deadline"),$I88&gt;=BB$4,$I88&lt;BB$4+7),IF($K88="Deadline","◇","◆"),"")</f>
        <v/>
      </c>
      <c r="BC88" s="14" t="str">
        <f>IF(AND(ISNUMBER($I88),OR($K88="Milestone",$K88="Deadline"),$I88&gt;=BC$4,$I88&lt;BC$4+7),IF($K88="Deadline","◇","◆"),"")</f>
        <v/>
      </c>
      <c r="BD88" s="14" t="str">
        <f>IF(AND(ISNUMBER($I88),OR($K88="Milestone",$K88="Deadline"),$I88&gt;=BD$4,$I88&lt;BD$4+7),IF($K88="Deadline","◇","◆"),"")</f>
        <v/>
      </c>
      <c r="BE88" s="14" t="str">
        <f>IF(AND(ISNUMBER($I88),OR($K88="Milestone",$K88="Deadline"),$I88&gt;=BE$4,$I88&lt;BE$4+7),IF($K88="Deadline","◇","◆"),"")</f>
        <v/>
      </c>
      <c r="BF88" s="14" t="str">
        <f>IF(AND(ISNUMBER($I88),OR($K88="Milestone",$K88="Deadline"),$I88&gt;=BF$4,$I88&lt;BF$4+7),IF($K88="Deadline","◇","◆"),"")</f>
        <v/>
      </c>
      <c r="BG88" s="14" t="str">
        <f>IF(AND(ISNUMBER($I88),OR($K88="Milestone",$K88="Deadline"),$I88&gt;=BG$4,$I88&lt;BG$4+7),IF($K88="Deadline","◇","◆"),"")</f>
        <v/>
      </c>
      <c r="BH88" s="14" t="str">
        <f>IF(AND(ISNUMBER($I88),OR($K88="Milestone",$K88="Deadline"),$I88&gt;=BH$4,$I88&lt;BH$4+7),IF($K88="Deadline","◇","◆"),"")</f>
        <v/>
      </c>
      <c r="BI88" s="14" t="str">
        <f>IF(AND(ISNUMBER($I88),OR($K88="Milestone",$K88="Deadline"),$I88&gt;=BI$4,$I88&lt;BI$4+7),IF($K88="Deadline","◇","◆"),"")</f>
        <v/>
      </c>
      <c r="BJ88" s="14" t="str">
        <f>IF(AND(ISNUMBER($I88),OR($K88="Milestone",$K88="Deadline"),$I88&gt;=BJ$4,$I88&lt;BJ$4+7),IF($K88="Deadline","◇","◆"),"")</f>
        <v/>
      </c>
      <c r="BK88" s="14" t="str">
        <f>IF(AND(ISNUMBER($I88),OR($K88="Milestone",$K88="Deadline"),$I88&gt;=BK$4,$I88&lt;BK$4+7),IF($K88="Deadline","◇","◆"),"")</f>
        <v/>
      </c>
      <c r="BL88" s="14" t="str">
        <f>IF(AND(ISNUMBER($I88),OR($K88="Milestone",$K88="Deadline"),$I88&gt;=BL$4,$I88&lt;BL$4+7),IF($K88="Deadline","◇","◆"),"")</f>
        <v/>
      </c>
      <c r="BM88" s="14" t="str">
        <f>IF(AND(ISNUMBER($I88),OR($K88="Milestone",$K88="Deadline"),$I88&gt;=BM$4,$I88&lt;BM$4+7),IF($K88="Deadline","◇","◆"),"")</f>
        <v/>
      </c>
      <c r="BN88" s="14" t="str">
        <f>IF(AND(ISNUMBER($I88),OR($K88="Milestone",$K88="Deadline"),$I88&gt;=BN$4,$I88&lt;BN$4+7),IF($K88="Deadline","◇","◆"),"")</f>
        <v/>
      </c>
      <c r="BO88" s="14" t="str">
        <f>IF(AND(ISNUMBER($I88),OR($K88="Milestone",$K88="Deadline"),$I88&gt;=BO$4,$I88&lt;BO$4+7),IF($K88="Deadline","◇","◆"),"")</f>
        <v/>
      </c>
      <c r="BP88" s="14" t="str">
        <f>IF(AND(ISNUMBER($I88),OR($K88="Milestone",$K88="Deadline"),$I88&gt;=BP$4,$I88&lt;BP$4+7),IF($K88="Deadline","◇","◆"),"")</f>
        <v/>
      </c>
      <c r="BQ88" s="14" t="str">
        <f>IF(AND(ISNUMBER($I88),OR($K88="Milestone",$K88="Deadline"),$I88&gt;=BQ$4,$I88&lt;BQ$4+7),IF($K88="Deadline","◇","◆"),"")</f>
        <v/>
      </c>
      <c r="BR88" s="14" t="str">
        <f>IF(AND(ISNUMBER($I88),OR($K88="Milestone",$K88="Deadline"),$I88&gt;=BR$4,$I88&lt;BR$4+7),IF($K88="Deadline","◇","◆"),"")</f>
        <v/>
      </c>
      <c r="BS88" s="14" t="str">
        <f>IF(AND(ISNUMBER($I88),OR($K88="Milestone",$K88="Deadline"),$I88&gt;=BS$4,$I88&lt;BS$4+7),IF($K88="Deadline","◇","◆"),"")</f>
        <v/>
      </c>
      <c r="BT88" s="14" t="str">
        <f>IF(AND(ISNUMBER($I88),OR($K88="Milestone",$K88="Deadline"),$I88&gt;=BT$4,$I88&lt;BT$4+7),IF($K88="Deadline","◇","◆"),"")</f>
        <v/>
      </c>
      <c r="BU88" s="14" t="str">
        <f>IF(AND(ISNUMBER($I88),OR($K88="Milestone",$K88="Deadline"),$I88&gt;=BU$4,$I88&lt;BU$4+7),IF($K88="Deadline","◇","◆"),"")</f>
        <v/>
      </c>
      <c r="BV88" s="14" t="str">
        <f>IF(AND(ISNUMBER($I88),OR($K88="Milestone",$K88="Deadline"),$I88&gt;=BV$4,$I88&lt;BV$4+7),IF($K88="Deadline","◇","◆"),"")</f>
        <v/>
      </c>
      <c r="BW88" s="14" t="str">
        <f>IF(AND(ISNUMBER($I88),OR($K88="Milestone",$K88="Deadline"),$I88&gt;=BW$4,$I88&lt;BW$4+7),IF($K88="Deadline","◇","◆"),"")</f>
        <v/>
      </c>
      <c r="BX88" s="14" t="str">
        <f>IF(AND(ISNUMBER($I88),OR($K88="Milestone",$K88="Deadline"),$I88&gt;=BX$4,$I88&lt;BX$4+7),IF($K88="Deadline","◇","◆"),"")</f>
        <v/>
      </c>
      <c r="BY88" s="14" t="str">
        <f>IF(AND(ISNUMBER($I88),OR($K88="Milestone",$K88="Deadline"),$I88&gt;=BY$4,$I88&lt;BY$4+7),IF($K88="Deadline","◇","◆"),"")</f>
        <v/>
      </c>
      <c r="BZ88" s="14" t="str">
        <f>IF(AND(ISNUMBER($I88),OR($K88="Milestone",$K88="Deadline"),$I88&gt;=BZ$4,$I88&lt;BZ$4+7),IF($K88="Deadline","◇","◆"),"")</f>
        <v/>
      </c>
      <c r="CA88" s="14" t="str">
        <f>IF(AND(ISNUMBER($I88),OR($K88="Milestone",$K88="Deadline"),$I88&gt;=CA$4,$I88&lt;CA$4+7),IF($K88="Deadline","◇","◆"),"")</f>
        <v/>
      </c>
      <c r="CB88" s="14" t="str">
        <f>IF(AND(ISNUMBER($I88),OR($K88="Milestone",$K88="Deadline"),$I88&gt;=CB$4,$I88&lt;CB$4+7),IF($K88="Deadline","◇","◆"),"")</f>
        <v/>
      </c>
      <c r="CC88" s="14" t="str">
        <f>IF(AND(ISNUMBER($I88),OR($K88="Milestone",$K88="Deadline"),$I88&gt;=CC$4,$I88&lt;CC$4+7),IF($K88="Deadline","◇","◆"),"")</f>
        <v/>
      </c>
      <c r="CD88" s="14" t="str">
        <f>IF(AND(ISNUMBER($I88),OR($K88="Milestone",$K88="Deadline"),$I88&gt;=CD$4,$I88&lt;CD$4+7),IF($K88="Deadline","◇","◆"),"")</f>
        <v/>
      </c>
      <c r="CE88" s="14" t="str">
        <f>IF(AND(ISNUMBER($I88),OR($K88="Milestone",$K88="Deadline"),$I88&gt;=CE$4,$I88&lt;CE$4+7),IF($K88="Deadline","◇","◆"),"")</f>
        <v/>
      </c>
      <c r="CF88" s="14" t="str">
        <f>IF(AND(ISNUMBER($I88),OR($K88="Milestone",$K88="Deadline"),$I88&gt;=CF$4,$I88&lt;CF$4+7),IF($K88="Deadline","◇","◆"),"")</f>
        <v/>
      </c>
      <c r="CG88" s="14" t="str">
        <f>IF(AND(ISNUMBER($I88),OR($K88="Milestone",$K88="Deadline"),$I88&gt;=CG$4,$I88&lt;CG$4+7),IF($K88="Deadline","◇","◆"),"")</f>
        <v/>
      </c>
      <c r="CH88" s="14" t="str">
        <f>IF(AND(ISNUMBER($I88),OR($K88="Milestone",$K88="Deadline"),$I88&gt;=CH$4,$I88&lt;CH$4+7),IF($K88="Deadline","◇","◆"),"")</f>
        <v/>
      </c>
      <c r="CI88" s="14" t="str">
        <f>IF(AND(ISNUMBER($I88),OR($K88="Milestone",$K88="Deadline"),$I88&gt;=CI$4,$I88&lt;CI$4+7),IF($K88="Deadline","◇","◆"),"")</f>
        <v/>
      </c>
      <c r="CJ88" s="14" t="str">
        <f>IF(AND(ISNUMBER($I88),OR($K88="Milestone",$K88="Deadline"),$I88&gt;=CJ$4,$I88&lt;CJ$4+7),IF($K88="Deadline","◇","◆"),"")</f>
        <v/>
      </c>
      <c r="CK88" s="14" t="str">
        <f>IF(AND(ISNUMBER($I88),OR($K88="Milestone",$K88="Deadline"),$I88&gt;=CK$4,$I88&lt;CK$4+7),IF($K88="Deadline","◇","◆"),"")</f>
        <v/>
      </c>
      <c r="CL88" s="14" t="str">
        <f>IF(AND(ISNUMBER($I88),OR($K88="Milestone",$K88="Deadline"),$I88&gt;=CL$4,$I88&lt;CL$4+7),IF($K88="Deadline","◇","◆"),"")</f>
        <v/>
      </c>
      <c r="CM88" s="14" t="str">
        <f>IF(AND(ISNUMBER($I88),OR($K88="Milestone",$K88="Deadline"),$I88&gt;=CM$4,$I88&lt;CM$4+7),IF($K88="Deadline","◇","◆"),"")</f>
        <v/>
      </c>
    </row>
    <row r="89" spans="1:91" ht="15" hidden="1" customHeight="1">
      <c r="A89" s="29" t="s">
        <v>267</v>
      </c>
      <c r="B89" s="29" t="s">
        <v>234</v>
      </c>
      <c r="C89" s="29" t="s">
        <v>226</v>
      </c>
      <c r="D89" s="29" t="s">
        <v>168</v>
      </c>
      <c r="E89" s="29"/>
      <c r="F89" s="29" t="s">
        <v>216</v>
      </c>
      <c r="G89" s="29" t="s">
        <v>227</v>
      </c>
      <c r="H89" s="29">
        <v>7</v>
      </c>
      <c r="I89" s="30">
        <f>MAX($C$2,J65+1)</f>
        <v>46420</v>
      </c>
      <c r="J89" s="31">
        <f>IF(AND(ISNUMBER(I89),ISNUMBER(H89)),I89+H89-1,"")</f>
        <v>46426</v>
      </c>
      <c r="K89" s="29" t="s">
        <v>27</v>
      </c>
      <c r="L89" s="29"/>
      <c r="M89" s="32" t="s">
        <v>225</v>
      </c>
      <c r="N89" s="29"/>
      <c r="O89" s="32">
        <f>IF(AND(ISNUMBER(I89),ISNUMBER(J89)),J89-I89+1,"")</f>
        <v>7</v>
      </c>
      <c r="P89" s="13" t="s">
        <v>140</v>
      </c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13"/>
      <c r="AK89" s="13"/>
      <c r="AL89" s="13"/>
      <c r="AM89" s="13"/>
      <c r="AN89" s="13"/>
      <c r="AO89" s="14" t="str">
        <f>IF(AND(ISNUMBER($I89),OR($K89="Milestone",$K89="Deadline"),$I89&gt;=AO$4,$I89&lt;AO$4+7),IF($K89="Deadline","◇","◆"),"")</f>
        <v/>
      </c>
      <c r="AP89" s="14" t="str">
        <f>IF(AND(ISNUMBER($I89),OR($K89="Milestone",$K89="Deadline"),$I89&gt;=AP$4,$I89&lt;AP$4+7),IF($K89="Deadline","◇","◆"),"")</f>
        <v/>
      </c>
      <c r="AQ89" s="14" t="str">
        <f>IF(AND(ISNUMBER($I89),OR($K89="Milestone",$K89="Deadline"),$I89&gt;=AQ$4,$I89&lt;AQ$4+7),IF($K89="Deadline","◇","◆"),"")</f>
        <v/>
      </c>
      <c r="AR89" s="14" t="str">
        <f>IF(AND(ISNUMBER($I89),OR($K89="Milestone",$K89="Deadline"),$I89&gt;=AR$4,$I89&lt;AR$4+7),IF($K89="Deadline","◇","◆"),"")</f>
        <v/>
      </c>
      <c r="AS89" s="14" t="str">
        <f>IF(AND(ISNUMBER($I89),OR($K89="Milestone",$K89="Deadline"),$I89&gt;=AS$4,$I89&lt;AS$4+7),IF($K89="Deadline","◇","◆"),"")</f>
        <v/>
      </c>
      <c r="AT89" s="14" t="str">
        <f>IF(AND(ISNUMBER($I89),OR($K89="Milestone",$K89="Deadline"),$I89&gt;=AT$4,$I89&lt;AT$4+7),IF($K89="Deadline","◇","◆"),"")</f>
        <v/>
      </c>
      <c r="AU89" s="14" t="str">
        <f>IF(AND(ISNUMBER($I89),OR($K89="Milestone",$K89="Deadline"),$I89&gt;=AU$4,$I89&lt;AU$4+7),IF($K89="Deadline","◇","◆"),"")</f>
        <v/>
      </c>
      <c r="AV89" s="14" t="str">
        <f>IF(AND(ISNUMBER($I89),OR($K89="Milestone",$K89="Deadline"),$I89&gt;=AV$4,$I89&lt;AV$4+7),IF($K89="Deadline","◇","◆"),"")</f>
        <v/>
      </c>
      <c r="AW89" s="14" t="str">
        <f>IF(AND(ISNUMBER($I89),OR($K89="Milestone",$K89="Deadline"),$I89&gt;=AW$4,$I89&lt;AW$4+7),IF($K89="Deadline","◇","◆"),"")</f>
        <v/>
      </c>
      <c r="AX89" s="14" t="str">
        <f>IF(AND(ISNUMBER($I89),OR($K89="Milestone",$K89="Deadline"),$I89&gt;=AX$4,$I89&lt;AX$4+7),IF($K89="Deadline","◇","◆"),"")</f>
        <v/>
      </c>
      <c r="AY89" s="14" t="str">
        <f>IF(AND(ISNUMBER($I89),OR($K89="Milestone",$K89="Deadline"),$I89&gt;=AY$4,$I89&lt;AY$4+7),IF($K89="Deadline","◇","◆"),"")</f>
        <v/>
      </c>
      <c r="AZ89" s="14" t="str">
        <f>IF(AND(ISNUMBER($I89),OR($K89="Milestone",$K89="Deadline"),$I89&gt;=AZ$4,$I89&lt;AZ$4+7),IF($K89="Deadline","◇","◆"),"")</f>
        <v/>
      </c>
      <c r="BA89" s="14" t="str">
        <f>IF(AND(ISNUMBER($I89),OR($K89="Milestone",$K89="Deadline"),$I89&gt;=BA$4,$I89&lt;BA$4+7),IF($K89="Deadline","◇","◆"),"")</f>
        <v/>
      </c>
      <c r="BB89" s="14" t="str">
        <f>IF(AND(ISNUMBER($I89),OR($K89="Milestone",$K89="Deadline"),$I89&gt;=BB$4,$I89&lt;BB$4+7),IF($K89="Deadline","◇","◆"),"")</f>
        <v/>
      </c>
      <c r="BC89" s="14" t="str">
        <f>IF(AND(ISNUMBER($I89),OR($K89="Milestone",$K89="Deadline"),$I89&gt;=BC$4,$I89&lt;BC$4+7),IF($K89="Deadline","◇","◆"),"")</f>
        <v/>
      </c>
      <c r="BD89" s="14" t="str">
        <f>IF(AND(ISNUMBER($I89),OR($K89="Milestone",$K89="Deadline"),$I89&gt;=BD$4,$I89&lt;BD$4+7),IF($K89="Deadline","◇","◆"),"")</f>
        <v/>
      </c>
      <c r="BE89" s="14" t="str">
        <f>IF(AND(ISNUMBER($I89),OR($K89="Milestone",$K89="Deadline"),$I89&gt;=BE$4,$I89&lt;BE$4+7),IF($K89="Deadline","◇","◆"),"")</f>
        <v/>
      </c>
      <c r="BF89" s="14" t="str">
        <f>IF(AND(ISNUMBER($I89),OR($K89="Milestone",$K89="Deadline"),$I89&gt;=BF$4,$I89&lt;BF$4+7),IF($K89="Deadline","◇","◆"),"")</f>
        <v/>
      </c>
      <c r="BG89" s="14" t="str">
        <f>IF(AND(ISNUMBER($I89),OR($K89="Milestone",$K89="Deadline"),$I89&gt;=BG$4,$I89&lt;BG$4+7),IF($K89="Deadline","◇","◆"),"")</f>
        <v/>
      </c>
      <c r="BH89" s="14" t="str">
        <f>IF(AND(ISNUMBER($I89),OR($K89="Milestone",$K89="Deadline"),$I89&gt;=BH$4,$I89&lt;BH$4+7),IF($K89="Deadline","◇","◆"),"")</f>
        <v/>
      </c>
      <c r="BI89" s="14" t="str">
        <f>IF(AND(ISNUMBER($I89),OR($K89="Milestone",$K89="Deadline"),$I89&gt;=BI$4,$I89&lt;BI$4+7),IF($K89="Deadline","◇","◆"),"")</f>
        <v/>
      </c>
      <c r="BJ89" s="14" t="str">
        <f>IF(AND(ISNUMBER($I89),OR($K89="Milestone",$K89="Deadline"),$I89&gt;=BJ$4,$I89&lt;BJ$4+7),IF($K89="Deadline","◇","◆"),"")</f>
        <v/>
      </c>
      <c r="BK89" s="14" t="str">
        <f>IF(AND(ISNUMBER($I89),OR($K89="Milestone",$K89="Deadline"),$I89&gt;=BK$4,$I89&lt;BK$4+7),IF($K89="Deadline","◇","◆"),"")</f>
        <v/>
      </c>
      <c r="BL89" s="14" t="str">
        <f>IF(AND(ISNUMBER($I89),OR($K89="Milestone",$K89="Deadline"),$I89&gt;=BL$4,$I89&lt;BL$4+7),IF($K89="Deadline","◇","◆"),"")</f>
        <v/>
      </c>
      <c r="BM89" s="14" t="str">
        <f>IF(AND(ISNUMBER($I89),OR($K89="Milestone",$K89="Deadline"),$I89&gt;=BM$4,$I89&lt;BM$4+7),IF($K89="Deadline","◇","◆"),"")</f>
        <v/>
      </c>
      <c r="BN89" s="14" t="str">
        <f>IF(AND(ISNUMBER($I89),OR($K89="Milestone",$K89="Deadline"),$I89&gt;=BN$4,$I89&lt;BN$4+7),IF($K89="Deadline","◇","◆"),"")</f>
        <v/>
      </c>
      <c r="BO89" s="14" t="str">
        <f>IF(AND(ISNUMBER($I89),OR($K89="Milestone",$K89="Deadline"),$I89&gt;=BO$4,$I89&lt;BO$4+7),IF($K89="Deadline","◇","◆"),"")</f>
        <v/>
      </c>
      <c r="BP89" s="14" t="str">
        <f>IF(AND(ISNUMBER($I89),OR($K89="Milestone",$K89="Deadline"),$I89&gt;=BP$4,$I89&lt;BP$4+7),IF($K89="Deadline","◇","◆"),"")</f>
        <v/>
      </c>
      <c r="BQ89" s="14" t="str">
        <f>IF(AND(ISNUMBER($I89),OR($K89="Milestone",$K89="Deadline"),$I89&gt;=BQ$4,$I89&lt;BQ$4+7),IF($K89="Deadline","◇","◆"),"")</f>
        <v/>
      </c>
      <c r="BR89" s="14" t="str">
        <f>IF(AND(ISNUMBER($I89),OR($K89="Milestone",$K89="Deadline"),$I89&gt;=BR$4,$I89&lt;BR$4+7),IF($K89="Deadline","◇","◆"),"")</f>
        <v/>
      </c>
      <c r="BS89" s="14" t="str">
        <f>IF(AND(ISNUMBER($I89),OR($K89="Milestone",$K89="Deadline"),$I89&gt;=BS$4,$I89&lt;BS$4+7),IF($K89="Deadline","◇","◆"),"")</f>
        <v/>
      </c>
      <c r="BT89" s="14" t="str">
        <f>IF(AND(ISNUMBER($I89),OR($K89="Milestone",$K89="Deadline"),$I89&gt;=BT$4,$I89&lt;BT$4+7),IF($K89="Deadline","◇","◆"),"")</f>
        <v/>
      </c>
      <c r="BU89" s="14" t="str">
        <f>IF(AND(ISNUMBER($I89),OR($K89="Milestone",$K89="Deadline"),$I89&gt;=BU$4,$I89&lt;BU$4+7),IF($K89="Deadline","◇","◆"),"")</f>
        <v/>
      </c>
      <c r="BV89" s="14" t="str">
        <f>IF(AND(ISNUMBER($I89),OR($K89="Milestone",$K89="Deadline"),$I89&gt;=BV$4,$I89&lt;BV$4+7),IF($K89="Deadline","◇","◆"),"")</f>
        <v/>
      </c>
      <c r="BW89" s="14" t="str">
        <f>IF(AND(ISNUMBER($I89),OR($K89="Milestone",$K89="Deadline"),$I89&gt;=BW$4,$I89&lt;BW$4+7),IF($K89="Deadline","◇","◆"),"")</f>
        <v/>
      </c>
      <c r="BX89" s="14" t="str">
        <f>IF(AND(ISNUMBER($I89),OR($K89="Milestone",$K89="Deadline"),$I89&gt;=BX$4,$I89&lt;BX$4+7),IF($K89="Deadline","◇","◆"),"")</f>
        <v/>
      </c>
      <c r="BY89" s="14" t="str">
        <f>IF(AND(ISNUMBER($I89),OR($K89="Milestone",$K89="Deadline"),$I89&gt;=BY$4,$I89&lt;BY$4+7),IF($K89="Deadline","◇","◆"),"")</f>
        <v/>
      </c>
      <c r="BZ89" s="14" t="str">
        <f>IF(AND(ISNUMBER($I89),OR($K89="Milestone",$K89="Deadline"),$I89&gt;=BZ$4,$I89&lt;BZ$4+7),IF($K89="Deadline","◇","◆"),"")</f>
        <v/>
      </c>
      <c r="CA89" s="14" t="str">
        <f>IF(AND(ISNUMBER($I89),OR($K89="Milestone",$K89="Deadline"),$I89&gt;=CA$4,$I89&lt;CA$4+7),IF($K89="Deadline","◇","◆"),"")</f>
        <v/>
      </c>
      <c r="CB89" s="14" t="str">
        <f>IF(AND(ISNUMBER($I89),OR($K89="Milestone",$K89="Deadline"),$I89&gt;=CB$4,$I89&lt;CB$4+7),IF($K89="Deadline","◇","◆"),"")</f>
        <v/>
      </c>
      <c r="CC89" s="14" t="str">
        <f>IF(AND(ISNUMBER($I89),OR($K89="Milestone",$K89="Deadline"),$I89&gt;=CC$4,$I89&lt;CC$4+7),IF($K89="Deadline","◇","◆"),"")</f>
        <v/>
      </c>
      <c r="CD89" s="14" t="str">
        <f>IF(AND(ISNUMBER($I89),OR($K89="Milestone",$K89="Deadline"),$I89&gt;=CD$4,$I89&lt;CD$4+7),IF($K89="Deadline","◇","◆"),"")</f>
        <v/>
      </c>
      <c r="CE89" s="14" t="str">
        <f>IF(AND(ISNUMBER($I89),OR($K89="Milestone",$K89="Deadline"),$I89&gt;=CE$4,$I89&lt;CE$4+7),IF($K89="Deadline","◇","◆"),"")</f>
        <v/>
      </c>
      <c r="CF89" s="14" t="str">
        <f>IF(AND(ISNUMBER($I89),OR($K89="Milestone",$K89="Deadline"),$I89&gt;=CF$4,$I89&lt;CF$4+7),IF($K89="Deadline","◇","◆"),"")</f>
        <v/>
      </c>
      <c r="CG89" s="14" t="str">
        <f>IF(AND(ISNUMBER($I89),OR($K89="Milestone",$K89="Deadline"),$I89&gt;=CG$4,$I89&lt;CG$4+7),IF($K89="Deadline","◇","◆"),"")</f>
        <v/>
      </c>
      <c r="CH89" s="14" t="str">
        <f>IF(AND(ISNUMBER($I89),OR($K89="Milestone",$K89="Deadline"),$I89&gt;=CH$4,$I89&lt;CH$4+7),IF($K89="Deadline","◇","◆"),"")</f>
        <v/>
      </c>
      <c r="CI89" s="14" t="str">
        <f>IF(AND(ISNUMBER($I89),OR($K89="Milestone",$K89="Deadline"),$I89&gt;=CI$4,$I89&lt;CI$4+7),IF($K89="Deadline","◇","◆"),"")</f>
        <v/>
      </c>
      <c r="CJ89" s="14" t="str">
        <f>IF(AND(ISNUMBER($I89),OR($K89="Milestone",$K89="Deadline"),$I89&gt;=CJ$4,$I89&lt;CJ$4+7),IF($K89="Deadline","◇","◆"),"")</f>
        <v/>
      </c>
      <c r="CK89" s="14" t="str">
        <f>IF(AND(ISNUMBER($I89),OR($K89="Milestone",$K89="Deadline"),$I89&gt;=CK$4,$I89&lt;CK$4+7),IF($K89="Deadline","◇","◆"),"")</f>
        <v/>
      </c>
      <c r="CL89" s="14" t="str">
        <f>IF(AND(ISNUMBER($I89),OR($K89="Milestone",$K89="Deadline"),$I89&gt;=CL$4,$I89&lt;CL$4+7),IF($K89="Deadline","◇","◆"),"")</f>
        <v/>
      </c>
      <c r="CM89" s="14" t="str">
        <f>IF(AND(ISNUMBER($I89),OR($K89="Milestone",$K89="Deadline"),$I89&gt;=CM$4,$I89&lt;CM$4+7),IF($K89="Deadline","◇","◆"),"")</f>
        <v/>
      </c>
    </row>
    <row r="90" spans="1:91" ht="15" hidden="1" customHeight="1">
      <c r="A90" s="29" t="s">
        <v>268</v>
      </c>
      <c r="B90" s="29" t="s">
        <v>234</v>
      </c>
      <c r="C90" s="29" t="s">
        <v>230</v>
      </c>
      <c r="D90" s="29" t="s">
        <v>168</v>
      </c>
      <c r="E90" s="29"/>
      <c r="F90" s="29" t="s">
        <v>216</v>
      </c>
      <c r="G90" s="29" t="s">
        <v>231</v>
      </c>
      <c r="H90" s="29">
        <v>14</v>
      </c>
      <c r="I90" s="30">
        <f>MAX(DATE(2027,3,8),J281+1)</f>
        <v>46454</v>
      </c>
      <c r="J90" s="31">
        <f>IF(AND(ISNUMBER(I90),ISNUMBER(H90)),I90+H90-1,"")</f>
        <v>46467</v>
      </c>
      <c r="K90" s="29" t="s">
        <v>27</v>
      </c>
      <c r="L90" s="29"/>
      <c r="M90" s="32" t="s">
        <v>269</v>
      </c>
      <c r="N90" s="29"/>
      <c r="O90" s="32">
        <f>IF(AND(ISNUMBER(I90),ISNUMBER(J90)),J90-I90+1,"")</f>
        <v>14</v>
      </c>
      <c r="P90" s="13"/>
      <c r="Q90" s="13" t="s">
        <v>140</v>
      </c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  <c r="AJ90" s="13"/>
      <c r="AK90" s="13"/>
      <c r="AL90" s="13"/>
      <c r="AM90" s="13"/>
      <c r="AN90" s="13"/>
      <c r="AO90" s="14" t="str">
        <f>IF(AND(ISNUMBER($I90),OR($K90="Milestone",$K90="Deadline"),$I90&gt;=AO$4,$I90&lt;AO$4+7),IF($K90="Deadline","◇","◆"),"")</f>
        <v/>
      </c>
      <c r="AP90" s="14" t="str">
        <f>IF(AND(ISNUMBER($I90),OR($K90="Milestone",$K90="Deadline"),$I90&gt;=AP$4,$I90&lt;AP$4+7),IF($K90="Deadline","◇","◆"),"")</f>
        <v/>
      </c>
      <c r="AQ90" s="14" t="str">
        <f>IF(AND(ISNUMBER($I90),OR($K90="Milestone",$K90="Deadline"),$I90&gt;=AQ$4,$I90&lt;AQ$4+7),IF($K90="Deadline","◇","◆"),"")</f>
        <v/>
      </c>
      <c r="AR90" s="14" t="str">
        <f>IF(AND(ISNUMBER($I90),OR($K90="Milestone",$K90="Deadline"),$I90&gt;=AR$4,$I90&lt;AR$4+7),IF($K90="Deadline","◇","◆"),"")</f>
        <v/>
      </c>
      <c r="AS90" s="14" t="str">
        <f>IF(AND(ISNUMBER($I90),OR($K90="Milestone",$K90="Deadline"),$I90&gt;=AS$4,$I90&lt;AS$4+7),IF($K90="Deadline","◇","◆"),"")</f>
        <v/>
      </c>
      <c r="AT90" s="14" t="str">
        <f>IF(AND(ISNUMBER($I90),OR($K90="Milestone",$K90="Deadline"),$I90&gt;=AT$4,$I90&lt;AT$4+7),IF($K90="Deadline","◇","◆"),"")</f>
        <v/>
      </c>
      <c r="AU90" s="14" t="str">
        <f>IF(AND(ISNUMBER($I90),OR($K90="Milestone",$K90="Deadline"),$I90&gt;=AU$4,$I90&lt;AU$4+7),IF($K90="Deadline","◇","◆"),"")</f>
        <v/>
      </c>
      <c r="AV90" s="14" t="str">
        <f>IF(AND(ISNUMBER($I90),OR($K90="Milestone",$K90="Deadline"),$I90&gt;=AV$4,$I90&lt;AV$4+7),IF($K90="Deadline","◇","◆"),"")</f>
        <v/>
      </c>
      <c r="AW90" s="14" t="str">
        <f>IF(AND(ISNUMBER($I90),OR($K90="Milestone",$K90="Deadline"),$I90&gt;=AW$4,$I90&lt;AW$4+7),IF($K90="Deadline","◇","◆"),"")</f>
        <v/>
      </c>
      <c r="AX90" s="14" t="str">
        <f>IF(AND(ISNUMBER($I90),OR($K90="Milestone",$K90="Deadline"),$I90&gt;=AX$4,$I90&lt;AX$4+7),IF($K90="Deadline","◇","◆"),"")</f>
        <v/>
      </c>
      <c r="AY90" s="14" t="str">
        <f>IF(AND(ISNUMBER($I90),OR($K90="Milestone",$K90="Deadline"),$I90&gt;=AY$4,$I90&lt;AY$4+7),IF($K90="Deadline","◇","◆"),"")</f>
        <v/>
      </c>
      <c r="AZ90" s="14" t="str">
        <f>IF(AND(ISNUMBER($I90),OR($K90="Milestone",$K90="Deadline"),$I90&gt;=AZ$4,$I90&lt;AZ$4+7),IF($K90="Deadline","◇","◆"),"")</f>
        <v/>
      </c>
      <c r="BA90" s="14" t="str">
        <f>IF(AND(ISNUMBER($I90),OR($K90="Milestone",$K90="Deadline"),$I90&gt;=BA$4,$I90&lt;BA$4+7),IF($K90="Deadline","◇","◆"),"")</f>
        <v/>
      </c>
      <c r="BB90" s="14" t="str">
        <f>IF(AND(ISNUMBER($I90),OR($K90="Milestone",$K90="Deadline"),$I90&gt;=BB$4,$I90&lt;BB$4+7),IF($K90="Deadline","◇","◆"),"")</f>
        <v/>
      </c>
      <c r="BC90" s="14" t="str">
        <f>IF(AND(ISNUMBER($I90),OR($K90="Milestone",$K90="Deadline"),$I90&gt;=BC$4,$I90&lt;BC$4+7),IF($K90="Deadline","◇","◆"),"")</f>
        <v/>
      </c>
      <c r="BD90" s="14" t="str">
        <f>IF(AND(ISNUMBER($I90),OR($K90="Milestone",$K90="Deadline"),$I90&gt;=BD$4,$I90&lt;BD$4+7),IF($K90="Deadline","◇","◆"),"")</f>
        <v/>
      </c>
      <c r="BE90" s="14" t="str">
        <f>IF(AND(ISNUMBER($I90),OR($K90="Milestone",$K90="Deadline"),$I90&gt;=BE$4,$I90&lt;BE$4+7),IF($K90="Deadline","◇","◆"),"")</f>
        <v/>
      </c>
      <c r="BF90" s="14" t="str">
        <f>IF(AND(ISNUMBER($I90),OR($K90="Milestone",$K90="Deadline"),$I90&gt;=BF$4,$I90&lt;BF$4+7),IF($K90="Deadline","◇","◆"),"")</f>
        <v/>
      </c>
      <c r="BG90" s="14" t="str">
        <f>IF(AND(ISNUMBER($I90),OR($K90="Milestone",$K90="Deadline"),$I90&gt;=BG$4,$I90&lt;BG$4+7),IF($K90="Deadline","◇","◆"),"")</f>
        <v/>
      </c>
      <c r="BH90" s="14" t="str">
        <f>IF(AND(ISNUMBER($I90),OR($K90="Milestone",$K90="Deadline"),$I90&gt;=BH$4,$I90&lt;BH$4+7),IF($K90="Deadline","◇","◆"),"")</f>
        <v/>
      </c>
      <c r="BI90" s="14" t="str">
        <f>IF(AND(ISNUMBER($I90),OR($K90="Milestone",$K90="Deadline"),$I90&gt;=BI$4,$I90&lt;BI$4+7),IF($K90="Deadline","◇","◆"),"")</f>
        <v/>
      </c>
      <c r="BJ90" s="14" t="str">
        <f>IF(AND(ISNUMBER($I90),OR($K90="Milestone",$K90="Deadline"),$I90&gt;=BJ$4,$I90&lt;BJ$4+7),IF($K90="Deadline","◇","◆"),"")</f>
        <v/>
      </c>
      <c r="BK90" s="14" t="str">
        <f>IF(AND(ISNUMBER($I90),OR($K90="Milestone",$K90="Deadline"),$I90&gt;=BK$4,$I90&lt;BK$4+7),IF($K90="Deadline","◇","◆"),"")</f>
        <v/>
      </c>
      <c r="BL90" s="14" t="str">
        <f>IF(AND(ISNUMBER($I90),OR($K90="Milestone",$K90="Deadline"),$I90&gt;=BL$4,$I90&lt;BL$4+7),IF($K90="Deadline","◇","◆"),"")</f>
        <v/>
      </c>
      <c r="BM90" s="14" t="str">
        <f>IF(AND(ISNUMBER($I90),OR($K90="Milestone",$K90="Deadline"),$I90&gt;=BM$4,$I90&lt;BM$4+7),IF($K90="Deadline","◇","◆"),"")</f>
        <v/>
      </c>
      <c r="BN90" s="14" t="str">
        <f>IF(AND(ISNUMBER($I90),OR($K90="Milestone",$K90="Deadline"),$I90&gt;=BN$4,$I90&lt;BN$4+7),IF($K90="Deadline","◇","◆"),"")</f>
        <v/>
      </c>
      <c r="BO90" s="14" t="str">
        <f>IF(AND(ISNUMBER($I90),OR($K90="Milestone",$K90="Deadline"),$I90&gt;=BO$4,$I90&lt;BO$4+7),IF($K90="Deadline","◇","◆"),"")</f>
        <v/>
      </c>
      <c r="BP90" s="14" t="str">
        <f>IF(AND(ISNUMBER($I90),OR($K90="Milestone",$K90="Deadline"),$I90&gt;=BP$4,$I90&lt;BP$4+7),IF($K90="Deadline","◇","◆"),"")</f>
        <v/>
      </c>
      <c r="BQ90" s="14" t="str">
        <f>IF(AND(ISNUMBER($I90),OR($K90="Milestone",$K90="Deadline"),$I90&gt;=BQ$4,$I90&lt;BQ$4+7),IF($K90="Deadline","◇","◆"),"")</f>
        <v/>
      </c>
      <c r="BR90" s="14" t="str">
        <f>IF(AND(ISNUMBER($I90),OR($K90="Milestone",$K90="Deadline"),$I90&gt;=BR$4,$I90&lt;BR$4+7),IF($K90="Deadline","◇","◆"),"")</f>
        <v/>
      </c>
      <c r="BS90" s="14" t="str">
        <f>IF(AND(ISNUMBER($I90),OR($K90="Milestone",$K90="Deadline"),$I90&gt;=BS$4,$I90&lt;BS$4+7),IF($K90="Deadline","◇","◆"),"")</f>
        <v/>
      </c>
      <c r="BT90" s="14" t="str">
        <f>IF(AND(ISNUMBER($I90),OR($K90="Milestone",$K90="Deadline"),$I90&gt;=BT$4,$I90&lt;BT$4+7),IF($K90="Deadline","◇","◆"),"")</f>
        <v/>
      </c>
      <c r="BU90" s="14" t="str">
        <f>IF(AND(ISNUMBER($I90),OR($K90="Milestone",$K90="Deadline"),$I90&gt;=BU$4,$I90&lt;BU$4+7),IF($K90="Deadline","◇","◆"),"")</f>
        <v/>
      </c>
      <c r="BV90" s="14" t="str">
        <f>IF(AND(ISNUMBER($I90),OR($K90="Milestone",$K90="Deadline"),$I90&gt;=BV$4,$I90&lt;BV$4+7),IF($K90="Deadline","◇","◆"),"")</f>
        <v/>
      </c>
      <c r="BW90" s="14" t="str">
        <f>IF(AND(ISNUMBER($I90),OR($K90="Milestone",$K90="Deadline"),$I90&gt;=BW$4,$I90&lt;BW$4+7),IF($K90="Deadline","◇","◆"),"")</f>
        <v/>
      </c>
      <c r="BX90" s="14" t="str">
        <f>IF(AND(ISNUMBER($I90),OR($K90="Milestone",$K90="Deadline"),$I90&gt;=BX$4,$I90&lt;BX$4+7),IF($K90="Deadline","◇","◆"),"")</f>
        <v/>
      </c>
      <c r="BY90" s="14" t="str">
        <f>IF(AND(ISNUMBER($I90),OR($K90="Milestone",$K90="Deadline"),$I90&gt;=BY$4,$I90&lt;BY$4+7),IF($K90="Deadline","◇","◆"),"")</f>
        <v/>
      </c>
      <c r="BZ90" s="14" t="str">
        <f>IF(AND(ISNUMBER($I90),OR($K90="Milestone",$K90="Deadline"),$I90&gt;=BZ$4,$I90&lt;BZ$4+7),IF($K90="Deadline","◇","◆"),"")</f>
        <v/>
      </c>
      <c r="CA90" s="14" t="str">
        <f>IF(AND(ISNUMBER($I90),OR($K90="Milestone",$K90="Deadline"),$I90&gt;=CA$4,$I90&lt;CA$4+7),IF($K90="Deadline","◇","◆"),"")</f>
        <v/>
      </c>
      <c r="CB90" s="14" t="str">
        <f>IF(AND(ISNUMBER($I90),OR($K90="Milestone",$K90="Deadline"),$I90&gt;=CB$4,$I90&lt;CB$4+7),IF($K90="Deadline","◇","◆"),"")</f>
        <v/>
      </c>
      <c r="CC90" s="14" t="str">
        <f>IF(AND(ISNUMBER($I90),OR($K90="Milestone",$K90="Deadline"),$I90&gt;=CC$4,$I90&lt;CC$4+7),IF($K90="Deadline","◇","◆"),"")</f>
        <v/>
      </c>
      <c r="CD90" s="14" t="str">
        <f>IF(AND(ISNUMBER($I90),OR($K90="Milestone",$K90="Deadline"),$I90&gt;=CD$4,$I90&lt;CD$4+7),IF($K90="Deadline","◇","◆"),"")</f>
        <v/>
      </c>
      <c r="CE90" s="14" t="str">
        <f>IF(AND(ISNUMBER($I90),OR($K90="Milestone",$K90="Deadline"),$I90&gt;=CE$4,$I90&lt;CE$4+7),IF($K90="Deadline","◇","◆"),"")</f>
        <v/>
      </c>
      <c r="CF90" s="14" t="str">
        <f>IF(AND(ISNUMBER($I90),OR($K90="Milestone",$K90="Deadline"),$I90&gt;=CF$4,$I90&lt;CF$4+7),IF($K90="Deadline","◇","◆"),"")</f>
        <v/>
      </c>
      <c r="CG90" s="14" t="str">
        <f>IF(AND(ISNUMBER($I90),OR($K90="Milestone",$K90="Deadline"),$I90&gt;=CG$4,$I90&lt;CG$4+7),IF($K90="Deadline","◇","◆"),"")</f>
        <v/>
      </c>
      <c r="CH90" s="14" t="str">
        <f>IF(AND(ISNUMBER($I90),OR($K90="Milestone",$K90="Deadline"),$I90&gt;=CH$4,$I90&lt;CH$4+7),IF($K90="Deadline","◇","◆"),"")</f>
        <v/>
      </c>
      <c r="CI90" s="14" t="str">
        <f>IF(AND(ISNUMBER($I90),OR($K90="Milestone",$K90="Deadline"),$I90&gt;=CI$4,$I90&lt;CI$4+7),IF($K90="Deadline","◇","◆"),"")</f>
        <v/>
      </c>
      <c r="CJ90" s="14" t="str">
        <f>IF(AND(ISNUMBER($I90),OR($K90="Milestone",$K90="Deadline"),$I90&gt;=CJ$4,$I90&lt;CJ$4+7),IF($K90="Deadline","◇","◆"),"")</f>
        <v/>
      </c>
      <c r="CK90" s="14" t="str">
        <f>IF(AND(ISNUMBER($I90),OR($K90="Milestone",$K90="Deadline"),$I90&gt;=CK$4,$I90&lt;CK$4+7),IF($K90="Deadline","◇","◆"),"")</f>
        <v/>
      </c>
      <c r="CL90" s="14" t="str">
        <f>IF(AND(ISNUMBER($I90),OR($K90="Milestone",$K90="Deadline"),$I90&gt;=CL$4,$I90&lt;CL$4+7),IF($K90="Deadline","◇","◆"),"")</f>
        <v/>
      </c>
      <c r="CM90" s="14" t="str">
        <f>IF(AND(ISNUMBER($I90),OR($K90="Milestone",$K90="Deadline"),$I90&gt;=CM$4,$I90&lt;CM$4+7),IF($K90="Deadline","◇","◆"),"")</f>
        <v/>
      </c>
    </row>
    <row r="91" spans="1:91" ht="15" hidden="1" customHeight="1">
      <c r="A91" s="24" t="s">
        <v>270</v>
      </c>
      <c r="B91" s="24" t="s">
        <v>271</v>
      </c>
      <c r="C91" s="24" t="s">
        <v>63</v>
      </c>
      <c r="D91" s="24" t="s">
        <v>168</v>
      </c>
      <c r="E91" s="24" t="s">
        <v>169</v>
      </c>
      <c r="F91" s="24" t="s">
        <v>183</v>
      </c>
      <c r="G91" s="24" t="s">
        <v>184</v>
      </c>
      <c r="H91" s="24">
        <v>7</v>
      </c>
      <c r="I91" s="25">
        <f>MAX($C$2,J50+1,J74+1,J287+1)</f>
        <v>46405</v>
      </c>
      <c r="J91" s="26">
        <f>IF(AND(ISNUMBER(I91),ISNUMBER(H91)),I91+H91-1,"")</f>
        <v>46411</v>
      </c>
      <c r="K91" s="24" t="s">
        <v>27</v>
      </c>
      <c r="L91" s="24" t="s">
        <v>272</v>
      </c>
      <c r="M91" s="27" t="s">
        <v>273</v>
      </c>
      <c r="N91" s="24"/>
      <c r="O91" s="27">
        <f>IF(AND(ISNUMBER(I91),ISNUMBER(J91)),J91-I91+1,"")</f>
        <v>7</v>
      </c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 t="s">
        <v>140</v>
      </c>
      <c r="AE91" s="13"/>
      <c r="AF91" s="13"/>
      <c r="AG91" s="13"/>
      <c r="AH91" s="13"/>
      <c r="AI91" s="13"/>
      <c r="AJ91" s="13"/>
      <c r="AK91" s="13"/>
      <c r="AL91" s="13"/>
      <c r="AM91" s="13"/>
      <c r="AN91" s="13"/>
      <c r="AO91" s="14" t="str">
        <f>IF(AND(ISNUMBER($I91),OR($K91="Milestone",$K91="Deadline"),$I91&gt;=AO$4,$I91&lt;AO$4+7),IF($K91="Deadline","◇","◆"),"")</f>
        <v/>
      </c>
      <c r="AP91" s="14" t="str">
        <f>IF(AND(ISNUMBER($I91),OR($K91="Milestone",$K91="Deadline"),$I91&gt;=AP$4,$I91&lt;AP$4+7),IF($K91="Deadline","◇","◆"),"")</f>
        <v/>
      </c>
      <c r="AQ91" s="14" t="str">
        <f>IF(AND(ISNUMBER($I91),OR($K91="Milestone",$K91="Deadline"),$I91&gt;=AQ$4,$I91&lt;AQ$4+7),IF($K91="Deadline","◇","◆"),"")</f>
        <v/>
      </c>
      <c r="AR91" s="14" t="str">
        <f>IF(AND(ISNUMBER($I91),OR($K91="Milestone",$K91="Deadline"),$I91&gt;=AR$4,$I91&lt;AR$4+7),IF($K91="Deadline","◇","◆"),"")</f>
        <v/>
      </c>
      <c r="AS91" s="14" t="str">
        <f>IF(AND(ISNUMBER($I91),OR($K91="Milestone",$K91="Deadline"),$I91&gt;=AS$4,$I91&lt;AS$4+7),IF($K91="Deadline","◇","◆"),"")</f>
        <v/>
      </c>
      <c r="AT91" s="14" t="str">
        <f>IF(AND(ISNUMBER($I91),OR($K91="Milestone",$K91="Deadline"),$I91&gt;=AT$4,$I91&lt;AT$4+7),IF($K91="Deadline","◇","◆"),"")</f>
        <v/>
      </c>
      <c r="AU91" s="14" t="str">
        <f>IF(AND(ISNUMBER($I91),OR($K91="Milestone",$K91="Deadline"),$I91&gt;=AU$4,$I91&lt;AU$4+7),IF($K91="Deadline","◇","◆"),"")</f>
        <v/>
      </c>
      <c r="AV91" s="14" t="str">
        <f>IF(AND(ISNUMBER($I91),OR($K91="Milestone",$K91="Deadline"),$I91&gt;=AV$4,$I91&lt;AV$4+7),IF($K91="Deadline","◇","◆"),"")</f>
        <v/>
      </c>
      <c r="AW91" s="14" t="str">
        <f>IF(AND(ISNUMBER($I91),OR($K91="Milestone",$K91="Deadline"),$I91&gt;=AW$4,$I91&lt;AW$4+7),IF($K91="Deadline","◇","◆"),"")</f>
        <v/>
      </c>
      <c r="AX91" s="14" t="str">
        <f>IF(AND(ISNUMBER($I91),OR($K91="Milestone",$K91="Deadline"),$I91&gt;=AX$4,$I91&lt;AX$4+7),IF($K91="Deadline","◇","◆"),"")</f>
        <v/>
      </c>
      <c r="AY91" s="14" t="str">
        <f>IF(AND(ISNUMBER($I91),OR($K91="Milestone",$K91="Deadline"),$I91&gt;=AY$4,$I91&lt;AY$4+7),IF($K91="Deadline","◇","◆"),"")</f>
        <v/>
      </c>
      <c r="AZ91" s="14" t="str">
        <f>IF(AND(ISNUMBER($I91),OR($K91="Milestone",$K91="Deadline"),$I91&gt;=AZ$4,$I91&lt;AZ$4+7),IF($K91="Deadline","◇","◆"),"")</f>
        <v/>
      </c>
      <c r="BA91" s="14" t="str">
        <f>IF(AND(ISNUMBER($I91),OR($K91="Milestone",$K91="Deadline"),$I91&gt;=BA$4,$I91&lt;BA$4+7),IF($K91="Deadline","◇","◆"),"")</f>
        <v/>
      </c>
      <c r="BB91" s="14" t="str">
        <f>IF(AND(ISNUMBER($I91),OR($K91="Milestone",$K91="Deadline"),$I91&gt;=BB$4,$I91&lt;BB$4+7),IF($K91="Deadline","◇","◆"),"")</f>
        <v/>
      </c>
      <c r="BC91" s="14" t="str">
        <f>IF(AND(ISNUMBER($I91),OR($K91="Milestone",$K91="Deadline"),$I91&gt;=BC$4,$I91&lt;BC$4+7),IF($K91="Deadline","◇","◆"),"")</f>
        <v/>
      </c>
      <c r="BD91" s="14" t="str">
        <f>IF(AND(ISNUMBER($I91),OR($K91="Milestone",$K91="Deadline"),$I91&gt;=BD$4,$I91&lt;BD$4+7),IF($K91="Deadline","◇","◆"),"")</f>
        <v/>
      </c>
      <c r="BE91" s="14" t="str">
        <f>IF(AND(ISNUMBER($I91),OR($K91="Milestone",$K91="Deadline"),$I91&gt;=BE$4,$I91&lt;BE$4+7),IF($K91="Deadline","◇","◆"),"")</f>
        <v/>
      </c>
      <c r="BF91" s="14" t="str">
        <f>IF(AND(ISNUMBER($I91),OR($K91="Milestone",$K91="Deadline"),$I91&gt;=BF$4,$I91&lt;BF$4+7),IF($K91="Deadline","◇","◆"),"")</f>
        <v/>
      </c>
      <c r="BG91" s="14" t="str">
        <f>IF(AND(ISNUMBER($I91),OR($K91="Milestone",$K91="Deadline"),$I91&gt;=BG$4,$I91&lt;BG$4+7),IF($K91="Deadline","◇","◆"),"")</f>
        <v/>
      </c>
      <c r="BH91" s="14" t="str">
        <f>IF(AND(ISNUMBER($I91),OR($K91="Milestone",$K91="Deadline"),$I91&gt;=BH$4,$I91&lt;BH$4+7),IF($K91="Deadline","◇","◆"),"")</f>
        <v/>
      </c>
      <c r="BI91" s="14" t="str">
        <f>IF(AND(ISNUMBER($I91),OR($K91="Milestone",$K91="Deadline"),$I91&gt;=BI$4,$I91&lt;BI$4+7),IF($K91="Deadline","◇","◆"),"")</f>
        <v/>
      </c>
      <c r="BJ91" s="14" t="str">
        <f>IF(AND(ISNUMBER($I91),OR($K91="Milestone",$K91="Deadline"),$I91&gt;=BJ$4,$I91&lt;BJ$4+7),IF($K91="Deadline","◇","◆"),"")</f>
        <v/>
      </c>
      <c r="BK91" s="14" t="str">
        <f>IF(AND(ISNUMBER($I91),OR($K91="Milestone",$K91="Deadline"),$I91&gt;=BK$4,$I91&lt;BK$4+7),IF($K91="Deadline","◇","◆"),"")</f>
        <v/>
      </c>
      <c r="BL91" s="14" t="str">
        <f>IF(AND(ISNUMBER($I91),OR($K91="Milestone",$K91="Deadline"),$I91&gt;=BL$4,$I91&lt;BL$4+7),IF($K91="Deadline","◇","◆"),"")</f>
        <v/>
      </c>
      <c r="BM91" s="14" t="str">
        <f>IF(AND(ISNUMBER($I91),OR($K91="Milestone",$K91="Deadline"),$I91&gt;=BM$4,$I91&lt;BM$4+7),IF($K91="Deadline","◇","◆"),"")</f>
        <v/>
      </c>
      <c r="BN91" s="14" t="str">
        <f>IF(AND(ISNUMBER($I91),OR($K91="Milestone",$K91="Deadline"),$I91&gt;=BN$4,$I91&lt;BN$4+7),IF($K91="Deadline","◇","◆"),"")</f>
        <v/>
      </c>
      <c r="BO91" s="14" t="str">
        <f>IF(AND(ISNUMBER($I91),OR($K91="Milestone",$K91="Deadline"),$I91&gt;=BO$4,$I91&lt;BO$4+7),IF($K91="Deadline","◇","◆"),"")</f>
        <v/>
      </c>
      <c r="BP91" s="14" t="str">
        <f>IF(AND(ISNUMBER($I91),OR($K91="Milestone",$K91="Deadline"),$I91&gt;=BP$4,$I91&lt;BP$4+7),IF($K91="Deadline","◇","◆"),"")</f>
        <v/>
      </c>
      <c r="BQ91" s="14" t="str">
        <f>IF(AND(ISNUMBER($I91),OR($K91="Milestone",$K91="Deadline"),$I91&gt;=BQ$4,$I91&lt;BQ$4+7),IF($K91="Deadline","◇","◆"),"")</f>
        <v/>
      </c>
      <c r="BR91" s="14" t="str">
        <f>IF(AND(ISNUMBER($I91),OR($K91="Milestone",$K91="Deadline"),$I91&gt;=BR$4,$I91&lt;BR$4+7),IF($K91="Deadline","◇","◆"),"")</f>
        <v/>
      </c>
      <c r="BS91" s="14" t="str">
        <f>IF(AND(ISNUMBER($I91),OR($K91="Milestone",$K91="Deadline"),$I91&gt;=BS$4,$I91&lt;BS$4+7),IF($K91="Deadline","◇","◆"),"")</f>
        <v/>
      </c>
      <c r="BT91" s="14" t="str">
        <f>IF(AND(ISNUMBER($I91),OR($K91="Milestone",$K91="Deadline"),$I91&gt;=BT$4,$I91&lt;BT$4+7),IF($K91="Deadline","◇","◆"),"")</f>
        <v/>
      </c>
      <c r="BU91" s="14" t="str">
        <f>IF(AND(ISNUMBER($I91),OR($K91="Milestone",$K91="Deadline"),$I91&gt;=BU$4,$I91&lt;BU$4+7),IF($K91="Deadline","◇","◆"),"")</f>
        <v/>
      </c>
      <c r="BV91" s="14" t="str">
        <f>IF(AND(ISNUMBER($I91),OR($K91="Milestone",$K91="Deadline"),$I91&gt;=BV$4,$I91&lt;BV$4+7),IF($K91="Deadline","◇","◆"),"")</f>
        <v/>
      </c>
      <c r="BW91" s="14" t="str">
        <f>IF(AND(ISNUMBER($I91),OR($K91="Milestone",$K91="Deadline"),$I91&gt;=BW$4,$I91&lt;BW$4+7),IF($K91="Deadline","◇","◆"),"")</f>
        <v/>
      </c>
      <c r="BX91" s="14" t="str">
        <f>IF(AND(ISNUMBER($I91),OR($K91="Milestone",$K91="Deadline"),$I91&gt;=BX$4,$I91&lt;BX$4+7),IF($K91="Deadline","◇","◆"),"")</f>
        <v/>
      </c>
      <c r="BY91" s="14" t="str">
        <f>IF(AND(ISNUMBER($I91),OR($K91="Milestone",$K91="Deadline"),$I91&gt;=BY$4,$I91&lt;BY$4+7),IF($K91="Deadline","◇","◆"),"")</f>
        <v/>
      </c>
      <c r="BZ91" s="14" t="str">
        <f>IF(AND(ISNUMBER($I91),OR($K91="Milestone",$K91="Deadline"),$I91&gt;=BZ$4,$I91&lt;BZ$4+7),IF($K91="Deadline","◇","◆"),"")</f>
        <v/>
      </c>
      <c r="CA91" s="14" t="str">
        <f>IF(AND(ISNUMBER($I91),OR($K91="Milestone",$K91="Deadline"),$I91&gt;=CA$4,$I91&lt;CA$4+7),IF($K91="Deadline","◇","◆"),"")</f>
        <v/>
      </c>
      <c r="CB91" s="14" t="str">
        <f>IF(AND(ISNUMBER($I91),OR($K91="Milestone",$K91="Deadline"),$I91&gt;=CB$4,$I91&lt;CB$4+7),IF($K91="Deadline","◇","◆"),"")</f>
        <v/>
      </c>
      <c r="CC91" s="14" t="str">
        <f>IF(AND(ISNUMBER($I91),OR($K91="Milestone",$K91="Deadline"),$I91&gt;=CC$4,$I91&lt;CC$4+7),IF($K91="Deadline","◇","◆"),"")</f>
        <v/>
      </c>
      <c r="CD91" s="14" t="str">
        <f>IF(AND(ISNUMBER($I91),OR($K91="Milestone",$K91="Deadline"),$I91&gt;=CD$4,$I91&lt;CD$4+7),IF($K91="Deadline","◇","◆"),"")</f>
        <v/>
      </c>
      <c r="CE91" s="14" t="str">
        <f>IF(AND(ISNUMBER($I91),OR($K91="Milestone",$K91="Deadline"),$I91&gt;=CE$4,$I91&lt;CE$4+7),IF($K91="Deadline","◇","◆"),"")</f>
        <v/>
      </c>
      <c r="CF91" s="14" t="str">
        <f>IF(AND(ISNUMBER($I91),OR($K91="Milestone",$K91="Deadline"),$I91&gt;=CF$4,$I91&lt;CF$4+7),IF($K91="Deadline","◇","◆"),"")</f>
        <v/>
      </c>
      <c r="CG91" s="14" t="str">
        <f>IF(AND(ISNUMBER($I91),OR($K91="Milestone",$K91="Deadline"),$I91&gt;=CG$4,$I91&lt;CG$4+7),IF($K91="Deadline","◇","◆"),"")</f>
        <v/>
      </c>
      <c r="CH91" s="14" t="str">
        <f>IF(AND(ISNUMBER($I91),OR($K91="Milestone",$K91="Deadline"),$I91&gt;=CH$4,$I91&lt;CH$4+7),IF($K91="Deadline","◇","◆"),"")</f>
        <v/>
      </c>
      <c r="CI91" s="14" t="str">
        <f>IF(AND(ISNUMBER($I91),OR($K91="Milestone",$K91="Deadline"),$I91&gt;=CI$4,$I91&lt;CI$4+7),IF($K91="Deadline","◇","◆"),"")</f>
        <v/>
      </c>
      <c r="CJ91" s="14" t="str">
        <f>IF(AND(ISNUMBER($I91),OR($K91="Milestone",$K91="Deadline"),$I91&gt;=CJ$4,$I91&lt;CJ$4+7),IF($K91="Deadline","◇","◆"),"")</f>
        <v/>
      </c>
      <c r="CK91" s="14" t="str">
        <f>IF(AND(ISNUMBER($I91),OR($K91="Milestone",$K91="Deadline"),$I91&gt;=CK$4,$I91&lt;CK$4+7),IF($K91="Deadline","◇","◆"),"")</f>
        <v/>
      </c>
      <c r="CL91" s="14" t="str">
        <f>IF(AND(ISNUMBER($I91),OR($K91="Milestone",$K91="Deadline"),$I91&gt;=CL$4,$I91&lt;CL$4+7),IF($K91="Deadline","◇","◆"),"")</f>
        <v/>
      </c>
      <c r="CM91" s="14" t="str">
        <f>IF(AND(ISNUMBER($I91),OR($K91="Milestone",$K91="Deadline"),$I91&gt;=CM$4,$I91&lt;CM$4+7),IF($K91="Deadline","◇","◆"),"")</f>
        <v/>
      </c>
    </row>
    <row r="92" spans="1:91" ht="15" hidden="1" customHeight="1">
      <c r="A92" s="24" t="s">
        <v>274</v>
      </c>
      <c r="B92" s="24" t="s">
        <v>271</v>
      </c>
      <c r="C92" s="24" t="s">
        <v>63</v>
      </c>
      <c r="D92" s="24" t="s">
        <v>168</v>
      </c>
      <c r="E92" s="24" t="s">
        <v>169</v>
      </c>
      <c r="F92" s="24" t="s">
        <v>183</v>
      </c>
      <c r="G92" s="24" t="s">
        <v>275</v>
      </c>
      <c r="H92" s="24">
        <v>13</v>
      </c>
      <c r="I92" s="25">
        <f>MAX($C$2,J91+1,J173+1)</f>
        <v>46412</v>
      </c>
      <c r="J92" s="26">
        <f>IF(AND(ISNUMBER(I92),ISNUMBER(H92)),I92+H92-1,"")</f>
        <v>46424</v>
      </c>
      <c r="K92" s="24" t="s">
        <v>27</v>
      </c>
      <c r="L92" s="24" t="s">
        <v>270</v>
      </c>
      <c r="M92" s="27" t="s">
        <v>276</v>
      </c>
      <c r="N92" s="24"/>
      <c r="O92" s="27">
        <f>IF(AND(ISNUMBER(I92),ISNUMBER(J92)),J92-I92+1,"")</f>
        <v>13</v>
      </c>
      <c r="P92" s="13"/>
      <c r="Q92" s="13"/>
      <c r="R92" s="13"/>
      <c r="S92" s="13"/>
      <c r="T92" s="13"/>
      <c r="U92" s="13"/>
      <c r="V92" s="13" t="s">
        <v>140</v>
      </c>
      <c r="W92" s="13"/>
      <c r="X92" s="13"/>
      <c r="Y92" s="13"/>
      <c r="Z92" s="13"/>
      <c r="AA92" s="13"/>
      <c r="AB92" s="13"/>
      <c r="AC92" s="13" t="s">
        <v>140</v>
      </c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4" t="str">
        <f>IF(AND(ISNUMBER($I92),OR($K92="Milestone",$K92="Deadline"),$I92&gt;=AO$4,$I92&lt;AO$4+7),IF($K92="Deadline","◇","◆"),"")</f>
        <v/>
      </c>
      <c r="AP92" s="14" t="str">
        <f>IF(AND(ISNUMBER($I92),OR($K92="Milestone",$K92="Deadline"),$I92&gt;=AP$4,$I92&lt;AP$4+7),IF($K92="Deadline","◇","◆"),"")</f>
        <v/>
      </c>
      <c r="AQ92" s="14" t="str">
        <f>IF(AND(ISNUMBER($I92),OR($K92="Milestone",$K92="Deadline"),$I92&gt;=AQ$4,$I92&lt;AQ$4+7),IF($K92="Deadline","◇","◆"),"")</f>
        <v/>
      </c>
      <c r="AR92" s="14" t="str">
        <f>IF(AND(ISNUMBER($I92),OR($K92="Milestone",$K92="Deadline"),$I92&gt;=AR$4,$I92&lt;AR$4+7),IF($K92="Deadline","◇","◆"),"")</f>
        <v/>
      </c>
      <c r="AS92" s="14" t="str">
        <f>IF(AND(ISNUMBER($I92),OR($K92="Milestone",$K92="Deadline"),$I92&gt;=AS$4,$I92&lt;AS$4+7),IF($K92="Deadline","◇","◆"),"")</f>
        <v/>
      </c>
      <c r="AT92" s="14" t="str">
        <f>IF(AND(ISNUMBER($I92),OR($K92="Milestone",$K92="Deadline"),$I92&gt;=AT$4,$I92&lt;AT$4+7),IF($K92="Deadline","◇","◆"),"")</f>
        <v/>
      </c>
      <c r="AU92" s="14" t="str">
        <f>IF(AND(ISNUMBER($I92),OR($K92="Milestone",$K92="Deadline"),$I92&gt;=AU$4,$I92&lt;AU$4+7),IF($K92="Deadline","◇","◆"),"")</f>
        <v/>
      </c>
      <c r="AV92" s="14" t="str">
        <f>IF(AND(ISNUMBER($I92),OR($K92="Milestone",$K92="Deadline"),$I92&gt;=AV$4,$I92&lt;AV$4+7),IF($K92="Deadline","◇","◆"),"")</f>
        <v/>
      </c>
      <c r="AW92" s="14" t="str">
        <f>IF(AND(ISNUMBER($I92),OR($K92="Milestone",$K92="Deadline"),$I92&gt;=AW$4,$I92&lt;AW$4+7),IF($K92="Deadline","◇","◆"),"")</f>
        <v/>
      </c>
      <c r="AX92" s="14" t="str">
        <f>IF(AND(ISNUMBER($I92),OR($K92="Milestone",$K92="Deadline"),$I92&gt;=AX$4,$I92&lt;AX$4+7),IF($K92="Deadline","◇","◆"),"")</f>
        <v/>
      </c>
      <c r="AY92" s="14" t="str">
        <f>IF(AND(ISNUMBER($I92),OR($K92="Milestone",$K92="Deadline"),$I92&gt;=AY$4,$I92&lt;AY$4+7),IF($K92="Deadline","◇","◆"),"")</f>
        <v/>
      </c>
      <c r="AZ92" s="14" t="str">
        <f>IF(AND(ISNUMBER($I92),OR($K92="Milestone",$K92="Deadline"),$I92&gt;=AZ$4,$I92&lt;AZ$4+7),IF($K92="Deadline","◇","◆"),"")</f>
        <v/>
      </c>
      <c r="BA92" s="14" t="str">
        <f>IF(AND(ISNUMBER($I92),OR($K92="Milestone",$K92="Deadline"),$I92&gt;=BA$4,$I92&lt;BA$4+7),IF($K92="Deadline","◇","◆"),"")</f>
        <v/>
      </c>
      <c r="BB92" s="14" t="str">
        <f>IF(AND(ISNUMBER($I92),OR($K92="Milestone",$K92="Deadline"),$I92&gt;=BB$4,$I92&lt;BB$4+7),IF($K92="Deadline","◇","◆"),"")</f>
        <v/>
      </c>
      <c r="BC92" s="14" t="str">
        <f>IF(AND(ISNUMBER($I92),OR($K92="Milestone",$K92="Deadline"),$I92&gt;=BC$4,$I92&lt;BC$4+7),IF($K92="Deadline","◇","◆"),"")</f>
        <v/>
      </c>
      <c r="BD92" s="14" t="str">
        <f>IF(AND(ISNUMBER($I92),OR($K92="Milestone",$K92="Deadline"),$I92&gt;=BD$4,$I92&lt;BD$4+7),IF($K92="Deadline","◇","◆"),"")</f>
        <v/>
      </c>
      <c r="BE92" s="14" t="str">
        <f>IF(AND(ISNUMBER($I92),OR($K92="Milestone",$K92="Deadline"),$I92&gt;=BE$4,$I92&lt;BE$4+7),IF($K92="Deadline","◇","◆"),"")</f>
        <v/>
      </c>
      <c r="BF92" s="14" t="str">
        <f>IF(AND(ISNUMBER($I92),OR($K92="Milestone",$K92="Deadline"),$I92&gt;=BF$4,$I92&lt;BF$4+7),IF($K92="Deadline","◇","◆"),"")</f>
        <v/>
      </c>
      <c r="BG92" s="14" t="str">
        <f>IF(AND(ISNUMBER($I92),OR($K92="Milestone",$K92="Deadline"),$I92&gt;=BG$4,$I92&lt;BG$4+7),IF($K92="Deadline","◇","◆"),"")</f>
        <v/>
      </c>
      <c r="BH92" s="14" t="str">
        <f>IF(AND(ISNUMBER($I92),OR($K92="Milestone",$K92="Deadline"),$I92&gt;=BH$4,$I92&lt;BH$4+7),IF($K92="Deadline","◇","◆"),"")</f>
        <v/>
      </c>
      <c r="BI92" s="14" t="str">
        <f>IF(AND(ISNUMBER($I92),OR($K92="Milestone",$K92="Deadline"),$I92&gt;=BI$4,$I92&lt;BI$4+7),IF($K92="Deadline","◇","◆"),"")</f>
        <v/>
      </c>
      <c r="BJ92" s="14" t="str">
        <f>IF(AND(ISNUMBER($I92),OR($K92="Milestone",$K92="Deadline"),$I92&gt;=BJ$4,$I92&lt;BJ$4+7),IF($K92="Deadline","◇","◆"),"")</f>
        <v/>
      </c>
      <c r="BK92" s="14" t="str">
        <f>IF(AND(ISNUMBER($I92),OR($K92="Milestone",$K92="Deadline"),$I92&gt;=BK$4,$I92&lt;BK$4+7),IF($K92="Deadline","◇","◆"),"")</f>
        <v/>
      </c>
      <c r="BL92" s="14" t="str">
        <f>IF(AND(ISNUMBER($I92),OR($K92="Milestone",$K92="Deadline"),$I92&gt;=BL$4,$I92&lt;BL$4+7),IF($K92="Deadline","◇","◆"),"")</f>
        <v/>
      </c>
      <c r="BM92" s="14" t="str">
        <f>IF(AND(ISNUMBER($I92),OR($K92="Milestone",$K92="Deadline"),$I92&gt;=BM$4,$I92&lt;BM$4+7),IF($K92="Deadline","◇","◆"),"")</f>
        <v/>
      </c>
      <c r="BN92" s="14" t="str">
        <f>IF(AND(ISNUMBER($I92),OR($K92="Milestone",$K92="Deadline"),$I92&gt;=BN$4,$I92&lt;BN$4+7),IF($K92="Deadline","◇","◆"),"")</f>
        <v/>
      </c>
      <c r="BO92" s="14" t="str">
        <f>IF(AND(ISNUMBER($I92),OR($K92="Milestone",$K92="Deadline"),$I92&gt;=BO$4,$I92&lt;BO$4+7),IF($K92="Deadline","◇","◆"),"")</f>
        <v/>
      </c>
      <c r="BP92" s="14" t="str">
        <f>IF(AND(ISNUMBER($I92),OR($K92="Milestone",$K92="Deadline"),$I92&gt;=BP$4,$I92&lt;BP$4+7),IF($K92="Deadline","◇","◆"),"")</f>
        <v/>
      </c>
      <c r="BQ92" s="14" t="str">
        <f>IF(AND(ISNUMBER($I92),OR($K92="Milestone",$K92="Deadline"),$I92&gt;=BQ$4,$I92&lt;BQ$4+7),IF($K92="Deadline","◇","◆"),"")</f>
        <v/>
      </c>
      <c r="BR92" s="14" t="str">
        <f>IF(AND(ISNUMBER($I92),OR($K92="Milestone",$K92="Deadline"),$I92&gt;=BR$4,$I92&lt;BR$4+7),IF($K92="Deadline","◇","◆"),"")</f>
        <v/>
      </c>
      <c r="BS92" s="14" t="str">
        <f>IF(AND(ISNUMBER($I92),OR($K92="Milestone",$K92="Deadline"),$I92&gt;=BS$4,$I92&lt;BS$4+7),IF($K92="Deadline","◇","◆"),"")</f>
        <v/>
      </c>
      <c r="BT92" s="14" t="str">
        <f>IF(AND(ISNUMBER($I92),OR($K92="Milestone",$K92="Deadline"),$I92&gt;=BT$4,$I92&lt;BT$4+7),IF($K92="Deadline","◇","◆"),"")</f>
        <v/>
      </c>
      <c r="BU92" s="14" t="str">
        <f>IF(AND(ISNUMBER($I92),OR($K92="Milestone",$K92="Deadline"),$I92&gt;=BU$4,$I92&lt;BU$4+7),IF($K92="Deadline","◇","◆"),"")</f>
        <v/>
      </c>
      <c r="BV92" s="14" t="str">
        <f>IF(AND(ISNUMBER($I92),OR($K92="Milestone",$K92="Deadline"),$I92&gt;=BV$4,$I92&lt;BV$4+7),IF($K92="Deadline","◇","◆"),"")</f>
        <v/>
      </c>
      <c r="BW92" s="14" t="str">
        <f>IF(AND(ISNUMBER($I92),OR($K92="Milestone",$K92="Deadline"),$I92&gt;=BW$4,$I92&lt;BW$4+7),IF($K92="Deadline","◇","◆"),"")</f>
        <v/>
      </c>
      <c r="BX92" s="14" t="str">
        <f>IF(AND(ISNUMBER($I92),OR($K92="Milestone",$K92="Deadline"),$I92&gt;=BX$4,$I92&lt;BX$4+7),IF($K92="Deadline","◇","◆"),"")</f>
        <v/>
      </c>
      <c r="BY92" s="14" t="str">
        <f>IF(AND(ISNUMBER($I92),OR($K92="Milestone",$K92="Deadline"),$I92&gt;=BY$4,$I92&lt;BY$4+7),IF($K92="Deadline","◇","◆"),"")</f>
        <v/>
      </c>
      <c r="BZ92" s="14" t="str">
        <f>IF(AND(ISNUMBER($I92),OR($K92="Milestone",$K92="Deadline"),$I92&gt;=BZ$4,$I92&lt;BZ$4+7),IF($K92="Deadline","◇","◆"),"")</f>
        <v/>
      </c>
      <c r="CA92" s="14" t="str">
        <f>IF(AND(ISNUMBER($I92),OR($K92="Milestone",$K92="Deadline"),$I92&gt;=CA$4,$I92&lt;CA$4+7),IF($K92="Deadline","◇","◆"),"")</f>
        <v/>
      </c>
      <c r="CB92" s="14" t="str">
        <f>IF(AND(ISNUMBER($I92),OR($K92="Milestone",$K92="Deadline"),$I92&gt;=CB$4,$I92&lt;CB$4+7),IF($K92="Deadline","◇","◆"),"")</f>
        <v/>
      </c>
      <c r="CC92" s="14" t="str">
        <f>IF(AND(ISNUMBER($I92),OR($K92="Milestone",$K92="Deadline"),$I92&gt;=CC$4,$I92&lt;CC$4+7),IF($K92="Deadline","◇","◆"),"")</f>
        <v/>
      </c>
      <c r="CD92" s="14" t="str">
        <f>IF(AND(ISNUMBER($I92),OR($K92="Milestone",$K92="Deadline"),$I92&gt;=CD$4,$I92&lt;CD$4+7),IF($K92="Deadline","◇","◆"),"")</f>
        <v/>
      </c>
      <c r="CE92" s="14" t="str">
        <f>IF(AND(ISNUMBER($I92),OR($K92="Milestone",$K92="Deadline"),$I92&gt;=CE$4,$I92&lt;CE$4+7),IF($K92="Deadline","◇","◆"),"")</f>
        <v/>
      </c>
      <c r="CF92" s="14" t="str">
        <f>IF(AND(ISNUMBER($I92),OR($K92="Milestone",$K92="Deadline"),$I92&gt;=CF$4,$I92&lt;CF$4+7),IF($K92="Deadline","◇","◆"),"")</f>
        <v/>
      </c>
      <c r="CG92" s="14" t="str">
        <f>IF(AND(ISNUMBER($I92),OR($K92="Milestone",$K92="Deadline"),$I92&gt;=CG$4,$I92&lt;CG$4+7),IF($K92="Deadline","◇","◆"),"")</f>
        <v/>
      </c>
      <c r="CH92" s="14" t="str">
        <f>IF(AND(ISNUMBER($I92),OR($K92="Milestone",$K92="Deadline"),$I92&gt;=CH$4,$I92&lt;CH$4+7),IF($K92="Deadline","◇","◆"),"")</f>
        <v/>
      </c>
      <c r="CI92" s="14" t="str">
        <f>IF(AND(ISNUMBER($I92),OR($K92="Milestone",$K92="Deadline"),$I92&gt;=CI$4,$I92&lt;CI$4+7),IF($K92="Deadline","◇","◆"),"")</f>
        <v/>
      </c>
      <c r="CJ92" s="14" t="str">
        <f>IF(AND(ISNUMBER($I92),OR($K92="Milestone",$K92="Deadline"),$I92&gt;=CJ$4,$I92&lt;CJ$4+7),IF($K92="Deadline","◇","◆"),"")</f>
        <v/>
      </c>
      <c r="CK92" s="14" t="str">
        <f>IF(AND(ISNUMBER($I92),OR($K92="Milestone",$K92="Deadline"),$I92&gt;=CK$4,$I92&lt;CK$4+7),IF($K92="Deadline","◇","◆"),"")</f>
        <v/>
      </c>
      <c r="CL92" s="14" t="str">
        <f>IF(AND(ISNUMBER($I92),OR($K92="Milestone",$K92="Deadline"),$I92&gt;=CL$4,$I92&lt;CL$4+7),IF($K92="Deadline","◇","◆"),"")</f>
        <v/>
      </c>
      <c r="CM92" s="14" t="str">
        <f>IF(AND(ISNUMBER($I92),OR($K92="Milestone",$K92="Deadline"),$I92&gt;=CM$4,$I92&lt;CM$4+7),IF($K92="Deadline","◇","◆"),"")</f>
        <v/>
      </c>
    </row>
    <row r="93" spans="1:91" ht="15" hidden="1" customHeight="1">
      <c r="A93" s="24" t="s">
        <v>277</v>
      </c>
      <c r="B93" s="24" t="s">
        <v>271</v>
      </c>
      <c r="C93" s="24" t="s">
        <v>191</v>
      </c>
      <c r="D93" s="24" t="s">
        <v>168</v>
      </c>
      <c r="E93" s="24" t="s">
        <v>169</v>
      </c>
      <c r="F93" s="24" t="s">
        <v>183</v>
      </c>
      <c r="G93" s="24" t="s">
        <v>278</v>
      </c>
      <c r="H93" s="24">
        <v>8</v>
      </c>
      <c r="I93" s="25">
        <f>MAX(DATE(2027,3,1),J92+1,J202+1)</f>
        <v>46447</v>
      </c>
      <c r="J93" s="26">
        <f>IF(AND(ISNUMBER(I93),ISNUMBER(H93)),I93+H93-1,"")</f>
        <v>46454</v>
      </c>
      <c r="K93" s="24" t="s">
        <v>27</v>
      </c>
      <c r="L93" s="24" t="s">
        <v>274</v>
      </c>
      <c r="M93" s="27" t="s">
        <v>279</v>
      </c>
      <c r="N93" s="24"/>
      <c r="O93" s="27">
        <f>IF(AND(ISNUMBER(I93),ISNUMBER(J93)),J93-I93+1,"")</f>
        <v>8</v>
      </c>
      <c r="P93" s="13"/>
      <c r="Q93" s="13"/>
      <c r="R93" s="13"/>
      <c r="S93" s="13"/>
      <c r="T93" s="13"/>
      <c r="U93" s="13"/>
      <c r="V93" s="13" t="s">
        <v>140</v>
      </c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 t="s">
        <v>140</v>
      </c>
      <c r="AH93" s="13"/>
      <c r="AI93" s="13"/>
      <c r="AJ93" s="13"/>
      <c r="AK93" s="13"/>
      <c r="AL93" s="13"/>
      <c r="AM93" s="13"/>
      <c r="AN93" s="13"/>
      <c r="AO93" s="14" t="str">
        <f>IF(AND(ISNUMBER($I93),OR($K93="Milestone",$K93="Deadline"),$I93&gt;=AO$4,$I93&lt;AO$4+7),IF($K93="Deadline","◇","◆"),"")</f>
        <v/>
      </c>
      <c r="AP93" s="14" t="str">
        <f>IF(AND(ISNUMBER($I93),OR($K93="Milestone",$K93="Deadline"),$I93&gt;=AP$4,$I93&lt;AP$4+7),IF($K93="Deadline","◇","◆"),"")</f>
        <v/>
      </c>
      <c r="AQ93" s="14" t="str">
        <f>IF(AND(ISNUMBER($I93),OR($K93="Milestone",$K93="Deadline"),$I93&gt;=AQ$4,$I93&lt;AQ$4+7),IF($K93="Deadline","◇","◆"),"")</f>
        <v/>
      </c>
      <c r="AR93" s="14" t="str">
        <f>IF(AND(ISNUMBER($I93),OR($K93="Milestone",$K93="Deadline"),$I93&gt;=AR$4,$I93&lt;AR$4+7),IF($K93="Deadline","◇","◆"),"")</f>
        <v/>
      </c>
      <c r="AS93" s="14" t="str">
        <f>IF(AND(ISNUMBER($I93),OR($K93="Milestone",$K93="Deadline"),$I93&gt;=AS$4,$I93&lt;AS$4+7),IF($K93="Deadline","◇","◆"),"")</f>
        <v/>
      </c>
      <c r="AT93" s="14" t="str">
        <f>IF(AND(ISNUMBER($I93),OR($K93="Milestone",$K93="Deadline"),$I93&gt;=AT$4,$I93&lt;AT$4+7),IF($K93="Deadline","◇","◆"),"")</f>
        <v/>
      </c>
      <c r="AU93" s="14" t="str">
        <f>IF(AND(ISNUMBER($I93),OR($K93="Milestone",$K93="Deadline"),$I93&gt;=AU$4,$I93&lt;AU$4+7),IF($K93="Deadline","◇","◆"),"")</f>
        <v/>
      </c>
      <c r="AV93" s="14" t="str">
        <f>IF(AND(ISNUMBER($I93),OR($K93="Milestone",$K93="Deadline"),$I93&gt;=AV$4,$I93&lt;AV$4+7),IF($K93="Deadline","◇","◆"),"")</f>
        <v/>
      </c>
      <c r="AW93" s="14" t="str">
        <f>IF(AND(ISNUMBER($I93),OR($K93="Milestone",$K93="Deadline"),$I93&gt;=AW$4,$I93&lt;AW$4+7),IF($K93="Deadline","◇","◆"),"")</f>
        <v/>
      </c>
      <c r="AX93" s="14" t="str">
        <f>IF(AND(ISNUMBER($I93),OR($K93="Milestone",$K93="Deadline"),$I93&gt;=AX$4,$I93&lt;AX$4+7),IF($K93="Deadline","◇","◆"),"")</f>
        <v/>
      </c>
      <c r="AY93" s="14" t="str">
        <f>IF(AND(ISNUMBER($I93),OR($K93="Milestone",$K93="Deadline"),$I93&gt;=AY$4,$I93&lt;AY$4+7),IF($K93="Deadline","◇","◆"),"")</f>
        <v/>
      </c>
      <c r="AZ93" s="14" t="str">
        <f>IF(AND(ISNUMBER($I93),OR($K93="Milestone",$K93="Deadline"),$I93&gt;=AZ$4,$I93&lt;AZ$4+7),IF($K93="Deadline","◇","◆"),"")</f>
        <v/>
      </c>
      <c r="BA93" s="14" t="str">
        <f>IF(AND(ISNUMBER($I93),OR($K93="Milestone",$K93="Deadline"),$I93&gt;=BA$4,$I93&lt;BA$4+7),IF($K93="Deadline","◇","◆"),"")</f>
        <v/>
      </c>
      <c r="BB93" s="14" t="str">
        <f>IF(AND(ISNUMBER($I93),OR($K93="Milestone",$K93="Deadline"),$I93&gt;=BB$4,$I93&lt;BB$4+7),IF($K93="Deadline","◇","◆"),"")</f>
        <v/>
      </c>
      <c r="BC93" s="14" t="str">
        <f>IF(AND(ISNUMBER($I93),OR($K93="Milestone",$K93="Deadline"),$I93&gt;=BC$4,$I93&lt;BC$4+7),IF($K93="Deadline","◇","◆"),"")</f>
        <v/>
      </c>
      <c r="BD93" s="14" t="str">
        <f>IF(AND(ISNUMBER($I93),OR($K93="Milestone",$K93="Deadline"),$I93&gt;=BD$4,$I93&lt;BD$4+7),IF($K93="Deadline","◇","◆"),"")</f>
        <v/>
      </c>
      <c r="BE93" s="14" t="str">
        <f>IF(AND(ISNUMBER($I93),OR($K93="Milestone",$K93="Deadline"),$I93&gt;=BE$4,$I93&lt;BE$4+7),IF($K93="Deadline","◇","◆"),"")</f>
        <v/>
      </c>
      <c r="BF93" s="14" t="str">
        <f>IF(AND(ISNUMBER($I93),OR($K93="Milestone",$K93="Deadline"),$I93&gt;=BF$4,$I93&lt;BF$4+7),IF($K93="Deadline","◇","◆"),"")</f>
        <v/>
      </c>
      <c r="BG93" s="14" t="str">
        <f>IF(AND(ISNUMBER($I93),OR($K93="Milestone",$K93="Deadline"),$I93&gt;=BG$4,$I93&lt;BG$4+7),IF($K93="Deadline","◇","◆"),"")</f>
        <v/>
      </c>
      <c r="BH93" s="14" t="str">
        <f>IF(AND(ISNUMBER($I93),OR($K93="Milestone",$K93="Deadline"),$I93&gt;=BH$4,$I93&lt;BH$4+7),IF($K93="Deadline","◇","◆"),"")</f>
        <v/>
      </c>
      <c r="BI93" s="14" t="str">
        <f>IF(AND(ISNUMBER($I93),OR($K93="Milestone",$K93="Deadline"),$I93&gt;=BI$4,$I93&lt;BI$4+7),IF($K93="Deadline","◇","◆"),"")</f>
        <v/>
      </c>
      <c r="BJ93" s="14" t="str">
        <f>IF(AND(ISNUMBER($I93),OR($K93="Milestone",$K93="Deadline"),$I93&gt;=BJ$4,$I93&lt;BJ$4+7),IF($K93="Deadline","◇","◆"),"")</f>
        <v/>
      </c>
      <c r="BK93" s="14" t="str">
        <f>IF(AND(ISNUMBER($I93),OR($K93="Milestone",$K93="Deadline"),$I93&gt;=BK$4,$I93&lt;BK$4+7),IF($K93="Deadline","◇","◆"),"")</f>
        <v/>
      </c>
      <c r="BL93" s="14" t="str">
        <f>IF(AND(ISNUMBER($I93),OR($K93="Milestone",$K93="Deadline"),$I93&gt;=BL$4,$I93&lt;BL$4+7),IF($K93="Deadline","◇","◆"),"")</f>
        <v/>
      </c>
      <c r="BM93" s="14" t="str">
        <f>IF(AND(ISNUMBER($I93),OR($K93="Milestone",$K93="Deadline"),$I93&gt;=BM$4,$I93&lt;BM$4+7),IF($K93="Deadline","◇","◆"),"")</f>
        <v/>
      </c>
      <c r="BN93" s="14" t="str">
        <f>IF(AND(ISNUMBER($I93),OR($K93="Milestone",$K93="Deadline"),$I93&gt;=BN$4,$I93&lt;BN$4+7),IF($K93="Deadline","◇","◆"),"")</f>
        <v/>
      </c>
      <c r="BO93" s="14" t="str">
        <f>IF(AND(ISNUMBER($I93),OR($K93="Milestone",$K93="Deadline"),$I93&gt;=BO$4,$I93&lt;BO$4+7),IF($K93="Deadline","◇","◆"),"")</f>
        <v/>
      </c>
      <c r="BP93" s="14" t="str">
        <f>IF(AND(ISNUMBER($I93),OR($K93="Milestone",$K93="Deadline"),$I93&gt;=BP$4,$I93&lt;BP$4+7),IF($K93="Deadline","◇","◆"),"")</f>
        <v/>
      </c>
      <c r="BQ93" s="14" t="str">
        <f>IF(AND(ISNUMBER($I93),OR($K93="Milestone",$K93="Deadline"),$I93&gt;=BQ$4,$I93&lt;BQ$4+7),IF($K93="Deadline","◇","◆"),"")</f>
        <v/>
      </c>
      <c r="BR93" s="14" t="str">
        <f>IF(AND(ISNUMBER($I93),OR($K93="Milestone",$K93="Deadline"),$I93&gt;=BR$4,$I93&lt;BR$4+7),IF($K93="Deadline","◇","◆"),"")</f>
        <v/>
      </c>
      <c r="BS93" s="14" t="str">
        <f>IF(AND(ISNUMBER($I93),OR($K93="Milestone",$K93="Deadline"),$I93&gt;=BS$4,$I93&lt;BS$4+7),IF($K93="Deadline","◇","◆"),"")</f>
        <v/>
      </c>
      <c r="BT93" s="14" t="str">
        <f>IF(AND(ISNUMBER($I93),OR($K93="Milestone",$K93="Deadline"),$I93&gt;=BT$4,$I93&lt;BT$4+7),IF($K93="Deadline","◇","◆"),"")</f>
        <v/>
      </c>
      <c r="BU93" s="14" t="str">
        <f>IF(AND(ISNUMBER($I93),OR($K93="Milestone",$K93="Deadline"),$I93&gt;=BU$4,$I93&lt;BU$4+7),IF($K93="Deadline","◇","◆"),"")</f>
        <v/>
      </c>
      <c r="BV93" s="14" t="str">
        <f>IF(AND(ISNUMBER($I93),OR($K93="Milestone",$K93="Deadline"),$I93&gt;=BV$4,$I93&lt;BV$4+7),IF($K93="Deadline","◇","◆"),"")</f>
        <v/>
      </c>
      <c r="BW93" s="14" t="str">
        <f>IF(AND(ISNUMBER($I93),OR($K93="Milestone",$K93="Deadline"),$I93&gt;=BW$4,$I93&lt;BW$4+7),IF($K93="Deadline","◇","◆"),"")</f>
        <v/>
      </c>
      <c r="BX93" s="14" t="str">
        <f>IF(AND(ISNUMBER($I93),OR($K93="Milestone",$K93="Deadline"),$I93&gt;=BX$4,$I93&lt;BX$4+7),IF($K93="Deadline","◇","◆"),"")</f>
        <v/>
      </c>
      <c r="BY93" s="14" t="str">
        <f>IF(AND(ISNUMBER($I93),OR($K93="Milestone",$K93="Deadline"),$I93&gt;=BY$4,$I93&lt;BY$4+7),IF($K93="Deadline","◇","◆"),"")</f>
        <v/>
      </c>
      <c r="BZ93" s="14" t="str">
        <f>IF(AND(ISNUMBER($I93),OR($K93="Milestone",$K93="Deadline"),$I93&gt;=BZ$4,$I93&lt;BZ$4+7),IF($K93="Deadline","◇","◆"),"")</f>
        <v/>
      </c>
      <c r="CA93" s="14" t="str">
        <f>IF(AND(ISNUMBER($I93),OR($K93="Milestone",$K93="Deadline"),$I93&gt;=CA$4,$I93&lt;CA$4+7),IF($K93="Deadline","◇","◆"),"")</f>
        <v/>
      </c>
      <c r="CB93" s="14" t="str">
        <f>IF(AND(ISNUMBER($I93),OR($K93="Milestone",$K93="Deadline"),$I93&gt;=CB$4,$I93&lt;CB$4+7),IF($K93="Deadline","◇","◆"),"")</f>
        <v/>
      </c>
      <c r="CC93" s="14" t="str">
        <f>IF(AND(ISNUMBER($I93),OR($K93="Milestone",$K93="Deadline"),$I93&gt;=CC$4,$I93&lt;CC$4+7),IF($K93="Deadline","◇","◆"),"")</f>
        <v/>
      </c>
      <c r="CD93" s="14" t="str">
        <f>IF(AND(ISNUMBER($I93),OR($K93="Milestone",$K93="Deadline"),$I93&gt;=CD$4,$I93&lt;CD$4+7),IF($K93="Deadline","◇","◆"),"")</f>
        <v/>
      </c>
      <c r="CE93" s="14" t="str">
        <f>IF(AND(ISNUMBER($I93),OR($K93="Milestone",$K93="Deadline"),$I93&gt;=CE$4,$I93&lt;CE$4+7),IF($K93="Deadline","◇","◆"),"")</f>
        <v/>
      </c>
      <c r="CF93" s="14" t="str">
        <f>IF(AND(ISNUMBER($I93),OR($K93="Milestone",$K93="Deadline"),$I93&gt;=CF$4,$I93&lt;CF$4+7),IF($K93="Deadline","◇","◆"),"")</f>
        <v/>
      </c>
      <c r="CG93" s="14" t="str">
        <f>IF(AND(ISNUMBER($I93),OR($K93="Milestone",$K93="Deadline"),$I93&gt;=CG$4,$I93&lt;CG$4+7),IF($K93="Deadline","◇","◆"),"")</f>
        <v/>
      </c>
      <c r="CH93" s="14" t="str">
        <f>IF(AND(ISNUMBER($I93),OR($K93="Milestone",$K93="Deadline"),$I93&gt;=CH$4,$I93&lt;CH$4+7),IF($K93="Deadline","◇","◆"),"")</f>
        <v/>
      </c>
      <c r="CI93" s="14" t="str">
        <f>IF(AND(ISNUMBER($I93),OR($K93="Milestone",$K93="Deadline"),$I93&gt;=CI$4,$I93&lt;CI$4+7),IF($K93="Deadline","◇","◆"),"")</f>
        <v/>
      </c>
      <c r="CJ93" s="14" t="str">
        <f>IF(AND(ISNUMBER($I93),OR($K93="Milestone",$K93="Deadline"),$I93&gt;=CJ$4,$I93&lt;CJ$4+7),IF($K93="Deadline","◇","◆"),"")</f>
        <v/>
      </c>
      <c r="CK93" s="14" t="str">
        <f>IF(AND(ISNUMBER($I93),OR($K93="Milestone",$K93="Deadline"),$I93&gt;=CK$4,$I93&lt;CK$4+7),IF($K93="Deadline","◇","◆"),"")</f>
        <v/>
      </c>
      <c r="CL93" s="14" t="str">
        <f>IF(AND(ISNUMBER($I93),OR($K93="Milestone",$K93="Deadline"),$I93&gt;=CL$4,$I93&lt;CL$4+7),IF($K93="Deadline","◇","◆"),"")</f>
        <v/>
      </c>
      <c r="CM93" s="14" t="str">
        <f>IF(AND(ISNUMBER($I93),OR($K93="Milestone",$K93="Deadline"),$I93&gt;=CM$4,$I93&lt;CM$4+7),IF($K93="Deadline","◇","◆"),"")</f>
        <v/>
      </c>
    </row>
    <row r="94" spans="1:91" ht="15" customHeight="1">
      <c r="A94" s="24" t="s">
        <v>280</v>
      </c>
      <c r="B94" s="24" t="s">
        <v>271</v>
      </c>
      <c r="C94" s="24" t="s">
        <v>63</v>
      </c>
      <c r="D94" s="24" t="s">
        <v>195</v>
      </c>
      <c r="E94" s="24" t="s">
        <v>281</v>
      </c>
      <c r="F94" s="24" t="s">
        <v>204</v>
      </c>
      <c r="G94" s="24" t="s">
        <v>198</v>
      </c>
      <c r="H94" s="24">
        <v>7</v>
      </c>
      <c r="I94" s="25">
        <f>MAX(DATE(2026,11,16),J80+1,J80+1)</f>
        <v>46361</v>
      </c>
      <c r="J94" s="26">
        <f>IF(AND(ISNUMBER(I94),ISNUMBER(H94)),I94+H94-1,"")</f>
        <v>46367</v>
      </c>
      <c r="K94" s="24" t="s">
        <v>27</v>
      </c>
      <c r="L94" s="24" t="s">
        <v>249</v>
      </c>
      <c r="M94" s="27" t="s">
        <v>249</v>
      </c>
      <c r="N94" s="24"/>
      <c r="O94" s="27">
        <f>IF(AND(ISNUMBER(I94),ISNUMBER(J94)),J94-I94+1,"")</f>
        <v>7</v>
      </c>
      <c r="P94" s="13"/>
      <c r="Q94" s="13" t="s">
        <v>140</v>
      </c>
      <c r="R94" s="13"/>
      <c r="S94" s="13"/>
      <c r="T94" s="13"/>
      <c r="U94" s="13"/>
      <c r="V94" s="13"/>
      <c r="W94" s="13" t="s">
        <v>140</v>
      </c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  <c r="AO94" s="14" t="str">
        <f>IF(AND(ISNUMBER($I94),OR($K94="Milestone",$K94="Deadline"),$I94&gt;=AO$4,$I94&lt;AO$4+7),IF($K94="Deadline","◇","◆"),"")</f>
        <v/>
      </c>
      <c r="AP94" s="14" t="str">
        <f>IF(AND(ISNUMBER($I94),OR($K94="Milestone",$K94="Deadline"),$I94&gt;=AP$4,$I94&lt;AP$4+7),IF($K94="Deadline","◇","◆"),"")</f>
        <v/>
      </c>
      <c r="AQ94" s="14" t="str">
        <f>IF(AND(ISNUMBER($I94),OR($K94="Milestone",$K94="Deadline"),$I94&gt;=AQ$4,$I94&lt;AQ$4+7),IF($K94="Deadline","◇","◆"),"")</f>
        <v/>
      </c>
      <c r="AR94" s="14" t="str">
        <f>IF(AND(ISNUMBER($I94),OR($K94="Milestone",$K94="Deadline"),$I94&gt;=AR$4,$I94&lt;AR$4+7),IF($K94="Deadline","◇","◆"),"")</f>
        <v/>
      </c>
      <c r="AS94" s="14" t="str">
        <f>IF(AND(ISNUMBER($I94),OR($K94="Milestone",$K94="Deadline"),$I94&gt;=AS$4,$I94&lt;AS$4+7),IF($K94="Deadline","◇","◆"),"")</f>
        <v/>
      </c>
      <c r="AT94" s="14" t="str">
        <f>IF(AND(ISNUMBER($I94),OR($K94="Milestone",$K94="Deadline"),$I94&gt;=AT$4,$I94&lt;AT$4+7),IF($K94="Deadline","◇","◆"),"")</f>
        <v/>
      </c>
      <c r="AU94" s="14" t="str">
        <f>IF(AND(ISNUMBER($I94),OR($K94="Milestone",$K94="Deadline"),$I94&gt;=AU$4,$I94&lt;AU$4+7),IF($K94="Deadline","◇","◆"),"")</f>
        <v/>
      </c>
      <c r="AV94" s="14" t="str">
        <f>IF(AND(ISNUMBER($I94),OR($K94="Milestone",$K94="Deadline"),$I94&gt;=AV$4,$I94&lt;AV$4+7),IF($K94="Deadline","◇","◆"),"")</f>
        <v/>
      </c>
      <c r="AW94" s="14" t="str">
        <f>IF(AND(ISNUMBER($I94),OR($K94="Milestone",$K94="Deadline"),$I94&gt;=AW$4,$I94&lt;AW$4+7),IF($K94="Deadline","◇","◆"),"")</f>
        <v/>
      </c>
      <c r="AX94" s="14" t="str">
        <f>IF(AND(ISNUMBER($I94),OR($K94="Milestone",$K94="Deadline"),$I94&gt;=AX$4,$I94&lt;AX$4+7),IF($K94="Deadline","◇","◆"),"")</f>
        <v/>
      </c>
      <c r="AY94" s="14" t="str">
        <f>IF(AND(ISNUMBER($I94),OR($K94="Milestone",$K94="Deadline"),$I94&gt;=AY$4,$I94&lt;AY$4+7),IF($K94="Deadline","◇","◆"),"")</f>
        <v/>
      </c>
      <c r="AZ94" s="14" t="str">
        <f>IF(AND(ISNUMBER($I94),OR($K94="Milestone",$K94="Deadline"),$I94&gt;=AZ$4,$I94&lt;AZ$4+7),IF($K94="Deadline","◇","◆"),"")</f>
        <v/>
      </c>
      <c r="BA94" s="14" t="str">
        <f>IF(AND(ISNUMBER($I94),OR($K94="Milestone",$K94="Deadline"),$I94&gt;=BA$4,$I94&lt;BA$4+7),IF($K94="Deadline","◇","◆"),"")</f>
        <v/>
      </c>
      <c r="BB94" s="14" t="str">
        <f>IF(AND(ISNUMBER($I94),OR($K94="Milestone",$K94="Deadline"),$I94&gt;=BB$4,$I94&lt;BB$4+7),IF($K94="Deadline","◇","◆"),"")</f>
        <v/>
      </c>
      <c r="BC94" s="14" t="str">
        <f>IF(AND(ISNUMBER($I94),OR($K94="Milestone",$K94="Deadline"),$I94&gt;=BC$4,$I94&lt;BC$4+7),IF($K94="Deadline","◇","◆"),"")</f>
        <v/>
      </c>
      <c r="BD94" s="14" t="str">
        <f>IF(AND(ISNUMBER($I94),OR($K94="Milestone",$K94="Deadline"),$I94&gt;=BD$4,$I94&lt;BD$4+7),IF($K94="Deadline","◇","◆"),"")</f>
        <v/>
      </c>
      <c r="BE94" s="14" t="str">
        <f>IF(AND(ISNUMBER($I94),OR($K94="Milestone",$K94="Deadline"),$I94&gt;=BE$4,$I94&lt;BE$4+7),IF($K94="Deadline","◇","◆"),"")</f>
        <v/>
      </c>
      <c r="BF94" s="14" t="str">
        <f>IF(AND(ISNUMBER($I94),OR($K94="Milestone",$K94="Deadline"),$I94&gt;=BF$4,$I94&lt;BF$4+7),IF($K94="Deadline","◇","◆"),"")</f>
        <v/>
      </c>
      <c r="BG94" s="14" t="str">
        <f>IF(AND(ISNUMBER($I94),OR($K94="Milestone",$K94="Deadline"),$I94&gt;=BG$4,$I94&lt;BG$4+7),IF($K94="Deadline","◇","◆"),"")</f>
        <v/>
      </c>
      <c r="BH94" s="14" t="str">
        <f>IF(AND(ISNUMBER($I94),OR($K94="Milestone",$K94="Deadline"),$I94&gt;=BH$4,$I94&lt;BH$4+7),IF($K94="Deadline","◇","◆"),"")</f>
        <v/>
      </c>
      <c r="BI94" s="14" t="str">
        <f>IF(AND(ISNUMBER($I94),OR($K94="Milestone",$K94="Deadline"),$I94&gt;=BI$4,$I94&lt;BI$4+7),IF($K94="Deadline","◇","◆"),"")</f>
        <v/>
      </c>
      <c r="BJ94" s="14" t="str">
        <f>IF(AND(ISNUMBER($I94),OR($K94="Milestone",$K94="Deadline"),$I94&gt;=BJ$4,$I94&lt;BJ$4+7),IF($K94="Deadline","◇","◆"),"")</f>
        <v/>
      </c>
      <c r="BK94" s="14" t="str">
        <f>IF(AND(ISNUMBER($I94),OR($K94="Milestone",$K94="Deadline"),$I94&gt;=BK$4,$I94&lt;BK$4+7),IF($K94="Deadline","◇","◆"),"")</f>
        <v/>
      </c>
      <c r="BL94" s="14" t="str">
        <f>IF(AND(ISNUMBER($I94),OR($K94="Milestone",$K94="Deadline"),$I94&gt;=BL$4,$I94&lt;BL$4+7),IF($K94="Deadline","◇","◆"),"")</f>
        <v/>
      </c>
      <c r="BM94" s="14" t="str">
        <f>IF(AND(ISNUMBER($I94),OR($K94="Milestone",$K94="Deadline"),$I94&gt;=BM$4,$I94&lt;BM$4+7),IF($K94="Deadline","◇","◆"),"")</f>
        <v/>
      </c>
      <c r="BN94" s="14" t="str">
        <f>IF(AND(ISNUMBER($I94),OR($K94="Milestone",$K94="Deadline"),$I94&gt;=BN$4,$I94&lt;BN$4+7),IF($K94="Deadline","◇","◆"),"")</f>
        <v/>
      </c>
      <c r="BO94" s="14" t="str">
        <f>IF(AND(ISNUMBER($I94),OR($K94="Milestone",$K94="Deadline"),$I94&gt;=BO$4,$I94&lt;BO$4+7),IF($K94="Deadline","◇","◆"),"")</f>
        <v/>
      </c>
      <c r="BP94" s="14" t="str">
        <f>IF(AND(ISNUMBER($I94),OR($K94="Milestone",$K94="Deadline"),$I94&gt;=BP$4,$I94&lt;BP$4+7),IF($K94="Deadline","◇","◆"),"")</f>
        <v/>
      </c>
      <c r="BQ94" s="14" t="str">
        <f>IF(AND(ISNUMBER($I94),OR($K94="Milestone",$K94="Deadline"),$I94&gt;=BQ$4,$I94&lt;BQ$4+7),IF($K94="Deadline","◇","◆"),"")</f>
        <v/>
      </c>
      <c r="BR94" s="14" t="str">
        <f>IF(AND(ISNUMBER($I94),OR($K94="Milestone",$K94="Deadline"),$I94&gt;=BR$4,$I94&lt;BR$4+7),IF($K94="Deadline","◇","◆"),"")</f>
        <v/>
      </c>
      <c r="BS94" s="14" t="str">
        <f>IF(AND(ISNUMBER($I94),OR($K94="Milestone",$K94="Deadline"),$I94&gt;=BS$4,$I94&lt;BS$4+7),IF($K94="Deadline","◇","◆"),"")</f>
        <v/>
      </c>
      <c r="BT94" s="14" t="str">
        <f>IF(AND(ISNUMBER($I94),OR($K94="Milestone",$K94="Deadline"),$I94&gt;=BT$4,$I94&lt;BT$4+7),IF($K94="Deadline","◇","◆"),"")</f>
        <v/>
      </c>
      <c r="BU94" s="14" t="str">
        <f>IF(AND(ISNUMBER($I94),OR($K94="Milestone",$K94="Deadline"),$I94&gt;=BU$4,$I94&lt;BU$4+7),IF($K94="Deadline","◇","◆"),"")</f>
        <v/>
      </c>
      <c r="BV94" s="14" t="str">
        <f>IF(AND(ISNUMBER($I94),OR($K94="Milestone",$K94="Deadline"),$I94&gt;=BV$4,$I94&lt;BV$4+7),IF($K94="Deadline","◇","◆"),"")</f>
        <v/>
      </c>
      <c r="BW94" s="14" t="str">
        <f>IF(AND(ISNUMBER($I94),OR($K94="Milestone",$K94="Deadline"),$I94&gt;=BW$4,$I94&lt;BW$4+7),IF($K94="Deadline","◇","◆"),"")</f>
        <v/>
      </c>
      <c r="BX94" s="14" t="str">
        <f>IF(AND(ISNUMBER($I94),OR($K94="Milestone",$K94="Deadline"),$I94&gt;=BX$4,$I94&lt;BX$4+7),IF($K94="Deadline","◇","◆"),"")</f>
        <v/>
      </c>
      <c r="BY94" s="14" t="str">
        <f>IF(AND(ISNUMBER($I94),OR($K94="Milestone",$K94="Deadline"),$I94&gt;=BY$4,$I94&lt;BY$4+7),IF($K94="Deadline","◇","◆"),"")</f>
        <v/>
      </c>
      <c r="BZ94" s="14" t="str">
        <f>IF(AND(ISNUMBER($I94),OR($K94="Milestone",$K94="Deadline"),$I94&gt;=BZ$4,$I94&lt;BZ$4+7),IF($K94="Deadline","◇","◆"),"")</f>
        <v/>
      </c>
      <c r="CA94" s="14" t="str">
        <f>IF(AND(ISNUMBER($I94),OR($K94="Milestone",$K94="Deadline"),$I94&gt;=CA$4,$I94&lt;CA$4+7),IF($K94="Deadline","◇","◆"),"")</f>
        <v/>
      </c>
      <c r="CB94" s="14" t="str">
        <f>IF(AND(ISNUMBER($I94),OR($K94="Milestone",$K94="Deadline"),$I94&gt;=CB$4,$I94&lt;CB$4+7),IF($K94="Deadline","◇","◆"),"")</f>
        <v/>
      </c>
      <c r="CC94" s="14" t="str">
        <f>IF(AND(ISNUMBER($I94),OR($K94="Milestone",$K94="Deadline"),$I94&gt;=CC$4,$I94&lt;CC$4+7),IF($K94="Deadline","◇","◆"),"")</f>
        <v/>
      </c>
      <c r="CD94" s="14" t="str">
        <f>IF(AND(ISNUMBER($I94),OR($K94="Milestone",$K94="Deadline"),$I94&gt;=CD$4,$I94&lt;CD$4+7),IF($K94="Deadline","◇","◆"),"")</f>
        <v/>
      </c>
      <c r="CE94" s="14" t="str">
        <f>IF(AND(ISNUMBER($I94),OR($K94="Milestone",$K94="Deadline"),$I94&gt;=CE$4,$I94&lt;CE$4+7),IF($K94="Deadline","◇","◆"),"")</f>
        <v/>
      </c>
      <c r="CF94" s="14" t="str">
        <f>IF(AND(ISNUMBER($I94),OR($K94="Milestone",$K94="Deadline"),$I94&gt;=CF$4,$I94&lt;CF$4+7),IF($K94="Deadline","◇","◆"),"")</f>
        <v/>
      </c>
      <c r="CG94" s="14" t="str">
        <f>IF(AND(ISNUMBER($I94),OR($K94="Milestone",$K94="Deadline"),$I94&gt;=CG$4,$I94&lt;CG$4+7),IF($K94="Deadline","◇","◆"),"")</f>
        <v/>
      </c>
      <c r="CH94" s="14" t="str">
        <f>IF(AND(ISNUMBER($I94),OR($K94="Milestone",$K94="Deadline"),$I94&gt;=CH$4,$I94&lt;CH$4+7),IF($K94="Deadline","◇","◆"),"")</f>
        <v/>
      </c>
      <c r="CI94" s="14" t="str">
        <f>IF(AND(ISNUMBER($I94),OR($K94="Milestone",$K94="Deadline"),$I94&gt;=CI$4,$I94&lt;CI$4+7),IF($K94="Deadline","◇","◆"),"")</f>
        <v/>
      </c>
      <c r="CJ94" s="14" t="str">
        <f>IF(AND(ISNUMBER($I94),OR($K94="Milestone",$K94="Deadline"),$I94&gt;=CJ$4,$I94&lt;CJ$4+7),IF($K94="Deadline","◇","◆"),"")</f>
        <v/>
      </c>
      <c r="CK94" s="14" t="str">
        <f>IF(AND(ISNUMBER($I94),OR($K94="Milestone",$K94="Deadline"),$I94&gt;=CK$4,$I94&lt;CK$4+7),IF($K94="Deadline","◇","◆"),"")</f>
        <v/>
      </c>
      <c r="CL94" s="14" t="str">
        <f>IF(AND(ISNUMBER($I94),OR($K94="Milestone",$K94="Deadline"),$I94&gt;=CL$4,$I94&lt;CL$4+7),IF($K94="Deadline","◇","◆"),"")</f>
        <v/>
      </c>
      <c r="CM94" s="14" t="str">
        <f>IF(AND(ISNUMBER($I94),OR($K94="Milestone",$K94="Deadline"),$I94&gt;=CM$4,$I94&lt;CM$4+7),IF($K94="Deadline","◇","◆"),"")</f>
        <v/>
      </c>
    </row>
    <row r="95" spans="1:91" ht="15" hidden="1" customHeight="1">
      <c r="A95" s="24" t="s">
        <v>282</v>
      </c>
      <c r="B95" s="24" t="s">
        <v>271</v>
      </c>
      <c r="C95" s="24" t="s">
        <v>63</v>
      </c>
      <c r="D95" s="24" t="s">
        <v>195</v>
      </c>
      <c r="E95" s="24" t="s">
        <v>281</v>
      </c>
      <c r="F95" s="24" t="s">
        <v>204</v>
      </c>
      <c r="G95" s="24" t="s">
        <v>173</v>
      </c>
      <c r="H95" s="24">
        <v>7</v>
      </c>
      <c r="I95" s="28">
        <v>46364</v>
      </c>
      <c r="J95" s="26">
        <f>IF(AND(ISNUMBER(I95),ISNUMBER(H95)),I95+H95-1,"")</f>
        <v>46370</v>
      </c>
      <c r="K95" s="24" t="s">
        <v>27</v>
      </c>
      <c r="L95" s="24"/>
      <c r="M95" s="27"/>
      <c r="N95" s="24"/>
      <c r="O95" s="27">
        <f>IF(AND(ISNUMBER(I95),ISNUMBER(J95)),J95-I95+1,"")</f>
        <v>7</v>
      </c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 t="s">
        <v>140</v>
      </c>
      <c r="AL95" s="13"/>
      <c r="AM95" s="13"/>
      <c r="AN95" s="13"/>
      <c r="AO95" s="14" t="str">
        <f>IF(AND(ISNUMBER($I95),OR($K95="Milestone",$K95="Deadline"),$I95&gt;=AO$4,$I95&lt;AO$4+7),IF($K95="Deadline","◇","◆"),"")</f>
        <v/>
      </c>
      <c r="AP95" s="14" t="str">
        <f>IF(AND(ISNUMBER($I95),OR($K95="Milestone",$K95="Deadline"),$I95&gt;=AP$4,$I95&lt;AP$4+7),IF($K95="Deadline","◇","◆"),"")</f>
        <v/>
      </c>
      <c r="AQ95" s="14" t="str">
        <f>IF(AND(ISNUMBER($I95),OR($K95="Milestone",$K95="Deadline"),$I95&gt;=AQ$4,$I95&lt;AQ$4+7),IF($K95="Deadline","◇","◆"),"")</f>
        <v/>
      </c>
      <c r="AR95" s="14" t="str">
        <f>IF(AND(ISNUMBER($I95),OR($K95="Milestone",$K95="Deadline"),$I95&gt;=AR$4,$I95&lt;AR$4+7),IF($K95="Deadline","◇","◆"),"")</f>
        <v/>
      </c>
      <c r="AS95" s="14" t="str">
        <f>IF(AND(ISNUMBER($I95),OR($K95="Milestone",$K95="Deadline"),$I95&gt;=AS$4,$I95&lt;AS$4+7),IF($K95="Deadline","◇","◆"),"")</f>
        <v/>
      </c>
      <c r="AT95" s="14" t="str">
        <f>IF(AND(ISNUMBER($I95),OR($K95="Milestone",$K95="Deadline"),$I95&gt;=AT$4,$I95&lt;AT$4+7),IF($K95="Deadline","◇","◆"),"")</f>
        <v/>
      </c>
      <c r="AU95" s="14" t="str">
        <f>IF(AND(ISNUMBER($I95),OR($K95="Milestone",$K95="Deadline"),$I95&gt;=AU$4,$I95&lt;AU$4+7),IF($K95="Deadline","◇","◆"),"")</f>
        <v/>
      </c>
      <c r="AV95" s="14" t="str">
        <f>IF(AND(ISNUMBER($I95),OR($K95="Milestone",$K95="Deadline"),$I95&gt;=AV$4,$I95&lt;AV$4+7),IF($K95="Deadline","◇","◆"),"")</f>
        <v/>
      </c>
      <c r="AW95" s="14" t="str">
        <f>IF(AND(ISNUMBER($I95),OR($K95="Milestone",$K95="Deadline"),$I95&gt;=AW$4,$I95&lt;AW$4+7),IF($K95="Deadline","◇","◆"),"")</f>
        <v/>
      </c>
      <c r="AX95" s="14" t="str">
        <f>IF(AND(ISNUMBER($I95),OR($K95="Milestone",$K95="Deadline"),$I95&gt;=AX$4,$I95&lt;AX$4+7),IF($K95="Deadline","◇","◆"),"")</f>
        <v/>
      </c>
      <c r="AY95" s="14" t="str">
        <f>IF(AND(ISNUMBER($I95),OR($K95="Milestone",$K95="Deadline"),$I95&gt;=AY$4,$I95&lt;AY$4+7),IF($K95="Deadline","◇","◆"),"")</f>
        <v/>
      </c>
      <c r="AZ95" s="14" t="str">
        <f>IF(AND(ISNUMBER($I95),OR($K95="Milestone",$K95="Deadline"),$I95&gt;=AZ$4,$I95&lt;AZ$4+7),IF($K95="Deadline","◇","◆"),"")</f>
        <v/>
      </c>
      <c r="BA95" s="14" t="str">
        <f>IF(AND(ISNUMBER($I95),OR($K95="Milestone",$K95="Deadline"),$I95&gt;=BA$4,$I95&lt;BA$4+7),IF($K95="Deadline","◇","◆"),"")</f>
        <v/>
      </c>
      <c r="BB95" s="14" t="str">
        <f>IF(AND(ISNUMBER($I95),OR($K95="Milestone",$K95="Deadline"),$I95&gt;=BB$4,$I95&lt;BB$4+7),IF($K95="Deadline","◇","◆"),"")</f>
        <v/>
      </c>
      <c r="BC95" s="14" t="str">
        <f>IF(AND(ISNUMBER($I95),OR($K95="Milestone",$K95="Deadline"),$I95&gt;=BC$4,$I95&lt;BC$4+7),IF($K95="Deadline","◇","◆"),"")</f>
        <v/>
      </c>
      <c r="BD95" s="14" t="str">
        <f>IF(AND(ISNUMBER($I95),OR($K95="Milestone",$K95="Deadline"),$I95&gt;=BD$4,$I95&lt;BD$4+7),IF($K95="Deadline","◇","◆"),"")</f>
        <v/>
      </c>
      <c r="BE95" s="14" t="str">
        <f>IF(AND(ISNUMBER($I95),OR($K95="Milestone",$K95="Deadline"),$I95&gt;=BE$4,$I95&lt;BE$4+7),IF($K95="Deadline","◇","◆"),"")</f>
        <v/>
      </c>
      <c r="BF95" s="14" t="str">
        <f>IF(AND(ISNUMBER($I95),OR($K95="Milestone",$K95="Deadline"),$I95&gt;=BF$4,$I95&lt;BF$4+7),IF($K95="Deadline","◇","◆"),"")</f>
        <v/>
      </c>
      <c r="BG95" s="14" t="str">
        <f>IF(AND(ISNUMBER($I95),OR($K95="Milestone",$K95="Deadline"),$I95&gt;=BG$4,$I95&lt;BG$4+7),IF($K95="Deadline","◇","◆"),"")</f>
        <v/>
      </c>
      <c r="BH95" s="14" t="str">
        <f>IF(AND(ISNUMBER($I95),OR($K95="Milestone",$K95="Deadline"),$I95&gt;=BH$4,$I95&lt;BH$4+7),IF($K95="Deadline","◇","◆"),"")</f>
        <v/>
      </c>
      <c r="BI95" s="14" t="str">
        <f>IF(AND(ISNUMBER($I95),OR($K95="Milestone",$K95="Deadline"),$I95&gt;=BI$4,$I95&lt;BI$4+7),IF($K95="Deadline","◇","◆"),"")</f>
        <v/>
      </c>
      <c r="BJ95" s="14" t="str">
        <f>IF(AND(ISNUMBER($I95),OR($K95="Milestone",$K95="Deadline"),$I95&gt;=BJ$4,$I95&lt;BJ$4+7),IF($K95="Deadline","◇","◆"),"")</f>
        <v/>
      </c>
      <c r="BK95" s="14" t="str">
        <f>IF(AND(ISNUMBER($I95),OR($K95="Milestone",$K95="Deadline"),$I95&gt;=BK$4,$I95&lt;BK$4+7),IF($K95="Deadline","◇","◆"),"")</f>
        <v/>
      </c>
      <c r="BL95" s="14" t="str">
        <f>IF(AND(ISNUMBER($I95),OR($K95="Milestone",$K95="Deadline"),$I95&gt;=BL$4,$I95&lt;BL$4+7),IF($K95="Deadline","◇","◆"),"")</f>
        <v/>
      </c>
      <c r="BM95" s="14" t="str">
        <f>IF(AND(ISNUMBER($I95),OR($K95="Milestone",$K95="Deadline"),$I95&gt;=BM$4,$I95&lt;BM$4+7),IF($K95="Deadline","◇","◆"),"")</f>
        <v/>
      </c>
      <c r="BN95" s="14" t="str">
        <f>IF(AND(ISNUMBER($I95),OR($K95="Milestone",$K95="Deadline"),$I95&gt;=BN$4,$I95&lt;BN$4+7),IF($K95="Deadline","◇","◆"),"")</f>
        <v/>
      </c>
      <c r="BO95" s="14" t="str">
        <f>IF(AND(ISNUMBER($I95),OR($K95="Milestone",$K95="Deadline"),$I95&gt;=BO$4,$I95&lt;BO$4+7),IF($K95="Deadline","◇","◆"),"")</f>
        <v/>
      </c>
      <c r="BP95" s="14" t="str">
        <f>IF(AND(ISNUMBER($I95),OR($K95="Milestone",$K95="Deadline"),$I95&gt;=BP$4,$I95&lt;BP$4+7),IF($K95="Deadline","◇","◆"),"")</f>
        <v/>
      </c>
      <c r="BQ95" s="14" t="str">
        <f>IF(AND(ISNUMBER($I95),OR($K95="Milestone",$K95="Deadline"),$I95&gt;=BQ$4,$I95&lt;BQ$4+7),IF($K95="Deadline","◇","◆"),"")</f>
        <v/>
      </c>
      <c r="BR95" s="14" t="str">
        <f>IF(AND(ISNUMBER($I95),OR($K95="Milestone",$K95="Deadline"),$I95&gt;=BR$4,$I95&lt;BR$4+7),IF($K95="Deadline","◇","◆"),"")</f>
        <v/>
      </c>
      <c r="BS95" s="14" t="str">
        <f>IF(AND(ISNUMBER($I95),OR($K95="Milestone",$K95="Deadline"),$I95&gt;=BS$4,$I95&lt;BS$4+7),IF($K95="Deadline","◇","◆"),"")</f>
        <v/>
      </c>
      <c r="BT95" s="14" t="str">
        <f>IF(AND(ISNUMBER($I95),OR($K95="Milestone",$K95="Deadline"),$I95&gt;=BT$4,$I95&lt;BT$4+7),IF($K95="Deadline","◇","◆"),"")</f>
        <v/>
      </c>
      <c r="BU95" s="14" t="str">
        <f>IF(AND(ISNUMBER($I95),OR($K95="Milestone",$K95="Deadline"),$I95&gt;=BU$4,$I95&lt;BU$4+7),IF($K95="Deadline","◇","◆"),"")</f>
        <v/>
      </c>
      <c r="BV95" s="14" t="str">
        <f>IF(AND(ISNUMBER($I95),OR($K95="Milestone",$K95="Deadline"),$I95&gt;=BV$4,$I95&lt;BV$4+7),IF($K95="Deadline","◇","◆"),"")</f>
        <v/>
      </c>
      <c r="BW95" s="14" t="str">
        <f>IF(AND(ISNUMBER($I95),OR($K95="Milestone",$K95="Deadline"),$I95&gt;=BW$4,$I95&lt;BW$4+7),IF($K95="Deadline","◇","◆"),"")</f>
        <v/>
      </c>
      <c r="BX95" s="14" t="str">
        <f>IF(AND(ISNUMBER($I95),OR($K95="Milestone",$K95="Deadline"),$I95&gt;=BX$4,$I95&lt;BX$4+7),IF($K95="Deadline","◇","◆"),"")</f>
        <v/>
      </c>
      <c r="BY95" s="14" t="str">
        <f>IF(AND(ISNUMBER($I95),OR($K95="Milestone",$K95="Deadline"),$I95&gt;=BY$4,$I95&lt;BY$4+7),IF($K95="Deadline","◇","◆"),"")</f>
        <v/>
      </c>
      <c r="BZ95" s="14" t="str">
        <f>IF(AND(ISNUMBER($I95),OR($K95="Milestone",$K95="Deadline"),$I95&gt;=BZ$4,$I95&lt;BZ$4+7),IF($K95="Deadline","◇","◆"),"")</f>
        <v/>
      </c>
      <c r="CA95" s="14" t="str">
        <f>IF(AND(ISNUMBER($I95),OR($K95="Milestone",$K95="Deadline"),$I95&gt;=CA$4,$I95&lt;CA$4+7),IF($K95="Deadline","◇","◆"),"")</f>
        <v/>
      </c>
      <c r="CB95" s="14" t="str">
        <f>IF(AND(ISNUMBER($I95),OR($K95="Milestone",$K95="Deadline"),$I95&gt;=CB$4,$I95&lt;CB$4+7),IF($K95="Deadline","◇","◆"),"")</f>
        <v/>
      </c>
      <c r="CC95" s="14" t="str">
        <f>IF(AND(ISNUMBER($I95),OR($K95="Milestone",$K95="Deadline"),$I95&gt;=CC$4,$I95&lt;CC$4+7),IF($K95="Deadline","◇","◆"),"")</f>
        <v/>
      </c>
      <c r="CD95" s="14" t="str">
        <f>IF(AND(ISNUMBER($I95),OR($K95="Milestone",$K95="Deadline"),$I95&gt;=CD$4,$I95&lt;CD$4+7),IF($K95="Deadline","◇","◆"),"")</f>
        <v/>
      </c>
      <c r="CE95" s="14" t="str">
        <f>IF(AND(ISNUMBER($I95),OR($K95="Milestone",$K95="Deadline"),$I95&gt;=CE$4,$I95&lt;CE$4+7),IF($K95="Deadline","◇","◆"),"")</f>
        <v/>
      </c>
      <c r="CF95" s="14" t="str">
        <f>IF(AND(ISNUMBER($I95),OR($K95="Milestone",$K95="Deadline"),$I95&gt;=CF$4,$I95&lt;CF$4+7),IF($K95="Deadline","◇","◆"),"")</f>
        <v/>
      </c>
      <c r="CG95" s="14" t="str">
        <f>IF(AND(ISNUMBER($I95),OR($K95="Milestone",$K95="Deadline"),$I95&gt;=CG$4,$I95&lt;CG$4+7),IF($K95="Deadline","◇","◆"),"")</f>
        <v/>
      </c>
      <c r="CH95" s="14" t="str">
        <f>IF(AND(ISNUMBER($I95),OR($K95="Milestone",$K95="Deadline"),$I95&gt;=CH$4,$I95&lt;CH$4+7),IF($K95="Deadline","◇","◆"),"")</f>
        <v/>
      </c>
      <c r="CI95" s="14" t="str">
        <f>IF(AND(ISNUMBER($I95),OR($K95="Milestone",$K95="Deadline"),$I95&gt;=CI$4,$I95&lt;CI$4+7),IF($K95="Deadline","◇","◆"),"")</f>
        <v/>
      </c>
      <c r="CJ95" s="14" t="str">
        <f>IF(AND(ISNUMBER($I95),OR($K95="Milestone",$K95="Deadline"),$I95&gt;=CJ$4,$I95&lt;CJ$4+7),IF($K95="Deadline","◇","◆"),"")</f>
        <v/>
      </c>
      <c r="CK95" s="14" t="str">
        <f>IF(AND(ISNUMBER($I95),OR($K95="Milestone",$K95="Deadline"),$I95&gt;=CK$4,$I95&lt;CK$4+7),IF($K95="Deadline","◇","◆"),"")</f>
        <v/>
      </c>
      <c r="CL95" s="14" t="str">
        <f>IF(AND(ISNUMBER($I95),OR($K95="Milestone",$K95="Deadline"),$I95&gt;=CL$4,$I95&lt;CL$4+7),IF($K95="Deadline","◇","◆"),"")</f>
        <v/>
      </c>
      <c r="CM95" s="14" t="str">
        <f>IF(AND(ISNUMBER($I95),OR($K95="Milestone",$K95="Deadline"),$I95&gt;=CM$4,$I95&lt;CM$4+7),IF($K95="Deadline","◇","◆"),"")</f>
        <v/>
      </c>
    </row>
    <row r="96" spans="1:91" ht="15" hidden="1" customHeight="1">
      <c r="A96" s="24" t="s">
        <v>283</v>
      </c>
      <c r="B96" s="24" t="s">
        <v>271</v>
      </c>
      <c r="C96" s="24" t="s">
        <v>63</v>
      </c>
      <c r="D96" s="24" t="s">
        <v>195</v>
      </c>
      <c r="E96" s="24" t="s">
        <v>281</v>
      </c>
      <c r="F96" s="24" t="s">
        <v>204</v>
      </c>
      <c r="G96" s="24" t="s">
        <v>176</v>
      </c>
      <c r="H96" s="24">
        <v>7</v>
      </c>
      <c r="I96" s="25">
        <f>MAX($C$2,J94+1)</f>
        <v>46368</v>
      </c>
      <c r="J96" s="26">
        <f>IF(AND(ISNUMBER(I96),ISNUMBER(H96)),I96+H96-1,"")</f>
        <v>46374</v>
      </c>
      <c r="K96" s="24" t="s">
        <v>27</v>
      </c>
      <c r="L96" s="24" t="s">
        <v>280</v>
      </c>
      <c r="M96" s="27"/>
      <c r="N96" s="24"/>
      <c r="O96" s="27">
        <f>IF(AND(ISNUMBER(I96),ISNUMBER(J96)),J96-I96+1,"")</f>
        <v>7</v>
      </c>
      <c r="P96" s="13"/>
      <c r="Q96" s="13"/>
      <c r="R96" s="13"/>
      <c r="S96" s="13"/>
      <c r="T96" s="13"/>
      <c r="U96" s="13"/>
      <c r="V96" s="13"/>
      <c r="W96" s="13" t="s">
        <v>140</v>
      </c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14" t="str">
        <f>IF(AND(ISNUMBER($I96),OR($K96="Milestone",$K96="Deadline"),$I96&gt;=AO$4,$I96&lt;AO$4+7),IF($K96="Deadline","◇","◆"),"")</f>
        <v/>
      </c>
      <c r="AP96" s="14" t="str">
        <f>IF(AND(ISNUMBER($I96),OR($K96="Milestone",$K96="Deadline"),$I96&gt;=AP$4,$I96&lt;AP$4+7),IF($K96="Deadline","◇","◆"),"")</f>
        <v/>
      </c>
      <c r="AQ96" s="14" t="str">
        <f>IF(AND(ISNUMBER($I96),OR($K96="Milestone",$K96="Deadline"),$I96&gt;=AQ$4,$I96&lt;AQ$4+7),IF($K96="Deadline","◇","◆"),"")</f>
        <v/>
      </c>
      <c r="AR96" s="14" t="str">
        <f>IF(AND(ISNUMBER($I96),OR($K96="Milestone",$K96="Deadline"),$I96&gt;=AR$4,$I96&lt;AR$4+7),IF($K96="Deadline","◇","◆"),"")</f>
        <v/>
      </c>
      <c r="AS96" s="14" t="str">
        <f>IF(AND(ISNUMBER($I96),OR($K96="Milestone",$K96="Deadline"),$I96&gt;=AS$4,$I96&lt;AS$4+7),IF($K96="Deadline","◇","◆"),"")</f>
        <v/>
      </c>
      <c r="AT96" s="14" t="str">
        <f>IF(AND(ISNUMBER($I96),OR($K96="Milestone",$K96="Deadline"),$I96&gt;=AT$4,$I96&lt;AT$4+7),IF($K96="Deadline","◇","◆"),"")</f>
        <v/>
      </c>
      <c r="AU96" s="14" t="str">
        <f>IF(AND(ISNUMBER($I96),OR($K96="Milestone",$K96="Deadline"),$I96&gt;=AU$4,$I96&lt;AU$4+7),IF($K96="Deadline","◇","◆"),"")</f>
        <v/>
      </c>
      <c r="AV96" s="14" t="str">
        <f>IF(AND(ISNUMBER($I96),OR($K96="Milestone",$K96="Deadline"),$I96&gt;=AV$4,$I96&lt;AV$4+7),IF($K96="Deadline","◇","◆"),"")</f>
        <v/>
      </c>
      <c r="AW96" s="14" t="str">
        <f>IF(AND(ISNUMBER($I96),OR($K96="Milestone",$K96="Deadline"),$I96&gt;=AW$4,$I96&lt;AW$4+7),IF($K96="Deadline","◇","◆"),"")</f>
        <v/>
      </c>
      <c r="AX96" s="14" t="str">
        <f>IF(AND(ISNUMBER($I96),OR($K96="Milestone",$K96="Deadline"),$I96&gt;=AX$4,$I96&lt;AX$4+7),IF($K96="Deadline","◇","◆"),"")</f>
        <v/>
      </c>
      <c r="AY96" s="14" t="str">
        <f>IF(AND(ISNUMBER($I96),OR($K96="Milestone",$K96="Deadline"),$I96&gt;=AY$4,$I96&lt;AY$4+7),IF($K96="Deadline","◇","◆"),"")</f>
        <v/>
      </c>
      <c r="AZ96" s="14" t="str">
        <f>IF(AND(ISNUMBER($I96),OR($K96="Milestone",$K96="Deadline"),$I96&gt;=AZ$4,$I96&lt;AZ$4+7),IF($K96="Deadline","◇","◆"),"")</f>
        <v/>
      </c>
      <c r="BA96" s="14" t="str">
        <f>IF(AND(ISNUMBER($I96),OR($K96="Milestone",$K96="Deadline"),$I96&gt;=BA$4,$I96&lt;BA$4+7),IF($K96="Deadline","◇","◆"),"")</f>
        <v/>
      </c>
      <c r="BB96" s="14" t="str">
        <f>IF(AND(ISNUMBER($I96),OR($K96="Milestone",$K96="Deadline"),$I96&gt;=BB$4,$I96&lt;BB$4+7),IF($K96="Deadline","◇","◆"),"")</f>
        <v/>
      </c>
      <c r="BC96" s="14" t="str">
        <f>IF(AND(ISNUMBER($I96),OR($K96="Milestone",$K96="Deadline"),$I96&gt;=BC$4,$I96&lt;BC$4+7),IF($K96="Deadline","◇","◆"),"")</f>
        <v/>
      </c>
      <c r="BD96" s="14" t="str">
        <f>IF(AND(ISNUMBER($I96),OR($K96="Milestone",$K96="Deadline"),$I96&gt;=BD$4,$I96&lt;BD$4+7),IF($K96="Deadline","◇","◆"),"")</f>
        <v/>
      </c>
      <c r="BE96" s="14" t="str">
        <f>IF(AND(ISNUMBER($I96),OR($K96="Milestone",$K96="Deadline"),$I96&gt;=BE$4,$I96&lt;BE$4+7),IF($K96="Deadline","◇","◆"),"")</f>
        <v/>
      </c>
      <c r="BF96" s="14" t="str">
        <f>IF(AND(ISNUMBER($I96),OR($K96="Milestone",$K96="Deadline"),$I96&gt;=BF$4,$I96&lt;BF$4+7),IF($K96="Deadline","◇","◆"),"")</f>
        <v/>
      </c>
      <c r="BG96" s="14" t="str">
        <f>IF(AND(ISNUMBER($I96),OR($K96="Milestone",$K96="Deadline"),$I96&gt;=BG$4,$I96&lt;BG$4+7),IF($K96="Deadline","◇","◆"),"")</f>
        <v/>
      </c>
      <c r="BH96" s="14" t="str">
        <f>IF(AND(ISNUMBER($I96),OR($K96="Milestone",$K96="Deadline"),$I96&gt;=BH$4,$I96&lt;BH$4+7),IF($K96="Deadline","◇","◆"),"")</f>
        <v/>
      </c>
      <c r="BI96" s="14" t="str">
        <f>IF(AND(ISNUMBER($I96),OR($K96="Milestone",$K96="Deadline"),$I96&gt;=BI$4,$I96&lt;BI$4+7),IF($K96="Deadline","◇","◆"),"")</f>
        <v/>
      </c>
      <c r="BJ96" s="14" t="str">
        <f>IF(AND(ISNUMBER($I96),OR($K96="Milestone",$K96="Deadline"),$I96&gt;=BJ$4,$I96&lt;BJ$4+7),IF($K96="Deadline","◇","◆"),"")</f>
        <v/>
      </c>
      <c r="BK96" s="14" t="str">
        <f>IF(AND(ISNUMBER($I96),OR($K96="Milestone",$K96="Deadline"),$I96&gt;=BK$4,$I96&lt;BK$4+7),IF($K96="Deadline","◇","◆"),"")</f>
        <v/>
      </c>
      <c r="BL96" s="14" t="str">
        <f>IF(AND(ISNUMBER($I96),OR($K96="Milestone",$K96="Deadline"),$I96&gt;=BL$4,$I96&lt;BL$4+7),IF($K96="Deadline","◇","◆"),"")</f>
        <v/>
      </c>
      <c r="BM96" s="14" t="str">
        <f>IF(AND(ISNUMBER($I96),OR($K96="Milestone",$K96="Deadline"),$I96&gt;=BM$4,$I96&lt;BM$4+7),IF($K96="Deadline","◇","◆"),"")</f>
        <v/>
      </c>
      <c r="BN96" s="14" t="str">
        <f>IF(AND(ISNUMBER($I96),OR($K96="Milestone",$K96="Deadline"),$I96&gt;=BN$4,$I96&lt;BN$4+7),IF($K96="Deadline","◇","◆"),"")</f>
        <v/>
      </c>
      <c r="BO96" s="14" t="str">
        <f>IF(AND(ISNUMBER($I96),OR($K96="Milestone",$K96="Deadline"),$I96&gt;=BO$4,$I96&lt;BO$4+7),IF($K96="Deadline","◇","◆"),"")</f>
        <v/>
      </c>
      <c r="BP96" s="14" t="str">
        <f>IF(AND(ISNUMBER($I96),OR($K96="Milestone",$K96="Deadline"),$I96&gt;=BP$4,$I96&lt;BP$4+7),IF($K96="Deadline","◇","◆"),"")</f>
        <v/>
      </c>
      <c r="BQ96" s="14" t="str">
        <f>IF(AND(ISNUMBER($I96),OR($K96="Milestone",$K96="Deadline"),$I96&gt;=BQ$4,$I96&lt;BQ$4+7),IF($K96="Deadline","◇","◆"),"")</f>
        <v/>
      </c>
      <c r="BR96" s="14" t="str">
        <f>IF(AND(ISNUMBER($I96),OR($K96="Milestone",$K96="Deadline"),$I96&gt;=BR$4,$I96&lt;BR$4+7),IF($K96="Deadline","◇","◆"),"")</f>
        <v/>
      </c>
      <c r="BS96" s="14" t="str">
        <f>IF(AND(ISNUMBER($I96),OR($K96="Milestone",$K96="Deadline"),$I96&gt;=BS$4,$I96&lt;BS$4+7),IF($K96="Deadline","◇","◆"),"")</f>
        <v/>
      </c>
      <c r="BT96" s="14" t="str">
        <f>IF(AND(ISNUMBER($I96),OR($K96="Milestone",$K96="Deadline"),$I96&gt;=BT$4,$I96&lt;BT$4+7),IF($K96="Deadline","◇","◆"),"")</f>
        <v/>
      </c>
      <c r="BU96" s="14" t="str">
        <f>IF(AND(ISNUMBER($I96),OR($K96="Milestone",$K96="Deadline"),$I96&gt;=BU$4,$I96&lt;BU$4+7),IF($K96="Deadline","◇","◆"),"")</f>
        <v/>
      </c>
      <c r="BV96" s="14" t="str">
        <f>IF(AND(ISNUMBER($I96),OR($K96="Milestone",$K96="Deadline"),$I96&gt;=BV$4,$I96&lt;BV$4+7),IF($K96="Deadline","◇","◆"),"")</f>
        <v/>
      </c>
      <c r="BW96" s="14" t="str">
        <f>IF(AND(ISNUMBER($I96),OR($K96="Milestone",$K96="Deadline"),$I96&gt;=BW$4,$I96&lt;BW$4+7),IF($K96="Deadline","◇","◆"),"")</f>
        <v/>
      </c>
      <c r="BX96" s="14" t="str">
        <f>IF(AND(ISNUMBER($I96),OR($K96="Milestone",$K96="Deadline"),$I96&gt;=BX$4,$I96&lt;BX$4+7),IF($K96="Deadline","◇","◆"),"")</f>
        <v/>
      </c>
      <c r="BY96" s="14" t="str">
        <f>IF(AND(ISNUMBER($I96),OR($K96="Milestone",$K96="Deadline"),$I96&gt;=BY$4,$I96&lt;BY$4+7),IF($K96="Deadline","◇","◆"),"")</f>
        <v/>
      </c>
      <c r="BZ96" s="14" t="str">
        <f>IF(AND(ISNUMBER($I96),OR($K96="Milestone",$K96="Deadline"),$I96&gt;=BZ$4,$I96&lt;BZ$4+7),IF($K96="Deadline","◇","◆"),"")</f>
        <v/>
      </c>
      <c r="CA96" s="14" t="str">
        <f>IF(AND(ISNUMBER($I96),OR($K96="Milestone",$K96="Deadline"),$I96&gt;=CA$4,$I96&lt;CA$4+7),IF($K96="Deadline","◇","◆"),"")</f>
        <v/>
      </c>
      <c r="CB96" s="14" t="str">
        <f>IF(AND(ISNUMBER($I96),OR($K96="Milestone",$K96="Deadline"),$I96&gt;=CB$4,$I96&lt;CB$4+7),IF($K96="Deadline","◇","◆"),"")</f>
        <v/>
      </c>
      <c r="CC96" s="14" t="str">
        <f>IF(AND(ISNUMBER($I96),OR($K96="Milestone",$K96="Deadline"),$I96&gt;=CC$4,$I96&lt;CC$4+7),IF($K96="Deadline","◇","◆"),"")</f>
        <v/>
      </c>
      <c r="CD96" s="14" t="str">
        <f>IF(AND(ISNUMBER($I96),OR($K96="Milestone",$K96="Deadline"),$I96&gt;=CD$4,$I96&lt;CD$4+7),IF($K96="Deadline","◇","◆"),"")</f>
        <v/>
      </c>
      <c r="CE96" s="14" t="str">
        <f>IF(AND(ISNUMBER($I96),OR($K96="Milestone",$K96="Deadline"),$I96&gt;=CE$4,$I96&lt;CE$4+7),IF($K96="Deadline","◇","◆"),"")</f>
        <v/>
      </c>
      <c r="CF96" s="14" t="str">
        <f>IF(AND(ISNUMBER($I96),OR($K96="Milestone",$K96="Deadline"),$I96&gt;=CF$4,$I96&lt;CF$4+7),IF($K96="Deadline","◇","◆"),"")</f>
        <v/>
      </c>
      <c r="CG96" s="14" t="str">
        <f>IF(AND(ISNUMBER($I96),OR($K96="Milestone",$K96="Deadline"),$I96&gt;=CG$4,$I96&lt;CG$4+7),IF($K96="Deadline","◇","◆"),"")</f>
        <v/>
      </c>
      <c r="CH96" s="14" t="str">
        <f>IF(AND(ISNUMBER($I96),OR($K96="Milestone",$K96="Deadline"),$I96&gt;=CH$4,$I96&lt;CH$4+7),IF($K96="Deadline","◇","◆"),"")</f>
        <v/>
      </c>
      <c r="CI96" s="14" t="str">
        <f>IF(AND(ISNUMBER($I96),OR($K96="Milestone",$K96="Deadline"),$I96&gt;=CI$4,$I96&lt;CI$4+7),IF($K96="Deadline","◇","◆"),"")</f>
        <v/>
      </c>
      <c r="CJ96" s="14" t="str">
        <f>IF(AND(ISNUMBER($I96),OR($K96="Milestone",$K96="Deadline"),$I96&gt;=CJ$4,$I96&lt;CJ$4+7),IF($K96="Deadline","◇","◆"),"")</f>
        <v/>
      </c>
      <c r="CK96" s="14" t="str">
        <f>IF(AND(ISNUMBER($I96),OR($K96="Milestone",$K96="Deadline"),$I96&gt;=CK$4,$I96&lt;CK$4+7),IF($K96="Deadline","◇","◆"),"")</f>
        <v/>
      </c>
      <c r="CL96" s="14" t="str">
        <f>IF(AND(ISNUMBER($I96),OR($K96="Milestone",$K96="Deadline"),$I96&gt;=CL$4,$I96&lt;CL$4+7),IF($K96="Deadline","◇","◆"),"")</f>
        <v/>
      </c>
      <c r="CM96" s="14" t="str">
        <f>IF(AND(ISNUMBER($I96),OR($K96="Milestone",$K96="Deadline"),$I96&gt;=CM$4,$I96&lt;CM$4+7),IF($K96="Deadline","◇","◆"),"")</f>
        <v/>
      </c>
    </row>
    <row r="97" spans="1:91" ht="15" customHeight="1">
      <c r="A97" s="24" t="s">
        <v>284</v>
      </c>
      <c r="B97" s="24" t="s">
        <v>271</v>
      </c>
      <c r="C97" s="24" t="s">
        <v>63</v>
      </c>
      <c r="D97" s="24" t="s">
        <v>195</v>
      </c>
      <c r="E97" s="24" t="s">
        <v>281</v>
      </c>
      <c r="F97" s="24" t="s">
        <v>197</v>
      </c>
      <c r="G97" s="24" t="s">
        <v>198</v>
      </c>
      <c r="H97" s="24">
        <v>7</v>
      </c>
      <c r="I97" s="25">
        <f>MAX(DATE(2026,11,16),J76+1,J76+1)</f>
        <v>46360</v>
      </c>
      <c r="J97" s="26">
        <f>IF(AND(ISNUMBER(I97),ISNUMBER(H97)),I97+H97-1,"")</f>
        <v>46366</v>
      </c>
      <c r="K97" s="24" t="s">
        <v>27</v>
      </c>
      <c r="L97" s="24" t="s">
        <v>244</v>
      </c>
      <c r="M97" s="27" t="s">
        <v>244</v>
      </c>
      <c r="N97" s="24"/>
      <c r="O97" s="27">
        <f>IF(AND(ISNUMBER(I97),ISNUMBER(J97)),J97-I97+1,"")</f>
        <v>7</v>
      </c>
      <c r="P97" s="13"/>
      <c r="Q97" s="13"/>
      <c r="R97" s="13"/>
      <c r="S97" s="13"/>
      <c r="T97" s="13" t="s">
        <v>140</v>
      </c>
      <c r="U97" s="13"/>
      <c r="V97" s="13" t="s">
        <v>140</v>
      </c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4" t="str">
        <f>IF(AND(ISNUMBER($I97),OR($K97="Milestone",$K97="Deadline"),$I97&gt;=AO$4,$I97&lt;AO$4+7),IF($K97="Deadline","◇","◆"),"")</f>
        <v/>
      </c>
      <c r="AP97" s="14" t="str">
        <f>IF(AND(ISNUMBER($I97),OR($K97="Milestone",$K97="Deadline"),$I97&gt;=AP$4,$I97&lt;AP$4+7),IF($K97="Deadline","◇","◆"),"")</f>
        <v/>
      </c>
      <c r="AQ97" s="14" t="str">
        <f>IF(AND(ISNUMBER($I97),OR($K97="Milestone",$K97="Deadline"),$I97&gt;=AQ$4,$I97&lt;AQ$4+7),IF($K97="Deadline","◇","◆"),"")</f>
        <v/>
      </c>
      <c r="AR97" s="14" t="str">
        <f>IF(AND(ISNUMBER($I97),OR($K97="Milestone",$K97="Deadline"),$I97&gt;=AR$4,$I97&lt;AR$4+7),IF($K97="Deadline","◇","◆"),"")</f>
        <v/>
      </c>
      <c r="AS97" s="14" t="str">
        <f>IF(AND(ISNUMBER($I97),OR($K97="Milestone",$K97="Deadline"),$I97&gt;=AS$4,$I97&lt;AS$4+7),IF($K97="Deadline","◇","◆"),"")</f>
        <v/>
      </c>
      <c r="AT97" s="14" t="str">
        <f>IF(AND(ISNUMBER($I97),OR($K97="Milestone",$K97="Deadline"),$I97&gt;=AT$4,$I97&lt;AT$4+7),IF($K97="Deadline","◇","◆"),"")</f>
        <v/>
      </c>
      <c r="AU97" s="14" t="str">
        <f>IF(AND(ISNUMBER($I97),OR($K97="Milestone",$K97="Deadline"),$I97&gt;=AU$4,$I97&lt;AU$4+7),IF($K97="Deadline","◇","◆"),"")</f>
        <v/>
      </c>
      <c r="AV97" s="14" t="str">
        <f>IF(AND(ISNUMBER($I97),OR($K97="Milestone",$K97="Deadline"),$I97&gt;=AV$4,$I97&lt;AV$4+7),IF($K97="Deadline","◇","◆"),"")</f>
        <v/>
      </c>
      <c r="AW97" s="14" t="str">
        <f>IF(AND(ISNUMBER($I97),OR($K97="Milestone",$K97="Deadline"),$I97&gt;=AW$4,$I97&lt;AW$4+7),IF($K97="Deadline","◇","◆"),"")</f>
        <v/>
      </c>
      <c r="AX97" s="14" t="str">
        <f>IF(AND(ISNUMBER($I97),OR($K97="Milestone",$K97="Deadline"),$I97&gt;=AX$4,$I97&lt;AX$4+7),IF($K97="Deadline","◇","◆"),"")</f>
        <v/>
      </c>
      <c r="AY97" s="14" t="str">
        <f>IF(AND(ISNUMBER($I97),OR($K97="Milestone",$K97="Deadline"),$I97&gt;=AY$4,$I97&lt;AY$4+7),IF($K97="Deadline","◇","◆"),"")</f>
        <v/>
      </c>
      <c r="AZ97" s="14" t="str">
        <f>IF(AND(ISNUMBER($I97),OR($K97="Milestone",$K97="Deadline"),$I97&gt;=AZ$4,$I97&lt;AZ$4+7),IF($K97="Deadline","◇","◆"),"")</f>
        <v/>
      </c>
      <c r="BA97" s="14" t="str">
        <f>IF(AND(ISNUMBER($I97),OR($K97="Milestone",$K97="Deadline"),$I97&gt;=BA$4,$I97&lt;BA$4+7),IF($K97="Deadline","◇","◆"),"")</f>
        <v/>
      </c>
      <c r="BB97" s="14" t="str">
        <f>IF(AND(ISNUMBER($I97),OR($K97="Milestone",$K97="Deadline"),$I97&gt;=BB$4,$I97&lt;BB$4+7),IF($K97="Deadline","◇","◆"),"")</f>
        <v/>
      </c>
      <c r="BC97" s="14" t="str">
        <f>IF(AND(ISNUMBER($I97),OR($K97="Milestone",$K97="Deadline"),$I97&gt;=BC$4,$I97&lt;BC$4+7),IF($K97="Deadline","◇","◆"),"")</f>
        <v/>
      </c>
      <c r="BD97" s="14" t="str">
        <f>IF(AND(ISNUMBER($I97),OR($K97="Milestone",$K97="Deadline"),$I97&gt;=BD$4,$I97&lt;BD$4+7),IF($K97="Deadline","◇","◆"),"")</f>
        <v/>
      </c>
      <c r="BE97" s="14" t="str">
        <f>IF(AND(ISNUMBER($I97),OR($K97="Milestone",$K97="Deadline"),$I97&gt;=BE$4,$I97&lt;BE$4+7),IF($K97="Deadline","◇","◆"),"")</f>
        <v/>
      </c>
      <c r="BF97" s="14" t="str">
        <f>IF(AND(ISNUMBER($I97),OR($K97="Milestone",$K97="Deadline"),$I97&gt;=BF$4,$I97&lt;BF$4+7),IF($K97="Deadline","◇","◆"),"")</f>
        <v/>
      </c>
      <c r="BG97" s="14" t="str">
        <f>IF(AND(ISNUMBER($I97),OR($K97="Milestone",$K97="Deadline"),$I97&gt;=BG$4,$I97&lt;BG$4+7),IF($K97="Deadline","◇","◆"),"")</f>
        <v/>
      </c>
      <c r="BH97" s="14" t="str">
        <f>IF(AND(ISNUMBER($I97),OR($K97="Milestone",$K97="Deadline"),$I97&gt;=BH$4,$I97&lt;BH$4+7),IF($K97="Deadline","◇","◆"),"")</f>
        <v/>
      </c>
      <c r="BI97" s="14" t="str">
        <f>IF(AND(ISNUMBER($I97),OR($K97="Milestone",$K97="Deadline"),$I97&gt;=BI$4,$I97&lt;BI$4+7),IF($K97="Deadline","◇","◆"),"")</f>
        <v/>
      </c>
      <c r="BJ97" s="14" t="str">
        <f>IF(AND(ISNUMBER($I97),OR($K97="Milestone",$K97="Deadline"),$I97&gt;=BJ$4,$I97&lt;BJ$4+7),IF($K97="Deadline","◇","◆"),"")</f>
        <v/>
      </c>
      <c r="BK97" s="14" t="str">
        <f>IF(AND(ISNUMBER($I97),OR($K97="Milestone",$K97="Deadline"),$I97&gt;=BK$4,$I97&lt;BK$4+7),IF($K97="Deadline","◇","◆"),"")</f>
        <v/>
      </c>
      <c r="BL97" s="14" t="str">
        <f>IF(AND(ISNUMBER($I97),OR($K97="Milestone",$K97="Deadline"),$I97&gt;=BL$4,$I97&lt;BL$4+7),IF($K97="Deadline","◇","◆"),"")</f>
        <v/>
      </c>
      <c r="BM97" s="14" t="str">
        <f>IF(AND(ISNUMBER($I97),OR($K97="Milestone",$K97="Deadline"),$I97&gt;=BM$4,$I97&lt;BM$4+7),IF($K97="Deadline","◇","◆"),"")</f>
        <v/>
      </c>
      <c r="BN97" s="14" t="str">
        <f>IF(AND(ISNUMBER($I97),OR($K97="Milestone",$K97="Deadline"),$I97&gt;=BN$4,$I97&lt;BN$4+7),IF($K97="Deadline","◇","◆"),"")</f>
        <v/>
      </c>
      <c r="BO97" s="14" t="str">
        <f>IF(AND(ISNUMBER($I97),OR($K97="Milestone",$K97="Deadline"),$I97&gt;=BO$4,$I97&lt;BO$4+7),IF($K97="Deadline","◇","◆"),"")</f>
        <v/>
      </c>
      <c r="BP97" s="14" t="str">
        <f>IF(AND(ISNUMBER($I97),OR($K97="Milestone",$K97="Deadline"),$I97&gt;=BP$4,$I97&lt;BP$4+7),IF($K97="Deadline","◇","◆"),"")</f>
        <v/>
      </c>
      <c r="BQ97" s="14" t="str">
        <f>IF(AND(ISNUMBER($I97),OR($K97="Milestone",$K97="Deadline"),$I97&gt;=BQ$4,$I97&lt;BQ$4+7),IF($K97="Deadline","◇","◆"),"")</f>
        <v/>
      </c>
      <c r="BR97" s="14" t="str">
        <f>IF(AND(ISNUMBER($I97),OR($K97="Milestone",$K97="Deadline"),$I97&gt;=BR$4,$I97&lt;BR$4+7),IF($K97="Deadline","◇","◆"),"")</f>
        <v/>
      </c>
      <c r="BS97" s="14" t="str">
        <f>IF(AND(ISNUMBER($I97),OR($K97="Milestone",$K97="Deadline"),$I97&gt;=BS$4,$I97&lt;BS$4+7),IF($K97="Deadline","◇","◆"),"")</f>
        <v/>
      </c>
      <c r="BT97" s="14" t="str">
        <f>IF(AND(ISNUMBER($I97),OR($K97="Milestone",$K97="Deadline"),$I97&gt;=BT$4,$I97&lt;BT$4+7),IF($K97="Deadline","◇","◆"),"")</f>
        <v/>
      </c>
      <c r="BU97" s="14" t="str">
        <f>IF(AND(ISNUMBER($I97),OR($K97="Milestone",$K97="Deadline"),$I97&gt;=BU$4,$I97&lt;BU$4+7),IF($K97="Deadline","◇","◆"),"")</f>
        <v/>
      </c>
      <c r="BV97" s="14" t="str">
        <f>IF(AND(ISNUMBER($I97),OR($K97="Milestone",$K97="Deadline"),$I97&gt;=BV$4,$I97&lt;BV$4+7),IF($K97="Deadline","◇","◆"),"")</f>
        <v/>
      </c>
      <c r="BW97" s="14" t="str">
        <f>IF(AND(ISNUMBER($I97),OR($K97="Milestone",$K97="Deadline"),$I97&gt;=BW$4,$I97&lt;BW$4+7),IF($K97="Deadline","◇","◆"),"")</f>
        <v/>
      </c>
      <c r="BX97" s="14" t="str">
        <f>IF(AND(ISNUMBER($I97),OR($K97="Milestone",$K97="Deadline"),$I97&gt;=BX$4,$I97&lt;BX$4+7),IF($K97="Deadline","◇","◆"),"")</f>
        <v/>
      </c>
      <c r="BY97" s="14" t="str">
        <f>IF(AND(ISNUMBER($I97),OR($K97="Milestone",$K97="Deadline"),$I97&gt;=BY$4,$I97&lt;BY$4+7),IF($K97="Deadline","◇","◆"),"")</f>
        <v/>
      </c>
      <c r="BZ97" s="14" t="str">
        <f>IF(AND(ISNUMBER($I97),OR($K97="Milestone",$K97="Deadline"),$I97&gt;=BZ$4,$I97&lt;BZ$4+7),IF($K97="Deadline","◇","◆"),"")</f>
        <v/>
      </c>
      <c r="CA97" s="14" t="str">
        <f>IF(AND(ISNUMBER($I97),OR($K97="Milestone",$K97="Deadline"),$I97&gt;=CA$4,$I97&lt;CA$4+7),IF($K97="Deadline","◇","◆"),"")</f>
        <v/>
      </c>
      <c r="CB97" s="14" t="str">
        <f>IF(AND(ISNUMBER($I97),OR($K97="Milestone",$K97="Deadline"),$I97&gt;=CB$4,$I97&lt;CB$4+7),IF($K97="Deadline","◇","◆"),"")</f>
        <v/>
      </c>
      <c r="CC97" s="14" t="str">
        <f>IF(AND(ISNUMBER($I97),OR($K97="Milestone",$K97="Deadline"),$I97&gt;=CC$4,$I97&lt;CC$4+7),IF($K97="Deadline","◇","◆"),"")</f>
        <v/>
      </c>
      <c r="CD97" s="14" t="str">
        <f>IF(AND(ISNUMBER($I97),OR($K97="Milestone",$K97="Deadline"),$I97&gt;=CD$4,$I97&lt;CD$4+7),IF($K97="Deadline","◇","◆"),"")</f>
        <v/>
      </c>
      <c r="CE97" s="14" t="str">
        <f>IF(AND(ISNUMBER($I97),OR($K97="Milestone",$K97="Deadline"),$I97&gt;=CE$4,$I97&lt;CE$4+7),IF($K97="Deadline","◇","◆"),"")</f>
        <v/>
      </c>
      <c r="CF97" s="14" t="str">
        <f>IF(AND(ISNUMBER($I97),OR($K97="Milestone",$K97="Deadline"),$I97&gt;=CF$4,$I97&lt;CF$4+7),IF($K97="Deadline","◇","◆"),"")</f>
        <v/>
      </c>
      <c r="CG97" s="14" t="str">
        <f>IF(AND(ISNUMBER($I97),OR($K97="Milestone",$K97="Deadline"),$I97&gt;=CG$4,$I97&lt;CG$4+7),IF($K97="Deadline","◇","◆"),"")</f>
        <v/>
      </c>
      <c r="CH97" s="14" t="str">
        <f>IF(AND(ISNUMBER($I97),OR($K97="Milestone",$K97="Deadline"),$I97&gt;=CH$4,$I97&lt;CH$4+7),IF($K97="Deadline","◇","◆"),"")</f>
        <v/>
      </c>
      <c r="CI97" s="14" t="str">
        <f>IF(AND(ISNUMBER($I97),OR($K97="Milestone",$K97="Deadline"),$I97&gt;=CI$4,$I97&lt;CI$4+7),IF($K97="Deadline","◇","◆"),"")</f>
        <v/>
      </c>
      <c r="CJ97" s="14" t="str">
        <f>IF(AND(ISNUMBER($I97),OR($K97="Milestone",$K97="Deadline"),$I97&gt;=CJ$4,$I97&lt;CJ$4+7),IF($K97="Deadline","◇","◆"),"")</f>
        <v/>
      </c>
      <c r="CK97" s="14" t="str">
        <f>IF(AND(ISNUMBER($I97),OR($K97="Milestone",$K97="Deadline"),$I97&gt;=CK$4,$I97&lt;CK$4+7),IF($K97="Deadline","◇","◆"),"")</f>
        <v/>
      </c>
      <c r="CL97" s="14" t="str">
        <f>IF(AND(ISNUMBER($I97),OR($K97="Milestone",$K97="Deadline"),$I97&gt;=CL$4,$I97&lt;CL$4+7),IF($K97="Deadline","◇","◆"),"")</f>
        <v/>
      </c>
      <c r="CM97" s="14" t="str">
        <f>IF(AND(ISNUMBER($I97),OR($K97="Milestone",$K97="Deadline"),$I97&gt;=CM$4,$I97&lt;CM$4+7),IF($K97="Deadline","◇","◆"),"")</f>
        <v/>
      </c>
    </row>
    <row r="98" spans="1:91" ht="15" hidden="1" customHeight="1">
      <c r="A98" s="24" t="s">
        <v>285</v>
      </c>
      <c r="B98" s="24" t="s">
        <v>271</v>
      </c>
      <c r="C98" s="24" t="s">
        <v>63</v>
      </c>
      <c r="D98" s="24" t="s">
        <v>195</v>
      </c>
      <c r="E98" s="24" t="s">
        <v>281</v>
      </c>
      <c r="F98" s="24" t="s">
        <v>197</v>
      </c>
      <c r="G98" s="24" t="s">
        <v>173</v>
      </c>
      <c r="H98" s="24">
        <v>7</v>
      </c>
      <c r="I98" s="28">
        <v>46364</v>
      </c>
      <c r="J98" s="26">
        <f>IF(AND(ISNUMBER(I98),ISNUMBER(H98)),I98+H98-1,"")</f>
        <v>46370</v>
      </c>
      <c r="K98" s="24" t="s">
        <v>27</v>
      </c>
      <c r="L98" s="24"/>
      <c r="M98" s="27"/>
      <c r="N98" s="24"/>
      <c r="O98" s="27">
        <f>IF(AND(ISNUMBER(I98),ISNUMBER(J98)),J98-I98+1,"")</f>
        <v>7</v>
      </c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 t="s">
        <v>140</v>
      </c>
      <c r="AM98" s="13"/>
      <c r="AN98" s="13"/>
      <c r="AO98" s="14" t="str">
        <f>IF(AND(ISNUMBER($I98),OR($K98="Milestone",$K98="Deadline"),$I98&gt;=AO$4,$I98&lt;AO$4+7),IF($K98="Deadline","◇","◆"),"")</f>
        <v/>
      </c>
      <c r="AP98" s="14" t="str">
        <f>IF(AND(ISNUMBER($I98),OR($K98="Milestone",$K98="Deadline"),$I98&gt;=AP$4,$I98&lt;AP$4+7),IF($K98="Deadline","◇","◆"),"")</f>
        <v/>
      </c>
      <c r="AQ98" s="14" t="str">
        <f>IF(AND(ISNUMBER($I98),OR($K98="Milestone",$K98="Deadline"),$I98&gt;=AQ$4,$I98&lt;AQ$4+7),IF($K98="Deadline","◇","◆"),"")</f>
        <v/>
      </c>
      <c r="AR98" s="14" t="str">
        <f>IF(AND(ISNUMBER($I98),OR($K98="Milestone",$K98="Deadline"),$I98&gt;=AR$4,$I98&lt;AR$4+7),IF($K98="Deadline","◇","◆"),"")</f>
        <v/>
      </c>
      <c r="AS98" s="14" t="str">
        <f>IF(AND(ISNUMBER($I98),OR($K98="Milestone",$K98="Deadline"),$I98&gt;=AS$4,$I98&lt;AS$4+7),IF($K98="Deadline","◇","◆"),"")</f>
        <v/>
      </c>
      <c r="AT98" s="14" t="str">
        <f>IF(AND(ISNUMBER($I98),OR($K98="Milestone",$K98="Deadline"),$I98&gt;=AT$4,$I98&lt;AT$4+7),IF($K98="Deadline","◇","◆"),"")</f>
        <v/>
      </c>
      <c r="AU98" s="14" t="str">
        <f>IF(AND(ISNUMBER($I98),OR($K98="Milestone",$K98="Deadline"),$I98&gt;=AU$4,$I98&lt;AU$4+7),IF($K98="Deadline","◇","◆"),"")</f>
        <v/>
      </c>
      <c r="AV98" s="14" t="str">
        <f>IF(AND(ISNUMBER($I98),OR($K98="Milestone",$K98="Deadline"),$I98&gt;=AV$4,$I98&lt;AV$4+7),IF($K98="Deadline","◇","◆"),"")</f>
        <v/>
      </c>
      <c r="AW98" s="14" t="str">
        <f>IF(AND(ISNUMBER($I98),OR($K98="Milestone",$K98="Deadline"),$I98&gt;=AW$4,$I98&lt;AW$4+7),IF($K98="Deadline","◇","◆"),"")</f>
        <v/>
      </c>
      <c r="AX98" s="14" t="str">
        <f>IF(AND(ISNUMBER($I98),OR($K98="Milestone",$K98="Deadline"),$I98&gt;=AX$4,$I98&lt;AX$4+7),IF($K98="Deadline","◇","◆"),"")</f>
        <v/>
      </c>
      <c r="AY98" s="14" t="str">
        <f>IF(AND(ISNUMBER($I98),OR($K98="Milestone",$K98="Deadline"),$I98&gt;=AY$4,$I98&lt;AY$4+7),IF($K98="Deadline","◇","◆"),"")</f>
        <v/>
      </c>
      <c r="AZ98" s="14" t="str">
        <f>IF(AND(ISNUMBER($I98),OR($K98="Milestone",$K98="Deadline"),$I98&gt;=AZ$4,$I98&lt;AZ$4+7),IF($K98="Deadline","◇","◆"),"")</f>
        <v/>
      </c>
      <c r="BA98" s="14" t="str">
        <f>IF(AND(ISNUMBER($I98),OR($K98="Milestone",$K98="Deadline"),$I98&gt;=BA$4,$I98&lt;BA$4+7),IF($K98="Deadline","◇","◆"),"")</f>
        <v/>
      </c>
      <c r="BB98" s="14" t="str">
        <f>IF(AND(ISNUMBER($I98),OR($K98="Milestone",$K98="Deadline"),$I98&gt;=BB$4,$I98&lt;BB$4+7),IF($K98="Deadline","◇","◆"),"")</f>
        <v/>
      </c>
      <c r="BC98" s="14" t="str">
        <f>IF(AND(ISNUMBER($I98),OR($K98="Milestone",$K98="Deadline"),$I98&gt;=BC$4,$I98&lt;BC$4+7),IF($K98="Deadline","◇","◆"),"")</f>
        <v/>
      </c>
      <c r="BD98" s="14" t="str">
        <f>IF(AND(ISNUMBER($I98),OR($K98="Milestone",$K98="Deadline"),$I98&gt;=BD$4,$I98&lt;BD$4+7),IF($K98="Deadline","◇","◆"),"")</f>
        <v/>
      </c>
      <c r="BE98" s="14" t="str">
        <f>IF(AND(ISNUMBER($I98),OR($K98="Milestone",$K98="Deadline"),$I98&gt;=BE$4,$I98&lt;BE$4+7),IF($K98="Deadline","◇","◆"),"")</f>
        <v/>
      </c>
      <c r="BF98" s="14" t="str">
        <f>IF(AND(ISNUMBER($I98),OR($K98="Milestone",$K98="Deadline"),$I98&gt;=BF$4,$I98&lt;BF$4+7),IF($K98="Deadline","◇","◆"),"")</f>
        <v/>
      </c>
      <c r="BG98" s="14" t="str">
        <f>IF(AND(ISNUMBER($I98),OR($K98="Milestone",$K98="Deadline"),$I98&gt;=BG$4,$I98&lt;BG$4+7),IF($K98="Deadline","◇","◆"),"")</f>
        <v/>
      </c>
      <c r="BH98" s="14" t="str">
        <f>IF(AND(ISNUMBER($I98),OR($K98="Milestone",$K98="Deadline"),$I98&gt;=BH$4,$I98&lt;BH$4+7),IF($K98="Deadline","◇","◆"),"")</f>
        <v/>
      </c>
      <c r="BI98" s="14" t="str">
        <f>IF(AND(ISNUMBER($I98),OR($K98="Milestone",$K98="Deadline"),$I98&gt;=BI$4,$I98&lt;BI$4+7),IF($K98="Deadline","◇","◆"),"")</f>
        <v/>
      </c>
      <c r="BJ98" s="14" t="str">
        <f>IF(AND(ISNUMBER($I98),OR($K98="Milestone",$K98="Deadline"),$I98&gt;=BJ$4,$I98&lt;BJ$4+7),IF($K98="Deadline","◇","◆"),"")</f>
        <v/>
      </c>
      <c r="BK98" s="14" t="str">
        <f>IF(AND(ISNUMBER($I98),OR($K98="Milestone",$K98="Deadline"),$I98&gt;=BK$4,$I98&lt;BK$4+7),IF($K98="Deadline","◇","◆"),"")</f>
        <v/>
      </c>
      <c r="BL98" s="14" t="str">
        <f>IF(AND(ISNUMBER($I98),OR($K98="Milestone",$K98="Deadline"),$I98&gt;=BL$4,$I98&lt;BL$4+7),IF($K98="Deadline","◇","◆"),"")</f>
        <v/>
      </c>
      <c r="BM98" s="14" t="str">
        <f>IF(AND(ISNUMBER($I98),OR($K98="Milestone",$K98="Deadline"),$I98&gt;=BM$4,$I98&lt;BM$4+7),IF($K98="Deadline","◇","◆"),"")</f>
        <v/>
      </c>
      <c r="BN98" s="14" t="str">
        <f>IF(AND(ISNUMBER($I98),OR($K98="Milestone",$K98="Deadline"),$I98&gt;=BN$4,$I98&lt;BN$4+7),IF($K98="Deadline","◇","◆"),"")</f>
        <v/>
      </c>
      <c r="BO98" s="14" t="str">
        <f>IF(AND(ISNUMBER($I98),OR($K98="Milestone",$K98="Deadline"),$I98&gt;=BO$4,$I98&lt;BO$4+7),IF($K98="Deadline","◇","◆"),"")</f>
        <v/>
      </c>
      <c r="BP98" s="14" t="str">
        <f>IF(AND(ISNUMBER($I98),OR($K98="Milestone",$K98="Deadline"),$I98&gt;=BP$4,$I98&lt;BP$4+7),IF($K98="Deadline","◇","◆"),"")</f>
        <v/>
      </c>
      <c r="BQ98" s="14" t="str">
        <f>IF(AND(ISNUMBER($I98),OR($K98="Milestone",$K98="Deadline"),$I98&gt;=BQ$4,$I98&lt;BQ$4+7),IF($K98="Deadline","◇","◆"),"")</f>
        <v/>
      </c>
      <c r="BR98" s="14" t="str">
        <f>IF(AND(ISNUMBER($I98),OR($K98="Milestone",$K98="Deadline"),$I98&gt;=BR$4,$I98&lt;BR$4+7),IF($K98="Deadline","◇","◆"),"")</f>
        <v/>
      </c>
      <c r="BS98" s="14" t="str">
        <f>IF(AND(ISNUMBER($I98),OR($K98="Milestone",$K98="Deadline"),$I98&gt;=BS$4,$I98&lt;BS$4+7),IF($K98="Deadline","◇","◆"),"")</f>
        <v/>
      </c>
      <c r="BT98" s="14" t="str">
        <f>IF(AND(ISNUMBER($I98),OR($K98="Milestone",$K98="Deadline"),$I98&gt;=BT$4,$I98&lt;BT$4+7),IF($K98="Deadline","◇","◆"),"")</f>
        <v/>
      </c>
      <c r="BU98" s="14" t="str">
        <f>IF(AND(ISNUMBER($I98),OR($K98="Milestone",$K98="Deadline"),$I98&gt;=BU$4,$I98&lt;BU$4+7),IF($K98="Deadline","◇","◆"),"")</f>
        <v/>
      </c>
      <c r="BV98" s="14" t="str">
        <f>IF(AND(ISNUMBER($I98),OR($K98="Milestone",$K98="Deadline"),$I98&gt;=BV$4,$I98&lt;BV$4+7),IF($K98="Deadline","◇","◆"),"")</f>
        <v/>
      </c>
      <c r="BW98" s="14" t="str">
        <f>IF(AND(ISNUMBER($I98),OR($K98="Milestone",$K98="Deadline"),$I98&gt;=BW$4,$I98&lt;BW$4+7),IF($K98="Deadline","◇","◆"),"")</f>
        <v/>
      </c>
      <c r="BX98" s="14" t="str">
        <f>IF(AND(ISNUMBER($I98),OR($K98="Milestone",$K98="Deadline"),$I98&gt;=BX$4,$I98&lt;BX$4+7),IF($K98="Deadline","◇","◆"),"")</f>
        <v/>
      </c>
      <c r="BY98" s="14" t="str">
        <f>IF(AND(ISNUMBER($I98),OR($K98="Milestone",$K98="Deadline"),$I98&gt;=BY$4,$I98&lt;BY$4+7),IF($K98="Deadline","◇","◆"),"")</f>
        <v/>
      </c>
      <c r="BZ98" s="14" t="str">
        <f>IF(AND(ISNUMBER($I98),OR($K98="Milestone",$K98="Deadline"),$I98&gt;=BZ$4,$I98&lt;BZ$4+7),IF($K98="Deadline","◇","◆"),"")</f>
        <v/>
      </c>
      <c r="CA98" s="14" t="str">
        <f>IF(AND(ISNUMBER($I98),OR($K98="Milestone",$K98="Deadline"),$I98&gt;=CA$4,$I98&lt;CA$4+7),IF($K98="Deadline","◇","◆"),"")</f>
        <v/>
      </c>
      <c r="CB98" s="14" t="str">
        <f>IF(AND(ISNUMBER($I98),OR($K98="Milestone",$K98="Deadline"),$I98&gt;=CB$4,$I98&lt;CB$4+7),IF($K98="Deadline","◇","◆"),"")</f>
        <v/>
      </c>
      <c r="CC98" s="14" t="str">
        <f>IF(AND(ISNUMBER($I98),OR($K98="Milestone",$K98="Deadline"),$I98&gt;=CC$4,$I98&lt;CC$4+7),IF($K98="Deadline","◇","◆"),"")</f>
        <v/>
      </c>
      <c r="CD98" s="14" t="str">
        <f>IF(AND(ISNUMBER($I98),OR($K98="Milestone",$K98="Deadline"),$I98&gt;=CD$4,$I98&lt;CD$4+7),IF($K98="Deadline","◇","◆"),"")</f>
        <v/>
      </c>
      <c r="CE98" s="14" t="str">
        <f>IF(AND(ISNUMBER($I98),OR($K98="Milestone",$K98="Deadline"),$I98&gt;=CE$4,$I98&lt;CE$4+7),IF($K98="Deadline","◇","◆"),"")</f>
        <v/>
      </c>
      <c r="CF98" s="14" t="str">
        <f>IF(AND(ISNUMBER($I98),OR($K98="Milestone",$K98="Deadline"),$I98&gt;=CF$4,$I98&lt;CF$4+7),IF($K98="Deadline","◇","◆"),"")</f>
        <v/>
      </c>
      <c r="CG98" s="14" t="str">
        <f>IF(AND(ISNUMBER($I98),OR($K98="Milestone",$K98="Deadline"),$I98&gt;=CG$4,$I98&lt;CG$4+7),IF($K98="Deadline","◇","◆"),"")</f>
        <v/>
      </c>
      <c r="CH98" s="14" t="str">
        <f>IF(AND(ISNUMBER($I98),OR($K98="Milestone",$K98="Deadline"),$I98&gt;=CH$4,$I98&lt;CH$4+7),IF($K98="Deadline","◇","◆"),"")</f>
        <v/>
      </c>
      <c r="CI98" s="14" t="str">
        <f>IF(AND(ISNUMBER($I98),OR($K98="Milestone",$K98="Deadline"),$I98&gt;=CI$4,$I98&lt;CI$4+7),IF($K98="Deadline","◇","◆"),"")</f>
        <v/>
      </c>
      <c r="CJ98" s="14" t="str">
        <f>IF(AND(ISNUMBER($I98),OR($K98="Milestone",$K98="Deadline"),$I98&gt;=CJ$4,$I98&lt;CJ$4+7),IF($K98="Deadline","◇","◆"),"")</f>
        <v/>
      </c>
      <c r="CK98" s="14" t="str">
        <f>IF(AND(ISNUMBER($I98),OR($K98="Milestone",$K98="Deadline"),$I98&gt;=CK$4,$I98&lt;CK$4+7),IF($K98="Deadline","◇","◆"),"")</f>
        <v/>
      </c>
      <c r="CL98" s="14" t="str">
        <f>IF(AND(ISNUMBER($I98),OR($K98="Milestone",$K98="Deadline"),$I98&gt;=CL$4,$I98&lt;CL$4+7),IF($K98="Deadline","◇","◆"),"")</f>
        <v/>
      </c>
      <c r="CM98" s="14" t="str">
        <f>IF(AND(ISNUMBER($I98),OR($K98="Milestone",$K98="Deadline"),$I98&gt;=CM$4,$I98&lt;CM$4+7),IF($K98="Deadline","◇","◆"),"")</f>
        <v/>
      </c>
    </row>
    <row r="99" spans="1:91" ht="15" hidden="1" customHeight="1">
      <c r="A99" s="24" t="s">
        <v>286</v>
      </c>
      <c r="B99" s="24" t="s">
        <v>271</v>
      </c>
      <c r="C99" s="24" t="s">
        <v>63</v>
      </c>
      <c r="D99" s="24" t="s">
        <v>195</v>
      </c>
      <c r="E99" s="24" t="s">
        <v>281</v>
      </c>
      <c r="F99" s="24" t="s">
        <v>197</v>
      </c>
      <c r="G99" s="24" t="s">
        <v>176</v>
      </c>
      <c r="H99" s="24">
        <v>7</v>
      </c>
      <c r="I99" s="25">
        <f>MAX($C$2,J97+1,J69+1)</f>
        <v>46392</v>
      </c>
      <c r="J99" s="26">
        <f>IF(AND(ISNUMBER(I99),ISNUMBER(H99)),I99+H99-1,"")</f>
        <v>46398</v>
      </c>
      <c r="K99" s="24" t="s">
        <v>27</v>
      </c>
      <c r="L99" s="24" t="s">
        <v>284</v>
      </c>
      <c r="M99" s="27" t="s">
        <v>236</v>
      </c>
      <c r="N99" s="24"/>
      <c r="O99" s="27">
        <f>IF(AND(ISNUMBER(I99),ISNUMBER(J99)),J99-I99+1,"")</f>
        <v>7</v>
      </c>
      <c r="P99" s="13"/>
      <c r="Q99" s="13"/>
      <c r="R99" s="13"/>
      <c r="S99" s="13"/>
      <c r="T99" s="13"/>
      <c r="U99" s="13"/>
      <c r="V99" s="13"/>
      <c r="W99" s="13" t="s">
        <v>140</v>
      </c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 t="s">
        <v>140</v>
      </c>
      <c r="AJ99" s="13"/>
      <c r="AK99" s="13"/>
      <c r="AL99" s="13"/>
      <c r="AM99" s="13"/>
      <c r="AN99" s="13"/>
      <c r="AO99" s="14" t="str">
        <f>IF(AND(ISNUMBER($I99),OR($K99="Milestone",$K99="Deadline"),$I99&gt;=AO$4,$I99&lt;AO$4+7),IF($K99="Deadline","◇","◆"),"")</f>
        <v/>
      </c>
      <c r="AP99" s="14" t="str">
        <f>IF(AND(ISNUMBER($I99),OR($K99="Milestone",$K99="Deadline"),$I99&gt;=AP$4,$I99&lt;AP$4+7),IF($K99="Deadline","◇","◆"),"")</f>
        <v/>
      </c>
      <c r="AQ99" s="14" t="str">
        <f>IF(AND(ISNUMBER($I99),OR($K99="Milestone",$K99="Deadline"),$I99&gt;=AQ$4,$I99&lt;AQ$4+7),IF($K99="Deadline","◇","◆"),"")</f>
        <v/>
      </c>
      <c r="AR99" s="14" t="str">
        <f>IF(AND(ISNUMBER($I99),OR($K99="Milestone",$K99="Deadline"),$I99&gt;=AR$4,$I99&lt;AR$4+7),IF($K99="Deadline","◇","◆"),"")</f>
        <v/>
      </c>
      <c r="AS99" s="14" t="str">
        <f>IF(AND(ISNUMBER($I99),OR($K99="Milestone",$K99="Deadline"),$I99&gt;=AS$4,$I99&lt;AS$4+7),IF($K99="Deadline","◇","◆"),"")</f>
        <v/>
      </c>
      <c r="AT99" s="14" t="str">
        <f>IF(AND(ISNUMBER($I99),OR($K99="Milestone",$K99="Deadline"),$I99&gt;=AT$4,$I99&lt;AT$4+7),IF($K99="Deadline","◇","◆"),"")</f>
        <v/>
      </c>
      <c r="AU99" s="14" t="str">
        <f>IF(AND(ISNUMBER($I99),OR($K99="Milestone",$K99="Deadline"),$I99&gt;=AU$4,$I99&lt;AU$4+7),IF($K99="Deadline","◇","◆"),"")</f>
        <v/>
      </c>
      <c r="AV99" s="14" t="str">
        <f>IF(AND(ISNUMBER($I99),OR($K99="Milestone",$K99="Deadline"),$I99&gt;=AV$4,$I99&lt;AV$4+7),IF($K99="Deadline","◇","◆"),"")</f>
        <v/>
      </c>
      <c r="AW99" s="14" t="str">
        <f>IF(AND(ISNUMBER($I99),OR($K99="Milestone",$K99="Deadline"),$I99&gt;=AW$4,$I99&lt;AW$4+7),IF($K99="Deadline","◇","◆"),"")</f>
        <v/>
      </c>
      <c r="AX99" s="14" t="str">
        <f>IF(AND(ISNUMBER($I99),OR($K99="Milestone",$K99="Deadline"),$I99&gt;=AX$4,$I99&lt;AX$4+7),IF($K99="Deadline","◇","◆"),"")</f>
        <v/>
      </c>
      <c r="AY99" s="14" t="str">
        <f>IF(AND(ISNUMBER($I99),OR($K99="Milestone",$K99="Deadline"),$I99&gt;=AY$4,$I99&lt;AY$4+7),IF($K99="Deadline","◇","◆"),"")</f>
        <v/>
      </c>
      <c r="AZ99" s="14" t="str">
        <f>IF(AND(ISNUMBER($I99),OR($K99="Milestone",$K99="Deadline"),$I99&gt;=AZ$4,$I99&lt;AZ$4+7),IF($K99="Deadline","◇","◆"),"")</f>
        <v/>
      </c>
      <c r="BA99" s="14" t="str">
        <f>IF(AND(ISNUMBER($I99),OR($K99="Milestone",$K99="Deadline"),$I99&gt;=BA$4,$I99&lt;BA$4+7),IF($K99="Deadline","◇","◆"),"")</f>
        <v/>
      </c>
      <c r="BB99" s="14" t="str">
        <f>IF(AND(ISNUMBER($I99),OR($K99="Milestone",$K99="Deadline"),$I99&gt;=BB$4,$I99&lt;BB$4+7),IF($K99="Deadline","◇","◆"),"")</f>
        <v/>
      </c>
      <c r="BC99" s="14" t="str">
        <f>IF(AND(ISNUMBER($I99),OR($K99="Milestone",$K99="Deadline"),$I99&gt;=BC$4,$I99&lt;BC$4+7),IF($K99="Deadline","◇","◆"),"")</f>
        <v/>
      </c>
      <c r="BD99" s="14" t="str">
        <f>IF(AND(ISNUMBER($I99),OR($K99="Milestone",$K99="Deadline"),$I99&gt;=BD$4,$I99&lt;BD$4+7),IF($K99="Deadline","◇","◆"),"")</f>
        <v/>
      </c>
      <c r="BE99" s="14" t="str">
        <f>IF(AND(ISNUMBER($I99),OR($K99="Milestone",$K99="Deadline"),$I99&gt;=BE$4,$I99&lt;BE$4+7),IF($K99="Deadline","◇","◆"),"")</f>
        <v/>
      </c>
      <c r="BF99" s="14" t="str">
        <f>IF(AND(ISNUMBER($I99),OR($K99="Milestone",$K99="Deadline"),$I99&gt;=BF$4,$I99&lt;BF$4+7),IF($K99="Deadline","◇","◆"),"")</f>
        <v/>
      </c>
      <c r="BG99" s="14" t="str">
        <f>IF(AND(ISNUMBER($I99),OR($K99="Milestone",$K99="Deadline"),$I99&gt;=BG$4,$I99&lt;BG$4+7),IF($K99="Deadline","◇","◆"),"")</f>
        <v/>
      </c>
      <c r="BH99" s="14" t="str">
        <f>IF(AND(ISNUMBER($I99),OR($K99="Milestone",$K99="Deadline"),$I99&gt;=BH$4,$I99&lt;BH$4+7),IF($K99="Deadline","◇","◆"),"")</f>
        <v/>
      </c>
      <c r="BI99" s="14" t="str">
        <f>IF(AND(ISNUMBER($I99),OR($K99="Milestone",$K99="Deadline"),$I99&gt;=BI$4,$I99&lt;BI$4+7),IF($K99="Deadline","◇","◆"),"")</f>
        <v/>
      </c>
      <c r="BJ99" s="14" t="str">
        <f>IF(AND(ISNUMBER($I99),OR($K99="Milestone",$K99="Deadline"),$I99&gt;=BJ$4,$I99&lt;BJ$4+7),IF($K99="Deadline","◇","◆"),"")</f>
        <v/>
      </c>
      <c r="BK99" s="14" t="str">
        <f>IF(AND(ISNUMBER($I99),OR($K99="Milestone",$K99="Deadline"),$I99&gt;=BK$4,$I99&lt;BK$4+7),IF($K99="Deadline","◇","◆"),"")</f>
        <v/>
      </c>
      <c r="BL99" s="14" t="str">
        <f>IF(AND(ISNUMBER($I99),OR($K99="Milestone",$K99="Deadline"),$I99&gt;=BL$4,$I99&lt;BL$4+7),IF($K99="Deadline","◇","◆"),"")</f>
        <v/>
      </c>
      <c r="BM99" s="14" t="str">
        <f>IF(AND(ISNUMBER($I99),OR($K99="Milestone",$K99="Deadline"),$I99&gt;=BM$4,$I99&lt;BM$4+7),IF($K99="Deadline","◇","◆"),"")</f>
        <v/>
      </c>
      <c r="BN99" s="14" t="str">
        <f>IF(AND(ISNUMBER($I99),OR($K99="Milestone",$K99="Deadline"),$I99&gt;=BN$4,$I99&lt;BN$4+7),IF($K99="Deadline","◇","◆"),"")</f>
        <v/>
      </c>
      <c r="BO99" s="14" t="str">
        <f>IF(AND(ISNUMBER($I99),OR($K99="Milestone",$K99="Deadline"),$I99&gt;=BO$4,$I99&lt;BO$4+7),IF($K99="Deadline","◇","◆"),"")</f>
        <v/>
      </c>
      <c r="BP99" s="14" t="str">
        <f>IF(AND(ISNUMBER($I99),OR($K99="Milestone",$K99="Deadline"),$I99&gt;=BP$4,$I99&lt;BP$4+7),IF($K99="Deadline","◇","◆"),"")</f>
        <v/>
      </c>
      <c r="BQ99" s="14" t="str">
        <f>IF(AND(ISNUMBER($I99),OR($K99="Milestone",$K99="Deadline"),$I99&gt;=BQ$4,$I99&lt;BQ$4+7),IF($K99="Deadline","◇","◆"),"")</f>
        <v/>
      </c>
      <c r="BR99" s="14" t="str">
        <f>IF(AND(ISNUMBER($I99),OR($K99="Milestone",$K99="Deadline"),$I99&gt;=BR$4,$I99&lt;BR$4+7),IF($K99="Deadline","◇","◆"),"")</f>
        <v/>
      </c>
      <c r="BS99" s="14" t="str">
        <f>IF(AND(ISNUMBER($I99),OR($K99="Milestone",$K99="Deadline"),$I99&gt;=BS$4,$I99&lt;BS$4+7),IF($K99="Deadline","◇","◆"),"")</f>
        <v/>
      </c>
      <c r="BT99" s="14" t="str">
        <f>IF(AND(ISNUMBER($I99),OR($K99="Milestone",$K99="Deadline"),$I99&gt;=BT$4,$I99&lt;BT$4+7),IF($K99="Deadline","◇","◆"),"")</f>
        <v/>
      </c>
      <c r="BU99" s="14" t="str">
        <f>IF(AND(ISNUMBER($I99),OR($K99="Milestone",$K99="Deadline"),$I99&gt;=BU$4,$I99&lt;BU$4+7),IF($K99="Deadline","◇","◆"),"")</f>
        <v/>
      </c>
      <c r="BV99" s="14" t="str">
        <f>IF(AND(ISNUMBER($I99),OR($K99="Milestone",$K99="Deadline"),$I99&gt;=BV$4,$I99&lt;BV$4+7),IF($K99="Deadline","◇","◆"),"")</f>
        <v/>
      </c>
      <c r="BW99" s="14" t="str">
        <f>IF(AND(ISNUMBER($I99),OR($K99="Milestone",$K99="Deadline"),$I99&gt;=BW$4,$I99&lt;BW$4+7),IF($K99="Deadline","◇","◆"),"")</f>
        <v/>
      </c>
      <c r="BX99" s="14" t="str">
        <f>IF(AND(ISNUMBER($I99),OR($K99="Milestone",$K99="Deadline"),$I99&gt;=BX$4,$I99&lt;BX$4+7),IF($K99="Deadline","◇","◆"),"")</f>
        <v/>
      </c>
      <c r="BY99" s="14" t="str">
        <f>IF(AND(ISNUMBER($I99),OR($K99="Milestone",$K99="Deadline"),$I99&gt;=BY$4,$I99&lt;BY$4+7),IF($K99="Deadline","◇","◆"),"")</f>
        <v/>
      </c>
      <c r="BZ99" s="14" t="str">
        <f>IF(AND(ISNUMBER($I99),OR($K99="Milestone",$K99="Deadline"),$I99&gt;=BZ$4,$I99&lt;BZ$4+7),IF($K99="Deadline","◇","◆"),"")</f>
        <v/>
      </c>
      <c r="CA99" s="14" t="str">
        <f>IF(AND(ISNUMBER($I99),OR($K99="Milestone",$K99="Deadline"),$I99&gt;=CA$4,$I99&lt;CA$4+7),IF($K99="Deadline","◇","◆"),"")</f>
        <v/>
      </c>
      <c r="CB99" s="14" t="str">
        <f>IF(AND(ISNUMBER($I99),OR($K99="Milestone",$K99="Deadline"),$I99&gt;=CB$4,$I99&lt;CB$4+7),IF($K99="Deadline","◇","◆"),"")</f>
        <v/>
      </c>
      <c r="CC99" s="14" t="str">
        <f>IF(AND(ISNUMBER($I99),OR($K99="Milestone",$K99="Deadline"),$I99&gt;=CC$4,$I99&lt;CC$4+7),IF($K99="Deadline","◇","◆"),"")</f>
        <v/>
      </c>
      <c r="CD99" s="14" t="str">
        <f>IF(AND(ISNUMBER($I99),OR($K99="Milestone",$K99="Deadline"),$I99&gt;=CD$4,$I99&lt;CD$4+7),IF($K99="Deadline","◇","◆"),"")</f>
        <v/>
      </c>
      <c r="CE99" s="14" t="str">
        <f>IF(AND(ISNUMBER($I99),OR($K99="Milestone",$K99="Deadline"),$I99&gt;=CE$4,$I99&lt;CE$4+7),IF($K99="Deadline","◇","◆"),"")</f>
        <v/>
      </c>
      <c r="CF99" s="14" t="str">
        <f>IF(AND(ISNUMBER($I99),OR($K99="Milestone",$K99="Deadline"),$I99&gt;=CF$4,$I99&lt;CF$4+7),IF($K99="Deadline","◇","◆"),"")</f>
        <v/>
      </c>
      <c r="CG99" s="14" t="str">
        <f>IF(AND(ISNUMBER($I99),OR($K99="Milestone",$K99="Deadline"),$I99&gt;=CG$4,$I99&lt;CG$4+7),IF($K99="Deadline","◇","◆"),"")</f>
        <v/>
      </c>
      <c r="CH99" s="14" t="str">
        <f>IF(AND(ISNUMBER($I99),OR($K99="Milestone",$K99="Deadline"),$I99&gt;=CH$4,$I99&lt;CH$4+7),IF($K99="Deadline","◇","◆"),"")</f>
        <v/>
      </c>
      <c r="CI99" s="14" t="str">
        <f>IF(AND(ISNUMBER($I99),OR($K99="Milestone",$K99="Deadline"),$I99&gt;=CI$4,$I99&lt;CI$4+7),IF($K99="Deadline","◇","◆"),"")</f>
        <v/>
      </c>
      <c r="CJ99" s="14" t="str">
        <f>IF(AND(ISNUMBER($I99),OR($K99="Milestone",$K99="Deadline"),$I99&gt;=CJ$4,$I99&lt;CJ$4+7),IF($K99="Deadline","◇","◆"),"")</f>
        <v/>
      </c>
      <c r="CK99" s="14" t="str">
        <f>IF(AND(ISNUMBER($I99),OR($K99="Milestone",$K99="Deadline"),$I99&gt;=CK$4,$I99&lt;CK$4+7),IF($K99="Deadline","◇","◆"),"")</f>
        <v/>
      </c>
      <c r="CL99" s="14" t="str">
        <f>IF(AND(ISNUMBER($I99),OR($K99="Milestone",$K99="Deadline"),$I99&gt;=CL$4,$I99&lt;CL$4+7),IF($K99="Deadline","◇","◆"),"")</f>
        <v/>
      </c>
      <c r="CM99" s="14" t="str">
        <f>IF(AND(ISNUMBER($I99),OR($K99="Milestone",$K99="Deadline"),$I99&gt;=CM$4,$I99&lt;CM$4+7),IF($K99="Deadline","◇","◆"),"")</f>
        <v/>
      </c>
    </row>
    <row r="100" spans="1:91" ht="15" hidden="1" customHeight="1">
      <c r="A100" s="24" t="s">
        <v>287</v>
      </c>
      <c r="B100" s="24" t="s">
        <v>271</v>
      </c>
      <c r="C100" s="24" t="s">
        <v>63</v>
      </c>
      <c r="D100" s="24" t="s">
        <v>195</v>
      </c>
      <c r="E100" s="24" t="s">
        <v>281</v>
      </c>
      <c r="F100" s="24" t="s">
        <v>208</v>
      </c>
      <c r="G100" s="24" t="s">
        <v>184</v>
      </c>
      <c r="H100" s="24">
        <v>7</v>
      </c>
      <c r="I100" s="25">
        <f>MAX($C$2,J99+1,J96+1,J61+1,J85+1,J92+1)</f>
        <v>46426</v>
      </c>
      <c r="J100" s="26">
        <f>IF(AND(ISNUMBER(I100),ISNUMBER(H100)),I100+H100-1,"")</f>
        <v>46432</v>
      </c>
      <c r="K100" s="24" t="s">
        <v>27</v>
      </c>
      <c r="L100" s="24" t="s">
        <v>288</v>
      </c>
      <c r="M100" s="27" t="s">
        <v>274</v>
      </c>
      <c r="N100" s="24"/>
      <c r="O100" s="27">
        <f>IF(AND(ISNUMBER(I100),ISNUMBER(J100)),J100-I100+1,"")</f>
        <v>7</v>
      </c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 t="s">
        <v>140</v>
      </c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4" t="str">
        <f>IF(AND(ISNUMBER($I100),OR($K100="Milestone",$K100="Deadline"),$I100&gt;=AO$4,$I100&lt;AO$4+7),IF($K100="Deadline","◇","◆"),"")</f>
        <v/>
      </c>
      <c r="AP100" s="14" t="str">
        <f>IF(AND(ISNUMBER($I100),OR($K100="Milestone",$K100="Deadline"),$I100&gt;=AP$4,$I100&lt;AP$4+7),IF($K100="Deadline","◇","◆"),"")</f>
        <v/>
      </c>
      <c r="AQ100" s="14" t="str">
        <f>IF(AND(ISNUMBER($I100),OR($K100="Milestone",$K100="Deadline"),$I100&gt;=AQ$4,$I100&lt;AQ$4+7),IF($K100="Deadline","◇","◆"),"")</f>
        <v/>
      </c>
      <c r="AR100" s="14" t="str">
        <f>IF(AND(ISNUMBER($I100),OR($K100="Milestone",$K100="Deadline"),$I100&gt;=AR$4,$I100&lt;AR$4+7),IF($K100="Deadline","◇","◆"),"")</f>
        <v/>
      </c>
      <c r="AS100" s="14" t="str">
        <f>IF(AND(ISNUMBER($I100),OR($K100="Milestone",$K100="Deadline"),$I100&gt;=AS$4,$I100&lt;AS$4+7),IF($K100="Deadline","◇","◆"),"")</f>
        <v/>
      </c>
      <c r="AT100" s="14" t="str">
        <f>IF(AND(ISNUMBER($I100),OR($K100="Milestone",$K100="Deadline"),$I100&gt;=AT$4,$I100&lt;AT$4+7),IF($K100="Deadline","◇","◆"),"")</f>
        <v/>
      </c>
      <c r="AU100" s="14" t="str">
        <f>IF(AND(ISNUMBER($I100),OR($K100="Milestone",$K100="Deadline"),$I100&gt;=AU$4,$I100&lt;AU$4+7),IF($K100="Deadline","◇","◆"),"")</f>
        <v/>
      </c>
      <c r="AV100" s="14" t="str">
        <f>IF(AND(ISNUMBER($I100),OR($K100="Milestone",$K100="Deadline"),$I100&gt;=AV$4,$I100&lt;AV$4+7),IF($K100="Deadline","◇","◆"),"")</f>
        <v/>
      </c>
      <c r="AW100" s="14" t="str">
        <f>IF(AND(ISNUMBER($I100),OR($K100="Milestone",$K100="Deadline"),$I100&gt;=AW$4,$I100&lt;AW$4+7),IF($K100="Deadline","◇","◆"),"")</f>
        <v/>
      </c>
      <c r="AX100" s="14" t="str">
        <f>IF(AND(ISNUMBER($I100),OR($K100="Milestone",$K100="Deadline"),$I100&gt;=AX$4,$I100&lt;AX$4+7),IF($K100="Deadline","◇","◆"),"")</f>
        <v/>
      </c>
      <c r="AY100" s="14" t="str">
        <f>IF(AND(ISNUMBER($I100),OR($K100="Milestone",$K100="Deadline"),$I100&gt;=AY$4,$I100&lt;AY$4+7),IF($K100="Deadline","◇","◆"),"")</f>
        <v/>
      </c>
      <c r="AZ100" s="14" t="str">
        <f>IF(AND(ISNUMBER($I100),OR($K100="Milestone",$K100="Deadline"),$I100&gt;=AZ$4,$I100&lt;AZ$4+7),IF($K100="Deadline","◇","◆"),"")</f>
        <v/>
      </c>
      <c r="BA100" s="14" t="str">
        <f>IF(AND(ISNUMBER($I100),OR($K100="Milestone",$K100="Deadline"),$I100&gt;=BA$4,$I100&lt;BA$4+7),IF($K100="Deadline","◇","◆"),"")</f>
        <v/>
      </c>
      <c r="BB100" s="14" t="str">
        <f>IF(AND(ISNUMBER($I100),OR($K100="Milestone",$K100="Deadline"),$I100&gt;=BB$4,$I100&lt;BB$4+7),IF($K100="Deadline","◇","◆"),"")</f>
        <v/>
      </c>
      <c r="BC100" s="14" t="str">
        <f>IF(AND(ISNUMBER($I100),OR($K100="Milestone",$K100="Deadline"),$I100&gt;=BC$4,$I100&lt;BC$4+7),IF($K100="Deadline","◇","◆"),"")</f>
        <v/>
      </c>
      <c r="BD100" s="14" t="str">
        <f>IF(AND(ISNUMBER($I100),OR($K100="Milestone",$K100="Deadline"),$I100&gt;=BD$4,$I100&lt;BD$4+7),IF($K100="Deadline","◇","◆"),"")</f>
        <v/>
      </c>
      <c r="BE100" s="14" t="str">
        <f>IF(AND(ISNUMBER($I100),OR($K100="Milestone",$K100="Deadline"),$I100&gt;=BE$4,$I100&lt;BE$4+7),IF($K100="Deadline","◇","◆"),"")</f>
        <v/>
      </c>
      <c r="BF100" s="14" t="str">
        <f>IF(AND(ISNUMBER($I100),OR($K100="Milestone",$K100="Deadline"),$I100&gt;=BF$4,$I100&lt;BF$4+7),IF($K100="Deadline","◇","◆"),"")</f>
        <v/>
      </c>
      <c r="BG100" s="14" t="str">
        <f>IF(AND(ISNUMBER($I100),OR($K100="Milestone",$K100="Deadline"),$I100&gt;=BG$4,$I100&lt;BG$4+7),IF($K100="Deadline","◇","◆"),"")</f>
        <v/>
      </c>
      <c r="BH100" s="14" t="str">
        <f>IF(AND(ISNUMBER($I100),OR($K100="Milestone",$K100="Deadline"),$I100&gt;=BH$4,$I100&lt;BH$4+7),IF($K100="Deadline","◇","◆"),"")</f>
        <v/>
      </c>
      <c r="BI100" s="14" t="str">
        <f>IF(AND(ISNUMBER($I100),OR($K100="Milestone",$K100="Deadline"),$I100&gt;=BI$4,$I100&lt;BI$4+7),IF($K100="Deadline","◇","◆"),"")</f>
        <v/>
      </c>
      <c r="BJ100" s="14" t="str">
        <f>IF(AND(ISNUMBER($I100),OR($K100="Milestone",$K100="Deadline"),$I100&gt;=BJ$4,$I100&lt;BJ$4+7),IF($K100="Deadline","◇","◆"),"")</f>
        <v/>
      </c>
      <c r="BK100" s="14" t="str">
        <f>IF(AND(ISNUMBER($I100),OR($K100="Milestone",$K100="Deadline"),$I100&gt;=BK$4,$I100&lt;BK$4+7),IF($K100="Deadline","◇","◆"),"")</f>
        <v/>
      </c>
      <c r="BL100" s="14" t="str">
        <f>IF(AND(ISNUMBER($I100),OR($K100="Milestone",$K100="Deadline"),$I100&gt;=BL$4,$I100&lt;BL$4+7),IF($K100="Deadline","◇","◆"),"")</f>
        <v/>
      </c>
      <c r="BM100" s="14" t="str">
        <f>IF(AND(ISNUMBER($I100),OR($K100="Milestone",$K100="Deadline"),$I100&gt;=BM$4,$I100&lt;BM$4+7),IF($K100="Deadline","◇","◆"),"")</f>
        <v/>
      </c>
      <c r="BN100" s="14" t="str">
        <f>IF(AND(ISNUMBER($I100),OR($K100="Milestone",$K100="Deadline"),$I100&gt;=BN$4,$I100&lt;BN$4+7),IF($K100="Deadline","◇","◆"),"")</f>
        <v/>
      </c>
      <c r="BO100" s="14" t="str">
        <f>IF(AND(ISNUMBER($I100),OR($K100="Milestone",$K100="Deadline"),$I100&gt;=BO$4,$I100&lt;BO$4+7),IF($K100="Deadline","◇","◆"),"")</f>
        <v/>
      </c>
      <c r="BP100" s="14" t="str">
        <f>IF(AND(ISNUMBER($I100),OR($K100="Milestone",$K100="Deadline"),$I100&gt;=BP$4,$I100&lt;BP$4+7),IF($K100="Deadline","◇","◆"),"")</f>
        <v/>
      </c>
      <c r="BQ100" s="14" t="str">
        <f>IF(AND(ISNUMBER($I100),OR($K100="Milestone",$K100="Deadline"),$I100&gt;=BQ$4,$I100&lt;BQ$4+7),IF($K100="Deadline","◇","◆"),"")</f>
        <v/>
      </c>
      <c r="BR100" s="14" t="str">
        <f>IF(AND(ISNUMBER($I100),OR($K100="Milestone",$K100="Deadline"),$I100&gt;=BR$4,$I100&lt;BR$4+7),IF($K100="Deadline","◇","◆"),"")</f>
        <v/>
      </c>
      <c r="BS100" s="14" t="str">
        <f>IF(AND(ISNUMBER($I100),OR($K100="Milestone",$K100="Deadline"),$I100&gt;=BS$4,$I100&lt;BS$4+7),IF($K100="Deadline","◇","◆"),"")</f>
        <v/>
      </c>
      <c r="BT100" s="14" t="str">
        <f>IF(AND(ISNUMBER($I100),OR($K100="Milestone",$K100="Deadline"),$I100&gt;=BT$4,$I100&lt;BT$4+7),IF($K100="Deadline","◇","◆"),"")</f>
        <v/>
      </c>
      <c r="BU100" s="14" t="str">
        <f>IF(AND(ISNUMBER($I100),OR($K100="Milestone",$K100="Deadline"),$I100&gt;=BU$4,$I100&lt;BU$4+7),IF($K100="Deadline","◇","◆"),"")</f>
        <v/>
      </c>
      <c r="BV100" s="14" t="str">
        <f>IF(AND(ISNUMBER($I100),OR($K100="Milestone",$K100="Deadline"),$I100&gt;=BV$4,$I100&lt;BV$4+7),IF($K100="Deadline","◇","◆"),"")</f>
        <v/>
      </c>
      <c r="BW100" s="14" t="str">
        <f>IF(AND(ISNUMBER($I100),OR($K100="Milestone",$K100="Deadline"),$I100&gt;=BW$4,$I100&lt;BW$4+7),IF($K100="Deadline","◇","◆"),"")</f>
        <v/>
      </c>
      <c r="BX100" s="14" t="str">
        <f>IF(AND(ISNUMBER($I100),OR($K100="Milestone",$K100="Deadline"),$I100&gt;=BX$4,$I100&lt;BX$4+7),IF($K100="Deadline","◇","◆"),"")</f>
        <v/>
      </c>
      <c r="BY100" s="14" t="str">
        <f>IF(AND(ISNUMBER($I100),OR($K100="Milestone",$K100="Deadline"),$I100&gt;=BY$4,$I100&lt;BY$4+7),IF($K100="Deadline","◇","◆"),"")</f>
        <v/>
      </c>
      <c r="BZ100" s="14" t="str">
        <f>IF(AND(ISNUMBER($I100),OR($K100="Milestone",$K100="Deadline"),$I100&gt;=BZ$4,$I100&lt;BZ$4+7),IF($K100="Deadline","◇","◆"),"")</f>
        <v/>
      </c>
      <c r="CA100" s="14" t="str">
        <f>IF(AND(ISNUMBER($I100),OR($K100="Milestone",$K100="Deadline"),$I100&gt;=CA$4,$I100&lt;CA$4+7),IF($K100="Deadline","◇","◆"),"")</f>
        <v/>
      </c>
      <c r="CB100" s="14" t="str">
        <f>IF(AND(ISNUMBER($I100),OR($K100="Milestone",$K100="Deadline"),$I100&gt;=CB$4,$I100&lt;CB$4+7),IF($K100="Deadline","◇","◆"),"")</f>
        <v/>
      </c>
      <c r="CC100" s="14" t="str">
        <f>IF(AND(ISNUMBER($I100),OR($K100="Milestone",$K100="Deadline"),$I100&gt;=CC$4,$I100&lt;CC$4+7),IF($K100="Deadline","◇","◆"),"")</f>
        <v/>
      </c>
      <c r="CD100" s="14" t="str">
        <f>IF(AND(ISNUMBER($I100),OR($K100="Milestone",$K100="Deadline"),$I100&gt;=CD$4,$I100&lt;CD$4+7),IF($K100="Deadline","◇","◆"),"")</f>
        <v/>
      </c>
      <c r="CE100" s="14" t="str">
        <f>IF(AND(ISNUMBER($I100),OR($K100="Milestone",$K100="Deadline"),$I100&gt;=CE$4,$I100&lt;CE$4+7),IF($K100="Deadline","◇","◆"),"")</f>
        <v/>
      </c>
      <c r="CF100" s="14" t="str">
        <f>IF(AND(ISNUMBER($I100),OR($K100="Milestone",$K100="Deadline"),$I100&gt;=CF$4,$I100&lt;CF$4+7),IF($K100="Deadline","◇","◆"),"")</f>
        <v/>
      </c>
      <c r="CG100" s="14" t="str">
        <f>IF(AND(ISNUMBER($I100),OR($K100="Milestone",$K100="Deadline"),$I100&gt;=CG$4,$I100&lt;CG$4+7),IF($K100="Deadline","◇","◆"),"")</f>
        <v/>
      </c>
      <c r="CH100" s="14" t="str">
        <f>IF(AND(ISNUMBER($I100),OR($K100="Milestone",$K100="Deadline"),$I100&gt;=CH$4,$I100&lt;CH$4+7),IF($K100="Deadline","◇","◆"),"")</f>
        <v/>
      </c>
      <c r="CI100" s="14" t="str">
        <f>IF(AND(ISNUMBER($I100),OR($K100="Milestone",$K100="Deadline"),$I100&gt;=CI$4,$I100&lt;CI$4+7),IF($K100="Deadline","◇","◆"),"")</f>
        <v/>
      </c>
      <c r="CJ100" s="14" t="str">
        <f>IF(AND(ISNUMBER($I100),OR($K100="Milestone",$K100="Deadline"),$I100&gt;=CJ$4,$I100&lt;CJ$4+7),IF($K100="Deadline","◇","◆"),"")</f>
        <v/>
      </c>
      <c r="CK100" s="14" t="str">
        <f>IF(AND(ISNUMBER($I100),OR($K100="Milestone",$K100="Deadline"),$I100&gt;=CK$4,$I100&lt;CK$4+7),IF($K100="Deadline","◇","◆"),"")</f>
        <v/>
      </c>
      <c r="CL100" s="14" t="str">
        <f>IF(AND(ISNUMBER($I100),OR($K100="Milestone",$K100="Deadline"),$I100&gt;=CL$4,$I100&lt;CL$4+7),IF($K100="Deadline","◇","◆"),"")</f>
        <v/>
      </c>
      <c r="CM100" s="14" t="str">
        <f>IF(AND(ISNUMBER($I100),OR($K100="Milestone",$K100="Deadline"),$I100&gt;=CM$4,$I100&lt;CM$4+7),IF($K100="Deadline","◇","◆"),"")</f>
        <v/>
      </c>
    </row>
    <row r="101" spans="1:91" ht="15" hidden="1" customHeight="1">
      <c r="A101" s="24" t="s">
        <v>289</v>
      </c>
      <c r="B101" s="24" t="s">
        <v>271</v>
      </c>
      <c r="C101" s="24" t="s">
        <v>63</v>
      </c>
      <c r="D101" s="24" t="s">
        <v>195</v>
      </c>
      <c r="E101" s="24" t="s">
        <v>281</v>
      </c>
      <c r="F101" s="24" t="s">
        <v>208</v>
      </c>
      <c r="G101" s="24" t="s">
        <v>275</v>
      </c>
      <c r="H101" s="24">
        <v>13</v>
      </c>
      <c r="I101" s="25">
        <f>MAX($C$2,J99+1,J128+1)</f>
        <v>46399</v>
      </c>
      <c r="J101" s="26">
        <f>IF(AND(ISNUMBER(I101),ISNUMBER(H101)),I101+H101-1,"")</f>
        <v>46411</v>
      </c>
      <c r="K101" s="24" t="s">
        <v>27</v>
      </c>
      <c r="L101" s="24" t="s">
        <v>286</v>
      </c>
      <c r="M101" s="27" t="s">
        <v>290</v>
      </c>
      <c r="N101" s="24"/>
      <c r="O101" s="27">
        <f>IF(AND(ISNUMBER(I101),ISNUMBER(J101)),J101-I101+1,"")</f>
        <v>13</v>
      </c>
      <c r="P101" s="13"/>
      <c r="Q101" s="13"/>
      <c r="R101" s="13"/>
      <c r="S101" s="13"/>
      <c r="T101" s="13"/>
      <c r="U101" s="13"/>
      <c r="V101" s="13"/>
      <c r="W101" s="13" t="s">
        <v>140</v>
      </c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 t="s">
        <v>140</v>
      </c>
      <c r="AI101" s="13"/>
      <c r="AJ101" s="13"/>
      <c r="AK101" s="13"/>
      <c r="AL101" s="13"/>
      <c r="AM101" s="13"/>
      <c r="AN101" s="13"/>
      <c r="AO101" s="14" t="str">
        <f>IF(AND(ISNUMBER($I101),OR($K101="Milestone",$K101="Deadline"),$I101&gt;=AO$4,$I101&lt;AO$4+7),IF($K101="Deadline","◇","◆"),"")</f>
        <v/>
      </c>
      <c r="AP101" s="14" t="str">
        <f>IF(AND(ISNUMBER($I101),OR($K101="Milestone",$K101="Deadline"),$I101&gt;=AP$4,$I101&lt;AP$4+7),IF($K101="Deadline","◇","◆"),"")</f>
        <v/>
      </c>
      <c r="AQ101" s="14" t="str">
        <f>IF(AND(ISNUMBER($I101),OR($K101="Milestone",$K101="Deadline"),$I101&gt;=AQ$4,$I101&lt;AQ$4+7),IF($K101="Deadline","◇","◆"),"")</f>
        <v/>
      </c>
      <c r="AR101" s="14" t="str">
        <f>IF(AND(ISNUMBER($I101),OR($K101="Milestone",$K101="Deadline"),$I101&gt;=AR$4,$I101&lt;AR$4+7),IF($K101="Deadline","◇","◆"),"")</f>
        <v/>
      </c>
      <c r="AS101" s="14" t="str">
        <f>IF(AND(ISNUMBER($I101),OR($K101="Milestone",$K101="Deadline"),$I101&gt;=AS$4,$I101&lt;AS$4+7),IF($K101="Deadline","◇","◆"),"")</f>
        <v/>
      </c>
      <c r="AT101" s="14" t="str">
        <f>IF(AND(ISNUMBER($I101),OR($K101="Milestone",$K101="Deadline"),$I101&gt;=AT$4,$I101&lt;AT$4+7),IF($K101="Deadline","◇","◆"),"")</f>
        <v/>
      </c>
      <c r="AU101" s="14" t="str">
        <f>IF(AND(ISNUMBER($I101),OR($K101="Milestone",$K101="Deadline"),$I101&gt;=AU$4,$I101&lt;AU$4+7),IF($K101="Deadline","◇","◆"),"")</f>
        <v/>
      </c>
      <c r="AV101" s="14" t="str">
        <f>IF(AND(ISNUMBER($I101),OR($K101="Milestone",$K101="Deadline"),$I101&gt;=AV$4,$I101&lt;AV$4+7),IF($K101="Deadline","◇","◆"),"")</f>
        <v/>
      </c>
      <c r="AW101" s="14" t="str">
        <f>IF(AND(ISNUMBER($I101),OR($K101="Milestone",$K101="Deadline"),$I101&gt;=AW$4,$I101&lt;AW$4+7),IF($K101="Deadline","◇","◆"),"")</f>
        <v/>
      </c>
      <c r="AX101" s="14" t="str">
        <f>IF(AND(ISNUMBER($I101),OR($K101="Milestone",$K101="Deadline"),$I101&gt;=AX$4,$I101&lt;AX$4+7),IF($K101="Deadline","◇","◆"),"")</f>
        <v/>
      </c>
      <c r="AY101" s="14" t="str">
        <f>IF(AND(ISNUMBER($I101),OR($K101="Milestone",$K101="Deadline"),$I101&gt;=AY$4,$I101&lt;AY$4+7),IF($K101="Deadline","◇","◆"),"")</f>
        <v/>
      </c>
      <c r="AZ101" s="14" t="str">
        <f>IF(AND(ISNUMBER($I101),OR($K101="Milestone",$K101="Deadline"),$I101&gt;=AZ$4,$I101&lt;AZ$4+7),IF($K101="Deadline","◇","◆"),"")</f>
        <v/>
      </c>
      <c r="BA101" s="14" t="str">
        <f>IF(AND(ISNUMBER($I101),OR($K101="Milestone",$K101="Deadline"),$I101&gt;=BA$4,$I101&lt;BA$4+7),IF($K101="Deadline","◇","◆"),"")</f>
        <v/>
      </c>
      <c r="BB101" s="14" t="str">
        <f>IF(AND(ISNUMBER($I101),OR($K101="Milestone",$K101="Deadline"),$I101&gt;=BB$4,$I101&lt;BB$4+7),IF($K101="Deadline","◇","◆"),"")</f>
        <v/>
      </c>
      <c r="BC101" s="14" t="str">
        <f>IF(AND(ISNUMBER($I101),OR($K101="Milestone",$K101="Deadline"),$I101&gt;=BC$4,$I101&lt;BC$4+7),IF($K101="Deadline","◇","◆"),"")</f>
        <v/>
      </c>
      <c r="BD101" s="14" t="str">
        <f>IF(AND(ISNUMBER($I101),OR($K101="Milestone",$K101="Deadline"),$I101&gt;=BD$4,$I101&lt;BD$4+7),IF($K101="Deadline","◇","◆"),"")</f>
        <v/>
      </c>
      <c r="BE101" s="14" t="str">
        <f>IF(AND(ISNUMBER($I101),OR($K101="Milestone",$K101="Deadline"),$I101&gt;=BE$4,$I101&lt;BE$4+7),IF($K101="Deadline","◇","◆"),"")</f>
        <v/>
      </c>
      <c r="BF101" s="14" t="str">
        <f>IF(AND(ISNUMBER($I101),OR($K101="Milestone",$K101="Deadline"),$I101&gt;=BF$4,$I101&lt;BF$4+7),IF($K101="Deadline","◇","◆"),"")</f>
        <v/>
      </c>
      <c r="BG101" s="14" t="str">
        <f>IF(AND(ISNUMBER($I101),OR($K101="Milestone",$K101="Deadline"),$I101&gt;=BG$4,$I101&lt;BG$4+7),IF($K101="Deadline","◇","◆"),"")</f>
        <v/>
      </c>
      <c r="BH101" s="14" t="str">
        <f>IF(AND(ISNUMBER($I101),OR($K101="Milestone",$K101="Deadline"),$I101&gt;=BH$4,$I101&lt;BH$4+7),IF($K101="Deadline","◇","◆"),"")</f>
        <v/>
      </c>
      <c r="BI101" s="14" t="str">
        <f>IF(AND(ISNUMBER($I101),OR($K101="Milestone",$K101="Deadline"),$I101&gt;=BI$4,$I101&lt;BI$4+7),IF($K101="Deadline","◇","◆"),"")</f>
        <v/>
      </c>
      <c r="BJ101" s="14" t="str">
        <f>IF(AND(ISNUMBER($I101),OR($K101="Milestone",$K101="Deadline"),$I101&gt;=BJ$4,$I101&lt;BJ$4+7),IF($K101="Deadline","◇","◆"),"")</f>
        <v/>
      </c>
      <c r="BK101" s="14" t="str">
        <f>IF(AND(ISNUMBER($I101),OR($K101="Milestone",$K101="Deadline"),$I101&gt;=BK$4,$I101&lt;BK$4+7),IF($K101="Deadline","◇","◆"),"")</f>
        <v/>
      </c>
      <c r="BL101" s="14" t="str">
        <f>IF(AND(ISNUMBER($I101),OR($K101="Milestone",$K101="Deadline"),$I101&gt;=BL$4,$I101&lt;BL$4+7),IF($K101="Deadline","◇","◆"),"")</f>
        <v/>
      </c>
      <c r="BM101" s="14" t="str">
        <f>IF(AND(ISNUMBER($I101),OR($K101="Milestone",$K101="Deadline"),$I101&gt;=BM$4,$I101&lt;BM$4+7),IF($K101="Deadline","◇","◆"),"")</f>
        <v/>
      </c>
      <c r="BN101" s="14" t="str">
        <f>IF(AND(ISNUMBER($I101),OR($K101="Milestone",$K101="Deadline"),$I101&gt;=BN$4,$I101&lt;BN$4+7),IF($K101="Deadline","◇","◆"),"")</f>
        <v/>
      </c>
      <c r="BO101" s="14" t="str">
        <f>IF(AND(ISNUMBER($I101),OR($K101="Milestone",$K101="Deadline"),$I101&gt;=BO$4,$I101&lt;BO$4+7),IF($K101="Deadline","◇","◆"),"")</f>
        <v/>
      </c>
      <c r="BP101" s="14" t="str">
        <f>IF(AND(ISNUMBER($I101),OR($K101="Milestone",$K101="Deadline"),$I101&gt;=BP$4,$I101&lt;BP$4+7),IF($K101="Deadline","◇","◆"),"")</f>
        <v/>
      </c>
      <c r="BQ101" s="14" t="str">
        <f>IF(AND(ISNUMBER($I101),OR($K101="Milestone",$K101="Deadline"),$I101&gt;=BQ$4,$I101&lt;BQ$4+7),IF($K101="Deadline","◇","◆"),"")</f>
        <v/>
      </c>
      <c r="BR101" s="14" t="str">
        <f>IF(AND(ISNUMBER($I101),OR($K101="Milestone",$K101="Deadline"),$I101&gt;=BR$4,$I101&lt;BR$4+7),IF($K101="Deadline","◇","◆"),"")</f>
        <v/>
      </c>
      <c r="BS101" s="14" t="str">
        <f>IF(AND(ISNUMBER($I101),OR($K101="Milestone",$K101="Deadline"),$I101&gt;=BS$4,$I101&lt;BS$4+7),IF($K101="Deadline","◇","◆"),"")</f>
        <v/>
      </c>
      <c r="BT101" s="14" t="str">
        <f>IF(AND(ISNUMBER($I101),OR($K101="Milestone",$K101="Deadline"),$I101&gt;=BT$4,$I101&lt;BT$4+7),IF($K101="Deadline","◇","◆"),"")</f>
        <v/>
      </c>
      <c r="BU101" s="14" t="str">
        <f>IF(AND(ISNUMBER($I101),OR($K101="Milestone",$K101="Deadline"),$I101&gt;=BU$4,$I101&lt;BU$4+7),IF($K101="Deadline","◇","◆"),"")</f>
        <v/>
      </c>
      <c r="BV101" s="14" t="str">
        <f>IF(AND(ISNUMBER($I101),OR($K101="Milestone",$K101="Deadline"),$I101&gt;=BV$4,$I101&lt;BV$4+7),IF($K101="Deadline","◇","◆"),"")</f>
        <v/>
      </c>
      <c r="BW101" s="14" t="str">
        <f>IF(AND(ISNUMBER($I101),OR($K101="Milestone",$K101="Deadline"),$I101&gt;=BW$4,$I101&lt;BW$4+7),IF($K101="Deadline","◇","◆"),"")</f>
        <v/>
      </c>
      <c r="BX101" s="14" t="str">
        <f>IF(AND(ISNUMBER($I101),OR($K101="Milestone",$K101="Deadline"),$I101&gt;=BX$4,$I101&lt;BX$4+7),IF($K101="Deadline","◇","◆"),"")</f>
        <v/>
      </c>
      <c r="BY101" s="14" t="str">
        <f>IF(AND(ISNUMBER($I101),OR($K101="Milestone",$K101="Deadline"),$I101&gt;=BY$4,$I101&lt;BY$4+7),IF($K101="Deadline","◇","◆"),"")</f>
        <v/>
      </c>
      <c r="BZ101" s="14" t="str">
        <f>IF(AND(ISNUMBER($I101),OR($K101="Milestone",$K101="Deadline"),$I101&gt;=BZ$4,$I101&lt;BZ$4+7),IF($K101="Deadline","◇","◆"),"")</f>
        <v/>
      </c>
      <c r="CA101" s="14" t="str">
        <f>IF(AND(ISNUMBER($I101),OR($K101="Milestone",$K101="Deadline"),$I101&gt;=CA$4,$I101&lt;CA$4+7),IF($K101="Deadline","◇","◆"),"")</f>
        <v/>
      </c>
      <c r="CB101" s="14" t="str">
        <f>IF(AND(ISNUMBER($I101),OR($K101="Milestone",$K101="Deadline"),$I101&gt;=CB$4,$I101&lt;CB$4+7),IF($K101="Deadline","◇","◆"),"")</f>
        <v/>
      </c>
      <c r="CC101" s="14" t="str">
        <f>IF(AND(ISNUMBER($I101),OR($K101="Milestone",$K101="Deadline"),$I101&gt;=CC$4,$I101&lt;CC$4+7),IF($K101="Deadline","◇","◆"),"")</f>
        <v/>
      </c>
      <c r="CD101" s="14" t="str">
        <f>IF(AND(ISNUMBER($I101),OR($K101="Milestone",$K101="Deadline"),$I101&gt;=CD$4,$I101&lt;CD$4+7),IF($K101="Deadline","◇","◆"),"")</f>
        <v/>
      </c>
      <c r="CE101" s="14" t="str">
        <f>IF(AND(ISNUMBER($I101),OR($K101="Milestone",$K101="Deadline"),$I101&gt;=CE$4,$I101&lt;CE$4+7),IF($K101="Deadline","◇","◆"),"")</f>
        <v/>
      </c>
      <c r="CF101" s="14" t="str">
        <f>IF(AND(ISNUMBER($I101),OR($K101="Milestone",$K101="Deadline"),$I101&gt;=CF$4,$I101&lt;CF$4+7),IF($K101="Deadline","◇","◆"),"")</f>
        <v/>
      </c>
      <c r="CG101" s="14" t="str">
        <f>IF(AND(ISNUMBER($I101),OR($K101="Milestone",$K101="Deadline"),$I101&gt;=CG$4,$I101&lt;CG$4+7),IF($K101="Deadline","◇","◆"),"")</f>
        <v/>
      </c>
      <c r="CH101" s="14" t="str">
        <f>IF(AND(ISNUMBER($I101),OR($K101="Milestone",$K101="Deadline"),$I101&gt;=CH$4,$I101&lt;CH$4+7),IF($K101="Deadline","◇","◆"),"")</f>
        <v/>
      </c>
      <c r="CI101" s="14" t="str">
        <f>IF(AND(ISNUMBER($I101),OR($K101="Milestone",$K101="Deadline"),$I101&gt;=CI$4,$I101&lt;CI$4+7),IF($K101="Deadline","◇","◆"),"")</f>
        <v/>
      </c>
      <c r="CJ101" s="14" t="str">
        <f>IF(AND(ISNUMBER($I101),OR($K101="Milestone",$K101="Deadline"),$I101&gt;=CJ$4,$I101&lt;CJ$4+7),IF($K101="Deadline","◇","◆"),"")</f>
        <v/>
      </c>
      <c r="CK101" s="14" t="str">
        <f>IF(AND(ISNUMBER($I101),OR($K101="Milestone",$K101="Deadline"),$I101&gt;=CK$4,$I101&lt;CK$4+7),IF($K101="Deadline","◇","◆"),"")</f>
        <v/>
      </c>
      <c r="CL101" s="14" t="str">
        <f>IF(AND(ISNUMBER($I101),OR($K101="Milestone",$K101="Deadline"),$I101&gt;=CL$4,$I101&lt;CL$4+7),IF($K101="Deadline","◇","◆"),"")</f>
        <v/>
      </c>
      <c r="CM101" s="14" t="str">
        <f>IF(AND(ISNUMBER($I101),OR($K101="Milestone",$K101="Deadline"),$I101&gt;=CM$4,$I101&lt;CM$4+7),IF($K101="Deadline","◇","◆"),"")</f>
        <v/>
      </c>
    </row>
    <row r="102" spans="1:91" ht="15" hidden="1" customHeight="1">
      <c r="A102" s="24" t="s">
        <v>291</v>
      </c>
      <c r="B102" s="24" t="s">
        <v>271</v>
      </c>
      <c r="C102" s="24" t="s">
        <v>191</v>
      </c>
      <c r="D102" s="24" t="s">
        <v>195</v>
      </c>
      <c r="E102" s="24" t="s">
        <v>281</v>
      </c>
      <c r="F102" s="24" t="s">
        <v>208</v>
      </c>
      <c r="G102" s="24" t="s">
        <v>278</v>
      </c>
      <c r="H102" s="24">
        <v>8</v>
      </c>
      <c r="I102" s="25">
        <f>MAX(DATE(2027,3,1),J101+1,J249+1)</f>
        <v>46447</v>
      </c>
      <c r="J102" s="26">
        <f>IF(AND(ISNUMBER(I102),ISNUMBER(H102)),I102+H102-1,"")</f>
        <v>46454</v>
      </c>
      <c r="K102" s="24" t="s">
        <v>27</v>
      </c>
      <c r="L102" s="24" t="s">
        <v>289</v>
      </c>
      <c r="M102" s="27" t="s">
        <v>292</v>
      </c>
      <c r="N102" s="24"/>
      <c r="O102" s="27">
        <f>IF(AND(ISNUMBER(I102),ISNUMBER(J102)),J102-I102+1,"")</f>
        <v>8</v>
      </c>
      <c r="P102" s="13"/>
      <c r="Q102" s="13"/>
      <c r="R102" s="13"/>
      <c r="S102" s="13"/>
      <c r="T102" s="13"/>
      <c r="U102" s="13"/>
      <c r="V102" s="13"/>
      <c r="W102" s="13" t="s">
        <v>140</v>
      </c>
      <c r="X102" s="13"/>
      <c r="Y102" s="13"/>
      <c r="Z102" s="13"/>
      <c r="AA102" s="13"/>
      <c r="AB102" s="13"/>
      <c r="AC102" s="13"/>
      <c r="AD102" s="13" t="s">
        <v>140</v>
      </c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4" t="str">
        <f>IF(AND(ISNUMBER($I102),OR($K102="Milestone",$K102="Deadline"),$I102&gt;=AO$4,$I102&lt;AO$4+7),IF($K102="Deadline","◇","◆"),"")</f>
        <v/>
      </c>
      <c r="AP102" s="14" t="str">
        <f>IF(AND(ISNUMBER($I102),OR($K102="Milestone",$K102="Deadline"),$I102&gt;=AP$4,$I102&lt;AP$4+7),IF($K102="Deadline","◇","◆"),"")</f>
        <v/>
      </c>
      <c r="AQ102" s="14" t="str">
        <f>IF(AND(ISNUMBER($I102),OR($K102="Milestone",$K102="Deadline"),$I102&gt;=AQ$4,$I102&lt;AQ$4+7),IF($K102="Deadline","◇","◆"),"")</f>
        <v/>
      </c>
      <c r="AR102" s="14" t="str">
        <f>IF(AND(ISNUMBER($I102),OR($K102="Milestone",$K102="Deadline"),$I102&gt;=AR$4,$I102&lt;AR$4+7),IF($K102="Deadline","◇","◆"),"")</f>
        <v/>
      </c>
      <c r="AS102" s="14" t="str">
        <f>IF(AND(ISNUMBER($I102),OR($K102="Milestone",$K102="Deadline"),$I102&gt;=AS$4,$I102&lt;AS$4+7),IF($K102="Deadline","◇","◆"),"")</f>
        <v/>
      </c>
      <c r="AT102" s="14" t="str">
        <f>IF(AND(ISNUMBER($I102),OR($K102="Milestone",$K102="Deadline"),$I102&gt;=AT$4,$I102&lt;AT$4+7),IF($K102="Deadline","◇","◆"),"")</f>
        <v/>
      </c>
      <c r="AU102" s="14" t="str">
        <f>IF(AND(ISNUMBER($I102),OR($K102="Milestone",$K102="Deadline"),$I102&gt;=AU$4,$I102&lt;AU$4+7),IF($K102="Deadline","◇","◆"),"")</f>
        <v/>
      </c>
      <c r="AV102" s="14" t="str">
        <f>IF(AND(ISNUMBER($I102),OR($K102="Milestone",$K102="Deadline"),$I102&gt;=AV$4,$I102&lt;AV$4+7),IF($K102="Deadline","◇","◆"),"")</f>
        <v/>
      </c>
      <c r="AW102" s="14" t="str">
        <f>IF(AND(ISNUMBER($I102),OR($K102="Milestone",$K102="Deadline"),$I102&gt;=AW$4,$I102&lt;AW$4+7),IF($K102="Deadline","◇","◆"),"")</f>
        <v/>
      </c>
      <c r="AX102" s="14" t="str">
        <f>IF(AND(ISNUMBER($I102),OR($K102="Milestone",$K102="Deadline"),$I102&gt;=AX$4,$I102&lt;AX$4+7),IF($K102="Deadline","◇","◆"),"")</f>
        <v/>
      </c>
      <c r="AY102" s="14" t="str">
        <f>IF(AND(ISNUMBER($I102),OR($K102="Milestone",$K102="Deadline"),$I102&gt;=AY$4,$I102&lt;AY$4+7),IF($K102="Deadline","◇","◆"),"")</f>
        <v/>
      </c>
      <c r="AZ102" s="14" t="str">
        <f>IF(AND(ISNUMBER($I102),OR($K102="Milestone",$K102="Deadline"),$I102&gt;=AZ$4,$I102&lt;AZ$4+7),IF($K102="Deadline","◇","◆"),"")</f>
        <v/>
      </c>
      <c r="BA102" s="14" t="str">
        <f>IF(AND(ISNUMBER($I102),OR($K102="Milestone",$K102="Deadline"),$I102&gt;=BA$4,$I102&lt;BA$4+7),IF($K102="Deadline","◇","◆"),"")</f>
        <v/>
      </c>
      <c r="BB102" s="14" t="str">
        <f>IF(AND(ISNUMBER($I102),OR($K102="Milestone",$K102="Deadline"),$I102&gt;=BB$4,$I102&lt;BB$4+7),IF($K102="Deadline","◇","◆"),"")</f>
        <v/>
      </c>
      <c r="BC102" s="14" t="str">
        <f>IF(AND(ISNUMBER($I102),OR($K102="Milestone",$K102="Deadline"),$I102&gt;=BC$4,$I102&lt;BC$4+7),IF($K102="Deadline","◇","◆"),"")</f>
        <v/>
      </c>
      <c r="BD102" s="14" t="str">
        <f>IF(AND(ISNUMBER($I102),OR($K102="Milestone",$K102="Deadline"),$I102&gt;=BD$4,$I102&lt;BD$4+7),IF($K102="Deadline","◇","◆"),"")</f>
        <v/>
      </c>
      <c r="BE102" s="14" t="str">
        <f>IF(AND(ISNUMBER($I102),OR($K102="Milestone",$K102="Deadline"),$I102&gt;=BE$4,$I102&lt;BE$4+7),IF($K102="Deadline","◇","◆"),"")</f>
        <v/>
      </c>
      <c r="BF102" s="14" t="str">
        <f>IF(AND(ISNUMBER($I102),OR($K102="Milestone",$K102="Deadline"),$I102&gt;=BF$4,$I102&lt;BF$4+7),IF($K102="Deadline","◇","◆"),"")</f>
        <v/>
      </c>
      <c r="BG102" s="14" t="str">
        <f>IF(AND(ISNUMBER($I102),OR($K102="Milestone",$K102="Deadline"),$I102&gt;=BG$4,$I102&lt;BG$4+7),IF($K102="Deadline","◇","◆"),"")</f>
        <v/>
      </c>
      <c r="BH102" s="14" t="str">
        <f>IF(AND(ISNUMBER($I102),OR($K102="Milestone",$K102="Deadline"),$I102&gt;=BH$4,$I102&lt;BH$4+7),IF($K102="Deadline","◇","◆"),"")</f>
        <v/>
      </c>
      <c r="BI102" s="14" t="str">
        <f>IF(AND(ISNUMBER($I102),OR($K102="Milestone",$K102="Deadline"),$I102&gt;=BI$4,$I102&lt;BI$4+7),IF($K102="Deadline","◇","◆"),"")</f>
        <v/>
      </c>
      <c r="BJ102" s="14" t="str">
        <f>IF(AND(ISNUMBER($I102),OR($K102="Milestone",$K102="Deadline"),$I102&gt;=BJ$4,$I102&lt;BJ$4+7),IF($K102="Deadline","◇","◆"),"")</f>
        <v/>
      </c>
      <c r="BK102" s="14" t="str">
        <f>IF(AND(ISNUMBER($I102),OR($K102="Milestone",$K102="Deadline"),$I102&gt;=BK$4,$I102&lt;BK$4+7),IF($K102="Deadline","◇","◆"),"")</f>
        <v/>
      </c>
      <c r="BL102" s="14" t="str">
        <f>IF(AND(ISNUMBER($I102),OR($K102="Milestone",$K102="Deadline"),$I102&gt;=BL$4,$I102&lt;BL$4+7),IF($K102="Deadline","◇","◆"),"")</f>
        <v/>
      </c>
      <c r="BM102" s="14" t="str">
        <f>IF(AND(ISNUMBER($I102),OR($K102="Milestone",$K102="Deadline"),$I102&gt;=BM$4,$I102&lt;BM$4+7),IF($K102="Deadline","◇","◆"),"")</f>
        <v/>
      </c>
      <c r="BN102" s="14" t="str">
        <f>IF(AND(ISNUMBER($I102),OR($K102="Milestone",$K102="Deadline"),$I102&gt;=BN$4,$I102&lt;BN$4+7),IF($K102="Deadline","◇","◆"),"")</f>
        <v/>
      </c>
      <c r="BO102" s="14" t="str">
        <f>IF(AND(ISNUMBER($I102),OR($K102="Milestone",$K102="Deadline"),$I102&gt;=BO$4,$I102&lt;BO$4+7),IF($K102="Deadline","◇","◆"),"")</f>
        <v/>
      </c>
      <c r="BP102" s="14" t="str">
        <f>IF(AND(ISNUMBER($I102),OR($K102="Milestone",$K102="Deadline"),$I102&gt;=BP$4,$I102&lt;BP$4+7),IF($K102="Deadline","◇","◆"),"")</f>
        <v/>
      </c>
      <c r="BQ102" s="14" t="str">
        <f>IF(AND(ISNUMBER($I102),OR($K102="Milestone",$K102="Deadline"),$I102&gt;=BQ$4,$I102&lt;BQ$4+7),IF($K102="Deadline","◇","◆"),"")</f>
        <v/>
      </c>
      <c r="BR102" s="14" t="str">
        <f>IF(AND(ISNUMBER($I102),OR($K102="Milestone",$K102="Deadline"),$I102&gt;=BR$4,$I102&lt;BR$4+7),IF($K102="Deadline","◇","◆"),"")</f>
        <v/>
      </c>
      <c r="BS102" s="14" t="str">
        <f>IF(AND(ISNUMBER($I102),OR($K102="Milestone",$K102="Deadline"),$I102&gt;=BS$4,$I102&lt;BS$4+7),IF($K102="Deadline","◇","◆"),"")</f>
        <v/>
      </c>
      <c r="BT102" s="14" t="str">
        <f>IF(AND(ISNUMBER($I102),OR($K102="Milestone",$K102="Deadline"),$I102&gt;=BT$4,$I102&lt;BT$4+7),IF($K102="Deadline","◇","◆"),"")</f>
        <v/>
      </c>
      <c r="BU102" s="14" t="str">
        <f>IF(AND(ISNUMBER($I102),OR($K102="Milestone",$K102="Deadline"),$I102&gt;=BU$4,$I102&lt;BU$4+7),IF($K102="Deadline","◇","◆"),"")</f>
        <v/>
      </c>
      <c r="BV102" s="14" t="str">
        <f>IF(AND(ISNUMBER($I102),OR($K102="Milestone",$K102="Deadline"),$I102&gt;=BV$4,$I102&lt;BV$4+7),IF($K102="Deadline","◇","◆"),"")</f>
        <v/>
      </c>
      <c r="BW102" s="14" t="str">
        <f>IF(AND(ISNUMBER($I102),OR($K102="Milestone",$K102="Deadline"),$I102&gt;=BW$4,$I102&lt;BW$4+7),IF($K102="Deadline","◇","◆"),"")</f>
        <v/>
      </c>
      <c r="BX102" s="14" t="str">
        <f>IF(AND(ISNUMBER($I102),OR($K102="Milestone",$K102="Deadline"),$I102&gt;=BX$4,$I102&lt;BX$4+7),IF($K102="Deadline","◇","◆"),"")</f>
        <v/>
      </c>
      <c r="BY102" s="14" t="str">
        <f>IF(AND(ISNUMBER($I102),OR($K102="Milestone",$K102="Deadline"),$I102&gt;=BY$4,$I102&lt;BY$4+7),IF($K102="Deadline","◇","◆"),"")</f>
        <v/>
      </c>
      <c r="BZ102" s="14" t="str">
        <f>IF(AND(ISNUMBER($I102),OR($K102="Milestone",$K102="Deadline"),$I102&gt;=BZ$4,$I102&lt;BZ$4+7),IF($K102="Deadline","◇","◆"),"")</f>
        <v/>
      </c>
      <c r="CA102" s="14" t="str">
        <f>IF(AND(ISNUMBER($I102),OR($K102="Milestone",$K102="Deadline"),$I102&gt;=CA$4,$I102&lt;CA$4+7),IF($K102="Deadline","◇","◆"),"")</f>
        <v/>
      </c>
      <c r="CB102" s="14" t="str">
        <f>IF(AND(ISNUMBER($I102),OR($K102="Milestone",$K102="Deadline"),$I102&gt;=CB$4,$I102&lt;CB$4+7),IF($K102="Deadline","◇","◆"),"")</f>
        <v/>
      </c>
      <c r="CC102" s="14" t="str">
        <f>IF(AND(ISNUMBER($I102),OR($K102="Milestone",$K102="Deadline"),$I102&gt;=CC$4,$I102&lt;CC$4+7),IF($K102="Deadline","◇","◆"),"")</f>
        <v/>
      </c>
      <c r="CD102" s="14" t="str">
        <f>IF(AND(ISNUMBER($I102),OR($K102="Milestone",$K102="Deadline"),$I102&gt;=CD$4,$I102&lt;CD$4+7),IF($K102="Deadline","◇","◆"),"")</f>
        <v/>
      </c>
      <c r="CE102" s="14" t="str">
        <f>IF(AND(ISNUMBER($I102),OR($K102="Milestone",$K102="Deadline"),$I102&gt;=CE$4,$I102&lt;CE$4+7),IF($K102="Deadline","◇","◆"),"")</f>
        <v/>
      </c>
      <c r="CF102" s="14" t="str">
        <f>IF(AND(ISNUMBER($I102),OR($K102="Milestone",$K102="Deadline"),$I102&gt;=CF$4,$I102&lt;CF$4+7),IF($K102="Deadline","◇","◆"),"")</f>
        <v/>
      </c>
      <c r="CG102" s="14" t="str">
        <f>IF(AND(ISNUMBER($I102),OR($K102="Milestone",$K102="Deadline"),$I102&gt;=CG$4,$I102&lt;CG$4+7),IF($K102="Deadline","◇","◆"),"")</f>
        <v/>
      </c>
      <c r="CH102" s="14" t="str">
        <f>IF(AND(ISNUMBER($I102),OR($K102="Milestone",$K102="Deadline"),$I102&gt;=CH$4,$I102&lt;CH$4+7),IF($K102="Deadline","◇","◆"),"")</f>
        <v/>
      </c>
      <c r="CI102" s="14" t="str">
        <f>IF(AND(ISNUMBER($I102),OR($K102="Milestone",$K102="Deadline"),$I102&gt;=CI$4,$I102&lt;CI$4+7),IF($K102="Deadline","◇","◆"),"")</f>
        <v/>
      </c>
      <c r="CJ102" s="14" t="str">
        <f>IF(AND(ISNUMBER($I102),OR($K102="Milestone",$K102="Deadline"),$I102&gt;=CJ$4,$I102&lt;CJ$4+7),IF($K102="Deadline","◇","◆"),"")</f>
        <v/>
      </c>
      <c r="CK102" s="14" t="str">
        <f>IF(AND(ISNUMBER($I102),OR($K102="Milestone",$K102="Deadline"),$I102&gt;=CK$4,$I102&lt;CK$4+7),IF($K102="Deadline","◇","◆"),"")</f>
        <v/>
      </c>
      <c r="CL102" s="14" t="str">
        <f>IF(AND(ISNUMBER($I102),OR($K102="Milestone",$K102="Deadline"),$I102&gt;=CL$4,$I102&lt;CL$4+7),IF($K102="Deadline","◇","◆"),"")</f>
        <v/>
      </c>
      <c r="CM102" s="14" t="str">
        <f>IF(AND(ISNUMBER($I102),OR($K102="Milestone",$K102="Deadline"),$I102&gt;=CM$4,$I102&lt;CM$4+7),IF($K102="Deadline","◇","◆"),"")</f>
        <v/>
      </c>
    </row>
    <row r="103" spans="1:91" ht="15" hidden="1" customHeight="1">
      <c r="A103" s="24" t="s">
        <v>232</v>
      </c>
      <c r="B103" s="24" t="s">
        <v>271</v>
      </c>
      <c r="C103" s="24" t="s">
        <v>191</v>
      </c>
      <c r="D103" s="24" t="s">
        <v>168</v>
      </c>
      <c r="E103" s="24"/>
      <c r="F103" s="24" t="s">
        <v>216</v>
      </c>
      <c r="G103" s="24" t="s">
        <v>217</v>
      </c>
      <c r="H103" s="24">
        <v>14</v>
      </c>
      <c r="I103" s="25">
        <f>MAX($C$2,J94+1,J97+1,J87+1)</f>
        <v>46429</v>
      </c>
      <c r="J103" s="26">
        <f>IF(AND(ISNUMBER(I103),ISNUMBER(H103)),I103+H103-1,"")</f>
        <v>46442</v>
      </c>
      <c r="K103" s="24" t="s">
        <v>27</v>
      </c>
      <c r="L103" s="24" t="s">
        <v>293</v>
      </c>
      <c r="M103" s="27" t="s">
        <v>261</v>
      </c>
      <c r="N103" s="24"/>
      <c r="O103" s="27">
        <f>IF(AND(ISNUMBER(I103),ISNUMBER(J103)),J103-I103+1,"")</f>
        <v>14</v>
      </c>
      <c r="P103" s="13"/>
      <c r="Q103" s="13"/>
      <c r="R103" s="13"/>
      <c r="S103" s="13"/>
      <c r="T103" s="13" t="s">
        <v>140</v>
      </c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4" t="str">
        <f>IF(AND(ISNUMBER($I103),OR($K103="Milestone",$K103="Deadline"),$I103&gt;=AO$4,$I103&lt;AO$4+7),IF($K103="Deadline","◇","◆"),"")</f>
        <v/>
      </c>
      <c r="AP103" s="14" t="str">
        <f>IF(AND(ISNUMBER($I103),OR($K103="Milestone",$K103="Deadline"),$I103&gt;=AP$4,$I103&lt;AP$4+7),IF($K103="Deadline","◇","◆"),"")</f>
        <v/>
      </c>
      <c r="AQ103" s="14" t="str">
        <f>IF(AND(ISNUMBER($I103),OR($K103="Milestone",$K103="Deadline"),$I103&gt;=AQ$4,$I103&lt;AQ$4+7),IF($K103="Deadline","◇","◆"),"")</f>
        <v/>
      </c>
      <c r="AR103" s="14" t="str">
        <f>IF(AND(ISNUMBER($I103),OR($K103="Milestone",$K103="Deadline"),$I103&gt;=AR$4,$I103&lt;AR$4+7),IF($K103="Deadline","◇","◆"),"")</f>
        <v/>
      </c>
      <c r="AS103" s="14" t="str">
        <f>IF(AND(ISNUMBER($I103),OR($K103="Milestone",$K103="Deadline"),$I103&gt;=AS$4,$I103&lt;AS$4+7),IF($K103="Deadline","◇","◆"),"")</f>
        <v/>
      </c>
      <c r="AT103" s="14" t="str">
        <f>IF(AND(ISNUMBER($I103),OR($K103="Milestone",$K103="Deadline"),$I103&gt;=AT$4,$I103&lt;AT$4+7),IF($K103="Deadline","◇","◆"),"")</f>
        <v/>
      </c>
      <c r="AU103" s="14" t="str">
        <f>IF(AND(ISNUMBER($I103),OR($K103="Milestone",$K103="Deadline"),$I103&gt;=AU$4,$I103&lt;AU$4+7),IF($K103="Deadline","◇","◆"),"")</f>
        <v/>
      </c>
      <c r="AV103" s="14" t="str">
        <f>IF(AND(ISNUMBER($I103),OR($K103="Milestone",$K103="Deadline"),$I103&gt;=AV$4,$I103&lt;AV$4+7),IF($K103="Deadline","◇","◆"),"")</f>
        <v/>
      </c>
      <c r="AW103" s="14" t="str">
        <f>IF(AND(ISNUMBER($I103),OR($K103="Milestone",$K103="Deadline"),$I103&gt;=AW$4,$I103&lt;AW$4+7),IF($K103="Deadline","◇","◆"),"")</f>
        <v/>
      </c>
      <c r="AX103" s="14" t="str">
        <f>IF(AND(ISNUMBER($I103),OR($K103="Milestone",$K103="Deadline"),$I103&gt;=AX$4,$I103&lt;AX$4+7),IF($K103="Deadline","◇","◆"),"")</f>
        <v/>
      </c>
      <c r="AY103" s="14" t="str">
        <f>IF(AND(ISNUMBER($I103),OR($K103="Milestone",$K103="Deadline"),$I103&gt;=AY$4,$I103&lt;AY$4+7),IF($K103="Deadline","◇","◆"),"")</f>
        <v/>
      </c>
      <c r="AZ103" s="14" t="str">
        <f>IF(AND(ISNUMBER($I103),OR($K103="Milestone",$K103="Deadline"),$I103&gt;=AZ$4,$I103&lt;AZ$4+7),IF($K103="Deadline","◇","◆"),"")</f>
        <v/>
      </c>
      <c r="BA103" s="14" t="str">
        <f>IF(AND(ISNUMBER($I103),OR($K103="Milestone",$K103="Deadline"),$I103&gt;=BA$4,$I103&lt;BA$4+7),IF($K103="Deadline","◇","◆"),"")</f>
        <v/>
      </c>
      <c r="BB103" s="14" t="str">
        <f>IF(AND(ISNUMBER($I103),OR($K103="Milestone",$K103="Deadline"),$I103&gt;=BB$4,$I103&lt;BB$4+7),IF($K103="Deadline","◇","◆"),"")</f>
        <v/>
      </c>
      <c r="BC103" s="14" t="str">
        <f>IF(AND(ISNUMBER($I103),OR($K103="Milestone",$K103="Deadline"),$I103&gt;=BC$4,$I103&lt;BC$4+7),IF($K103="Deadline","◇","◆"),"")</f>
        <v/>
      </c>
      <c r="BD103" s="14" t="str">
        <f>IF(AND(ISNUMBER($I103),OR($K103="Milestone",$K103="Deadline"),$I103&gt;=BD$4,$I103&lt;BD$4+7),IF($K103="Deadline","◇","◆"),"")</f>
        <v/>
      </c>
      <c r="BE103" s="14" t="str">
        <f>IF(AND(ISNUMBER($I103),OR($K103="Milestone",$K103="Deadline"),$I103&gt;=BE$4,$I103&lt;BE$4+7),IF($K103="Deadline","◇","◆"),"")</f>
        <v/>
      </c>
      <c r="BF103" s="14" t="str">
        <f>IF(AND(ISNUMBER($I103),OR($K103="Milestone",$K103="Deadline"),$I103&gt;=BF$4,$I103&lt;BF$4+7),IF($K103="Deadline","◇","◆"),"")</f>
        <v/>
      </c>
      <c r="BG103" s="14" t="str">
        <f>IF(AND(ISNUMBER($I103),OR($K103="Milestone",$K103="Deadline"),$I103&gt;=BG$4,$I103&lt;BG$4+7),IF($K103="Deadline","◇","◆"),"")</f>
        <v/>
      </c>
      <c r="BH103" s="14" t="str">
        <f>IF(AND(ISNUMBER($I103),OR($K103="Milestone",$K103="Deadline"),$I103&gt;=BH$4,$I103&lt;BH$4+7),IF($K103="Deadline","◇","◆"),"")</f>
        <v/>
      </c>
      <c r="BI103" s="14" t="str">
        <f>IF(AND(ISNUMBER($I103),OR($K103="Milestone",$K103="Deadline"),$I103&gt;=BI$4,$I103&lt;BI$4+7),IF($K103="Deadline","◇","◆"),"")</f>
        <v/>
      </c>
      <c r="BJ103" s="14" t="str">
        <f>IF(AND(ISNUMBER($I103),OR($K103="Milestone",$K103="Deadline"),$I103&gt;=BJ$4,$I103&lt;BJ$4+7),IF($K103="Deadline","◇","◆"),"")</f>
        <v/>
      </c>
      <c r="BK103" s="14" t="str">
        <f>IF(AND(ISNUMBER($I103),OR($K103="Milestone",$K103="Deadline"),$I103&gt;=BK$4,$I103&lt;BK$4+7),IF($K103="Deadline","◇","◆"),"")</f>
        <v/>
      </c>
      <c r="BL103" s="14" t="str">
        <f>IF(AND(ISNUMBER($I103),OR($K103="Milestone",$K103="Deadline"),$I103&gt;=BL$4,$I103&lt;BL$4+7),IF($K103="Deadline","◇","◆"),"")</f>
        <v/>
      </c>
      <c r="BM103" s="14" t="str">
        <f>IF(AND(ISNUMBER($I103),OR($K103="Milestone",$K103="Deadline"),$I103&gt;=BM$4,$I103&lt;BM$4+7),IF($K103="Deadline","◇","◆"),"")</f>
        <v/>
      </c>
      <c r="BN103" s="14" t="str">
        <f>IF(AND(ISNUMBER($I103),OR($K103="Milestone",$K103="Deadline"),$I103&gt;=BN$4,$I103&lt;BN$4+7),IF($K103="Deadline","◇","◆"),"")</f>
        <v/>
      </c>
      <c r="BO103" s="14" t="str">
        <f>IF(AND(ISNUMBER($I103),OR($K103="Milestone",$K103="Deadline"),$I103&gt;=BO$4,$I103&lt;BO$4+7),IF($K103="Deadline","◇","◆"),"")</f>
        <v/>
      </c>
      <c r="BP103" s="14" t="str">
        <f>IF(AND(ISNUMBER($I103),OR($K103="Milestone",$K103="Deadline"),$I103&gt;=BP$4,$I103&lt;BP$4+7),IF($K103="Deadline","◇","◆"),"")</f>
        <v/>
      </c>
      <c r="BQ103" s="14" t="str">
        <f>IF(AND(ISNUMBER($I103),OR($K103="Milestone",$K103="Deadline"),$I103&gt;=BQ$4,$I103&lt;BQ$4+7),IF($K103="Deadline","◇","◆"),"")</f>
        <v/>
      </c>
      <c r="BR103" s="14" t="str">
        <f>IF(AND(ISNUMBER($I103),OR($K103="Milestone",$K103="Deadline"),$I103&gt;=BR$4,$I103&lt;BR$4+7),IF($K103="Deadline","◇","◆"),"")</f>
        <v/>
      </c>
      <c r="BS103" s="14" t="str">
        <f>IF(AND(ISNUMBER($I103),OR($K103="Milestone",$K103="Deadline"),$I103&gt;=BS$4,$I103&lt;BS$4+7),IF($K103="Deadline","◇","◆"),"")</f>
        <v/>
      </c>
      <c r="BT103" s="14" t="str">
        <f>IF(AND(ISNUMBER($I103),OR($K103="Milestone",$K103="Deadline"),$I103&gt;=BT$4,$I103&lt;BT$4+7),IF($K103="Deadline","◇","◆"),"")</f>
        <v/>
      </c>
      <c r="BU103" s="14" t="str">
        <f>IF(AND(ISNUMBER($I103),OR($K103="Milestone",$K103="Deadline"),$I103&gt;=BU$4,$I103&lt;BU$4+7),IF($K103="Deadline","◇","◆"),"")</f>
        <v/>
      </c>
      <c r="BV103" s="14" t="str">
        <f>IF(AND(ISNUMBER($I103),OR($K103="Milestone",$K103="Deadline"),$I103&gt;=BV$4,$I103&lt;BV$4+7),IF($K103="Deadline","◇","◆"),"")</f>
        <v/>
      </c>
      <c r="BW103" s="14" t="str">
        <f>IF(AND(ISNUMBER($I103),OR($K103="Milestone",$K103="Deadline"),$I103&gt;=BW$4,$I103&lt;BW$4+7),IF($K103="Deadline","◇","◆"),"")</f>
        <v/>
      </c>
      <c r="BX103" s="14" t="str">
        <f>IF(AND(ISNUMBER($I103),OR($K103="Milestone",$K103="Deadline"),$I103&gt;=BX$4,$I103&lt;BX$4+7),IF($K103="Deadline","◇","◆"),"")</f>
        <v/>
      </c>
      <c r="BY103" s="14" t="str">
        <f>IF(AND(ISNUMBER($I103),OR($K103="Milestone",$K103="Deadline"),$I103&gt;=BY$4,$I103&lt;BY$4+7),IF($K103="Deadline","◇","◆"),"")</f>
        <v/>
      </c>
      <c r="BZ103" s="14" t="str">
        <f>IF(AND(ISNUMBER($I103),OR($K103="Milestone",$K103="Deadline"),$I103&gt;=BZ$4,$I103&lt;BZ$4+7),IF($K103="Deadline","◇","◆"),"")</f>
        <v/>
      </c>
      <c r="CA103" s="14" t="str">
        <f>IF(AND(ISNUMBER($I103),OR($K103="Milestone",$K103="Deadline"),$I103&gt;=CA$4,$I103&lt;CA$4+7),IF($K103="Deadline","◇","◆"),"")</f>
        <v/>
      </c>
      <c r="CB103" s="14" t="str">
        <f>IF(AND(ISNUMBER($I103),OR($K103="Milestone",$K103="Deadline"),$I103&gt;=CB$4,$I103&lt;CB$4+7),IF($K103="Deadline","◇","◆"),"")</f>
        <v/>
      </c>
      <c r="CC103" s="14" t="str">
        <f>IF(AND(ISNUMBER($I103),OR($K103="Milestone",$K103="Deadline"),$I103&gt;=CC$4,$I103&lt;CC$4+7),IF($K103="Deadline","◇","◆"),"")</f>
        <v/>
      </c>
      <c r="CD103" s="14" t="str">
        <f>IF(AND(ISNUMBER($I103),OR($K103="Milestone",$K103="Deadline"),$I103&gt;=CD$4,$I103&lt;CD$4+7),IF($K103="Deadline","◇","◆"),"")</f>
        <v/>
      </c>
      <c r="CE103" s="14" t="str">
        <f>IF(AND(ISNUMBER($I103),OR($K103="Milestone",$K103="Deadline"),$I103&gt;=CE$4,$I103&lt;CE$4+7),IF($K103="Deadline","◇","◆"),"")</f>
        <v/>
      </c>
      <c r="CF103" s="14" t="str">
        <f>IF(AND(ISNUMBER($I103),OR($K103="Milestone",$K103="Deadline"),$I103&gt;=CF$4,$I103&lt;CF$4+7),IF($K103="Deadline","◇","◆"),"")</f>
        <v/>
      </c>
      <c r="CG103" s="14" t="str">
        <f>IF(AND(ISNUMBER($I103),OR($K103="Milestone",$K103="Deadline"),$I103&gt;=CG$4,$I103&lt;CG$4+7),IF($K103="Deadline","◇","◆"),"")</f>
        <v/>
      </c>
      <c r="CH103" s="14" t="str">
        <f>IF(AND(ISNUMBER($I103),OR($K103="Milestone",$K103="Deadline"),$I103&gt;=CH$4,$I103&lt;CH$4+7),IF($K103="Deadline","◇","◆"),"")</f>
        <v/>
      </c>
      <c r="CI103" s="14" t="str">
        <f>IF(AND(ISNUMBER($I103),OR($K103="Milestone",$K103="Deadline"),$I103&gt;=CI$4,$I103&lt;CI$4+7),IF($K103="Deadline","◇","◆"),"")</f>
        <v/>
      </c>
      <c r="CJ103" s="14" t="str">
        <f>IF(AND(ISNUMBER($I103),OR($K103="Milestone",$K103="Deadline"),$I103&gt;=CJ$4,$I103&lt;CJ$4+7),IF($K103="Deadline","◇","◆"),"")</f>
        <v/>
      </c>
      <c r="CK103" s="14" t="str">
        <f>IF(AND(ISNUMBER($I103),OR($K103="Milestone",$K103="Deadline"),$I103&gt;=CK$4,$I103&lt;CK$4+7),IF($K103="Deadline","◇","◆"),"")</f>
        <v/>
      </c>
      <c r="CL103" s="14" t="str">
        <f>IF(AND(ISNUMBER($I103),OR($K103="Milestone",$K103="Deadline"),$I103&gt;=CL$4,$I103&lt;CL$4+7),IF($K103="Deadline","◇","◆"),"")</f>
        <v/>
      </c>
      <c r="CM103" s="14" t="str">
        <f>IF(AND(ISNUMBER($I103),OR($K103="Milestone",$K103="Deadline"),$I103&gt;=CM$4,$I103&lt;CM$4+7),IF($K103="Deadline","◇","◆"),"")</f>
        <v/>
      </c>
    </row>
    <row r="104" spans="1:91" ht="15" hidden="1" customHeight="1">
      <c r="A104" s="24" t="s">
        <v>294</v>
      </c>
      <c r="B104" s="24" t="s">
        <v>271</v>
      </c>
      <c r="C104" s="24" t="s">
        <v>221</v>
      </c>
      <c r="D104" s="24" t="s">
        <v>168</v>
      </c>
      <c r="E104" s="24"/>
      <c r="F104" s="24" t="s">
        <v>216</v>
      </c>
      <c r="G104" s="24" t="s">
        <v>222</v>
      </c>
      <c r="H104" s="24">
        <v>7</v>
      </c>
      <c r="I104" s="25">
        <f>MAX($C$2,J92+1,J101+1,J132+1,J205+1)</f>
        <v>46545</v>
      </c>
      <c r="J104" s="26">
        <f>IF(AND(ISNUMBER(I104),ISNUMBER(H104)),I104+H104-1,"")</f>
        <v>46551</v>
      </c>
      <c r="K104" s="24" t="s">
        <v>27</v>
      </c>
      <c r="L104" s="24" t="s">
        <v>295</v>
      </c>
      <c r="M104" s="27" t="s">
        <v>296</v>
      </c>
      <c r="N104" s="24"/>
      <c r="O104" s="27">
        <f>IF(AND(ISNUMBER(I104),ISNUMBER(J104)),J104-I104+1,"")</f>
        <v>7</v>
      </c>
      <c r="P104" s="13"/>
      <c r="Q104" s="13"/>
      <c r="R104" s="13"/>
      <c r="S104" s="13" t="s">
        <v>140</v>
      </c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 t="s">
        <v>140</v>
      </c>
      <c r="AJ104" s="13"/>
      <c r="AK104" s="13"/>
      <c r="AL104" s="13"/>
      <c r="AM104" s="13"/>
      <c r="AN104" s="13"/>
      <c r="AO104" s="14" t="str">
        <f>IF(AND(ISNUMBER($I104),OR($K104="Milestone",$K104="Deadline"),$I104&gt;=AO$4,$I104&lt;AO$4+7),IF($K104="Deadline","◇","◆"),"")</f>
        <v/>
      </c>
      <c r="AP104" s="14" t="str">
        <f>IF(AND(ISNUMBER($I104),OR($K104="Milestone",$K104="Deadline"),$I104&gt;=AP$4,$I104&lt;AP$4+7),IF($K104="Deadline","◇","◆"),"")</f>
        <v/>
      </c>
      <c r="AQ104" s="14" t="str">
        <f>IF(AND(ISNUMBER($I104),OR($K104="Milestone",$K104="Deadline"),$I104&gt;=AQ$4,$I104&lt;AQ$4+7),IF($K104="Deadline","◇","◆"),"")</f>
        <v/>
      </c>
      <c r="AR104" s="14" t="str">
        <f>IF(AND(ISNUMBER($I104),OR($K104="Milestone",$K104="Deadline"),$I104&gt;=AR$4,$I104&lt;AR$4+7),IF($K104="Deadline","◇","◆"),"")</f>
        <v/>
      </c>
      <c r="AS104" s="14" t="str">
        <f>IF(AND(ISNUMBER($I104),OR($K104="Milestone",$K104="Deadline"),$I104&gt;=AS$4,$I104&lt;AS$4+7),IF($K104="Deadline","◇","◆"),"")</f>
        <v/>
      </c>
      <c r="AT104" s="14" t="str">
        <f>IF(AND(ISNUMBER($I104),OR($K104="Milestone",$K104="Deadline"),$I104&gt;=AT$4,$I104&lt;AT$4+7),IF($K104="Deadline","◇","◆"),"")</f>
        <v/>
      </c>
      <c r="AU104" s="14" t="str">
        <f>IF(AND(ISNUMBER($I104),OR($K104="Milestone",$K104="Deadline"),$I104&gt;=AU$4,$I104&lt;AU$4+7),IF($K104="Deadline","◇","◆"),"")</f>
        <v/>
      </c>
      <c r="AV104" s="14" t="str">
        <f>IF(AND(ISNUMBER($I104),OR($K104="Milestone",$K104="Deadline"),$I104&gt;=AV$4,$I104&lt;AV$4+7),IF($K104="Deadline","◇","◆"),"")</f>
        <v/>
      </c>
      <c r="AW104" s="14" t="str">
        <f>IF(AND(ISNUMBER($I104),OR($K104="Milestone",$K104="Deadline"),$I104&gt;=AW$4,$I104&lt;AW$4+7),IF($K104="Deadline","◇","◆"),"")</f>
        <v/>
      </c>
      <c r="AX104" s="14" t="str">
        <f>IF(AND(ISNUMBER($I104),OR($K104="Milestone",$K104="Deadline"),$I104&gt;=AX$4,$I104&lt;AX$4+7),IF($K104="Deadline","◇","◆"),"")</f>
        <v/>
      </c>
      <c r="AY104" s="14" t="str">
        <f>IF(AND(ISNUMBER($I104),OR($K104="Milestone",$K104="Deadline"),$I104&gt;=AY$4,$I104&lt;AY$4+7),IF($K104="Deadline","◇","◆"),"")</f>
        <v/>
      </c>
      <c r="AZ104" s="14" t="str">
        <f>IF(AND(ISNUMBER($I104),OR($K104="Milestone",$K104="Deadline"),$I104&gt;=AZ$4,$I104&lt;AZ$4+7),IF($K104="Deadline","◇","◆"),"")</f>
        <v/>
      </c>
      <c r="BA104" s="14" t="str">
        <f>IF(AND(ISNUMBER($I104),OR($K104="Milestone",$K104="Deadline"),$I104&gt;=BA$4,$I104&lt;BA$4+7),IF($K104="Deadline","◇","◆"),"")</f>
        <v/>
      </c>
      <c r="BB104" s="14" t="str">
        <f>IF(AND(ISNUMBER($I104),OR($K104="Milestone",$K104="Deadline"),$I104&gt;=BB$4,$I104&lt;BB$4+7),IF($K104="Deadline","◇","◆"),"")</f>
        <v/>
      </c>
      <c r="BC104" s="14" t="str">
        <f>IF(AND(ISNUMBER($I104),OR($K104="Milestone",$K104="Deadline"),$I104&gt;=BC$4,$I104&lt;BC$4+7),IF($K104="Deadline","◇","◆"),"")</f>
        <v/>
      </c>
      <c r="BD104" s="14" t="str">
        <f>IF(AND(ISNUMBER($I104),OR($K104="Milestone",$K104="Deadline"),$I104&gt;=BD$4,$I104&lt;BD$4+7),IF($K104="Deadline","◇","◆"),"")</f>
        <v/>
      </c>
      <c r="BE104" s="14" t="str">
        <f>IF(AND(ISNUMBER($I104),OR($K104="Milestone",$K104="Deadline"),$I104&gt;=BE$4,$I104&lt;BE$4+7),IF($K104="Deadline","◇","◆"),"")</f>
        <v/>
      </c>
      <c r="BF104" s="14" t="str">
        <f>IF(AND(ISNUMBER($I104),OR($K104="Milestone",$K104="Deadline"),$I104&gt;=BF$4,$I104&lt;BF$4+7),IF($K104="Deadline","◇","◆"),"")</f>
        <v/>
      </c>
      <c r="BG104" s="14" t="str">
        <f>IF(AND(ISNUMBER($I104),OR($K104="Milestone",$K104="Deadline"),$I104&gt;=BG$4,$I104&lt;BG$4+7),IF($K104="Deadline","◇","◆"),"")</f>
        <v/>
      </c>
      <c r="BH104" s="14" t="str">
        <f>IF(AND(ISNUMBER($I104),OR($K104="Milestone",$K104="Deadline"),$I104&gt;=BH$4,$I104&lt;BH$4+7),IF($K104="Deadline","◇","◆"),"")</f>
        <v/>
      </c>
      <c r="BI104" s="14" t="str">
        <f>IF(AND(ISNUMBER($I104),OR($K104="Milestone",$K104="Deadline"),$I104&gt;=BI$4,$I104&lt;BI$4+7),IF($K104="Deadline","◇","◆"),"")</f>
        <v/>
      </c>
      <c r="BJ104" s="14" t="str">
        <f>IF(AND(ISNUMBER($I104),OR($K104="Milestone",$K104="Deadline"),$I104&gt;=BJ$4,$I104&lt;BJ$4+7),IF($K104="Deadline","◇","◆"),"")</f>
        <v/>
      </c>
      <c r="BK104" s="14" t="str">
        <f>IF(AND(ISNUMBER($I104),OR($K104="Milestone",$K104="Deadline"),$I104&gt;=BK$4,$I104&lt;BK$4+7),IF($K104="Deadline","◇","◆"),"")</f>
        <v/>
      </c>
      <c r="BL104" s="14" t="str">
        <f>IF(AND(ISNUMBER($I104),OR($K104="Milestone",$K104="Deadline"),$I104&gt;=BL$4,$I104&lt;BL$4+7),IF($K104="Deadline","◇","◆"),"")</f>
        <v/>
      </c>
      <c r="BM104" s="14" t="str">
        <f>IF(AND(ISNUMBER($I104),OR($K104="Milestone",$K104="Deadline"),$I104&gt;=BM$4,$I104&lt;BM$4+7),IF($K104="Deadline","◇","◆"),"")</f>
        <v/>
      </c>
      <c r="BN104" s="14" t="str">
        <f>IF(AND(ISNUMBER($I104),OR($K104="Milestone",$K104="Deadline"),$I104&gt;=BN$4,$I104&lt;BN$4+7),IF($K104="Deadline","◇","◆"),"")</f>
        <v/>
      </c>
      <c r="BO104" s="14" t="str">
        <f>IF(AND(ISNUMBER($I104),OR($K104="Milestone",$K104="Deadline"),$I104&gt;=BO$4,$I104&lt;BO$4+7),IF($K104="Deadline","◇","◆"),"")</f>
        <v/>
      </c>
      <c r="BP104" s="14" t="str">
        <f>IF(AND(ISNUMBER($I104),OR($K104="Milestone",$K104="Deadline"),$I104&gt;=BP$4,$I104&lt;BP$4+7),IF($K104="Deadline","◇","◆"),"")</f>
        <v/>
      </c>
      <c r="BQ104" s="14" t="str">
        <f>IF(AND(ISNUMBER($I104),OR($K104="Milestone",$K104="Deadline"),$I104&gt;=BQ$4,$I104&lt;BQ$4+7),IF($K104="Deadline","◇","◆"),"")</f>
        <v/>
      </c>
      <c r="BR104" s="14" t="str">
        <f>IF(AND(ISNUMBER($I104),OR($K104="Milestone",$K104="Deadline"),$I104&gt;=BR$4,$I104&lt;BR$4+7),IF($K104="Deadline","◇","◆"),"")</f>
        <v/>
      </c>
      <c r="BS104" s="14" t="str">
        <f>IF(AND(ISNUMBER($I104),OR($K104="Milestone",$K104="Deadline"),$I104&gt;=BS$4,$I104&lt;BS$4+7),IF($K104="Deadline","◇","◆"),"")</f>
        <v/>
      </c>
      <c r="BT104" s="14" t="str">
        <f>IF(AND(ISNUMBER($I104),OR($K104="Milestone",$K104="Deadline"),$I104&gt;=BT$4,$I104&lt;BT$4+7),IF($K104="Deadline","◇","◆"),"")</f>
        <v/>
      </c>
      <c r="BU104" s="14" t="str">
        <f>IF(AND(ISNUMBER($I104),OR($K104="Milestone",$K104="Deadline"),$I104&gt;=BU$4,$I104&lt;BU$4+7),IF($K104="Deadline","◇","◆"),"")</f>
        <v/>
      </c>
      <c r="BV104" s="14" t="str">
        <f>IF(AND(ISNUMBER($I104),OR($K104="Milestone",$K104="Deadline"),$I104&gt;=BV$4,$I104&lt;BV$4+7),IF($K104="Deadline","◇","◆"),"")</f>
        <v/>
      </c>
      <c r="BW104" s="14" t="str">
        <f>IF(AND(ISNUMBER($I104),OR($K104="Milestone",$K104="Deadline"),$I104&gt;=BW$4,$I104&lt;BW$4+7),IF($K104="Deadline","◇","◆"),"")</f>
        <v/>
      </c>
      <c r="BX104" s="14" t="str">
        <f>IF(AND(ISNUMBER($I104),OR($K104="Milestone",$K104="Deadline"),$I104&gt;=BX$4,$I104&lt;BX$4+7),IF($K104="Deadline","◇","◆"),"")</f>
        <v/>
      </c>
      <c r="BY104" s="14" t="str">
        <f>IF(AND(ISNUMBER($I104),OR($K104="Milestone",$K104="Deadline"),$I104&gt;=BY$4,$I104&lt;BY$4+7),IF($K104="Deadline","◇","◆"),"")</f>
        <v/>
      </c>
      <c r="BZ104" s="14" t="str">
        <f>IF(AND(ISNUMBER($I104),OR($K104="Milestone",$K104="Deadline"),$I104&gt;=BZ$4,$I104&lt;BZ$4+7),IF($K104="Deadline","◇","◆"),"")</f>
        <v/>
      </c>
      <c r="CA104" s="14" t="str">
        <f>IF(AND(ISNUMBER($I104),OR($K104="Milestone",$K104="Deadline"),$I104&gt;=CA$4,$I104&lt;CA$4+7),IF($K104="Deadline","◇","◆"),"")</f>
        <v/>
      </c>
      <c r="CB104" s="14" t="str">
        <f>IF(AND(ISNUMBER($I104),OR($K104="Milestone",$K104="Deadline"),$I104&gt;=CB$4,$I104&lt;CB$4+7),IF($K104="Deadline","◇","◆"),"")</f>
        <v/>
      </c>
      <c r="CC104" s="14" t="str">
        <f>IF(AND(ISNUMBER($I104),OR($K104="Milestone",$K104="Deadline"),$I104&gt;=CC$4,$I104&lt;CC$4+7),IF($K104="Deadline","◇","◆"),"")</f>
        <v/>
      </c>
      <c r="CD104" s="14" t="str">
        <f>IF(AND(ISNUMBER($I104),OR($K104="Milestone",$K104="Deadline"),$I104&gt;=CD$4,$I104&lt;CD$4+7),IF($K104="Deadline","◇","◆"),"")</f>
        <v/>
      </c>
      <c r="CE104" s="14" t="str">
        <f>IF(AND(ISNUMBER($I104),OR($K104="Milestone",$K104="Deadline"),$I104&gt;=CE$4,$I104&lt;CE$4+7),IF($K104="Deadline","◇","◆"),"")</f>
        <v/>
      </c>
      <c r="CF104" s="14" t="str">
        <f>IF(AND(ISNUMBER($I104),OR($K104="Milestone",$K104="Deadline"),$I104&gt;=CF$4,$I104&lt;CF$4+7),IF($K104="Deadline","◇","◆"),"")</f>
        <v/>
      </c>
      <c r="CG104" s="14" t="str">
        <f>IF(AND(ISNUMBER($I104),OR($K104="Milestone",$K104="Deadline"),$I104&gt;=CG$4,$I104&lt;CG$4+7),IF($K104="Deadline","◇","◆"),"")</f>
        <v/>
      </c>
      <c r="CH104" s="14" t="str">
        <f>IF(AND(ISNUMBER($I104),OR($K104="Milestone",$K104="Deadline"),$I104&gt;=CH$4,$I104&lt;CH$4+7),IF($K104="Deadline","◇","◆"),"")</f>
        <v/>
      </c>
      <c r="CI104" s="14" t="str">
        <f>IF(AND(ISNUMBER($I104),OR($K104="Milestone",$K104="Deadline"),$I104&gt;=CI$4,$I104&lt;CI$4+7),IF($K104="Deadline","◇","◆"),"")</f>
        <v/>
      </c>
      <c r="CJ104" s="14" t="str">
        <f>IF(AND(ISNUMBER($I104),OR($K104="Milestone",$K104="Deadline"),$I104&gt;=CJ$4,$I104&lt;CJ$4+7),IF($K104="Deadline","◇","◆"),"")</f>
        <v/>
      </c>
      <c r="CK104" s="14" t="str">
        <f>IF(AND(ISNUMBER($I104),OR($K104="Milestone",$K104="Deadline"),$I104&gt;=CK$4,$I104&lt;CK$4+7),IF($K104="Deadline","◇","◆"),"")</f>
        <v/>
      </c>
      <c r="CL104" s="14" t="str">
        <f>IF(AND(ISNUMBER($I104),OR($K104="Milestone",$K104="Deadline"),$I104&gt;=CL$4,$I104&lt;CL$4+7),IF($K104="Deadline","◇","◆"),"")</f>
        <v/>
      </c>
      <c r="CM104" s="14" t="str">
        <f>IF(AND(ISNUMBER($I104),OR($K104="Milestone",$K104="Deadline"),$I104&gt;=CM$4,$I104&lt;CM$4+7),IF($K104="Deadline","◇","◆"),"")</f>
        <v/>
      </c>
    </row>
    <row r="105" spans="1:91" ht="15" hidden="1" customHeight="1">
      <c r="A105" s="24" t="s">
        <v>297</v>
      </c>
      <c r="B105" s="24" t="s">
        <v>271</v>
      </c>
      <c r="C105" s="24" t="s">
        <v>226</v>
      </c>
      <c r="D105" s="24" t="s">
        <v>168</v>
      </c>
      <c r="E105" s="24"/>
      <c r="F105" s="24" t="s">
        <v>216</v>
      </c>
      <c r="G105" s="24" t="s">
        <v>227</v>
      </c>
      <c r="H105" s="24">
        <v>7</v>
      </c>
      <c r="I105" s="25">
        <f>MAX($C$2,J89+1)</f>
        <v>46427</v>
      </c>
      <c r="J105" s="26">
        <f>IF(AND(ISNUMBER(I105),ISNUMBER(H105)),I105+H105-1,"")</f>
        <v>46433</v>
      </c>
      <c r="K105" s="24" t="s">
        <v>27</v>
      </c>
      <c r="L105" s="24"/>
      <c r="M105" s="27" t="s">
        <v>267</v>
      </c>
      <c r="N105" s="24"/>
      <c r="O105" s="27">
        <f>IF(AND(ISNUMBER(I105),ISNUMBER(J105)),J105-I105+1,"")</f>
        <v>7</v>
      </c>
      <c r="P105" s="13" t="s">
        <v>140</v>
      </c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4" t="str">
        <f>IF(AND(ISNUMBER($I105),OR($K105="Milestone",$K105="Deadline"),$I105&gt;=AO$4,$I105&lt;AO$4+7),IF($K105="Deadline","◇","◆"),"")</f>
        <v/>
      </c>
      <c r="AP105" s="14" t="str">
        <f>IF(AND(ISNUMBER($I105),OR($K105="Milestone",$K105="Deadline"),$I105&gt;=AP$4,$I105&lt;AP$4+7),IF($K105="Deadline","◇","◆"),"")</f>
        <v/>
      </c>
      <c r="AQ105" s="14" t="str">
        <f>IF(AND(ISNUMBER($I105),OR($K105="Milestone",$K105="Deadline"),$I105&gt;=AQ$4,$I105&lt;AQ$4+7),IF($K105="Deadline","◇","◆"),"")</f>
        <v/>
      </c>
      <c r="AR105" s="14" t="str">
        <f>IF(AND(ISNUMBER($I105),OR($K105="Milestone",$K105="Deadline"),$I105&gt;=AR$4,$I105&lt;AR$4+7),IF($K105="Deadline","◇","◆"),"")</f>
        <v/>
      </c>
      <c r="AS105" s="14" t="str">
        <f>IF(AND(ISNUMBER($I105),OR($K105="Milestone",$K105="Deadline"),$I105&gt;=AS$4,$I105&lt;AS$4+7),IF($K105="Deadline","◇","◆"),"")</f>
        <v/>
      </c>
      <c r="AT105" s="14" t="str">
        <f>IF(AND(ISNUMBER($I105),OR($K105="Milestone",$K105="Deadline"),$I105&gt;=AT$4,$I105&lt;AT$4+7),IF($K105="Deadline","◇","◆"),"")</f>
        <v/>
      </c>
      <c r="AU105" s="14" t="str">
        <f>IF(AND(ISNUMBER($I105),OR($K105="Milestone",$K105="Deadline"),$I105&gt;=AU$4,$I105&lt;AU$4+7),IF($K105="Deadline","◇","◆"),"")</f>
        <v/>
      </c>
      <c r="AV105" s="14" t="str">
        <f>IF(AND(ISNUMBER($I105),OR($K105="Milestone",$K105="Deadline"),$I105&gt;=AV$4,$I105&lt;AV$4+7),IF($K105="Deadline","◇","◆"),"")</f>
        <v/>
      </c>
      <c r="AW105" s="14" t="str">
        <f>IF(AND(ISNUMBER($I105),OR($K105="Milestone",$K105="Deadline"),$I105&gt;=AW$4,$I105&lt;AW$4+7),IF($K105="Deadline","◇","◆"),"")</f>
        <v/>
      </c>
      <c r="AX105" s="14" t="str">
        <f>IF(AND(ISNUMBER($I105),OR($K105="Milestone",$K105="Deadline"),$I105&gt;=AX$4,$I105&lt;AX$4+7),IF($K105="Deadline","◇","◆"),"")</f>
        <v/>
      </c>
      <c r="AY105" s="14" t="str">
        <f>IF(AND(ISNUMBER($I105),OR($K105="Milestone",$K105="Deadline"),$I105&gt;=AY$4,$I105&lt;AY$4+7),IF($K105="Deadline","◇","◆"),"")</f>
        <v/>
      </c>
      <c r="AZ105" s="14" t="str">
        <f>IF(AND(ISNUMBER($I105),OR($K105="Milestone",$K105="Deadline"),$I105&gt;=AZ$4,$I105&lt;AZ$4+7),IF($K105="Deadline","◇","◆"),"")</f>
        <v/>
      </c>
      <c r="BA105" s="14" t="str">
        <f>IF(AND(ISNUMBER($I105),OR($K105="Milestone",$K105="Deadline"),$I105&gt;=BA$4,$I105&lt;BA$4+7),IF($K105="Deadline","◇","◆"),"")</f>
        <v/>
      </c>
      <c r="BB105" s="14" t="str">
        <f>IF(AND(ISNUMBER($I105),OR($K105="Milestone",$K105="Deadline"),$I105&gt;=BB$4,$I105&lt;BB$4+7),IF($K105="Deadline","◇","◆"),"")</f>
        <v/>
      </c>
      <c r="BC105" s="14" t="str">
        <f>IF(AND(ISNUMBER($I105),OR($K105="Milestone",$K105="Deadline"),$I105&gt;=BC$4,$I105&lt;BC$4+7),IF($K105="Deadline","◇","◆"),"")</f>
        <v/>
      </c>
      <c r="BD105" s="14" t="str">
        <f>IF(AND(ISNUMBER($I105),OR($K105="Milestone",$K105="Deadline"),$I105&gt;=BD$4,$I105&lt;BD$4+7),IF($K105="Deadline","◇","◆"),"")</f>
        <v/>
      </c>
      <c r="BE105" s="14" t="str">
        <f>IF(AND(ISNUMBER($I105),OR($K105="Milestone",$K105="Deadline"),$I105&gt;=BE$4,$I105&lt;BE$4+7),IF($K105="Deadline","◇","◆"),"")</f>
        <v/>
      </c>
      <c r="BF105" s="14" t="str">
        <f>IF(AND(ISNUMBER($I105),OR($K105="Milestone",$K105="Deadline"),$I105&gt;=BF$4,$I105&lt;BF$4+7),IF($K105="Deadline","◇","◆"),"")</f>
        <v/>
      </c>
      <c r="BG105" s="14" t="str">
        <f>IF(AND(ISNUMBER($I105),OR($K105="Milestone",$K105="Deadline"),$I105&gt;=BG$4,$I105&lt;BG$4+7),IF($K105="Deadline","◇","◆"),"")</f>
        <v/>
      </c>
      <c r="BH105" s="14" t="str">
        <f>IF(AND(ISNUMBER($I105),OR($K105="Milestone",$K105="Deadline"),$I105&gt;=BH$4,$I105&lt;BH$4+7),IF($K105="Deadline","◇","◆"),"")</f>
        <v/>
      </c>
      <c r="BI105" s="14" t="str">
        <f>IF(AND(ISNUMBER($I105),OR($K105="Milestone",$K105="Deadline"),$I105&gt;=BI$4,$I105&lt;BI$4+7),IF($K105="Deadline","◇","◆"),"")</f>
        <v/>
      </c>
      <c r="BJ105" s="14" t="str">
        <f>IF(AND(ISNUMBER($I105),OR($K105="Milestone",$K105="Deadline"),$I105&gt;=BJ$4,$I105&lt;BJ$4+7),IF($K105="Deadline","◇","◆"),"")</f>
        <v/>
      </c>
      <c r="BK105" s="14" t="str">
        <f>IF(AND(ISNUMBER($I105),OR($K105="Milestone",$K105="Deadline"),$I105&gt;=BK$4,$I105&lt;BK$4+7),IF($K105="Deadline","◇","◆"),"")</f>
        <v/>
      </c>
      <c r="BL105" s="14" t="str">
        <f>IF(AND(ISNUMBER($I105),OR($K105="Milestone",$K105="Deadline"),$I105&gt;=BL$4,$I105&lt;BL$4+7),IF($K105="Deadline","◇","◆"),"")</f>
        <v/>
      </c>
      <c r="BM105" s="14" t="str">
        <f>IF(AND(ISNUMBER($I105),OR($K105="Milestone",$K105="Deadline"),$I105&gt;=BM$4,$I105&lt;BM$4+7),IF($K105="Deadline","◇","◆"),"")</f>
        <v/>
      </c>
      <c r="BN105" s="14" t="str">
        <f>IF(AND(ISNUMBER($I105),OR($K105="Milestone",$K105="Deadline"),$I105&gt;=BN$4,$I105&lt;BN$4+7),IF($K105="Deadline","◇","◆"),"")</f>
        <v/>
      </c>
      <c r="BO105" s="14" t="str">
        <f>IF(AND(ISNUMBER($I105),OR($K105="Milestone",$K105="Deadline"),$I105&gt;=BO$4,$I105&lt;BO$4+7),IF($K105="Deadline","◇","◆"),"")</f>
        <v/>
      </c>
      <c r="BP105" s="14" t="str">
        <f>IF(AND(ISNUMBER($I105),OR($K105="Milestone",$K105="Deadline"),$I105&gt;=BP$4,$I105&lt;BP$4+7),IF($K105="Deadline","◇","◆"),"")</f>
        <v/>
      </c>
      <c r="BQ105" s="14" t="str">
        <f>IF(AND(ISNUMBER($I105),OR($K105="Milestone",$K105="Deadline"),$I105&gt;=BQ$4,$I105&lt;BQ$4+7),IF($K105="Deadline","◇","◆"),"")</f>
        <v/>
      </c>
      <c r="BR105" s="14" t="str">
        <f>IF(AND(ISNUMBER($I105),OR($K105="Milestone",$K105="Deadline"),$I105&gt;=BR$4,$I105&lt;BR$4+7),IF($K105="Deadline","◇","◆"),"")</f>
        <v/>
      </c>
      <c r="BS105" s="14" t="str">
        <f>IF(AND(ISNUMBER($I105),OR($K105="Milestone",$K105="Deadline"),$I105&gt;=BS$4,$I105&lt;BS$4+7),IF($K105="Deadline","◇","◆"),"")</f>
        <v/>
      </c>
      <c r="BT105" s="14" t="str">
        <f>IF(AND(ISNUMBER($I105),OR($K105="Milestone",$K105="Deadline"),$I105&gt;=BT$4,$I105&lt;BT$4+7),IF($K105="Deadline","◇","◆"),"")</f>
        <v/>
      </c>
      <c r="BU105" s="14" t="str">
        <f>IF(AND(ISNUMBER($I105),OR($K105="Milestone",$K105="Deadline"),$I105&gt;=BU$4,$I105&lt;BU$4+7),IF($K105="Deadline","◇","◆"),"")</f>
        <v/>
      </c>
      <c r="BV105" s="14" t="str">
        <f>IF(AND(ISNUMBER($I105),OR($K105="Milestone",$K105="Deadline"),$I105&gt;=BV$4,$I105&lt;BV$4+7),IF($K105="Deadline","◇","◆"),"")</f>
        <v/>
      </c>
      <c r="BW105" s="14" t="str">
        <f>IF(AND(ISNUMBER($I105),OR($K105="Milestone",$K105="Deadline"),$I105&gt;=BW$4,$I105&lt;BW$4+7),IF($K105="Deadline","◇","◆"),"")</f>
        <v/>
      </c>
      <c r="BX105" s="14" t="str">
        <f>IF(AND(ISNUMBER($I105),OR($K105="Milestone",$K105="Deadline"),$I105&gt;=BX$4,$I105&lt;BX$4+7),IF($K105="Deadline","◇","◆"),"")</f>
        <v/>
      </c>
      <c r="BY105" s="14" t="str">
        <f>IF(AND(ISNUMBER($I105),OR($K105="Milestone",$K105="Deadline"),$I105&gt;=BY$4,$I105&lt;BY$4+7),IF($K105="Deadline","◇","◆"),"")</f>
        <v/>
      </c>
      <c r="BZ105" s="14" t="str">
        <f>IF(AND(ISNUMBER($I105),OR($K105="Milestone",$K105="Deadline"),$I105&gt;=BZ$4,$I105&lt;BZ$4+7),IF($K105="Deadline","◇","◆"),"")</f>
        <v/>
      </c>
      <c r="CA105" s="14" t="str">
        <f>IF(AND(ISNUMBER($I105),OR($K105="Milestone",$K105="Deadline"),$I105&gt;=CA$4,$I105&lt;CA$4+7),IF($K105="Deadline","◇","◆"),"")</f>
        <v/>
      </c>
      <c r="CB105" s="14" t="str">
        <f>IF(AND(ISNUMBER($I105),OR($K105="Milestone",$K105="Deadline"),$I105&gt;=CB$4,$I105&lt;CB$4+7),IF($K105="Deadline","◇","◆"),"")</f>
        <v/>
      </c>
      <c r="CC105" s="14" t="str">
        <f>IF(AND(ISNUMBER($I105),OR($K105="Milestone",$K105="Deadline"),$I105&gt;=CC$4,$I105&lt;CC$4+7),IF($K105="Deadline","◇","◆"),"")</f>
        <v/>
      </c>
      <c r="CD105" s="14" t="str">
        <f>IF(AND(ISNUMBER($I105),OR($K105="Milestone",$K105="Deadline"),$I105&gt;=CD$4,$I105&lt;CD$4+7),IF($K105="Deadline","◇","◆"),"")</f>
        <v/>
      </c>
      <c r="CE105" s="14" t="str">
        <f>IF(AND(ISNUMBER($I105),OR($K105="Milestone",$K105="Deadline"),$I105&gt;=CE$4,$I105&lt;CE$4+7),IF($K105="Deadline","◇","◆"),"")</f>
        <v/>
      </c>
      <c r="CF105" s="14" t="str">
        <f>IF(AND(ISNUMBER($I105),OR($K105="Milestone",$K105="Deadline"),$I105&gt;=CF$4,$I105&lt;CF$4+7),IF($K105="Deadline","◇","◆"),"")</f>
        <v/>
      </c>
      <c r="CG105" s="14" t="str">
        <f>IF(AND(ISNUMBER($I105),OR($K105="Milestone",$K105="Deadline"),$I105&gt;=CG$4,$I105&lt;CG$4+7),IF($K105="Deadline","◇","◆"),"")</f>
        <v/>
      </c>
      <c r="CH105" s="14" t="str">
        <f>IF(AND(ISNUMBER($I105),OR($K105="Milestone",$K105="Deadline"),$I105&gt;=CH$4,$I105&lt;CH$4+7),IF($K105="Deadline","◇","◆"),"")</f>
        <v/>
      </c>
      <c r="CI105" s="14" t="str">
        <f>IF(AND(ISNUMBER($I105),OR($K105="Milestone",$K105="Deadline"),$I105&gt;=CI$4,$I105&lt;CI$4+7),IF($K105="Deadline","◇","◆"),"")</f>
        <v/>
      </c>
      <c r="CJ105" s="14" t="str">
        <f>IF(AND(ISNUMBER($I105),OR($K105="Milestone",$K105="Deadline"),$I105&gt;=CJ$4,$I105&lt;CJ$4+7),IF($K105="Deadline","◇","◆"),"")</f>
        <v/>
      </c>
      <c r="CK105" s="14" t="str">
        <f>IF(AND(ISNUMBER($I105),OR($K105="Milestone",$K105="Deadline"),$I105&gt;=CK$4,$I105&lt;CK$4+7),IF($K105="Deadline","◇","◆"),"")</f>
        <v/>
      </c>
      <c r="CL105" s="14" t="str">
        <f>IF(AND(ISNUMBER($I105),OR($K105="Milestone",$K105="Deadline"),$I105&gt;=CL$4,$I105&lt;CL$4+7),IF($K105="Deadline","◇","◆"),"")</f>
        <v/>
      </c>
      <c r="CM105" s="14" t="str">
        <f>IF(AND(ISNUMBER($I105),OR($K105="Milestone",$K105="Deadline"),$I105&gt;=CM$4,$I105&lt;CM$4+7),IF($K105="Deadline","◇","◆"),"")</f>
        <v/>
      </c>
    </row>
    <row r="106" spans="1:91" ht="15" hidden="1" customHeight="1">
      <c r="A106" s="24" t="s">
        <v>298</v>
      </c>
      <c r="B106" s="24" t="s">
        <v>271</v>
      </c>
      <c r="C106" s="24" t="s">
        <v>230</v>
      </c>
      <c r="D106" s="24" t="s">
        <v>168</v>
      </c>
      <c r="E106" s="24"/>
      <c r="F106" s="24" t="s">
        <v>216</v>
      </c>
      <c r="G106" s="24" t="s">
        <v>231</v>
      </c>
      <c r="H106" s="24">
        <v>14</v>
      </c>
      <c r="I106" s="25">
        <f>MAX(DATE(2027,3,8),J249+1)</f>
        <v>46454</v>
      </c>
      <c r="J106" s="26">
        <f>IF(AND(ISNUMBER(I106),ISNUMBER(H106)),I106+H106-1,"")</f>
        <v>46467</v>
      </c>
      <c r="K106" s="24" t="s">
        <v>27</v>
      </c>
      <c r="L106" s="24"/>
      <c r="M106" s="27" t="s">
        <v>292</v>
      </c>
      <c r="N106" s="24"/>
      <c r="O106" s="27">
        <f>IF(AND(ISNUMBER(I106),ISNUMBER(J106)),J106-I106+1,"")</f>
        <v>14</v>
      </c>
      <c r="P106" s="13"/>
      <c r="Q106" s="13"/>
      <c r="R106" s="13"/>
      <c r="S106" s="13" t="s">
        <v>140</v>
      </c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4" t="str">
        <f>IF(AND(ISNUMBER($I106),OR($K106="Milestone",$K106="Deadline"),$I106&gt;=AO$4,$I106&lt;AO$4+7),IF($K106="Deadline","◇","◆"),"")</f>
        <v/>
      </c>
      <c r="AP106" s="14" t="str">
        <f>IF(AND(ISNUMBER($I106),OR($K106="Milestone",$K106="Deadline"),$I106&gt;=AP$4,$I106&lt;AP$4+7),IF($K106="Deadline","◇","◆"),"")</f>
        <v/>
      </c>
      <c r="AQ106" s="14" t="str">
        <f>IF(AND(ISNUMBER($I106),OR($K106="Milestone",$K106="Deadline"),$I106&gt;=AQ$4,$I106&lt;AQ$4+7),IF($K106="Deadline","◇","◆"),"")</f>
        <v/>
      </c>
      <c r="AR106" s="14" t="str">
        <f>IF(AND(ISNUMBER($I106),OR($K106="Milestone",$K106="Deadline"),$I106&gt;=AR$4,$I106&lt;AR$4+7),IF($K106="Deadline","◇","◆"),"")</f>
        <v/>
      </c>
      <c r="AS106" s="14" t="str">
        <f>IF(AND(ISNUMBER($I106),OR($K106="Milestone",$K106="Deadline"),$I106&gt;=AS$4,$I106&lt;AS$4+7),IF($K106="Deadline","◇","◆"),"")</f>
        <v/>
      </c>
      <c r="AT106" s="14" t="str">
        <f>IF(AND(ISNUMBER($I106),OR($K106="Milestone",$K106="Deadline"),$I106&gt;=AT$4,$I106&lt;AT$4+7),IF($K106="Deadline","◇","◆"),"")</f>
        <v/>
      </c>
      <c r="AU106" s="14" t="str">
        <f>IF(AND(ISNUMBER($I106),OR($K106="Milestone",$K106="Deadline"),$I106&gt;=AU$4,$I106&lt;AU$4+7),IF($K106="Deadline","◇","◆"),"")</f>
        <v/>
      </c>
      <c r="AV106" s="14" t="str">
        <f>IF(AND(ISNUMBER($I106),OR($K106="Milestone",$K106="Deadline"),$I106&gt;=AV$4,$I106&lt;AV$4+7),IF($K106="Deadline","◇","◆"),"")</f>
        <v/>
      </c>
      <c r="AW106" s="14" t="str">
        <f>IF(AND(ISNUMBER($I106),OR($K106="Milestone",$K106="Deadline"),$I106&gt;=AW$4,$I106&lt;AW$4+7),IF($K106="Deadline","◇","◆"),"")</f>
        <v/>
      </c>
      <c r="AX106" s="14" t="str">
        <f>IF(AND(ISNUMBER($I106),OR($K106="Milestone",$K106="Deadline"),$I106&gt;=AX$4,$I106&lt;AX$4+7),IF($K106="Deadline","◇","◆"),"")</f>
        <v/>
      </c>
      <c r="AY106" s="14" t="str">
        <f>IF(AND(ISNUMBER($I106),OR($K106="Milestone",$K106="Deadline"),$I106&gt;=AY$4,$I106&lt;AY$4+7),IF($K106="Deadline","◇","◆"),"")</f>
        <v/>
      </c>
      <c r="AZ106" s="14" t="str">
        <f>IF(AND(ISNUMBER($I106),OR($K106="Milestone",$K106="Deadline"),$I106&gt;=AZ$4,$I106&lt;AZ$4+7),IF($K106="Deadline","◇","◆"),"")</f>
        <v/>
      </c>
      <c r="BA106" s="14" t="str">
        <f>IF(AND(ISNUMBER($I106),OR($K106="Milestone",$K106="Deadline"),$I106&gt;=BA$4,$I106&lt;BA$4+7),IF($K106="Deadline","◇","◆"),"")</f>
        <v/>
      </c>
      <c r="BB106" s="14" t="str">
        <f>IF(AND(ISNUMBER($I106),OR($K106="Milestone",$K106="Deadline"),$I106&gt;=BB$4,$I106&lt;BB$4+7),IF($K106="Deadline","◇","◆"),"")</f>
        <v/>
      </c>
      <c r="BC106" s="14" t="str">
        <f>IF(AND(ISNUMBER($I106),OR($K106="Milestone",$K106="Deadline"),$I106&gt;=BC$4,$I106&lt;BC$4+7),IF($K106="Deadline","◇","◆"),"")</f>
        <v/>
      </c>
      <c r="BD106" s="14" t="str">
        <f>IF(AND(ISNUMBER($I106),OR($K106="Milestone",$K106="Deadline"),$I106&gt;=BD$4,$I106&lt;BD$4+7),IF($K106="Deadline","◇","◆"),"")</f>
        <v/>
      </c>
      <c r="BE106" s="14" t="str">
        <f>IF(AND(ISNUMBER($I106),OR($K106="Milestone",$K106="Deadline"),$I106&gt;=BE$4,$I106&lt;BE$4+7),IF($K106="Deadline","◇","◆"),"")</f>
        <v/>
      </c>
      <c r="BF106" s="14" t="str">
        <f>IF(AND(ISNUMBER($I106),OR($K106="Milestone",$K106="Deadline"),$I106&gt;=BF$4,$I106&lt;BF$4+7),IF($K106="Deadline","◇","◆"),"")</f>
        <v/>
      </c>
      <c r="BG106" s="14" t="str">
        <f>IF(AND(ISNUMBER($I106),OR($K106="Milestone",$K106="Deadline"),$I106&gt;=BG$4,$I106&lt;BG$4+7),IF($K106="Deadline","◇","◆"),"")</f>
        <v/>
      </c>
      <c r="BH106" s="14" t="str">
        <f>IF(AND(ISNUMBER($I106),OR($K106="Milestone",$K106="Deadline"),$I106&gt;=BH$4,$I106&lt;BH$4+7),IF($K106="Deadline","◇","◆"),"")</f>
        <v/>
      </c>
      <c r="BI106" s="14" t="str">
        <f>IF(AND(ISNUMBER($I106),OR($K106="Milestone",$K106="Deadline"),$I106&gt;=BI$4,$I106&lt;BI$4+7),IF($K106="Deadline","◇","◆"),"")</f>
        <v/>
      </c>
      <c r="BJ106" s="14" t="str">
        <f>IF(AND(ISNUMBER($I106),OR($K106="Milestone",$K106="Deadline"),$I106&gt;=BJ$4,$I106&lt;BJ$4+7),IF($K106="Deadline","◇","◆"),"")</f>
        <v/>
      </c>
      <c r="BK106" s="14" t="str">
        <f>IF(AND(ISNUMBER($I106),OR($K106="Milestone",$K106="Deadline"),$I106&gt;=BK$4,$I106&lt;BK$4+7),IF($K106="Deadline","◇","◆"),"")</f>
        <v/>
      </c>
      <c r="BL106" s="14" t="str">
        <f>IF(AND(ISNUMBER($I106),OR($K106="Milestone",$K106="Deadline"),$I106&gt;=BL$4,$I106&lt;BL$4+7),IF($K106="Deadline","◇","◆"),"")</f>
        <v/>
      </c>
      <c r="BM106" s="14" t="str">
        <f>IF(AND(ISNUMBER($I106),OR($K106="Milestone",$K106="Deadline"),$I106&gt;=BM$4,$I106&lt;BM$4+7),IF($K106="Deadline","◇","◆"),"")</f>
        <v/>
      </c>
      <c r="BN106" s="14" t="str">
        <f>IF(AND(ISNUMBER($I106),OR($K106="Milestone",$K106="Deadline"),$I106&gt;=BN$4,$I106&lt;BN$4+7),IF($K106="Deadline","◇","◆"),"")</f>
        <v/>
      </c>
      <c r="BO106" s="14" t="str">
        <f>IF(AND(ISNUMBER($I106),OR($K106="Milestone",$K106="Deadline"),$I106&gt;=BO$4,$I106&lt;BO$4+7),IF($K106="Deadline","◇","◆"),"")</f>
        <v/>
      </c>
      <c r="BP106" s="14" t="str">
        <f>IF(AND(ISNUMBER($I106),OR($K106="Milestone",$K106="Deadline"),$I106&gt;=BP$4,$I106&lt;BP$4+7),IF($K106="Deadline","◇","◆"),"")</f>
        <v/>
      </c>
      <c r="BQ106" s="14" t="str">
        <f>IF(AND(ISNUMBER($I106),OR($K106="Milestone",$K106="Deadline"),$I106&gt;=BQ$4,$I106&lt;BQ$4+7),IF($K106="Deadline","◇","◆"),"")</f>
        <v/>
      </c>
      <c r="BR106" s="14" t="str">
        <f>IF(AND(ISNUMBER($I106),OR($K106="Milestone",$K106="Deadline"),$I106&gt;=BR$4,$I106&lt;BR$4+7),IF($K106="Deadline","◇","◆"),"")</f>
        <v/>
      </c>
      <c r="BS106" s="14" t="str">
        <f>IF(AND(ISNUMBER($I106),OR($K106="Milestone",$K106="Deadline"),$I106&gt;=BS$4,$I106&lt;BS$4+7),IF($K106="Deadline","◇","◆"),"")</f>
        <v/>
      </c>
      <c r="BT106" s="14" t="str">
        <f>IF(AND(ISNUMBER($I106),OR($K106="Milestone",$K106="Deadline"),$I106&gt;=BT$4,$I106&lt;BT$4+7),IF($K106="Deadline","◇","◆"),"")</f>
        <v/>
      </c>
      <c r="BU106" s="14" t="str">
        <f>IF(AND(ISNUMBER($I106),OR($K106="Milestone",$K106="Deadline"),$I106&gt;=BU$4,$I106&lt;BU$4+7),IF($K106="Deadline","◇","◆"),"")</f>
        <v/>
      </c>
      <c r="BV106" s="14" t="str">
        <f>IF(AND(ISNUMBER($I106),OR($K106="Milestone",$K106="Deadline"),$I106&gt;=BV$4,$I106&lt;BV$4+7),IF($K106="Deadline","◇","◆"),"")</f>
        <v/>
      </c>
      <c r="BW106" s="14" t="str">
        <f>IF(AND(ISNUMBER($I106),OR($K106="Milestone",$K106="Deadline"),$I106&gt;=BW$4,$I106&lt;BW$4+7),IF($K106="Deadline","◇","◆"),"")</f>
        <v/>
      </c>
      <c r="BX106" s="14" t="str">
        <f>IF(AND(ISNUMBER($I106),OR($K106="Milestone",$K106="Deadline"),$I106&gt;=BX$4,$I106&lt;BX$4+7),IF($K106="Deadline","◇","◆"),"")</f>
        <v/>
      </c>
      <c r="BY106" s="14" t="str">
        <f>IF(AND(ISNUMBER($I106),OR($K106="Milestone",$K106="Deadline"),$I106&gt;=BY$4,$I106&lt;BY$4+7),IF($K106="Deadline","◇","◆"),"")</f>
        <v/>
      </c>
      <c r="BZ106" s="14" t="str">
        <f>IF(AND(ISNUMBER($I106),OR($K106="Milestone",$K106="Deadline"),$I106&gt;=BZ$4,$I106&lt;BZ$4+7),IF($K106="Deadline","◇","◆"),"")</f>
        <v/>
      </c>
      <c r="CA106" s="14" t="str">
        <f>IF(AND(ISNUMBER($I106),OR($K106="Milestone",$K106="Deadline"),$I106&gt;=CA$4,$I106&lt;CA$4+7),IF($K106="Deadline","◇","◆"),"")</f>
        <v/>
      </c>
      <c r="CB106" s="14" t="str">
        <f>IF(AND(ISNUMBER($I106),OR($K106="Milestone",$K106="Deadline"),$I106&gt;=CB$4,$I106&lt;CB$4+7),IF($K106="Deadline","◇","◆"),"")</f>
        <v/>
      </c>
      <c r="CC106" s="14" t="str">
        <f>IF(AND(ISNUMBER($I106),OR($K106="Milestone",$K106="Deadline"),$I106&gt;=CC$4,$I106&lt;CC$4+7),IF($K106="Deadline","◇","◆"),"")</f>
        <v/>
      </c>
      <c r="CD106" s="14" t="str">
        <f>IF(AND(ISNUMBER($I106),OR($K106="Milestone",$K106="Deadline"),$I106&gt;=CD$4,$I106&lt;CD$4+7),IF($K106="Deadline","◇","◆"),"")</f>
        <v/>
      </c>
      <c r="CE106" s="14" t="str">
        <f>IF(AND(ISNUMBER($I106),OR($K106="Milestone",$K106="Deadline"),$I106&gt;=CE$4,$I106&lt;CE$4+7),IF($K106="Deadline","◇","◆"),"")</f>
        <v/>
      </c>
      <c r="CF106" s="14" t="str">
        <f>IF(AND(ISNUMBER($I106),OR($K106="Milestone",$K106="Deadline"),$I106&gt;=CF$4,$I106&lt;CF$4+7),IF($K106="Deadline","◇","◆"),"")</f>
        <v/>
      </c>
      <c r="CG106" s="14" t="str">
        <f>IF(AND(ISNUMBER($I106),OR($K106="Milestone",$K106="Deadline"),$I106&gt;=CG$4,$I106&lt;CG$4+7),IF($K106="Deadline","◇","◆"),"")</f>
        <v/>
      </c>
      <c r="CH106" s="14" t="str">
        <f>IF(AND(ISNUMBER($I106),OR($K106="Milestone",$K106="Deadline"),$I106&gt;=CH$4,$I106&lt;CH$4+7),IF($K106="Deadline","◇","◆"),"")</f>
        <v/>
      </c>
      <c r="CI106" s="14" t="str">
        <f>IF(AND(ISNUMBER($I106),OR($K106="Milestone",$K106="Deadline"),$I106&gt;=CI$4,$I106&lt;CI$4+7),IF($K106="Deadline","◇","◆"),"")</f>
        <v/>
      </c>
      <c r="CJ106" s="14" t="str">
        <f>IF(AND(ISNUMBER($I106),OR($K106="Milestone",$K106="Deadline"),$I106&gt;=CJ$4,$I106&lt;CJ$4+7),IF($K106="Deadline","◇","◆"),"")</f>
        <v/>
      </c>
      <c r="CK106" s="14" t="str">
        <f>IF(AND(ISNUMBER($I106),OR($K106="Milestone",$K106="Deadline"),$I106&gt;=CK$4,$I106&lt;CK$4+7),IF($K106="Deadline","◇","◆"),"")</f>
        <v/>
      </c>
      <c r="CL106" s="14" t="str">
        <f>IF(AND(ISNUMBER($I106),OR($K106="Milestone",$K106="Deadline"),$I106&gt;=CL$4,$I106&lt;CL$4+7),IF($K106="Deadline","◇","◆"),"")</f>
        <v/>
      </c>
      <c r="CM106" s="14" t="str">
        <f>IF(AND(ISNUMBER($I106),OR($K106="Milestone",$K106="Deadline"),$I106&gt;=CM$4,$I106&lt;CM$4+7),IF($K106="Deadline","◇","◆"),"")</f>
        <v/>
      </c>
    </row>
    <row r="107" spans="1:91" ht="15" customHeight="1">
      <c r="A107" s="29" t="s">
        <v>299</v>
      </c>
      <c r="B107" s="29" t="s">
        <v>300</v>
      </c>
      <c r="C107" s="29" t="s">
        <v>93</v>
      </c>
      <c r="D107" s="29" t="s">
        <v>301</v>
      </c>
      <c r="E107" s="29" t="s">
        <v>281</v>
      </c>
      <c r="F107" s="29" t="s">
        <v>302</v>
      </c>
      <c r="G107" s="29" t="s">
        <v>198</v>
      </c>
      <c r="H107" s="29">
        <v>7</v>
      </c>
      <c r="I107" s="33">
        <v>46349</v>
      </c>
      <c r="J107" s="31">
        <f>IF(AND(ISNUMBER(I107),ISNUMBER(H107)),I107+H107-1,"")</f>
        <v>46355</v>
      </c>
      <c r="K107" s="29" t="s">
        <v>27</v>
      </c>
      <c r="L107" s="29" t="s">
        <v>86</v>
      </c>
      <c r="M107" s="32"/>
      <c r="N107" s="29"/>
      <c r="O107" s="32">
        <f>IF(AND(ISNUMBER(I107),ISNUMBER(J107)),J107-I107+1,"")</f>
        <v>7</v>
      </c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4" t="str">
        <f>IF(AND(ISNUMBER($I107),OR($K107="Milestone",$K107="Deadline"),$I107&gt;=AO$4,$I107&lt;AO$4+7),IF($K107="Deadline","◇","◆"),"")</f>
        <v/>
      </c>
      <c r="AP107" s="14" t="str">
        <f>IF(AND(ISNUMBER($I107),OR($K107="Milestone",$K107="Deadline"),$I107&gt;=AP$4,$I107&lt;AP$4+7),IF($K107="Deadline","◇","◆"),"")</f>
        <v/>
      </c>
      <c r="AQ107" s="14" t="str">
        <f>IF(AND(ISNUMBER($I107),OR($K107="Milestone",$K107="Deadline"),$I107&gt;=AQ$4,$I107&lt;AQ$4+7),IF($K107="Deadline","◇","◆"),"")</f>
        <v/>
      </c>
      <c r="AR107" s="14" t="str">
        <f>IF(AND(ISNUMBER($I107),OR($K107="Milestone",$K107="Deadline"),$I107&gt;=AR$4,$I107&lt;AR$4+7),IF($K107="Deadline","◇","◆"),"")</f>
        <v/>
      </c>
      <c r="AS107" s="14" t="str">
        <f>IF(AND(ISNUMBER($I107),OR($K107="Milestone",$K107="Deadline"),$I107&gt;=AS$4,$I107&lt;AS$4+7),IF($K107="Deadline","◇","◆"),"")</f>
        <v/>
      </c>
      <c r="AT107" s="14" t="str">
        <f>IF(AND(ISNUMBER($I107),OR($K107="Milestone",$K107="Deadline"),$I107&gt;=AT$4,$I107&lt;AT$4+7),IF($K107="Deadline","◇","◆"),"")</f>
        <v/>
      </c>
      <c r="AU107" s="14" t="str">
        <f>IF(AND(ISNUMBER($I107),OR($K107="Milestone",$K107="Deadline"),$I107&gt;=AU$4,$I107&lt;AU$4+7),IF($K107="Deadline","◇","◆"),"")</f>
        <v/>
      </c>
      <c r="AV107" s="14" t="str">
        <f>IF(AND(ISNUMBER($I107),OR($K107="Milestone",$K107="Deadline"),$I107&gt;=AV$4,$I107&lt;AV$4+7),IF($K107="Deadline","◇","◆"),"")</f>
        <v/>
      </c>
      <c r="AW107" s="14" t="str">
        <f>IF(AND(ISNUMBER($I107),OR($K107="Milestone",$K107="Deadline"),$I107&gt;=AW$4,$I107&lt;AW$4+7),IF($K107="Deadline","◇","◆"),"")</f>
        <v/>
      </c>
      <c r="AX107" s="14" t="str">
        <f>IF(AND(ISNUMBER($I107),OR($K107="Milestone",$K107="Deadline"),$I107&gt;=AX$4,$I107&lt;AX$4+7),IF($K107="Deadline","◇","◆"),"")</f>
        <v/>
      </c>
      <c r="AY107" s="14" t="str">
        <f>IF(AND(ISNUMBER($I107),OR($K107="Milestone",$K107="Deadline"),$I107&gt;=AY$4,$I107&lt;AY$4+7),IF($K107="Deadline","◇","◆"),"")</f>
        <v/>
      </c>
      <c r="AZ107" s="14" t="str">
        <f>IF(AND(ISNUMBER($I107),OR($K107="Milestone",$K107="Deadline"),$I107&gt;=AZ$4,$I107&lt;AZ$4+7),IF($K107="Deadline","◇","◆"),"")</f>
        <v/>
      </c>
      <c r="BA107" s="14" t="str">
        <f>IF(AND(ISNUMBER($I107),OR($K107="Milestone",$K107="Deadline"),$I107&gt;=BA$4,$I107&lt;BA$4+7),IF($K107="Deadline","◇","◆"),"")</f>
        <v/>
      </c>
      <c r="BB107" s="14" t="str">
        <f>IF(AND(ISNUMBER($I107),OR($K107="Milestone",$K107="Deadline"),$I107&gt;=BB$4,$I107&lt;BB$4+7),IF($K107="Deadline","◇","◆"),"")</f>
        <v/>
      </c>
      <c r="BC107" s="14" t="str">
        <f>IF(AND(ISNUMBER($I107),OR($K107="Milestone",$K107="Deadline"),$I107&gt;=BC$4,$I107&lt;BC$4+7),IF($K107="Deadline","◇","◆"),"")</f>
        <v/>
      </c>
      <c r="BD107" s="14" t="str">
        <f>IF(AND(ISNUMBER($I107),OR($K107="Milestone",$K107="Deadline"),$I107&gt;=BD$4,$I107&lt;BD$4+7),IF($K107="Deadline","◇","◆"),"")</f>
        <v/>
      </c>
      <c r="BE107" s="14" t="str">
        <f>IF(AND(ISNUMBER($I107),OR($K107="Milestone",$K107="Deadline"),$I107&gt;=BE$4,$I107&lt;BE$4+7),IF($K107="Deadline","◇","◆"),"")</f>
        <v/>
      </c>
      <c r="BF107" s="14" t="str">
        <f>IF(AND(ISNUMBER($I107),OR($K107="Milestone",$K107="Deadline"),$I107&gt;=BF$4,$I107&lt;BF$4+7),IF($K107="Deadline","◇","◆"),"")</f>
        <v/>
      </c>
      <c r="BG107" s="14" t="str">
        <f>IF(AND(ISNUMBER($I107),OR($K107="Milestone",$K107="Deadline"),$I107&gt;=BG$4,$I107&lt;BG$4+7),IF($K107="Deadline","◇","◆"),"")</f>
        <v/>
      </c>
      <c r="BH107" s="14" t="str">
        <f>IF(AND(ISNUMBER($I107),OR($K107="Milestone",$K107="Deadline"),$I107&gt;=BH$4,$I107&lt;BH$4+7),IF($K107="Deadline","◇","◆"),"")</f>
        <v/>
      </c>
      <c r="BI107" s="14" t="str">
        <f>IF(AND(ISNUMBER($I107),OR($K107="Milestone",$K107="Deadline"),$I107&gt;=BI$4,$I107&lt;BI$4+7),IF($K107="Deadline","◇","◆"),"")</f>
        <v/>
      </c>
      <c r="BJ107" s="14" t="str">
        <f>IF(AND(ISNUMBER($I107),OR($K107="Milestone",$K107="Deadline"),$I107&gt;=BJ$4,$I107&lt;BJ$4+7),IF($K107="Deadline","◇","◆"),"")</f>
        <v/>
      </c>
      <c r="BK107" s="14" t="str">
        <f>IF(AND(ISNUMBER($I107),OR($K107="Milestone",$K107="Deadline"),$I107&gt;=BK$4,$I107&lt;BK$4+7),IF($K107="Deadline","◇","◆"),"")</f>
        <v/>
      </c>
      <c r="BL107" s="14" t="str">
        <f>IF(AND(ISNUMBER($I107),OR($K107="Milestone",$K107="Deadline"),$I107&gt;=BL$4,$I107&lt;BL$4+7),IF($K107="Deadline","◇","◆"),"")</f>
        <v/>
      </c>
      <c r="BM107" s="14" t="str">
        <f>IF(AND(ISNUMBER($I107),OR($K107="Milestone",$K107="Deadline"),$I107&gt;=BM$4,$I107&lt;BM$4+7),IF($K107="Deadline","◇","◆"),"")</f>
        <v/>
      </c>
      <c r="BN107" s="14" t="str">
        <f>IF(AND(ISNUMBER($I107),OR($K107="Milestone",$K107="Deadline"),$I107&gt;=BN$4,$I107&lt;BN$4+7),IF($K107="Deadline","◇","◆"),"")</f>
        <v/>
      </c>
      <c r="BO107" s="14" t="str">
        <f>IF(AND(ISNUMBER($I107),OR($K107="Milestone",$K107="Deadline"),$I107&gt;=BO$4,$I107&lt;BO$4+7),IF($K107="Deadline","◇","◆"),"")</f>
        <v/>
      </c>
      <c r="BP107" s="14" t="str">
        <f>IF(AND(ISNUMBER($I107),OR($K107="Milestone",$K107="Deadline"),$I107&gt;=BP$4,$I107&lt;BP$4+7),IF($K107="Deadline","◇","◆"),"")</f>
        <v/>
      </c>
      <c r="BQ107" s="14" t="str">
        <f>IF(AND(ISNUMBER($I107),OR($K107="Milestone",$K107="Deadline"),$I107&gt;=BQ$4,$I107&lt;BQ$4+7),IF($K107="Deadline","◇","◆"),"")</f>
        <v/>
      </c>
      <c r="BR107" s="14" t="str">
        <f>IF(AND(ISNUMBER($I107),OR($K107="Milestone",$K107="Deadline"),$I107&gt;=BR$4,$I107&lt;BR$4+7),IF($K107="Deadline","◇","◆"),"")</f>
        <v/>
      </c>
      <c r="BS107" s="14" t="str">
        <f>IF(AND(ISNUMBER($I107),OR($K107="Milestone",$K107="Deadline"),$I107&gt;=BS$4,$I107&lt;BS$4+7),IF($K107="Deadline","◇","◆"),"")</f>
        <v/>
      </c>
      <c r="BT107" s="14" t="str">
        <f>IF(AND(ISNUMBER($I107),OR($K107="Milestone",$K107="Deadline"),$I107&gt;=BT$4,$I107&lt;BT$4+7),IF($K107="Deadline","◇","◆"),"")</f>
        <v/>
      </c>
      <c r="BU107" s="14" t="str">
        <f>IF(AND(ISNUMBER($I107),OR($K107="Milestone",$K107="Deadline"),$I107&gt;=BU$4,$I107&lt;BU$4+7),IF($K107="Deadline","◇","◆"),"")</f>
        <v/>
      </c>
      <c r="BV107" s="14" t="str">
        <f>IF(AND(ISNUMBER($I107),OR($K107="Milestone",$K107="Deadline"),$I107&gt;=BV$4,$I107&lt;BV$4+7),IF($K107="Deadline","◇","◆"),"")</f>
        <v/>
      </c>
      <c r="BW107" s="14" t="str">
        <f>IF(AND(ISNUMBER($I107),OR($K107="Milestone",$K107="Deadline"),$I107&gt;=BW$4,$I107&lt;BW$4+7),IF($K107="Deadline","◇","◆"),"")</f>
        <v/>
      </c>
      <c r="BX107" s="14" t="str">
        <f>IF(AND(ISNUMBER($I107),OR($K107="Milestone",$K107="Deadline"),$I107&gt;=BX$4,$I107&lt;BX$4+7),IF($K107="Deadline","◇","◆"),"")</f>
        <v/>
      </c>
      <c r="BY107" s="14" t="str">
        <f>IF(AND(ISNUMBER($I107),OR($K107="Milestone",$K107="Deadline"),$I107&gt;=BY$4,$I107&lt;BY$4+7),IF($K107="Deadline","◇","◆"),"")</f>
        <v/>
      </c>
      <c r="BZ107" s="14" t="str">
        <f>IF(AND(ISNUMBER($I107),OR($K107="Milestone",$K107="Deadline"),$I107&gt;=BZ$4,$I107&lt;BZ$4+7),IF($K107="Deadline","◇","◆"),"")</f>
        <v/>
      </c>
      <c r="CA107" s="14" t="str">
        <f>IF(AND(ISNUMBER($I107),OR($K107="Milestone",$K107="Deadline"),$I107&gt;=CA$4,$I107&lt;CA$4+7),IF($K107="Deadline","◇","◆"),"")</f>
        <v/>
      </c>
      <c r="CB107" s="14" t="str">
        <f>IF(AND(ISNUMBER($I107),OR($K107="Milestone",$K107="Deadline"),$I107&gt;=CB$4,$I107&lt;CB$4+7),IF($K107="Deadline","◇","◆"),"")</f>
        <v/>
      </c>
      <c r="CC107" s="14" t="str">
        <f>IF(AND(ISNUMBER($I107),OR($K107="Milestone",$K107="Deadline"),$I107&gt;=CC$4,$I107&lt;CC$4+7),IF($K107="Deadline","◇","◆"),"")</f>
        <v/>
      </c>
      <c r="CD107" s="14" t="str">
        <f>IF(AND(ISNUMBER($I107),OR($K107="Milestone",$K107="Deadline"),$I107&gt;=CD$4,$I107&lt;CD$4+7),IF($K107="Deadline","◇","◆"),"")</f>
        <v/>
      </c>
      <c r="CE107" s="14" t="str">
        <f>IF(AND(ISNUMBER($I107),OR($K107="Milestone",$K107="Deadline"),$I107&gt;=CE$4,$I107&lt;CE$4+7),IF($K107="Deadline","◇","◆"),"")</f>
        <v/>
      </c>
      <c r="CF107" s="14" t="str">
        <f>IF(AND(ISNUMBER($I107),OR($K107="Milestone",$K107="Deadline"),$I107&gt;=CF$4,$I107&lt;CF$4+7),IF($K107="Deadline","◇","◆"),"")</f>
        <v/>
      </c>
      <c r="CG107" s="14" t="str">
        <f>IF(AND(ISNUMBER($I107),OR($K107="Milestone",$K107="Deadline"),$I107&gt;=CG$4,$I107&lt;CG$4+7),IF($K107="Deadline","◇","◆"),"")</f>
        <v/>
      </c>
      <c r="CH107" s="14" t="str">
        <f>IF(AND(ISNUMBER($I107),OR($K107="Milestone",$K107="Deadline"),$I107&gt;=CH$4,$I107&lt;CH$4+7),IF($K107="Deadline","◇","◆"),"")</f>
        <v/>
      </c>
      <c r="CI107" s="14" t="str">
        <f>IF(AND(ISNUMBER($I107),OR($K107="Milestone",$K107="Deadline"),$I107&gt;=CI$4,$I107&lt;CI$4+7),IF($K107="Deadline","◇","◆"),"")</f>
        <v/>
      </c>
      <c r="CJ107" s="14" t="str">
        <f>IF(AND(ISNUMBER($I107),OR($K107="Milestone",$K107="Deadline"),$I107&gt;=CJ$4,$I107&lt;CJ$4+7),IF($K107="Deadline","◇","◆"),"")</f>
        <v/>
      </c>
      <c r="CK107" s="14" t="str">
        <f>IF(AND(ISNUMBER($I107),OR($K107="Milestone",$K107="Deadline"),$I107&gt;=CK$4,$I107&lt;CK$4+7),IF($K107="Deadline","◇","◆"),"")</f>
        <v/>
      </c>
      <c r="CL107" s="14" t="str">
        <f>IF(AND(ISNUMBER($I107),OR($K107="Milestone",$K107="Deadline"),$I107&gt;=CL$4,$I107&lt;CL$4+7),IF($K107="Deadline","◇","◆"),"")</f>
        <v/>
      </c>
      <c r="CM107" s="14" t="str">
        <f>IF(AND(ISNUMBER($I107),OR($K107="Milestone",$K107="Deadline"),$I107&gt;=CM$4,$I107&lt;CM$4+7),IF($K107="Deadline","◇","◆"),"")</f>
        <v/>
      </c>
    </row>
    <row r="108" spans="1:91" ht="15" hidden="1" customHeight="1">
      <c r="A108" s="29" t="s">
        <v>303</v>
      </c>
      <c r="B108" s="29" t="s">
        <v>300</v>
      </c>
      <c r="C108" s="29" t="s">
        <v>93</v>
      </c>
      <c r="D108" s="29" t="s">
        <v>301</v>
      </c>
      <c r="E108" s="29" t="s">
        <v>281</v>
      </c>
      <c r="F108" s="29" t="s">
        <v>302</v>
      </c>
      <c r="G108" s="29" t="s">
        <v>173</v>
      </c>
      <c r="H108" s="29">
        <v>7</v>
      </c>
      <c r="I108" s="30">
        <f>MAX($C$2,I107)</f>
        <v>46349</v>
      </c>
      <c r="J108" s="31">
        <f>IF(AND(ISNUMBER(I108),ISNUMBER(H108)),I108+H108-1,"")</f>
        <v>46355</v>
      </c>
      <c r="K108" s="29" t="s">
        <v>27</v>
      </c>
      <c r="L108" s="29" t="s">
        <v>304</v>
      </c>
      <c r="M108" s="32"/>
      <c r="N108" s="29"/>
      <c r="O108" s="32">
        <f>IF(AND(ISNUMBER(I108),ISNUMBER(J108)),J108-I108+1,"")</f>
        <v>7</v>
      </c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4" t="str">
        <f>IF(AND(ISNUMBER($I108),OR($K108="Milestone",$K108="Deadline"),$I108&gt;=AO$4,$I108&lt;AO$4+7),IF($K108="Deadline","◇","◆"),"")</f>
        <v/>
      </c>
      <c r="AP108" s="14" t="str">
        <f>IF(AND(ISNUMBER($I108),OR($K108="Milestone",$K108="Deadline"),$I108&gt;=AP$4,$I108&lt;AP$4+7),IF($K108="Deadline","◇","◆"),"")</f>
        <v/>
      </c>
      <c r="AQ108" s="14" t="str">
        <f>IF(AND(ISNUMBER($I108),OR($K108="Milestone",$K108="Deadline"),$I108&gt;=AQ$4,$I108&lt;AQ$4+7),IF($K108="Deadline","◇","◆"),"")</f>
        <v/>
      </c>
      <c r="AR108" s="14" t="str">
        <f>IF(AND(ISNUMBER($I108),OR($K108="Milestone",$K108="Deadline"),$I108&gt;=AR$4,$I108&lt;AR$4+7),IF($K108="Deadline","◇","◆"),"")</f>
        <v/>
      </c>
      <c r="AS108" s="14" t="str">
        <f>IF(AND(ISNUMBER($I108),OR($K108="Milestone",$K108="Deadline"),$I108&gt;=AS$4,$I108&lt;AS$4+7),IF($K108="Deadline","◇","◆"),"")</f>
        <v/>
      </c>
      <c r="AT108" s="14" t="str">
        <f>IF(AND(ISNUMBER($I108),OR($K108="Milestone",$K108="Deadline"),$I108&gt;=AT$4,$I108&lt;AT$4+7),IF($K108="Deadline","◇","◆"),"")</f>
        <v/>
      </c>
      <c r="AU108" s="14" t="str">
        <f>IF(AND(ISNUMBER($I108),OR($K108="Milestone",$K108="Deadline"),$I108&gt;=AU$4,$I108&lt;AU$4+7),IF($K108="Deadline","◇","◆"),"")</f>
        <v/>
      </c>
      <c r="AV108" s="14" t="str">
        <f>IF(AND(ISNUMBER($I108),OR($K108="Milestone",$K108="Deadline"),$I108&gt;=AV$4,$I108&lt;AV$4+7),IF($K108="Deadline","◇","◆"),"")</f>
        <v/>
      </c>
      <c r="AW108" s="14" t="str">
        <f>IF(AND(ISNUMBER($I108),OR($K108="Milestone",$K108="Deadline"),$I108&gt;=AW$4,$I108&lt;AW$4+7),IF($K108="Deadline","◇","◆"),"")</f>
        <v/>
      </c>
      <c r="AX108" s="14" t="str">
        <f>IF(AND(ISNUMBER($I108),OR($K108="Milestone",$K108="Deadline"),$I108&gt;=AX$4,$I108&lt;AX$4+7),IF($K108="Deadline","◇","◆"),"")</f>
        <v/>
      </c>
      <c r="AY108" s="14" t="str">
        <f>IF(AND(ISNUMBER($I108),OR($K108="Milestone",$K108="Deadline"),$I108&gt;=AY$4,$I108&lt;AY$4+7),IF($K108="Deadline","◇","◆"),"")</f>
        <v/>
      </c>
      <c r="AZ108" s="14" t="str">
        <f>IF(AND(ISNUMBER($I108),OR($K108="Milestone",$K108="Deadline"),$I108&gt;=AZ$4,$I108&lt;AZ$4+7),IF($K108="Deadline","◇","◆"),"")</f>
        <v/>
      </c>
      <c r="BA108" s="14" t="str">
        <f>IF(AND(ISNUMBER($I108),OR($K108="Milestone",$K108="Deadline"),$I108&gt;=BA$4,$I108&lt;BA$4+7),IF($K108="Deadline","◇","◆"),"")</f>
        <v/>
      </c>
      <c r="BB108" s="14" t="str">
        <f>IF(AND(ISNUMBER($I108),OR($K108="Milestone",$K108="Deadline"),$I108&gt;=BB$4,$I108&lt;BB$4+7),IF($K108="Deadline","◇","◆"),"")</f>
        <v/>
      </c>
      <c r="BC108" s="14" t="str">
        <f>IF(AND(ISNUMBER($I108),OR($K108="Milestone",$K108="Deadline"),$I108&gt;=BC$4,$I108&lt;BC$4+7),IF($K108="Deadline","◇","◆"),"")</f>
        <v/>
      </c>
      <c r="BD108" s="14" t="str">
        <f>IF(AND(ISNUMBER($I108),OR($K108="Milestone",$K108="Deadline"),$I108&gt;=BD$4,$I108&lt;BD$4+7),IF($K108="Deadline","◇","◆"),"")</f>
        <v/>
      </c>
      <c r="BE108" s="14" t="str">
        <f>IF(AND(ISNUMBER($I108),OR($K108="Milestone",$K108="Deadline"),$I108&gt;=BE$4,$I108&lt;BE$4+7),IF($K108="Deadline","◇","◆"),"")</f>
        <v/>
      </c>
      <c r="BF108" s="14" t="str">
        <f>IF(AND(ISNUMBER($I108),OR($K108="Milestone",$K108="Deadline"),$I108&gt;=BF$4,$I108&lt;BF$4+7),IF($K108="Deadline","◇","◆"),"")</f>
        <v/>
      </c>
      <c r="BG108" s="14" t="str">
        <f>IF(AND(ISNUMBER($I108),OR($K108="Milestone",$K108="Deadline"),$I108&gt;=BG$4,$I108&lt;BG$4+7),IF($K108="Deadline","◇","◆"),"")</f>
        <v/>
      </c>
      <c r="BH108" s="14" t="str">
        <f>IF(AND(ISNUMBER($I108),OR($K108="Milestone",$K108="Deadline"),$I108&gt;=BH$4,$I108&lt;BH$4+7),IF($K108="Deadline","◇","◆"),"")</f>
        <v/>
      </c>
      <c r="BI108" s="14" t="str">
        <f>IF(AND(ISNUMBER($I108),OR($K108="Milestone",$K108="Deadline"),$I108&gt;=BI$4,$I108&lt;BI$4+7),IF($K108="Deadline","◇","◆"),"")</f>
        <v/>
      </c>
      <c r="BJ108" s="14" t="str">
        <f>IF(AND(ISNUMBER($I108),OR($K108="Milestone",$K108="Deadline"),$I108&gt;=BJ$4,$I108&lt;BJ$4+7),IF($K108="Deadline","◇","◆"),"")</f>
        <v/>
      </c>
      <c r="BK108" s="14" t="str">
        <f>IF(AND(ISNUMBER($I108),OR($K108="Milestone",$K108="Deadline"),$I108&gt;=BK$4,$I108&lt;BK$4+7),IF($K108="Deadline","◇","◆"),"")</f>
        <v/>
      </c>
      <c r="BL108" s="14" t="str">
        <f>IF(AND(ISNUMBER($I108),OR($K108="Milestone",$K108="Deadline"),$I108&gt;=BL$4,$I108&lt;BL$4+7),IF($K108="Deadline","◇","◆"),"")</f>
        <v/>
      </c>
      <c r="BM108" s="14" t="str">
        <f>IF(AND(ISNUMBER($I108),OR($K108="Milestone",$K108="Deadline"),$I108&gt;=BM$4,$I108&lt;BM$4+7),IF($K108="Deadline","◇","◆"),"")</f>
        <v/>
      </c>
      <c r="BN108" s="14" t="str">
        <f>IF(AND(ISNUMBER($I108),OR($K108="Milestone",$K108="Deadline"),$I108&gt;=BN$4,$I108&lt;BN$4+7),IF($K108="Deadline","◇","◆"),"")</f>
        <v/>
      </c>
      <c r="BO108" s="14" t="str">
        <f>IF(AND(ISNUMBER($I108),OR($K108="Milestone",$K108="Deadline"),$I108&gt;=BO$4,$I108&lt;BO$4+7),IF($K108="Deadline","◇","◆"),"")</f>
        <v/>
      </c>
      <c r="BP108" s="14" t="str">
        <f>IF(AND(ISNUMBER($I108),OR($K108="Milestone",$K108="Deadline"),$I108&gt;=BP$4,$I108&lt;BP$4+7),IF($K108="Deadline","◇","◆"),"")</f>
        <v/>
      </c>
      <c r="BQ108" s="14" t="str">
        <f>IF(AND(ISNUMBER($I108),OR($K108="Milestone",$K108="Deadline"),$I108&gt;=BQ$4,$I108&lt;BQ$4+7),IF($K108="Deadline","◇","◆"),"")</f>
        <v/>
      </c>
      <c r="BR108" s="14" t="str">
        <f>IF(AND(ISNUMBER($I108),OR($K108="Milestone",$K108="Deadline"),$I108&gt;=BR$4,$I108&lt;BR$4+7),IF($K108="Deadline","◇","◆"),"")</f>
        <v/>
      </c>
      <c r="BS108" s="14" t="str">
        <f>IF(AND(ISNUMBER($I108),OR($K108="Milestone",$K108="Deadline"),$I108&gt;=BS$4,$I108&lt;BS$4+7),IF($K108="Deadline","◇","◆"),"")</f>
        <v/>
      </c>
      <c r="BT108" s="14" t="str">
        <f>IF(AND(ISNUMBER($I108),OR($K108="Milestone",$K108="Deadline"),$I108&gt;=BT$4,$I108&lt;BT$4+7),IF($K108="Deadline","◇","◆"),"")</f>
        <v/>
      </c>
      <c r="BU108" s="14" t="str">
        <f>IF(AND(ISNUMBER($I108),OR($K108="Milestone",$K108="Deadline"),$I108&gt;=BU$4,$I108&lt;BU$4+7),IF($K108="Deadline","◇","◆"),"")</f>
        <v/>
      </c>
      <c r="BV108" s="14" t="str">
        <f>IF(AND(ISNUMBER($I108),OR($K108="Milestone",$K108="Deadline"),$I108&gt;=BV$4,$I108&lt;BV$4+7),IF($K108="Deadline","◇","◆"),"")</f>
        <v/>
      </c>
      <c r="BW108" s="14" t="str">
        <f>IF(AND(ISNUMBER($I108),OR($K108="Milestone",$K108="Deadline"),$I108&gt;=BW$4,$I108&lt;BW$4+7),IF($K108="Deadline","◇","◆"),"")</f>
        <v/>
      </c>
      <c r="BX108" s="14" t="str">
        <f>IF(AND(ISNUMBER($I108),OR($K108="Milestone",$K108="Deadline"),$I108&gt;=BX$4,$I108&lt;BX$4+7),IF($K108="Deadline","◇","◆"),"")</f>
        <v/>
      </c>
      <c r="BY108" s="14" t="str">
        <f>IF(AND(ISNUMBER($I108),OR($K108="Milestone",$K108="Deadline"),$I108&gt;=BY$4,$I108&lt;BY$4+7),IF($K108="Deadline","◇","◆"),"")</f>
        <v/>
      </c>
      <c r="BZ108" s="14" t="str">
        <f>IF(AND(ISNUMBER($I108),OR($K108="Milestone",$K108="Deadline"),$I108&gt;=BZ$4,$I108&lt;BZ$4+7),IF($K108="Deadline","◇","◆"),"")</f>
        <v/>
      </c>
      <c r="CA108" s="14" t="str">
        <f>IF(AND(ISNUMBER($I108),OR($K108="Milestone",$K108="Deadline"),$I108&gt;=CA$4,$I108&lt;CA$4+7),IF($K108="Deadline","◇","◆"),"")</f>
        <v/>
      </c>
      <c r="CB108" s="14" t="str">
        <f>IF(AND(ISNUMBER($I108),OR($K108="Milestone",$K108="Deadline"),$I108&gt;=CB$4,$I108&lt;CB$4+7),IF($K108="Deadline","◇","◆"),"")</f>
        <v/>
      </c>
      <c r="CC108" s="14" t="str">
        <f>IF(AND(ISNUMBER($I108),OR($K108="Milestone",$K108="Deadline"),$I108&gt;=CC$4,$I108&lt;CC$4+7),IF($K108="Deadline","◇","◆"),"")</f>
        <v/>
      </c>
      <c r="CD108" s="14" t="str">
        <f>IF(AND(ISNUMBER($I108),OR($K108="Milestone",$K108="Deadline"),$I108&gt;=CD$4,$I108&lt;CD$4+7),IF($K108="Deadline","◇","◆"),"")</f>
        <v/>
      </c>
      <c r="CE108" s="14" t="str">
        <f>IF(AND(ISNUMBER($I108),OR($K108="Milestone",$K108="Deadline"),$I108&gt;=CE$4,$I108&lt;CE$4+7),IF($K108="Deadline","◇","◆"),"")</f>
        <v/>
      </c>
      <c r="CF108" s="14" t="str">
        <f>IF(AND(ISNUMBER($I108),OR($K108="Milestone",$K108="Deadline"),$I108&gt;=CF$4,$I108&lt;CF$4+7),IF($K108="Deadline","◇","◆"),"")</f>
        <v/>
      </c>
      <c r="CG108" s="14" t="str">
        <f>IF(AND(ISNUMBER($I108),OR($K108="Milestone",$K108="Deadline"),$I108&gt;=CG$4,$I108&lt;CG$4+7),IF($K108="Deadline","◇","◆"),"")</f>
        <v/>
      </c>
      <c r="CH108" s="14" t="str">
        <f>IF(AND(ISNUMBER($I108),OR($K108="Milestone",$K108="Deadline"),$I108&gt;=CH$4,$I108&lt;CH$4+7),IF($K108="Deadline","◇","◆"),"")</f>
        <v/>
      </c>
      <c r="CI108" s="14" t="str">
        <f>IF(AND(ISNUMBER($I108),OR($K108="Milestone",$K108="Deadline"),$I108&gt;=CI$4,$I108&lt;CI$4+7),IF($K108="Deadline","◇","◆"),"")</f>
        <v/>
      </c>
      <c r="CJ108" s="14" t="str">
        <f>IF(AND(ISNUMBER($I108),OR($K108="Milestone",$K108="Deadline"),$I108&gt;=CJ$4,$I108&lt;CJ$4+7),IF($K108="Deadline","◇","◆"),"")</f>
        <v/>
      </c>
      <c r="CK108" s="14" t="str">
        <f>IF(AND(ISNUMBER($I108),OR($K108="Milestone",$K108="Deadline"),$I108&gt;=CK$4,$I108&lt;CK$4+7),IF($K108="Deadline","◇","◆"),"")</f>
        <v/>
      </c>
      <c r="CL108" s="14" t="str">
        <f>IF(AND(ISNUMBER($I108),OR($K108="Milestone",$K108="Deadline"),$I108&gt;=CL$4,$I108&lt;CL$4+7),IF($K108="Deadline","◇","◆"),"")</f>
        <v/>
      </c>
      <c r="CM108" s="14" t="str">
        <f>IF(AND(ISNUMBER($I108),OR($K108="Milestone",$K108="Deadline"),$I108&gt;=CM$4,$I108&lt;CM$4+7),IF($K108="Deadline","◇","◆"),"")</f>
        <v/>
      </c>
    </row>
    <row r="109" spans="1:91" ht="15" hidden="1" customHeight="1">
      <c r="A109" s="29" t="s">
        <v>305</v>
      </c>
      <c r="B109" s="29" t="s">
        <v>300</v>
      </c>
      <c r="C109" s="29" t="s">
        <v>93</v>
      </c>
      <c r="D109" s="29" t="s">
        <v>301</v>
      </c>
      <c r="E109" s="29" t="s">
        <v>281</v>
      </c>
      <c r="F109" s="29" t="s">
        <v>302</v>
      </c>
      <c r="G109" s="29" t="s">
        <v>306</v>
      </c>
      <c r="H109" s="29">
        <v>7</v>
      </c>
      <c r="I109" s="30">
        <f>MAX($C$2,J107+1)</f>
        <v>46356</v>
      </c>
      <c r="J109" s="31">
        <f>IF(AND(ISNUMBER(I109),ISNUMBER(H109)),I109+H109-1,"")</f>
        <v>46362</v>
      </c>
      <c r="K109" s="29" t="s">
        <v>27</v>
      </c>
      <c r="L109" s="29" t="s">
        <v>299</v>
      </c>
      <c r="M109" s="32"/>
      <c r="N109" s="29"/>
      <c r="O109" s="32">
        <f>IF(AND(ISNUMBER(I109),ISNUMBER(J109)),J109-I109+1,"")</f>
        <v>7</v>
      </c>
      <c r="P109" s="13"/>
      <c r="Q109" s="13"/>
      <c r="R109" s="13"/>
      <c r="S109" s="13"/>
      <c r="T109" s="13"/>
      <c r="U109" s="13"/>
      <c r="V109" s="13" t="s">
        <v>140</v>
      </c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4" t="str">
        <f>IF(AND(ISNUMBER($I109),OR($K109="Milestone",$K109="Deadline"),$I109&gt;=AO$4,$I109&lt;AO$4+7),IF($K109="Deadline","◇","◆"),"")</f>
        <v/>
      </c>
      <c r="AP109" s="14" t="str">
        <f>IF(AND(ISNUMBER($I109),OR($K109="Milestone",$K109="Deadline"),$I109&gt;=AP$4,$I109&lt;AP$4+7),IF($K109="Deadline","◇","◆"),"")</f>
        <v/>
      </c>
      <c r="AQ109" s="14" t="str">
        <f>IF(AND(ISNUMBER($I109),OR($K109="Milestone",$K109="Deadline"),$I109&gt;=AQ$4,$I109&lt;AQ$4+7),IF($K109="Deadline","◇","◆"),"")</f>
        <v/>
      </c>
      <c r="AR109" s="14" t="str">
        <f>IF(AND(ISNUMBER($I109),OR($K109="Milestone",$K109="Deadline"),$I109&gt;=AR$4,$I109&lt;AR$4+7),IF($K109="Deadline","◇","◆"),"")</f>
        <v/>
      </c>
      <c r="AS109" s="14" t="str">
        <f>IF(AND(ISNUMBER($I109),OR($K109="Milestone",$K109="Deadline"),$I109&gt;=AS$4,$I109&lt;AS$4+7),IF($K109="Deadline","◇","◆"),"")</f>
        <v/>
      </c>
      <c r="AT109" s="14" t="str">
        <f>IF(AND(ISNUMBER($I109),OR($K109="Milestone",$K109="Deadline"),$I109&gt;=AT$4,$I109&lt;AT$4+7),IF($K109="Deadline","◇","◆"),"")</f>
        <v/>
      </c>
      <c r="AU109" s="14" t="str">
        <f>IF(AND(ISNUMBER($I109),OR($K109="Milestone",$K109="Deadline"),$I109&gt;=AU$4,$I109&lt;AU$4+7),IF($K109="Deadline","◇","◆"),"")</f>
        <v/>
      </c>
      <c r="AV109" s="14" t="str">
        <f>IF(AND(ISNUMBER($I109),OR($K109="Milestone",$K109="Deadline"),$I109&gt;=AV$4,$I109&lt;AV$4+7),IF($K109="Deadline","◇","◆"),"")</f>
        <v/>
      </c>
      <c r="AW109" s="14" t="str">
        <f>IF(AND(ISNUMBER($I109),OR($K109="Milestone",$K109="Deadline"),$I109&gt;=AW$4,$I109&lt;AW$4+7),IF($K109="Deadline","◇","◆"),"")</f>
        <v/>
      </c>
      <c r="AX109" s="14" t="str">
        <f>IF(AND(ISNUMBER($I109),OR($K109="Milestone",$K109="Deadline"),$I109&gt;=AX$4,$I109&lt;AX$4+7),IF($K109="Deadline","◇","◆"),"")</f>
        <v/>
      </c>
      <c r="AY109" s="14" t="str">
        <f>IF(AND(ISNUMBER($I109),OR($K109="Milestone",$K109="Deadline"),$I109&gt;=AY$4,$I109&lt;AY$4+7),IF($K109="Deadline","◇","◆"),"")</f>
        <v/>
      </c>
      <c r="AZ109" s="14" t="str">
        <f>IF(AND(ISNUMBER($I109),OR($K109="Milestone",$K109="Deadline"),$I109&gt;=AZ$4,$I109&lt;AZ$4+7),IF($K109="Deadline","◇","◆"),"")</f>
        <v/>
      </c>
      <c r="BA109" s="14" t="str">
        <f>IF(AND(ISNUMBER($I109),OR($K109="Milestone",$K109="Deadline"),$I109&gt;=BA$4,$I109&lt;BA$4+7),IF($K109="Deadline","◇","◆"),"")</f>
        <v/>
      </c>
      <c r="BB109" s="14" t="str">
        <f>IF(AND(ISNUMBER($I109),OR($K109="Milestone",$K109="Deadline"),$I109&gt;=BB$4,$I109&lt;BB$4+7),IF($K109="Deadline","◇","◆"),"")</f>
        <v/>
      </c>
      <c r="BC109" s="14" t="str">
        <f>IF(AND(ISNUMBER($I109),OR($K109="Milestone",$K109="Deadline"),$I109&gt;=BC$4,$I109&lt;BC$4+7),IF($K109="Deadline","◇","◆"),"")</f>
        <v/>
      </c>
      <c r="BD109" s="14" t="str">
        <f>IF(AND(ISNUMBER($I109),OR($K109="Milestone",$K109="Deadline"),$I109&gt;=BD$4,$I109&lt;BD$4+7),IF($K109="Deadline","◇","◆"),"")</f>
        <v/>
      </c>
      <c r="BE109" s="14" t="str">
        <f>IF(AND(ISNUMBER($I109),OR($K109="Milestone",$K109="Deadline"),$I109&gt;=BE$4,$I109&lt;BE$4+7),IF($K109="Deadline","◇","◆"),"")</f>
        <v/>
      </c>
      <c r="BF109" s="14" t="str">
        <f>IF(AND(ISNUMBER($I109),OR($K109="Milestone",$K109="Deadline"),$I109&gt;=BF$4,$I109&lt;BF$4+7),IF($K109="Deadline","◇","◆"),"")</f>
        <v/>
      </c>
      <c r="BG109" s="14" t="str">
        <f>IF(AND(ISNUMBER($I109),OR($K109="Milestone",$K109="Deadline"),$I109&gt;=BG$4,$I109&lt;BG$4+7),IF($K109="Deadline","◇","◆"),"")</f>
        <v/>
      </c>
      <c r="BH109" s="14" t="str">
        <f>IF(AND(ISNUMBER($I109),OR($K109="Milestone",$K109="Deadline"),$I109&gt;=BH$4,$I109&lt;BH$4+7),IF($K109="Deadline","◇","◆"),"")</f>
        <v/>
      </c>
      <c r="BI109" s="14" t="str">
        <f>IF(AND(ISNUMBER($I109),OR($K109="Milestone",$K109="Deadline"),$I109&gt;=BI$4,$I109&lt;BI$4+7),IF($K109="Deadline","◇","◆"),"")</f>
        <v/>
      </c>
      <c r="BJ109" s="14" t="str">
        <f>IF(AND(ISNUMBER($I109),OR($K109="Milestone",$K109="Deadline"),$I109&gt;=BJ$4,$I109&lt;BJ$4+7),IF($K109="Deadline","◇","◆"),"")</f>
        <v/>
      </c>
      <c r="BK109" s="14" t="str">
        <f>IF(AND(ISNUMBER($I109),OR($K109="Milestone",$K109="Deadline"),$I109&gt;=BK$4,$I109&lt;BK$4+7),IF($K109="Deadline","◇","◆"),"")</f>
        <v/>
      </c>
      <c r="BL109" s="14" t="str">
        <f>IF(AND(ISNUMBER($I109),OR($K109="Milestone",$K109="Deadline"),$I109&gt;=BL$4,$I109&lt;BL$4+7),IF($K109="Deadline","◇","◆"),"")</f>
        <v/>
      </c>
      <c r="BM109" s="14" t="str">
        <f>IF(AND(ISNUMBER($I109),OR($K109="Milestone",$K109="Deadline"),$I109&gt;=BM$4,$I109&lt;BM$4+7),IF($K109="Deadline","◇","◆"),"")</f>
        <v/>
      </c>
      <c r="BN109" s="14" t="str">
        <f>IF(AND(ISNUMBER($I109),OR($K109="Milestone",$K109="Deadline"),$I109&gt;=BN$4,$I109&lt;BN$4+7),IF($K109="Deadline","◇","◆"),"")</f>
        <v/>
      </c>
      <c r="BO109" s="14" t="str">
        <f>IF(AND(ISNUMBER($I109),OR($K109="Milestone",$K109="Deadline"),$I109&gt;=BO$4,$I109&lt;BO$4+7),IF($K109="Deadline","◇","◆"),"")</f>
        <v/>
      </c>
      <c r="BP109" s="14" t="str">
        <f>IF(AND(ISNUMBER($I109),OR($K109="Milestone",$K109="Deadline"),$I109&gt;=BP$4,$I109&lt;BP$4+7),IF($K109="Deadline","◇","◆"),"")</f>
        <v/>
      </c>
      <c r="BQ109" s="14" t="str">
        <f>IF(AND(ISNUMBER($I109),OR($K109="Milestone",$K109="Deadline"),$I109&gt;=BQ$4,$I109&lt;BQ$4+7),IF($K109="Deadline","◇","◆"),"")</f>
        <v/>
      </c>
      <c r="BR109" s="14" t="str">
        <f>IF(AND(ISNUMBER($I109),OR($K109="Milestone",$K109="Deadline"),$I109&gt;=BR$4,$I109&lt;BR$4+7),IF($K109="Deadline","◇","◆"),"")</f>
        <v/>
      </c>
      <c r="BS109" s="14" t="str">
        <f>IF(AND(ISNUMBER($I109),OR($K109="Milestone",$K109="Deadline"),$I109&gt;=BS$4,$I109&lt;BS$4+7),IF($K109="Deadline","◇","◆"),"")</f>
        <v/>
      </c>
      <c r="BT109" s="14" t="str">
        <f>IF(AND(ISNUMBER($I109),OR($K109="Milestone",$K109="Deadline"),$I109&gt;=BT$4,$I109&lt;BT$4+7),IF($K109="Deadline","◇","◆"),"")</f>
        <v/>
      </c>
      <c r="BU109" s="14" t="str">
        <f>IF(AND(ISNUMBER($I109),OR($K109="Milestone",$K109="Deadline"),$I109&gt;=BU$4,$I109&lt;BU$4+7),IF($K109="Deadline","◇","◆"),"")</f>
        <v/>
      </c>
      <c r="BV109" s="14" t="str">
        <f>IF(AND(ISNUMBER($I109),OR($K109="Milestone",$K109="Deadline"),$I109&gt;=BV$4,$I109&lt;BV$4+7),IF($K109="Deadline","◇","◆"),"")</f>
        <v/>
      </c>
      <c r="BW109" s="14" t="str">
        <f>IF(AND(ISNUMBER($I109),OR($K109="Milestone",$K109="Deadline"),$I109&gt;=BW$4,$I109&lt;BW$4+7),IF($K109="Deadline","◇","◆"),"")</f>
        <v/>
      </c>
      <c r="BX109" s="14" t="str">
        <f>IF(AND(ISNUMBER($I109),OR($K109="Milestone",$K109="Deadline"),$I109&gt;=BX$4,$I109&lt;BX$4+7),IF($K109="Deadline","◇","◆"),"")</f>
        <v/>
      </c>
      <c r="BY109" s="14" t="str">
        <f>IF(AND(ISNUMBER($I109),OR($K109="Milestone",$K109="Deadline"),$I109&gt;=BY$4,$I109&lt;BY$4+7),IF($K109="Deadline","◇","◆"),"")</f>
        <v/>
      </c>
      <c r="BZ109" s="14" t="str">
        <f>IF(AND(ISNUMBER($I109),OR($K109="Milestone",$K109="Deadline"),$I109&gt;=BZ$4,$I109&lt;BZ$4+7),IF($K109="Deadline","◇","◆"),"")</f>
        <v/>
      </c>
      <c r="CA109" s="14" t="str">
        <f>IF(AND(ISNUMBER($I109),OR($K109="Milestone",$K109="Deadline"),$I109&gt;=CA$4,$I109&lt;CA$4+7),IF($K109="Deadline","◇","◆"),"")</f>
        <v/>
      </c>
      <c r="CB109" s="14" t="str">
        <f>IF(AND(ISNUMBER($I109),OR($K109="Milestone",$K109="Deadline"),$I109&gt;=CB$4,$I109&lt;CB$4+7),IF($K109="Deadline","◇","◆"),"")</f>
        <v/>
      </c>
      <c r="CC109" s="14" t="str">
        <f>IF(AND(ISNUMBER($I109),OR($K109="Milestone",$K109="Deadline"),$I109&gt;=CC$4,$I109&lt;CC$4+7),IF($K109="Deadline","◇","◆"),"")</f>
        <v/>
      </c>
      <c r="CD109" s="14" t="str">
        <f>IF(AND(ISNUMBER($I109),OR($K109="Milestone",$K109="Deadline"),$I109&gt;=CD$4,$I109&lt;CD$4+7),IF($K109="Deadline","◇","◆"),"")</f>
        <v/>
      </c>
      <c r="CE109" s="14" t="str">
        <f>IF(AND(ISNUMBER($I109),OR($K109="Milestone",$K109="Deadline"),$I109&gt;=CE$4,$I109&lt;CE$4+7),IF($K109="Deadline","◇","◆"),"")</f>
        <v/>
      </c>
      <c r="CF109" s="14" t="str">
        <f>IF(AND(ISNUMBER($I109),OR($K109="Milestone",$K109="Deadline"),$I109&gt;=CF$4,$I109&lt;CF$4+7),IF($K109="Deadline","◇","◆"),"")</f>
        <v/>
      </c>
      <c r="CG109" s="14" t="str">
        <f>IF(AND(ISNUMBER($I109),OR($K109="Milestone",$K109="Deadline"),$I109&gt;=CG$4,$I109&lt;CG$4+7),IF($K109="Deadline","◇","◆"),"")</f>
        <v/>
      </c>
      <c r="CH109" s="14" t="str">
        <f>IF(AND(ISNUMBER($I109),OR($K109="Milestone",$K109="Deadline"),$I109&gt;=CH$4,$I109&lt;CH$4+7),IF($K109="Deadline","◇","◆"),"")</f>
        <v/>
      </c>
      <c r="CI109" s="14" t="str">
        <f>IF(AND(ISNUMBER($I109),OR($K109="Milestone",$K109="Deadline"),$I109&gt;=CI$4,$I109&lt;CI$4+7),IF($K109="Deadline","◇","◆"),"")</f>
        <v/>
      </c>
      <c r="CJ109" s="14" t="str">
        <f>IF(AND(ISNUMBER($I109),OR($K109="Milestone",$K109="Deadline"),$I109&gt;=CJ$4,$I109&lt;CJ$4+7),IF($K109="Deadline","◇","◆"),"")</f>
        <v/>
      </c>
      <c r="CK109" s="14" t="str">
        <f>IF(AND(ISNUMBER($I109),OR($K109="Milestone",$K109="Deadline"),$I109&gt;=CK$4,$I109&lt;CK$4+7),IF($K109="Deadline","◇","◆"),"")</f>
        <v/>
      </c>
      <c r="CL109" s="14" t="str">
        <f>IF(AND(ISNUMBER($I109),OR($K109="Milestone",$K109="Deadline"),$I109&gt;=CL$4,$I109&lt;CL$4+7),IF($K109="Deadline","◇","◆"),"")</f>
        <v/>
      </c>
      <c r="CM109" s="14" t="str">
        <f>IF(AND(ISNUMBER($I109),OR($K109="Milestone",$K109="Deadline"),$I109&gt;=CM$4,$I109&lt;CM$4+7),IF($K109="Deadline","◇","◆"),"")</f>
        <v/>
      </c>
    </row>
    <row r="110" spans="1:91" ht="15" hidden="1" customHeight="1">
      <c r="A110" s="29" t="s">
        <v>307</v>
      </c>
      <c r="B110" s="29" t="s">
        <v>300</v>
      </c>
      <c r="C110" s="29" t="s">
        <v>93</v>
      </c>
      <c r="D110" s="29" t="s">
        <v>301</v>
      </c>
      <c r="E110" s="29" t="s">
        <v>281</v>
      </c>
      <c r="F110" s="29" t="s">
        <v>302</v>
      </c>
      <c r="G110" s="29" t="s">
        <v>184</v>
      </c>
      <c r="H110" s="29">
        <v>7</v>
      </c>
      <c r="I110" s="30">
        <f>MAX($C$2,J109+1,J218+1)</f>
        <v>46363</v>
      </c>
      <c r="J110" s="31">
        <f>IF(AND(ISNUMBER(I110),ISNUMBER(H110)),I110+H110-1,"")</f>
        <v>46369</v>
      </c>
      <c r="K110" s="29" t="s">
        <v>27</v>
      </c>
      <c r="L110" s="29" t="s">
        <v>305</v>
      </c>
      <c r="M110" s="32" t="s">
        <v>308</v>
      </c>
      <c r="N110" s="29"/>
      <c r="O110" s="32">
        <f>IF(AND(ISNUMBER(I110),ISNUMBER(J110)),J110-I110+1,"")</f>
        <v>7</v>
      </c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 t="s">
        <v>140</v>
      </c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4" t="str">
        <f>IF(AND(ISNUMBER($I110),OR($K110="Milestone",$K110="Deadline"),$I110&gt;=AO$4,$I110&lt;AO$4+7),IF($K110="Deadline","◇","◆"),"")</f>
        <v/>
      </c>
      <c r="AP110" s="14" t="str">
        <f>IF(AND(ISNUMBER($I110),OR($K110="Milestone",$K110="Deadline"),$I110&gt;=AP$4,$I110&lt;AP$4+7),IF($K110="Deadline","◇","◆"),"")</f>
        <v/>
      </c>
      <c r="AQ110" s="14" t="str">
        <f>IF(AND(ISNUMBER($I110),OR($K110="Milestone",$K110="Deadline"),$I110&gt;=AQ$4,$I110&lt;AQ$4+7),IF($K110="Deadline","◇","◆"),"")</f>
        <v/>
      </c>
      <c r="AR110" s="14" t="str">
        <f>IF(AND(ISNUMBER($I110),OR($K110="Milestone",$K110="Deadline"),$I110&gt;=AR$4,$I110&lt;AR$4+7),IF($K110="Deadline","◇","◆"),"")</f>
        <v/>
      </c>
      <c r="AS110" s="14" t="str">
        <f>IF(AND(ISNUMBER($I110),OR($K110="Milestone",$K110="Deadline"),$I110&gt;=AS$4,$I110&lt;AS$4+7),IF($K110="Deadline","◇","◆"),"")</f>
        <v/>
      </c>
      <c r="AT110" s="14" t="str">
        <f>IF(AND(ISNUMBER($I110),OR($K110="Milestone",$K110="Deadline"),$I110&gt;=AT$4,$I110&lt;AT$4+7),IF($K110="Deadline","◇","◆"),"")</f>
        <v/>
      </c>
      <c r="AU110" s="14" t="str">
        <f>IF(AND(ISNUMBER($I110),OR($K110="Milestone",$K110="Deadline"),$I110&gt;=AU$4,$I110&lt;AU$4+7),IF($K110="Deadline","◇","◆"),"")</f>
        <v/>
      </c>
      <c r="AV110" s="14" t="str">
        <f>IF(AND(ISNUMBER($I110),OR($K110="Milestone",$K110="Deadline"),$I110&gt;=AV$4,$I110&lt;AV$4+7),IF($K110="Deadline","◇","◆"),"")</f>
        <v/>
      </c>
      <c r="AW110" s="14" t="str">
        <f>IF(AND(ISNUMBER($I110),OR($K110="Milestone",$K110="Deadline"),$I110&gt;=AW$4,$I110&lt;AW$4+7),IF($K110="Deadline","◇","◆"),"")</f>
        <v/>
      </c>
      <c r="AX110" s="14" t="str">
        <f>IF(AND(ISNUMBER($I110),OR($K110="Milestone",$K110="Deadline"),$I110&gt;=AX$4,$I110&lt;AX$4+7),IF($K110="Deadline","◇","◆"),"")</f>
        <v/>
      </c>
      <c r="AY110" s="14" t="str">
        <f>IF(AND(ISNUMBER($I110),OR($K110="Milestone",$K110="Deadline"),$I110&gt;=AY$4,$I110&lt;AY$4+7),IF($K110="Deadline","◇","◆"),"")</f>
        <v/>
      </c>
      <c r="AZ110" s="14" t="str">
        <f>IF(AND(ISNUMBER($I110),OR($K110="Milestone",$K110="Deadline"),$I110&gt;=AZ$4,$I110&lt;AZ$4+7),IF($K110="Deadline","◇","◆"),"")</f>
        <v/>
      </c>
      <c r="BA110" s="14" t="str">
        <f>IF(AND(ISNUMBER($I110),OR($K110="Milestone",$K110="Deadline"),$I110&gt;=BA$4,$I110&lt;BA$4+7),IF($K110="Deadline","◇","◆"),"")</f>
        <v/>
      </c>
      <c r="BB110" s="14" t="str">
        <f>IF(AND(ISNUMBER($I110),OR($K110="Milestone",$K110="Deadline"),$I110&gt;=BB$4,$I110&lt;BB$4+7),IF($K110="Deadline","◇","◆"),"")</f>
        <v/>
      </c>
      <c r="BC110" s="14" t="str">
        <f>IF(AND(ISNUMBER($I110),OR($K110="Milestone",$K110="Deadline"),$I110&gt;=BC$4,$I110&lt;BC$4+7),IF($K110="Deadline","◇","◆"),"")</f>
        <v/>
      </c>
      <c r="BD110" s="14" t="str">
        <f>IF(AND(ISNUMBER($I110),OR($K110="Milestone",$K110="Deadline"),$I110&gt;=BD$4,$I110&lt;BD$4+7),IF($K110="Deadline","◇","◆"),"")</f>
        <v/>
      </c>
      <c r="BE110" s="14" t="str">
        <f>IF(AND(ISNUMBER($I110),OR($K110="Milestone",$K110="Deadline"),$I110&gt;=BE$4,$I110&lt;BE$4+7),IF($K110="Deadline","◇","◆"),"")</f>
        <v/>
      </c>
      <c r="BF110" s="14" t="str">
        <f>IF(AND(ISNUMBER($I110),OR($K110="Milestone",$K110="Deadline"),$I110&gt;=BF$4,$I110&lt;BF$4+7),IF($K110="Deadline","◇","◆"),"")</f>
        <v/>
      </c>
      <c r="BG110" s="14" t="str">
        <f>IF(AND(ISNUMBER($I110),OR($K110="Milestone",$K110="Deadline"),$I110&gt;=BG$4,$I110&lt;BG$4+7),IF($K110="Deadline","◇","◆"),"")</f>
        <v/>
      </c>
      <c r="BH110" s="14" t="str">
        <f>IF(AND(ISNUMBER($I110),OR($K110="Milestone",$K110="Deadline"),$I110&gt;=BH$4,$I110&lt;BH$4+7),IF($K110="Deadline","◇","◆"),"")</f>
        <v/>
      </c>
      <c r="BI110" s="14" t="str">
        <f>IF(AND(ISNUMBER($I110),OR($K110="Milestone",$K110="Deadline"),$I110&gt;=BI$4,$I110&lt;BI$4+7),IF($K110="Deadline","◇","◆"),"")</f>
        <v/>
      </c>
      <c r="BJ110" s="14" t="str">
        <f>IF(AND(ISNUMBER($I110),OR($K110="Milestone",$K110="Deadline"),$I110&gt;=BJ$4,$I110&lt;BJ$4+7),IF($K110="Deadline","◇","◆"),"")</f>
        <v/>
      </c>
      <c r="BK110" s="14" t="str">
        <f>IF(AND(ISNUMBER($I110),OR($K110="Milestone",$K110="Deadline"),$I110&gt;=BK$4,$I110&lt;BK$4+7),IF($K110="Deadline","◇","◆"),"")</f>
        <v/>
      </c>
      <c r="BL110" s="14" t="str">
        <f>IF(AND(ISNUMBER($I110),OR($K110="Milestone",$K110="Deadline"),$I110&gt;=BL$4,$I110&lt;BL$4+7),IF($K110="Deadline","◇","◆"),"")</f>
        <v/>
      </c>
      <c r="BM110" s="14" t="str">
        <f>IF(AND(ISNUMBER($I110),OR($K110="Milestone",$K110="Deadline"),$I110&gt;=BM$4,$I110&lt;BM$4+7),IF($K110="Deadline","◇","◆"),"")</f>
        <v/>
      </c>
      <c r="BN110" s="14" t="str">
        <f>IF(AND(ISNUMBER($I110),OR($K110="Milestone",$K110="Deadline"),$I110&gt;=BN$4,$I110&lt;BN$4+7),IF($K110="Deadline","◇","◆"),"")</f>
        <v/>
      </c>
      <c r="BO110" s="14" t="str">
        <f>IF(AND(ISNUMBER($I110),OR($K110="Milestone",$K110="Deadline"),$I110&gt;=BO$4,$I110&lt;BO$4+7),IF($K110="Deadline","◇","◆"),"")</f>
        <v/>
      </c>
      <c r="BP110" s="14" t="str">
        <f>IF(AND(ISNUMBER($I110),OR($K110="Milestone",$K110="Deadline"),$I110&gt;=BP$4,$I110&lt;BP$4+7),IF($K110="Deadline","◇","◆"),"")</f>
        <v/>
      </c>
      <c r="BQ110" s="14" t="str">
        <f>IF(AND(ISNUMBER($I110),OR($K110="Milestone",$K110="Deadline"),$I110&gt;=BQ$4,$I110&lt;BQ$4+7),IF($K110="Deadline","◇","◆"),"")</f>
        <v/>
      </c>
      <c r="BR110" s="14" t="str">
        <f>IF(AND(ISNUMBER($I110),OR($K110="Milestone",$K110="Deadline"),$I110&gt;=BR$4,$I110&lt;BR$4+7),IF($K110="Deadline","◇","◆"),"")</f>
        <v/>
      </c>
      <c r="BS110" s="14" t="str">
        <f>IF(AND(ISNUMBER($I110),OR($K110="Milestone",$K110="Deadline"),$I110&gt;=BS$4,$I110&lt;BS$4+7),IF($K110="Deadline","◇","◆"),"")</f>
        <v/>
      </c>
      <c r="BT110" s="14" t="str">
        <f>IF(AND(ISNUMBER($I110),OR($K110="Milestone",$K110="Deadline"),$I110&gt;=BT$4,$I110&lt;BT$4+7),IF($K110="Deadline","◇","◆"),"")</f>
        <v/>
      </c>
      <c r="BU110" s="14" t="str">
        <f>IF(AND(ISNUMBER($I110),OR($K110="Milestone",$K110="Deadline"),$I110&gt;=BU$4,$I110&lt;BU$4+7),IF($K110="Deadline","◇","◆"),"")</f>
        <v/>
      </c>
      <c r="BV110" s="14" t="str">
        <f>IF(AND(ISNUMBER($I110),OR($K110="Milestone",$K110="Deadline"),$I110&gt;=BV$4,$I110&lt;BV$4+7),IF($K110="Deadline","◇","◆"),"")</f>
        <v/>
      </c>
      <c r="BW110" s="14" t="str">
        <f>IF(AND(ISNUMBER($I110),OR($K110="Milestone",$K110="Deadline"),$I110&gt;=BW$4,$I110&lt;BW$4+7),IF($K110="Deadline","◇","◆"),"")</f>
        <v/>
      </c>
      <c r="BX110" s="14" t="str">
        <f>IF(AND(ISNUMBER($I110),OR($K110="Milestone",$K110="Deadline"),$I110&gt;=BX$4,$I110&lt;BX$4+7),IF($K110="Deadline","◇","◆"),"")</f>
        <v/>
      </c>
      <c r="BY110" s="14" t="str">
        <f>IF(AND(ISNUMBER($I110),OR($K110="Milestone",$K110="Deadline"),$I110&gt;=BY$4,$I110&lt;BY$4+7),IF($K110="Deadline","◇","◆"),"")</f>
        <v/>
      </c>
      <c r="BZ110" s="14" t="str">
        <f>IF(AND(ISNUMBER($I110),OR($K110="Milestone",$K110="Deadline"),$I110&gt;=BZ$4,$I110&lt;BZ$4+7),IF($K110="Deadline","◇","◆"),"")</f>
        <v/>
      </c>
      <c r="CA110" s="14" t="str">
        <f>IF(AND(ISNUMBER($I110),OR($K110="Milestone",$K110="Deadline"),$I110&gt;=CA$4,$I110&lt;CA$4+7),IF($K110="Deadline","◇","◆"),"")</f>
        <v/>
      </c>
      <c r="CB110" s="14" t="str">
        <f>IF(AND(ISNUMBER($I110),OR($K110="Milestone",$K110="Deadline"),$I110&gt;=CB$4,$I110&lt;CB$4+7),IF($K110="Deadline","◇","◆"),"")</f>
        <v/>
      </c>
      <c r="CC110" s="14" t="str">
        <f>IF(AND(ISNUMBER($I110),OR($K110="Milestone",$K110="Deadline"),$I110&gt;=CC$4,$I110&lt;CC$4+7),IF($K110="Deadline","◇","◆"),"")</f>
        <v/>
      </c>
      <c r="CD110" s="14" t="str">
        <f>IF(AND(ISNUMBER($I110),OR($K110="Milestone",$K110="Deadline"),$I110&gt;=CD$4,$I110&lt;CD$4+7),IF($K110="Deadline","◇","◆"),"")</f>
        <v/>
      </c>
      <c r="CE110" s="14" t="str">
        <f>IF(AND(ISNUMBER($I110),OR($K110="Milestone",$K110="Deadline"),$I110&gt;=CE$4,$I110&lt;CE$4+7),IF($K110="Deadline","◇","◆"),"")</f>
        <v/>
      </c>
      <c r="CF110" s="14" t="str">
        <f>IF(AND(ISNUMBER($I110),OR($K110="Milestone",$K110="Deadline"),$I110&gt;=CF$4,$I110&lt;CF$4+7),IF($K110="Deadline","◇","◆"),"")</f>
        <v/>
      </c>
      <c r="CG110" s="14" t="str">
        <f>IF(AND(ISNUMBER($I110),OR($K110="Milestone",$K110="Deadline"),$I110&gt;=CG$4,$I110&lt;CG$4+7),IF($K110="Deadline","◇","◆"),"")</f>
        <v/>
      </c>
      <c r="CH110" s="14" t="str">
        <f>IF(AND(ISNUMBER($I110),OR($K110="Milestone",$K110="Deadline"),$I110&gt;=CH$4,$I110&lt;CH$4+7),IF($K110="Deadline","◇","◆"),"")</f>
        <v/>
      </c>
      <c r="CI110" s="14" t="str">
        <f>IF(AND(ISNUMBER($I110),OR($K110="Milestone",$K110="Deadline"),$I110&gt;=CI$4,$I110&lt;CI$4+7),IF($K110="Deadline","◇","◆"),"")</f>
        <v/>
      </c>
      <c r="CJ110" s="14" t="str">
        <f>IF(AND(ISNUMBER($I110),OR($K110="Milestone",$K110="Deadline"),$I110&gt;=CJ$4,$I110&lt;CJ$4+7),IF($K110="Deadline","◇","◆"),"")</f>
        <v/>
      </c>
      <c r="CK110" s="14" t="str">
        <f>IF(AND(ISNUMBER($I110),OR($K110="Milestone",$K110="Deadline"),$I110&gt;=CK$4,$I110&lt;CK$4+7),IF($K110="Deadline","◇","◆"),"")</f>
        <v/>
      </c>
      <c r="CL110" s="14" t="str">
        <f>IF(AND(ISNUMBER($I110),OR($K110="Milestone",$K110="Deadline"),$I110&gt;=CL$4,$I110&lt;CL$4+7),IF($K110="Deadline","◇","◆"),"")</f>
        <v/>
      </c>
      <c r="CM110" s="14" t="str">
        <f>IF(AND(ISNUMBER($I110),OR($K110="Milestone",$K110="Deadline"),$I110&gt;=CM$4,$I110&lt;CM$4+7),IF($K110="Deadline","◇","◆"),"")</f>
        <v/>
      </c>
    </row>
    <row r="111" spans="1:91" ht="15" hidden="1" customHeight="1">
      <c r="A111" s="29" t="s">
        <v>309</v>
      </c>
      <c r="B111" s="29" t="s">
        <v>300</v>
      </c>
      <c r="C111" s="29" t="s">
        <v>93</v>
      </c>
      <c r="D111" s="29" t="s">
        <v>301</v>
      </c>
      <c r="E111" s="29" t="s">
        <v>281</v>
      </c>
      <c r="F111" s="29" t="s">
        <v>302</v>
      </c>
      <c r="G111" s="29" t="s">
        <v>275</v>
      </c>
      <c r="H111" s="29">
        <v>13</v>
      </c>
      <c r="I111" s="30">
        <f>MAX($C$2,J110+1,J245+1)</f>
        <v>46407</v>
      </c>
      <c r="J111" s="31">
        <f>IF(AND(ISNUMBER(I111),ISNUMBER(H111)),I111+H111-1,"")</f>
        <v>46419</v>
      </c>
      <c r="K111" s="29" t="s">
        <v>27</v>
      </c>
      <c r="L111" s="29" t="s">
        <v>307</v>
      </c>
      <c r="M111" s="32" t="s">
        <v>310</v>
      </c>
      <c r="N111" s="29"/>
      <c r="O111" s="32">
        <f>IF(AND(ISNUMBER(I111),ISNUMBER(J111)),J111-I111+1,"")</f>
        <v>13</v>
      </c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 t="s">
        <v>140</v>
      </c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4" t="str">
        <f>IF(AND(ISNUMBER($I111),OR($K111="Milestone",$K111="Deadline"),$I111&gt;=AO$4,$I111&lt;AO$4+7),IF($K111="Deadline","◇","◆"),"")</f>
        <v/>
      </c>
      <c r="AP111" s="14" t="str">
        <f>IF(AND(ISNUMBER($I111),OR($K111="Milestone",$K111="Deadline"),$I111&gt;=AP$4,$I111&lt;AP$4+7),IF($K111="Deadline","◇","◆"),"")</f>
        <v/>
      </c>
      <c r="AQ111" s="14" t="str">
        <f>IF(AND(ISNUMBER($I111),OR($K111="Milestone",$K111="Deadline"),$I111&gt;=AQ$4,$I111&lt;AQ$4+7),IF($K111="Deadline","◇","◆"),"")</f>
        <v/>
      </c>
      <c r="AR111" s="14" t="str">
        <f>IF(AND(ISNUMBER($I111),OR($K111="Milestone",$K111="Deadline"),$I111&gt;=AR$4,$I111&lt;AR$4+7),IF($K111="Deadline","◇","◆"),"")</f>
        <v/>
      </c>
      <c r="AS111" s="14" t="str">
        <f>IF(AND(ISNUMBER($I111),OR($K111="Milestone",$K111="Deadline"),$I111&gt;=AS$4,$I111&lt;AS$4+7),IF($K111="Deadline","◇","◆"),"")</f>
        <v/>
      </c>
      <c r="AT111" s="14" t="str">
        <f>IF(AND(ISNUMBER($I111),OR($K111="Milestone",$K111="Deadline"),$I111&gt;=AT$4,$I111&lt;AT$4+7),IF($K111="Deadline","◇","◆"),"")</f>
        <v/>
      </c>
      <c r="AU111" s="14" t="str">
        <f>IF(AND(ISNUMBER($I111),OR($K111="Milestone",$K111="Deadline"),$I111&gt;=AU$4,$I111&lt;AU$4+7),IF($K111="Deadline","◇","◆"),"")</f>
        <v/>
      </c>
      <c r="AV111" s="14" t="str">
        <f>IF(AND(ISNUMBER($I111),OR($K111="Milestone",$K111="Deadline"),$I111&gt;=AV$4,$I111&lt;AV$4+7),IF($K111="Deadline","◇","◆"),"")</f>
        <v/>
      </c>
      <c r="AW111" s="14" t="str">
        <f>IF(AND(ISNUMBER($I111),OR($K111="Milestone",$K111="Deadline"),$I111&gt;=AW$4,$I111&lt;AW$4+7),IF($K111="Deadline","◇","◆"),"")</f>
        <v/>
      </c>
      <c r="AX111" s="14" t="str">
        <f>IF(AND(ISNUMBER($I111),OR($K111="Milestone",$K111="Deadline"),$I111&gt;=AX$4,$I111&lt;AX$4+7),IF($K111="Deadline","◇","◆"),"")</f>
        <v/>
      </c>
      <c r="AY111" s="14" t="str">
        <f>IF(AND(ISNUMBER($I111),OR($K111="Milestone",$K111="Deadline"),$I111&gt;=AY$4,$I111&lt;AY$4+7),IF($K111="Deadline","◇","◆"),"")</f>
        <v/>
      </c>
      <c r="AZ111" s="14" t="str">
        <f>IF(AND(ISNUMBER($I111),OR($K111="Milestone",$K111="Deadline"),$I111&gt;=AZ$4,$I111&lt;AZ$4+7),IF($K111="Deadline","◇","◆"),"")</f>
        <v/>
      </c>
      <c r="BA111" s="14" t="str">
        <f>IF(AND(ISNUMBER($I111),OR($K111="Milestone",$K111="Deadline"),$I111&gt;=BA$4,$I111&lt;BA$4+7),IF($K111="Deadline","◇","◆"),"")</f>
        <v/>
      </c>
      <c r="BB111" s="14" t="str">
        <f>IF(AND(ISNUMBER($I111),OR($K111="Milestone",$K111="Deadline"),$I111&gt;=BB$4,$I111&lt;BB$4+7),IF($K111="Deadline","◇","◆"),"")</f>
        <v/>
      </c>
      <c r="BC111" s="14" t="str">
        <f>IF(AND(ISNUMBER($I111),OR($K111="Milestone",$K111="Deadline"),$I111&gt;=BC$4,$I111&lt;BC$4+7),IF($K111="Deadline","◇","◆"),"")</f>
        <v/>
      </c>
      <c r="BD111" s="14" t="str">
        <f>IF(AND(ISNUMBER($I111),OR($K111="Milestone",$K111="Deadline"),$I111&gt;=BD$4,$I111&lt;BD$4+7),IF($K111="Deadline","◇","◆"),"")</f>
        <v/>
      </c>
      <c r="BE111" s="14" t="str">
        <f>IF(AND(ISNUMBER($I111),OR($K111="Milestone",$K111="Deadline"),$I111&gt;=BE$4,$I111&lt;BE$4+7),IF($K111="Deadline","◇","◆"),"")</f>
        <v/>
      </c>
      <c r="BF111" s="14" t="str">
        <f>IF(AND(ISNUMBER($I111),OR($K111="Milestone",$K111="Deadline"),$I111&gt;=BF$4,$I111&lt;BF$4+7),IF($K111="Deadline","◇","◆"),"")</f>
        <v/>
      </c>
      <c r="BG111" s="14" t="str">
        <f>IF(AND(ISNUMBER($I111),OR($K111="Milestone",$K111="Deadline"),$I111&gt;=BG$4,$I111&lt;BG$4+7),IF($K111="Deadline","◇","◆"),"")</f>
        <v/>
      </c>
      <c r="BH111" s="14" t="str">
        <f>IF(AND(ISNUMBER($I111),OR($K111="Milestone",$K111="Deadline"),$I111&gt;=BH$4,$I111&lt;BH$4+7),IF($K111="Deadline","◇","◆"),"")</f>
        <v/>
      </c>
      <c r="BI111" s="14" t="str">
        <f>IF(AND(ISNUMBER($I111),OR($K111="Milestone",$K111="Deadline"),$I111&gt;=BI$4,$I111&lt;BI$4+7),IF($K111="Deadline","◇","◆"),"")</f>
        <v/>
      </c>
      <c r="BJ111" s="14" t="str">
        <f>IF(AND(ISNUMBER($I111),OR($K111="Milestone",$K111="Deadline"),$I111&gt;=BJ$4,$I111&lt;BJ$4+7),IF($K111="Deadline","◇","◆"),"")</f>
        <v/>
      </c>
      <c r="BK111" s="14" t="str">
        <f>IF(AND(ISNUMBER($I111),OR($K111="Milestone",$K111="Deadline"),$I111&gt;=BK$4,$I111&lt;BK$4+7),IF($K111="Deadline","◇","◆"),"")</f>
        <v/>
      </c>
      <c r="BL111" s="14" t="str">
        <f>IF(AND(ISNUMBER($I111),OR($K111="Milestone",$K111="Deadline"),$I111&gt;=BL$4,$I111&lt;BL$4+7),IF($K111="Deadline","◇","◆"),"")</f>
        <v/>
      </c>
      <c r="BM111" s="14" t="str">
        <f>IF(AND(ISNUMBER($I111),OR($K111="Milestone",$K111="Deadline"),$I111&gt;=BM$4,$I111&lt;BM$4+7),IF($K111="Deadline","◇","◆"),"")</f>
        <v/>
      </c>
      <c r="BN111" s="14" t="str">
        <f>IF(AND(ISNUMBER($I111),OR($K111="Milestone",$K111="Deadline"),$I111&gt;=BN$4,$I111&lt;BN$4+7),IF($K111="Deadline","◇","◆"),"")</f>
        <v/>
      </c>
      <c r="BO111" s="14" t="str">
        <f>IF(AND(ISNUMBER($I111),OR($K111="Milestone",$K111="Deadline"),$I111&gt;=BO$4,$I111&lt;BO$4+7),IF($K111="Deadline","◇","◆"),"")</f>
        <v/>
      </c>
      <c r="BP111" s="14" t="str">
        <f>IF(AND(ISNUMBER($I111),OR($K111="Milestone",$K111="Deadline"),$I111&gt;=BP$4,$I111&lt;BP$4+7),IF($K111="Deadline","◇","◆"),"")</f>
        <v/>
      </c>
      <c r="BQ111" s="14" t="str">
        <f>IF(AND(ISNUMBER($I111),OR($K111="Milestone",$K111="Deadline"),$I111&gt;=BQ$4,$I111&lt;BQ$4+7),IF($K111="Deadline","◇","◆"),"")</f>
        <v/>
      </c>
      <c r="BR111" s="14" t="str">
        <f>IF(AND(ISNUMBER($I111),OR($K111="Milestone",$K111="Deadline"),$I111&gt;=BR$4,$I111&lt;BR$4+7),IF($K111="Deadline","◇","◆"),"")</f>
        <v/>
      </c>
      <c r="BS111" s="14" t="str">
        <f>IF(AND(ISNUMBER($I111),OR($K111="Milestone",$K111="Deadline"),$I111&gt;=BS$4,$I111&lt;BS$4+7),IF($K111="Deadline","◇","◆"),"")</f>
        <v/>
      </c>
      <c r="BT111" s="14" t="str">
        <f>IF(AND(ISNUMBER($I111),OR($K111="Milestone",$K111="Deadline"),$I111&gt;=BT$4,$I111&lt;BT$4+7),IF($K111="Deadline","◇","◆"),"")</f>
        <v/>
      </c>
      <c r="BU111" s="14" t="str">
        <f>IF(AND(ISNUMBER($I111),OR($K111="Milestone",$K111="Deadline"),$I111&gt;=BU$4,$I111&lt;BU$4+7),IF($K111="Deadline","◇","◆"),"")</f>
        <v/>
      </c>
      <c r="BV111" s="14" t="str">
        <f>IF(AND(ISNUMBER($I111),OR($K111="Milestone",$K111="Deadline"),$I111&gt;=BV$4,$I111&lt;BV$4+7),IF($K111="Deadline","◇","◆"),"")</f>
        <v/>
      </c>
      <c r="BW111" s="14" t="str">
        <f>IF(AND(ISNUMBER($I111),OR($K111="Milestone",$K111="Deadline"),$I111&gt;=BW$4,$I111&lt;BW$4+7),IF($K111="Deadline","◇","◆"),"")</f>
        <v/>
      </c>
      <c r="BX111" s="14" t="str">
        <f>IF(AND(ISNUMBER($I111),OR($K111="Milestone",$K111="Deadline"),$I111&gt;=BX$4,$I111&lt;BX$4+7),IF($K111="Deadline","◇","◆"),"")</f>
        <v/>
      </c>
      <c r="BY111" s="14" t="str">
        <f>IF(AND(ISNUMBER($I111),OR($K111="Milestone",$K111="Deadline"),$I111&gt;=BY$4,$I111&lt;BY$4+7),IF($K111="Deadline","◇","◆"),"")</f>
        <v/>
      </c>
      <c r="BZ111" s="14" t="str">
        <f>IF(AND(ISNUMBER($I111),OR($K111="Milestone",$K111="Deadline"),$I111&gt;=BZ$4,$I111&lt;BZ$4+7),IF($K111="Deadline","◇","◆"),"")</f>
        <v/>
      </c>
      <c r="CA111" s="14" t="str">
        <f>IF(AND(ISNUMBER($I111),OR($K111="Milestone",$K111="Deadline"),$I111&gt;=CA$4,$I111&lt;CA$4+7),IF($K111="Deadline","◇","◆"),"")</f>
        <v/>
      </c>
      <c r="CB111" s="14" t="str">
        <f>IF(AND(ISNUMBER($I111),OR($K111="Milestone",$K111="Deadline"),$I111&gt;=CB$4,$I111&lt;CB$4+7),IF($K111="Deadline","◇","◆"),"")</f>
        <v/>
      </c>
      <c r="CC111" s="14" t="str">
        <f>IF(AND(ISNUMBER($I111),OR($K111="Milestone",$K111="Deadline"),$I111&gt;=CC$4,$I111&lt;CC$4+7),IF($K111="Deadline","◇","◆"),"")</f>
        <v/>
      </c>
      <c r="CD111" s="14" t="str">
        <f>IF(AND(ISNUMBER($I111),OR($K111="Milestone",$K111="Deadline"),$I111&gt;=CD$4,$I111&lt;CD$4+7),IF($K111="Deadline","◇","◆"),"")</f>
        <v/>
      </c>
      <c r="CE111" s="14" t="str">
        <f>IF(AND(ISNUMBER($I111),OR($K111="Milestone",$K111="Deadline"),$I111&gt;=CE$4,$I111&lt;CE$4+7),IF($K111="Deadline","◇","◆"),"")</f>
        <v/>
      </c>
      <c r="CF111" s="14" t="str">
        <f>IF(AND(ISNUMBER($I111),OR($K111="Milestone",$K111="Deadline"),$I111&gt;=CF$4,$I111&lt;CF$4+7),IF($K111="Deadline","◇","◆"),"")</f>
        <v/>
      </c>
      <c r="CG111" s="14" t="str">
        <f>IF(AND(ISNUMBER($I111),OR($K111="Milestone",$K111="Deadline"),$I111&gt;=CG$4,$I111&lt;CG$4+7),IF($K111="Deadline","◇","◆"),"")</f>
        <v/>
      </c>
      <c r="CH111" s="14" t="str">
        <f>IF(AND(ISNUMBER($I111),OR($K111="Milestone",$K111="Deadline"),$I111&gt;=CH$4,$I111&lt;CH$4+7),IF($K111="Deadline","◇","◆"),"")</f>
        <v/>
      </c>
      <c r="CI111" s="14" t="str">
        <f>IF(AND(ISNUMBER($I111),OR($K111="Milestone",$K111="Deadline"),$I111&gt;=CI$4,$I111&lt;CI$4+7),IF($K111="Deadline","◇","◆"),"")</f>
        <v/>
      </c>
      <c r="CJ111" s="14" t="str">
        <f>IF(AND(ISNUMBER($I111),OR($K111="Milestone",$K111="Deadline"),$I111&gt;=CJ$4,$I111&lt;CJ$4+7),IF($K111="Deadline","◇","◆"),"")</f>
        <v/>
      </c>
      <c r="CK111" s="14" t="str">
        <f>IF(AND(ISNUMBER($I111),OR($K111="Milestone",$K111="Deadline"),$I111&gt;=CK$4,$I111&lt;CK$4+7),IF($K111="Deadline","◇","◆"),"")</f>
        <v/>
      </c>
      <c r="CL111" s="14" t="str">
        <f>IF(AND(ISNUMBER($I111),OR($K111="Milestone",$K111="Deadline"),$I111&gt;=CL$4,$I111&lt;CL$4+7),IF($K111="Deadline","◇","◆"),"")</f>
        <v/>
      </c>
      <c r="CM111" s="14" t="str">
        <f>IF(AND(ISNUMBER($I111),OR($K111="Milestone",$K111="Deadline"),$I111&gt;=CM$4,$I111&lt;CM$4+7),IF($K111="Deadline","◇","◆"),"")</f>
        <v/>
      </c>
    </row>
    <row r="112" spans="1:91" ht="15" hidden="1" customHeight="1">
      <c r="A112" s="29" t="s">
        <v>311</v>
      </c>
      <c r="B112" s="29" t="s">
        <v>300</v>
      </c>
      <c r="C112" s="29" t="s">
        <v>191</v>
      </c>
      <c r="D112" s="29" t="s">
        <v>301</v>
      </c>
      <c r="E112" s="29" t="s">
        <v>281</v>
      </c>
      <c r="F112" s="29" t="s">
        <v>302</v>
      </c>
      <c r="G112" s="29" t="s">
        <v>278</v>
      </c>
      <c r="H112" s="29">
        <v>8</v>
      </c>
      <c r="I112" s="30">
        <f>MAX(DATE(2027,3,1),J111+1,J51+1)</f>
        <v>46455</v>
      </c>
      <c r="J112" s="31">
        <f>IF(AND(ISNUMBER(I112),ISNUMBER(H112)),I112+H112-1,"")</f>
        <v>46462</v>
      </c>
      <c r="K112" s="29" t="s">
        <v>27</v>
      </c>
      <c r="L112" s="29" t="s">
        <v>309</v>
      </c>
      <c r="M112" s="32" t="s">
        <v>190</v>
      </c>
      <c r="N112" s="29"/>
      <c r="O112" s="32">
        <f>IF(AND(ISNUMBER(I112),ISNUMBER(J112)),J112-I112+1,"")</f>
        <v>8</v>
      </c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 t="s">
        <v>140</v>
      </c>
      <c r="AG112" s="13"/>
      <c r="AH112" s="13"/>
      <c r="AI112" s="13"/>
      <c r="AJ112" s="13"/>
      <c r="AK112" s="13"/>
      <c r="AL112" s="13"/>
      <c r="AM112" s="13"/>
      <c r="AN112" s="13"/>
      <c r="AO112" s="14" t="str">
        <f>IF(AND(ISNUMBER($I112),OR($K112="Milestone",$K112="Deadline"),$I112&gt;=AO$4,$I112&lt;AO$4+7),IF($K112="Deadline","◇","◆"),"")</f>
        <v/>
      </c>
      <c r="AP112" s="14" t="str">
        <f>IF(AND(ISNUMBER($I112),OR($K112="Milestone",$K112="Deadline"),$I112&gt;=AP$4,$I112&lt;AP$4+7),IF($K112="Deadline","◇","◆"),"")</f>
        <v/>
      </c>
      <c r="AQ112" s="14" t="str">
        <f>IF(AND(ISNUMBER($I112),OR($K112="Milestone",$K112="Deadline"),$I112&gt;=AQ$4,$I112&lt;AQ$4+7),IF($K112="Deadline","◇","◆"),"")</f>
        <v/>
      </c>
      <c r="AR112" s="14" t="str">
        <f>IF(AND(ISNUMBER($I112),OR($K112="Milestone",$K112="Deadline"),$I112&gt;=AR$4,$I112&lt;AR$4+7),IF($K112="Deadline","◇","◆"),"")</f>
        <v/>
      </c>
      <c r="AS112" s="14" t="str">
        <f>IF(AND(ISNUMBER($I112),OR($K112="Milestone",$K112="Deadline"),$I112&gt;=AS$4,$I112&lt;AS$4+7),IF($K112="Deadline","◇","◆"),"")</f>
        <v/>
      </c>
      <c r="AT112" s="14" t="str">
        <f>IF(AND(ISNUMBER($I112),OR($K112="Milestone",$K112="Deadline"),$I112&gt;=AT$4,$I112&lt;AT$4+7),IF($K112="Deadline","◇","◆"),"")</f>
        <v/>
      </c>
      <c r="AU112" s="14" t="str">
        <f>IF(AND(ISNUMBER($I112),OR($K112="Milestone",$K112="Deadline"),$I112&gt;=AU$4,$I112&lt;AU$4+7),IF($K112="Deadline","◇","◆"),"")</f>
        <v/>
      </c>
      <c r="AV112" s="14" t="str">
        <f>IF(AND(ISNUMBER($I112),OR($K112="Milestone",$K112="Deadline"),$I112&gt;=AV$4,$I112&lt;AV$4+7),IF($K112="Deadline","◇","◆"),"")</f>
        <v/>
      </c>
      <c r="AW112" s="14" t="str">
        <f>IF(AND(ISNUMBER($I112),OR($K112="Milestone",$K112="Deadline"),$I112&gt;=AW$4,$I112&lt;AW$4+7),IF($K112="Deadline","◇","◆"),"")</f>
        <v/>
      </c>
      <c r="AX112" s="14" t="str">
        <f>IF(AND(ISNUMBER($I112),OR($K112="Milestone",$K112="Deadline"),$I112&gt;=AX$4,$I112&lt;AX$4+7),IF($K112="Deadline","◇","◆"),"")</f>
        <v/>
      </c>
      <c r="AY112" s="14" t="str">
        <f>IF(AND(ISNUMBER($I112),OR($K112="Milestone",$K112="Deadline"),$I112&gt;=AY$4,$I112&lt;AY$4+7),IF($K112="Deadline","◇","◆"),"")</f>
        <v/>
      </c>
      <c r="AZ112" s="14" t="str">
        <f>IF(AND(ISNUMBER($I112),OR($K112="Milestone",$K112="Deadline"),$I112&gt;=AZ$4,$I112&lt;AZ$4+7),IF($K112="Deadline","◇","◆"),"")</f>
        <v/>
      </c>
      <c r="BA112" s="14" t="str">
        <f>IF(AND(ISNUMBER($I112),OR($K112="Milestone",$K112="Deadline"),$I112&gt;=BA$4,$I112&lt;BA$4+7),IF($K112="Deadline","◇","◆"),"")</f>
        <v/>
      </c>
      <c r="BB112" s="14" t="str">
        <f>IF(AND(ISNUMBER($I112),OR($K112="Milestone",$K112="Deadline"),$I112&gt;=BB$4,$I112&lt;BB$4+7),IF($K112="Deadline","◇","◆"),"")</f>
        <v/>
      </c>
      <c r="BC112" s="14" t="str">
        <f>IF(AND(ISNUMBER($I112),OR($K112="Milestone",$K112="Deadline"),$I112&gt;=BC$4,$I112&lt;BC$4+7),IF($K112="Deadline","◇","◆"),"")</f>
        <v/>
      </c>
      <c r="BD112" s="14" t="str">
        <f>IF(AND(ISNUMBER($I112),OR($K112="Milestone",$K112="Deadline"),$I112&gt;=BD$4,$I112&lt;BD$4+7),IF($K112="Deadline","◇","◆"),"")</f>
        <v/>
      </c>
      <c r="BE112" s="14" t="str">
        <f>IF(AND(ISNUMBER($I112),OR($K112="Milestone",$K112="Deadline"),$I112&gt;=BE$4,$I112&lt;BE$4+7),IF($K112="Deadline","◇","◆"),"")</f>
        <v/>
      </c>
      <c r="BF112" s="14" t="str">
        <f>IF(AND(ISNUMBER($I112),OR($K112="Milestone",$K112="Deadline"),$I112&gt;=BF$4,$I112&lt;BF$4+7),IF($K112="Deadline","◇","◆"),"")</f>
        <v/>
      </c>
      <c r="BG112" s="14" t="str">
        <f>IF(AND(ISNUMBER($I112),OR($K112="Milestone",$K112="Deadline"),$I112&gt;=BG$4,$I112&lt;BG$4+7),IF($K112="Deadline","◇","◆"),"")</f>
        <v/>
      </c>
      <c r="BH112" s="14" t="str">
        <f>IF(AND(ISNUMBER($I112),OR($K112="Milestone",$K112="Deadline"),$I112&gt;=BH$4,$I112&lt;BH$4+7),IF($K112="Deadline","◇","◆"),"")</f>
        <v/>
      </c>
      <c r="BI112" s="14" t="str">
        <f>IF(AND(ISNUMBER($I112),OR($K112="Milestone",$K112="Deadline"),$I112&gt;=BI$4,$I112&lt;BI$4+7),IF($K112="Deadline","◇","◆"),"")</f>
        <v/>
      </c>
      <c r="BJ112" s="14" t="str">
        <f>IF(AND(ISNUMBER($I112),OR($K112="Milestone",$K112="Deadline"),$I112&gt;=BJ$4,$I112&lt;BJ$4+7),IF($K112="Deadline","◇","◆"),"")</f>
        <v/>
      </c>
      <c r="BK112" s="14" t="str">
        <f>IF(AND(ISNUMBER($I112),OR($K112="Milestone",$K112="Deadline"),$I112&gt;=BK$4,$I112&lt;BK$4+7),IF($K112="Deadline","◇","◆"),"")</f>
        <v/>
      </c>
      <c r="BL112" s="14" t="str">
        <f>IF(AND(ISNUMBER($I112),OR($K112="Milestone",$K112="Deadline"),$I112&gt;=BL$4,$I112&lt;BL$4+7),IF($K112="Deadline","◇","◆"),"")</f>
        <v/>
      </c>
      <c r="BM112" s="14" t="str">
        <f>IF(AND(ISNUMBER($I112),OR($K112="Milestone",$K112="Deadline"),$I112&gt;=BM$4,$I112&lt;BM$4+7),IF($K112="Deadline","◇","◆"),"")</f>
        <v/>
      </c>
      <c r="BN112" s="14" t="str">
        <f>IF(AND(ISNUMBER($I112),OR($K112="Milestone",$K112="Deadline"),$I112&gt;=BN$4,$I112&lt;BN$4+7),IF($K112="Deadline","◇","◆"),"")</f>
        <v/>
      </c>
      <c r="BO112" s="14" t="str">
        <f>IF(AND(ISNUMBER($I112),OR($K112="Milestone",$K112="Deadline"),$I112&gt;=BO$4,$I112&lt;BO$4+7),IF($K112="Deadline","◇","◆"),"")</f>
        <v/>
      </c>
      <c r="BP112" s="14" t="str">
        <f>IF(AND(ISNUMBER($I112),OR($K112="Milestone",$K112="Deadline"),$I112&gt;=BP$4,$I112&lt;BP$4+7),IF($K112="Deadline","◇","◆"),"")</f>
        <v/>
      </c>
      <c r="BQ112" s="14" t="str">
        <f>IF(AND(ISNUMBER($I112),OR($K112="Milestone",$K112="Deadline"),$I112&gt;=BQ$4,$I112&lt;BQ$4+7),IF($K112="Deadline","◇","◆"),"")</f>
        <v/>
      </c>
      <c r="BR112" s="14" t="str">
        <f>IF(AND(ISNUMBER($I112),OR($K112="Milestone",$K112="Deadline"),$I112&gt;=BR$4,$I112&lt;BR$4+7),IF($K112="Deadline","◇","◆"),"")</f>
        <v/>
      </c>
      <c r="BS112" s="14" t="str">
        <f>IF(AND(ISNUMBER($I112),OR($K112="Milestone",$K112="Deadline"),$I112&gt;=BS$4,$I112&lt;BS$4+7),IF($K112="Deadline","◇","◆"),"")</f>
        <v/>
      </c>
      <c r="BT112" s="14" t="str">
        <f>IF(AND(ISNUMBER($I112),OR($K112="Milestone",$K112="Deadline"),$I112&gt;=BT$4,$I112&lt;BT$4+7),IF($K112="Deadline","◇","◆"),"")</f>
        <v/>
      </c>
      <c r="BU112" s="14" t="str">
        <f>IF(AND(ISNUMBER($I112),OR($K112="Milestone",$K112="Deadline"),$I112&gt;=BU$4,$I112&lt;BU$4+7),IF($K112="Deadline","◇","◆"),"")</f>
        <v/>
      </c>
      <c r="BV112" s="14" t="str">
        <f>IF(AND(ISNUMBER($I112),OR($K112="Milestone",$K112="Deadline"),$I112&gt;=BV$4,$I112&lt;BV$4+7),IF($K112="Deadline","◇","◆"),"")</f>
        <v/>
      </c>
      <c r="BW112" s="14" t="str">
        <f>IF(AND(ISNUMBER($I112),OR($K112="Milestone",$K112="Deadline"),$I112&gt;=BW$4,$I112&lt;BW$4+7),IF($K112="Deadline","◇","◆"),"")</f>
        <v/>
      </c>
      <c r="BX112" s="14" t="str">
        <f>IF(AND(ISNUMBER($I112),OR($K112="Milestone",$K112="Deadline"),$I112&gt;=BX$4,$I112&lt;BX$4+7),IF($K112="Deadline","◇","◆"),"")</f>
        <v/>
      </c>
      <c r="BY112" s="14" t="str">
        <f>IF(AND(ISNUMBER($I112),OR($K112="Milestone",$K112="Deadline"),$I112&gt;=BY$4,$I112&lt;BY$4+7),IF($K112="Deadline","◇","◆"),"")</f>
        <v/>
      </c>
      <c r="BZ112" s="14" t="str">
        <f>IF(AND(ISNUMBER($I112),OR($K112="Milestone",$K112="Deadline"),$I112&gt;=BZ$4,$I112&lt;BZ$4+7),IF($K112="Deadline","◇","◆"),"")</f>
        <v/>
      </c>
      <c r="CA112" s="14" t="str">
        <f>IF(AND(ISNUMBER($I112),OR($K112="Milestone",$K112="Deadline"),$I112&gt;=CA$4,$I112&lt;CA$4+7),IF($K112="Deadline","◇","◆"),"")</f>
        <v/>
      </c>
      <c r="CB112" s="14" t="str">
        <f>IF(AND(ISNUMBER($I112),OR($K112="Milestone",$K112="Deadline"),$I112&gt;=CB$4,$I112&lt;CB$4+7),IF($K112="Deadline","◇","◆"),"")</f>
        <v/>
      </c>
      <c r="CC112" s="14" t="str">
        <f>IF(AND(ISNUMBER($I112),OR($K112="Milestone",$K112="Deadline"),$I112&gt;=CC$4,$I112&lt;CC$4+7),IF($K112="Deadline","◇","◆"),"")</f>
        <v/>
      </c>
      <c r="CD112" s="14" t="str">
        <f>IF(AND(ISNUMBER($I112),OR($K112="Milestone",$K112="Deadline"),$I112&gt;=CD$4,$I112&lt;CD$4+7),IF($K112="Deadline","◇","◆"),"")</f>
        <v/>
      </c>
      <c r="CE112" s="14" t="str">
        <f>IF(AND(ISNUMBER($I112),OR($K112="Milestone",$K112="Deadline"),$I112&gt;=CE$4,$I112&lt;CE$4+7),IF($K112="Deadline","◇","◆"),"")</f>
        <v/>
      </c>
      <c r="CF112" s="14" t="str">
        <f>IF(AND(ISNUMBER($I112),OR($K112="Milestone",$K112="Deadline"),$I112&gt;=CF$4,$I112&lt;CF$4+7),IF($K112="Deadline","◇","◆"),"")</f>
        <v/>
      </c>
      <c r="CG112" s="14" t="str">
        <f>IF(AND(ISNUMBER($I112),OR($K112="Milestone",$K112="Deadline"),$I112&gt;=CG$4,$I112&lt;CG$4+7),IF($K112="Deadline","◇","◆"),"")</f>
        <v/>
      </c>
      <c r="CH112" s="14" t="str">
        <f>IF(AND(ISNUMBER($I112),OR($K112="Milestone",$K112="Deadline"),$I112&gt;=CH$4,$I112&lt;CH$4+7),IF($K112="Deadline","◇","◆"),"")</f>
        <v/>
      </c>
      <c r="CI112" s="14" t="str">
        <f>IF(AND(ISNUMBER($I112),OR($K112="Milestone",$K112="Deadline"),$I112&gt;=CI$4,$I112&lt;CI$4+7),IF($K112="Deadline","◇","◆"),"")</f>
        <v/>
      </c>
      <c r="CJ112" s="14" t="str">
        <f>IF(AND(ISNUMBER($I112),OR($K112="Milestone",$K112="Deadline"),$I112&gt;=CJ$4,$I112&lt;CJ$4+7),IF($K112="Deadline","◇","◆"),"")</f>
        <v/>
      </c>
      <c r="CK112" s="14" t="str">
        <f>IF(AND(ISNUMBER($I112),OR($K112="Milestone",$K112="Deadline"),$I112&gt;=CK$4,$I112&lt;CK$4+7),IF($K112="Deadline","◇","◆"),"")</f>
        <v/>
      </c>
      <c r="CL112" s="14" t="str">
        <f>IF(AND(ISNUMBER($I112),OR($K112="Milestone",$K112="Deadline"),$I112&gt;=CL$4,$I112&lt;CL$4+7),IF($K112="Deadline","◇","◆"),"")</f>
        <v/>
      </c>
      <c r="CM112" s="14" t="str">
        <f>IF(AND(ISNUMBER($I112),OR($K112="Milestone",$K112="Deadline"),$I112&gt;=CM$4,$I112&lt;CM$4+7),IF($K112="Deadline","◇","◆"),"")</f>
        <v/>
      </c>
    </row>
    <row r="113" spans="1:91" ht="15" hidden="1" customHeight="1">
      <c r="A113" s="29" t="s">
        <v>312</v>
      </c>
      <c r="B113" s="29" t="s">
        <v>300</v>
      </c>
      <c r="C113" s="29" t="s">
        <v>191</v>
      </c>
      <c r="D113" s="29" t="s">
        <v>301</v>
      </c>
      <c r="E113" s="29"/>
      <c r="F113" s="29" t="s">
        <v>216</v>
      </c>
      <c r="G113" s="29" t="s">
        <v>217</v>
      </c>
      <c r="H113" s="29">
        <v>14</v>
      </c>
      <c r="I113" s="30">
        <f>MAX($C$2,J107+1,J226+1)</f>
        <v>46391</v>
      </c>
      <c r="J113" s="31">
        <f>IF(AND(ISNUMBER(I113),ISNUMBER(H113)),I113+H113-1,"")</f>
        <v>46404</v>
      </c>
      <c r="K113" s="29" t="s">
        <v>27</v>
      </c>
      <c r="L113" s="29" t="s">
        <v>299</v>
      </c>
      <c r="M113" s="32" t="s">
        <v>313</v>
      </c>
      <c r="N113" s="29"/>
      <c r="O113" s="32">
        <f>IF(AND(ISNUMBER(I113),ISNUMBER(J113)),J113-I113+1,"")</f>
        <v>14</v>
      </c>
      <c r="P113" s="13"/>
      <c r="Q113" s="13"/>
      <c r="R113" s="13" t="s">
        <v>140</v>
      </c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4" t="str">
        <f>IF(AND(ISNUMBER($I113),OR($K113="Milestone",$K113="Deadline"),$I113&gt;=AO$4,$I113&lt;AO$4+7),IF($K113="Deadline","◇","◆"),"")</f>
        <v/>
      </c>
      <c r="AP113" s="14" t="str">
        <f>IF(AND(ISNUMBER($I113),OR($K113="Milestone",$K113="Deadline"),$I113&gt;=AP$4,$I113&lt;AP$4+7),IF($K113="Deadline","◇","◆"),"")</f>
        <v/>
      </c>
      <c r="AQ113" s="14" t="str">
        <f>IF(AND(ISNUMBER($I113),OR($K113="Milestone",$K113="Deadline"),$I113&gt;=AQ$4,$I113&lt;AQ$4+7),IF($K113="Deadline","◇","◆"),"")</f>
        <v/>
      </c>
      <c r="AR113" s="14" t="str">
        <f>IF(AND(ISNUMBER($I113),OR($K113="Milestone",$K113="Deadline"),$I113&gt;=AR$4,$I113&lt;AR$4+7),IF($K113="Deadline","◇","◆"),"")</f>
        <v/>
      </c>
      <c r="AS113" s="14" t="str">
        <f>IF(AND(ISNUMBER($I113),OR($K113="Milestone",$K113="Deadline"),$I113&gt;=AS$4,$I113&lt;AS$4+7),IF($K113="Deadline","◇","◆"),"")</f>
        <v/>
      </c>
      <c r="AT113" s="14" t="str">
        <f>IF(AND(ISNUMBER($I113),OR($K113="Milestone",$K113="Deadline"),$I113&gt;=AT$4,$I113&lt;AT$4+7),IF($K113="Deadline","◇","◆"),"")</f>
        <v/>
      </c>
      <c r="AU113" s="14" t="str">
        <f>IF(AND(ISNUMBER($I113),OR($K113="Milestone",$K113="Deadline"),$I113&gt;=AU$4,$I113&lt;AU$4+7),IF($K113="Deadline","◇","◆"),"")</f>
        <v/>
      </c>
      <c r="AV113" s="14" t="str">
        <f>IF(AND(ISNUMBER($I113),OR($K113="Milestone",$K113="Deadline"),$I113&gt;=AV$4,$I113&lt;AV$4+7),IF($K113="Deadline","◇","◆"),"")</f>
        <v/>
      </c>
      <c r="AW113" s="14" t="str">
        <f>IF(AND(ISNUMBER($I113),OR($K113="Milestone",$K113="Deadline"),$I113&gt;=AW$4,$I113&lt;AW$4+7),IF($K113="Deadline","◇","◆"),"")</f>
        <v/>
      </c>
      <c r="AX113" s="14" t="str">
        <f>IF(AND(ISNUMBER($I113),OR($K113="Milestone",$K113="Deadline"),$I113&gt;=AX$4,$I113&lt;AX$4+7),IF($K113="Deadline","◇","◆"),"")</f>
        <v/>
      </c>
      <c r="AY113" s="14" t="str">
        <f>IF(AND(ISNUMBER($I113),OR($K113="Milestone",$K113="Deadline"),$I113&gt;=AY$4,$I113&lt;AY$4+7),IF($K113="Deadline","◇","◆"),"")</f>
        <v/>
      </c>
      <c r="AZ113" s="14" t="str">
        <f>IF(AND(ISNUMBER($I113),OR($K113="Milestone",$K113="Deadline"),$I113&gt;=AZ$4,$I113&lt;AZ$4+7),IF($K113="Deadline","◇","◆"),"")</f>
        <v/>
      </c>
      <c r="BA113" s="14" t="str">
        <f>IF(AND(ISNUMBER($I113),OR($K113="Milestone",$K113="Deadline"),$I113&gt;=BA$4,$I113&lt;BA$4+7),IF($K113="Deadline","◇","◆"),"")</f>
        <v/>
      </c>
      <c r="BB113" s="14" t="str">
        <f>IF(AND(ISNUMBER($I113),OR($K113="Milestone",$K113="Deadline"),$I113&gt;=BB$4,$I113&lt;BB$4+7),IF($K113="Deadline","◇","◆"),"")</f>
        <v/>
      </c>
      <c r="BC113" s="14" t="str">
        <f>IF(AND(ISNUMBER($I113),OR($K113="Milestone",$K113="Deadline"),$I113&gt;=BC$4,$I113&lt;BC$4+7),IF($K113="Deadline","◇","◆"),"")</f>
        <v/>
      </c>
      <c r="BD113" s="14" t="str">
        <f>IF(AND(ISNUMBER($I113),OR($K113="Milestone",$K113="Deadline"),$I113&gt;=BD$4,$I113&lt;BD$4+7),IF($K113="Deadline","◇","◆"),"")</f>
        <v/>
      </c>
      <c r="BE113" s="14" t="str">
        <f>IF(AND(ISNUMBER($I113),OR($K113="Milestone",$K113="Deadline"),$I113&gt;=BE$4,$I113&lt;BE$4+7),IF($K113="Deadline","◇","◆"),"")</f>
        <v/>
      </c>
      <c r="BF113" s="14" t="str">
        <f>IF(AND(ISNUMBER($I113),OR($K113="Milestone",$K113="Deadline"),$I113&gt;=BF$4,$I113&lt;BF$4+7),IF($K113="Deadline","◇","◆"),"")</f>
        <v/>
      </c>
      <c r="BG113" s="14" t="str">
        <f>IF(AND(ISNUMBER($I113),OR($K113="Milestone",$K113="Deadline"),$I113&gt;=BG$4,$I113&lt;BG$4+7),IF($K113="Deadline","◇","◆"),"")</f>
        <v/>
      </c>
      <c r="BH113" s="14" t="str">
        <f>IF(AND(ISNUMBER($I113),OR($K113="Milestone",$K113="Deadline"),$I113&gt;=BH$4,$I113&lt;BH$4+7),IF($K113="Deadline","◇","◆"),"")</f>
        <v/>
      </c>
      <c r="BI113" s="14" t="str">
        <f>IF(AND(ISNUMBER($I113),OR($K113="Milestone",$K113="Deadline"),$I113&gt;=BI$4,$I113&lt;BI$4+7),IF($K113="Deadline","◇","◆"),"")</f>
        <v/>
      </c>
      <c r="BJ113" s="14" t="str">
        <f>IF(AND(ISNUMBER($I113),OR($K113="Milestone",$K113="Deadline"),$I113&gt;=BJ$4,$I113&lt;BJ$4+7),IF($K113="Deadline","◇","◆"),"")</f>
        <v/>
      </c>
      <c r="BK113" s="14" t="str">
        <f>IF(AND(ISNUMBER($I113),OR($K113="Milestone",$K113="Deadline"),$I113&gt;=BK$4,$I113&lt;BK$4+7),IF($K113="Deadline","◇","◆"),"")</f>
        <v/>
      </c>
      <c r="BL113" s="14" t="str">
        <f>IF(AND(ISNUMBER($I113),OR($K113="Milestone",$K113="Deadline"),$I113&gt;=BL$4,$I113&lt;BL$4+7),IF($K113="Deadline","◇","◆"),"")</f>
        <v/>
      </c>
      <c r="BM113" s="14" t="str">
        <f>IF(AND(ISNUMBER($I113),OR($K113="Milestone",$K113="Deadline"),$I113&gt;=BM$4,$I113&lt;BM$4+7),IF($K113="Deadline","◇","◆"),"")</f>
        <v/>
      </c>
      <c r="BN113" s="14" t="str">
        <f>IF(AND(ISNUMBER($I113),OR($K113="Milestone",$K113="Deadline"),$I113&gt;=BN$4,$I113&lt;BN$4+7),IF($K113="Deadline","◇","◆"),"")</f>
        <v/>
      </c>
      <c r="BO113" s="14" t="str">
        <f>IF(AND(ISNUMBER($I113),OR($K113="Milestone",$K113="Deadline"),$I113&gt;=BO$4,$I113&lt;BO$4+7),IF($K113="Deadline","◇","◆"),"")</f>
        <v/>
      </c>
      <c r="BP113" s="14" t="str">
        <f>IF(AND(ISNUMBER($I113),OR($K113="Milestone",$K113="Deadline"),$I113&gt;=BP$4,$I113&lt;BP$4+7),IF($K113="Deadline","◇","◆"),"")</f>
        <v/>
      </c>
      <c r="BQ113" s="14" t="str">
        <f>IF(AND(ISNUMBER($I113),OR($K113="Milestone",$K113="Deadline"),$I113&gt;=BQ$4,$I113&lt;BQ$4+7),IF($K113="Deadline","◇","◆"),"")</f>
        <v/>
      </c>
      <c r="BR113" s="14" t="str">
        <f>IF(AND(ISNUMBER($I113),OR($K113="Milestone",$K113="Deadline"),$I113&gt;=BR$4,$I113&lt;BR$4+7),IF($K113="Deadline","◇","◆"),"")</f>
        <v/>
      </c>
      <c r="BS113" s="14" t="str">
        <f>IF(AND(ISNUMBER($I113),OR($K113="Milestone",$K113="Deadline"),$I113&gt;=BS$4,$I113&lt;BS$4+7),IF($K113="Deadline","◇","◆"),"")</f>
        <v/>
      </c>
      <c r="BT113" s="14" t="str">
        <f>IF(AND(ISNUMBER($I113),OR($K113="Milestone",$K113="Deadline"),$I113&gt;=BT$4,$I113&lt;BT$4+7),IF($K113="Deadline","◇","◆"),"")</f>
        <v/>
      </c>
      <c r="BU113" s="14" t="str">
        <f>IF(AND(ISNUMBER($I113),OR($K113="Milestone",$K113="Deadline"),$I113&gt;=BU$4,$I113&lt;BU$4+7),IF($K113="Deadline","◇","◆"),"")</f>
        <v/>
      </c>
      <c r="BV113" s="14" t="str">
        <f>IF(AND(ISNUMBER($I113),OR($K113="Milestone",$K113="Deadline"),$I113&gt;=BV$4,$I113&lt;BV$4+7),IF($K113="Deadline","◇","◆"),"")</f>
        <v/>
      </c>
      <c r="BW113" s="14" t="str">
        <f>IF(AND(ISNUMBER($I113),OR($K113="Milestone",$K113="Deadline"),$I113&gt;=BW$4,$I113&lt;BW$4+7),IF($K113="Deadline","◇","◆"),"")</f>
        <v/>
      </c>
      <c r="BX113" s="14" t="str">
        <f>IF(AND(ISNUMBER($I113),OR($K113="Milestone",$K113="Deadline"),$I113&gt;=BX$4,$I113&lt;BX$4+7),IF($K113="Deadline","◇","◆"),"")</f>
        <v/>
      </c>
      <c r="BY113" s="14" t="str">
        <f>IF(AND(ISNUMBER($I113),OR($K113="Milestone",$K113="Deadline"),$I113&gt;=BY$4,$I113&lt;BY$4+7),IF($K113="Deadline","◇","◆"),"")</f>
        <v/>
      </c>
      <c r="BZ113" s="14" t="str">
        <f>IF(AND(ISNUMBER($I113),OR($K113="Milestone",$K113="Deadline"),$I113&gt;=BZ$4,$I113&lt;BZ$4+7),IF($K113="Deadline","◇","◆"),"")</f>
        <v/>
      </c>
      <c r="CA113" s="14" t="str">
        <f>IF(AND(ISNUMBER($I113),OR($K113="Milestone",$K113="Deadline"),$I113&gt;=CA$4,$I113&lt;CA$4+7),IF($K113="Deadline","◇","◆"),"")</f>
        <v/>
      </c>
      <c r="CB113" s="14" t="str">
        <f>IF(AND(ISNUMBER($I113),OR($K113="Milestone",$K113="Deadline"),$I113&gt;=CB$4,$I113&lt;CB$4+7),IF($K113="Deadline","◇","◆"),"")</f>
        <v/>
      </c>
      <c r="CC113" s="14" t="str">
        <f>IF(AND(ISNUMBER($I113),OR($K113="Milestone",$K113="Deadline"),$I113&gt;=CC$4,$I113&lt;CC$4+7),IF($K113="Deadline","◇","◆"),"")</f>
        <v/>
      </c>
      <c r="CD113" s="14" t="str">
        <f>IF(AND(ISNUMBER($I113),OR($K113="Milestone",$K113="Deadline"),$I113&gt;=CD$4,$I113&lt;CD$4+7),IF($K113="Deadline","◇","◆"),"")</f>
        <v/>
      </c>
      <c r="CE113" s="14" t="str">
        <f>IF(AND(ISNUMBER($I113),OR($K113="Milestone",$K113="Deadline"),$I113&gt;=CE$4,$I113&lt;CE$4+7),IF($K113="Deadline","◇","◆"),"")</f>
        <v/>
      </c>
      <c r="CF113" s="14" t="str">
        <f>IF(AND(ISNUMBER($I113),OR($K113="Milestone",$K113="Deadline"),$I113&gt;=CF$4,$I113&lt;CF$4+7),IF($K113="Deadline","◇","◆"),"")</f>
        <v/>
      </c>
      <c r="CG113" s="14" t="str">
        <f>IF(AND(ISNUMBER($I113),OR($K113="Milestone",$K113="Deadline"),$I113&gt;=CG$4,$I113&lt;CG$4+7),IF($K113="Deadline","◇","◆"),"")</f>
        <v/>
      </c>
      <c r="CH113" s="14" t="str">
        <f>IF(AND(ISNUMBER($I113),OR($K113="Milestone",$K113="Deadline"),$I113&gt;=CH$4,$I113&lt;CH$4+7),IF($K113="Deadline","◇","◆"),"")</f>
        <v/>
      </c>
      <c r="CI113" s="14" t="str">
        <f>IF(AND(ISNUMBER($I113),OR($K113="Milestone",$K113="Deadline"),$I113&gt;=CI$4,$I113&lt;CI$4+7),IF($K113="Deadline","◇","◆"),"")</f>
        <v/>
      </c>
      <c r="CJ113" s="14" t="str">
        <f>IF(AND(ISNUMBER($I113),OR($K113="Milestone",$K113="Deadline"),$I113&gt;=CJ$4,$I113&lt;CJ$4+7),IF($K113="Deadline","◇","◆"),"")</f>
        <v/>
      </c>
      <c r="CK113" s="14" t="str">
        <f>IF(AND(ISNUMBER($I113),OR($K113="Milestone",$K113="Deadline"),$I113&gt;=CK$4,$I113&lt;CK$4+7),IF($K113="Deadline","◇","◆"),"")</f>
        <v/>
      </c>
      <c r="CL113" s="14" t="str">
        <f>IF(AND(ISNUMBER($I113),OR($K113="Milestone",$K113="Deadline"),$I113&gt;=CL$4,$I113&lt;CL$4+7),IF($K113="Deadline","◇","◆"),"")</f>
        <v/>
      </c>
      <c r="CM113" s="14" t="str">
        <f>IF(AND(ISNUMBER($I113),OR($K113="Milestone",$K113="Deadline"),$I113&gt;=CM$4,$I113&lt;CM$4+7),IF($K113="Deadline","◇","◆"),"")</f>
        <v/>
      </c>
    </row>
    <row r="114" spans="1:91" ht="15" hidden="1" customHeight="1">
      <c r="A114" s="29" t="s">
        <v>314</v>
      </c>
      <c r="B114" s="29" t="s">
        <v>300</v>
      </c>
      <c r="C114" s="29" t="s">
        <v>221</v>
      </c>
      <c r="D114" s="29" t="s">
        <v>301</v>
      </c>
      <c r="E114" s="29"/>
      <c r="F114" s="29" t="s">
        <v>216</v>
      </c>
      <c r="G114" s="29" t="s">
        <v>222</v>
      </c>
      <c r="H114" s="29">
        <v>7</v>
      </c>
      <c r="I114" s="30">
        <f>MAX($C$2,J111+1,J262+1,J203+1)</f>
        <v>46510</v>
      </c>
      <c r="J114" s="31">
        <f>IF(AND(ISNUMBER(I114),ISNUMBER(H114)),I114+H114-1,"")</f>
        <v>46516</v>
      </c>
      <c r="K114" s="29" t="s">
        <v>27</v>
      </c>
      <c r="L114" s="29" t="s">
        <v>309</v>
      </c>
      <c r="M114" s="32" t="s">
        <v>315</v>
      </c>
      <c r="N114" s="29"/>
      <c r="O114" s="32">
        <f>IF(AND(ISNUMBER(I114),ISNUMBER(J114)),J114-I114+1,"")</f>
        <v>7</v>
      </c>
      <c r="P114" s="13"/>
      <c r="Q114" s="13"/>
      <c r="R114" s="13"/>
      <c r="S114" s="13"/>
      <c r="T114" s="13" t="s">
        <v>140</v>
      </c>
      <c r="U114" s="13"/>
      <c r="V114" s="13"/>
      <c r="W114" s="13"/>
      <c r="X114" s="13"/>
      <c r="Y114" s="13"/>
      <c r="Z114" s="13"/>
      <c r="AA114" s="13"/>
      <c r="AB114" s="13" t="s">
        <v>140</v>
      </c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4" t="str">
        <f>IF(AND(ISNUMBER($I114),OR($K114="Milestone",$K114="Deadline"),$I114&gt;=AO$4,$I114&lt;AO$4+7),IF($K114="Deadline","◇","◆"),"")</f>
        <v/>
      </c>
      <c r="AP114" s="14" t="str">
        <f>IF(AND(ISNUMBER($I114),OR($K114="Milestone",$K114="Deadline"),$I114&gt;=AP$4,$I114&lt;AP$4+7),IF($K114="Deadline","◇","◆"),"")</f>
        <v/>
      </c>
      <c r="AQ114" s="14" t="str">
        <f>IF(AND(ISNUMBER($I114),OR($K114="Milestone",$K114="Deadline"),$I114&gt;=AQ$4,$I114&lt;AQ$4+7),IF($K114="Deadline","◇","◆"),"")</f>
        <v/>
      </c>
      <c r="AR114" s="14" t="str">
        <f>IF(AND(ISNUMBER($I114),OR($K114="Milestone",$K114="Deadline"),$I114&gt;=AR$4,$I114&lt;AR$4+7),IF($K114="Deadline","◇","◆"),"")</f>
        <v/>
      </c>
      <c r="AS114" s="14" t="str">
        <f>IF(AND(ISNUMBER($I114),OR($K114="Milestone",$K114="Deadline"),$I114&gt;=AS$4,$I114&lt;AS$4+7),IF($K114="Deadline","◇","◆"),"")</f>
        <v/>
      </c>
      <c r="AT114" s="14" t="str">
        <f>IF(AND(ISNUMBER($I114),OR($K114="Milestone",$K114="Deadline"),$I114&gt;=AT$4,$I114&lt;AT$4+7),IF($K114="Deadline","◇","◆"),"")</f>
        <v/>
      </c>
      <c r="AU114" s="14" t="str">
        <f>IF(AND(ISNUMBER($I114),OR($K114="Milestone",$K114="Deadline"),$I114&gt;=AU$4,$I114&lt;AU$4+7),IF($K114="Deadline","◇","◆"),"")</f>
        <v/>
      </c>
      <c r="AV114" s="14" t="str">
        <f>IF(AND(ISNUMBER($I114),OR($K114="Milestone",$K114="Deadline"),$I114&gt;=AV$4,$I114&lt;AV$4+7),IF($K114="Deadline","◇","◆"),"")</f>
        <v/>
      </c>
      <c r="AW114" s="14" t="str">
        <f>IF(AND(ISNUMBER($I114),OR($K114="Milestone",$K114="Deadline"),$I114&gt;=AW$4,$I114&lt;AW$4+7),IF($K114="Deadline","◇","◆"),"")</f>
        <v/>
      </c>
      <c r="AX114" s="14" t="str">
        <f>IF(AND(ISNUMBER($I114),OR($K114="Milestone",$K114="Deadline"),$I114&gt;=AX$4,$I114&lt;AX$4+7),IF($K114="Deadline","◇","◆"),"")</f>
        <v/>
      </c>
      <c r="AY114" s="14" t="str">
        <f>IF(AND(ISNUMBER($I114),OR($K114="Milestone",$K114="Deadline"),$I114&gt;=AY$4,$I114&lt;AY$4+7),IF($K114="Deadline","◇","◆"),"")</f>
        <v/>
      </c>
      <c r="AZ114" s="14" t="str">
        <f>IF(AND(ISNUMBER($I114),OR($K114="Milestone",$K114="Deadline"),$I114&gt;=AZ$4,$I114&lt;AZ$4+7),IF($K114="Deadline","◇","◆"),"")</f>
        <v/>
      </c>
      <c r="BA114" s="14" t="str">
        <f>IF(AND(ISNUMBER($I114),OR($K114="Milestone",$K114="Deadline"),$I114&gt;=BA$4,$I114&lt;BA$4+7),IF($K114="Deadline","◇","◆"),"")</f>
        <v/>
      </c>
      <c r="BB114" s="14" t="str">
        <f>IF(AND(ISNUMBER($I114),OR($K114="Milestone",$K114="Deadline"),$I114&gt;=BB$4,$I114&lt;BB$4+7),IF($K114="Deadline","◇","◆"),"")</f>
        <v/>
      </c>
      <c r="BC114" s="14" t="str">
        <f>IF(AND(ISNUMBER($I114),OR($K114="Milestone",$K114="Deadline"),$I114&gt;=BC$4,$I114&lt;BC$4+7),IF($K114="Deadline","◇","◆"),"")</f>
        <v/>
      </c>
      <c r="BD114" s="14" t="str">
        <f>IF(AND(ISNUMBER($I114),OR($K114="Milestone",$K114="Deadline"),$I114&gt;=BD$4,$I114&lt;BD$4+7),IF($K114="Deadline","◇","◆"),"")</f>
        <v/>
      </c>
      <c r="BE114" s="14" t="str">
        <f>IF(AND(ISNUMBER($I114),OR($K114="Milestone",$K114="Deadline"),$I114&gt;=BE$4,$I114&lt;BE$4+7),IF($K114="Deadline","◇","◆"),"")</f>
        <v/>
      </c>
      <c r="BF114" s="14" t="str">
        <f>IF(AND(ISNUMBER($I114),OR($K114="Milestone",$K114="Deadline"),$I114&gt;=BF$4,$I114&lt;BF$4+7),IF($K114="Deadline","◇","◆"),"")</f>
        <v/>
      </c>
      <c r="BG114" s="14" t="str">
        <f>IF(AND(ISNUMBER($I114),OR($K114="Milestone",$K114="Deadline"),$I114&gt;=BG$4,$I114&lt;BG$4+7),IF($K114="Deadline","◇","◆"),"")</f>
        <v/>
      </c>
      <c r="BH114" s="14" t="str">
        <f>IF(AND(ISNUMBER($I114),OR($K114="Milestone",$K114="Deadline"),$I114&gt;=BH$4,$I114&lt;BH$4+7),IF($K114="Deadline","◇","◆"),"")</f>
        <v/>
      </c>
      <c r="BI114" s="14" t="str">
        <f>IF(AND(ISNUMBER($I114),OR($K114="Milestone",$K114="Deadline"),$I114&gt;=BI$4,$I114&lt;BI$4+7),IF($K114="Deadline","◇","◆"),"")</f>
        <v/>
      </c>
      <c r="BJ114" s="14" t="str">
        <f>IF(AND(ISNUMBER($I114),OR($K114="Milestone",$K114="Deadline"),$I114&gt;=BJ$4,$I114&lt;BJ$4+7),IF($K114="Deadline","◇","◆"),"")</f>
        <v/>
      </c>
      <c r="BK114" s="14" t="str">
        <f>IF(AND(ISNUMBER($I114),OR($K114="Milestone",$K114="Deadline"),$I114&gt;=BK$4,$I114&lt;BK$4+7),IF($K114="Deadline","◇","◆"),"")</f>
        <v/>
      </c>
      <c r="BL114" s="14" t="str">
        <f>IF(AND(ISNUMBER($I114),OR($K114="Milestone",$K114="Deadline"),$I114&gt;=BL$4,$I114&lt;BL$4+7),IF($K114="Deadline","◇","◆"),"")</f>
        <v/>
      </c>
      <c r="BM114" s="14" t="str">
        <f>IF(AND(ISNUMBER($I114),OR($K114="Milestone",$K114="Deadline"),$I114&gt;=BM$4,$I114&lt;BM$4+7),IF($K114="Deadline","◇","◆"),"")</f>
        <v/>
      </c>
      <c r="BN114" s="14" t="str">
        <f>IF(AND(ISNUMBER($I114),OR($K114="Milestone",$K114="Deadline"),$I114&gt;=BN$4,$I114&lt;BN$4+7),IF($K114="Deadline","◇","◆"),"")</f>
        <v/>
      </c>
      <c r="BO114" s="14" t="str">
        <f>IF(AND(ISNUMBER($I114),OR($K114="Milestone",$K114="Deadline"),$I114&gt;=BO$4,$I114&lt;BO$4+7),IF($K114="Deadline","◇","◆"),"")</f>
        <v/>
      </c>
      <c r="BP114" s="14" t="str">
        <f>IF(AND(ISNUMBER($I114),OR($K114="Milestone",$K114="Deadline"),$I114&gt;=BP$4,$I114&lt;BP$4+7),IF($K114="Deadline","◇","◆"),"")</f>
        <v/>
      </c>
      <c r="BQ114" s="14" t="str">
        <f>IF(AND(ISNUMBER($I114),OR($K114="Milestone",$K114="Deadline"),$I114&gt;=BQ$4,$I114&lt;BQ$4+7),IF($K114="Deadline","◇","◆"),"")</f>
        <v/>
      </c>
      <c r="BR114" s="14" t="str">
        <f>IF(AND(ISNUMBER($I114),OR($K114="Milestone",$K114="Deadline"),$I114&gt;=BR$4,$I114&lt;BR$4+7),IF($K114="Deadline","◇","◆"),"")</f>
        <v/>
      </c>
      <c r="BS114" s="14" t="str">
        <f>IF(AND(ISNUMBER($I114),OR($K114="Milestone",$K114="Deadline"),$I114&gt;=BS$4,$I114&lt;BS$4+7),IF($K114="Deadline","◇","◆"),"")</f>
        <v/>
      </c>
      <c r="BT114" s="14" t="str">
        <f>IF(AND(ISNUMBER($I114),OR($K114="Milestone",$K114="Deadline"),$I114&gt;=BT$4,$I114&lt;BT$4+7),IF($K114="Deadline","◇","◆"),"")</f>
        <v/>
      </c>
      <c r="BU114" s="14" t="str">
        <f>IF(AND(ISNUMBER($I114),OR($K114="Milestone",$K114="Deadline"),$I114&gt;=BU$4,$I114&lt;BU$4+7),IF($K114="Deadline","◇","◆"),"")</f>
        <v/>
      </c>
      <c r="BV114" s="14" t="str">
        <f>IF(AND(ISNUMBER($I114),OR($K114="Milestone",$K114="Deadline"),$I114&gt;=BV$4,$I114&lt;BV$4+7),IF($K114="Deadline","◇","◆"),"")</f>
        <v/>
      </c>
      <c r="BW114" s="14" t="str">
        <f>IF(AND(ISNUMBER($I114),OR($K114="Milestone",$K114="Deadline"),$I114&gt;=BW$4,$I114&lt;BW$4+7),IF($K114="Deadline","◇","◆"),"")</f>
        <v/>
      </c>
      <c r="BX114" s="14" t="str">
        <f>IF(AND(ISNUMBER($I114),OR($K114="Milestone",$K114="Deadline"),$I114&gt;=BX$4,$I114&lt;BX$4+7),IF($K114="Deadline","◇","◆"),"")</f>
        <v/>
      </c>
      <c r="BY114" s="14" t="str">
        <f>IF(AND(ISNUMBER($I114),OR($K114="Milestone",$K114="Deadline"),$I114&gt;=BY$4,$I114&lt;BY$4+7),IF($K114="Deadline","◇","◆"),"")</f>
        <v/>
      </c>
      <c r="BZ114" s="14" t="str">
        <f>IF(AND(ISNUMBER($I114),OR($K114="Milestone",$K114="Deadline"),$I114&gt;=BZ$4,$I114&lt;BZ$4+7),IF($K114="Deadline","◇","◆"),"")</f>
        <v/>
      </c>
      <c r="CA114" s="14" t="str">
        <f>IF(AND(ISNUMBER($I114),OR($K114="Milestone",$K114="Deadline"),$I114&gt;=CA$4,$I114&lt;CA$4+7),IF($K114="Deadline","◇","◆"),"")</f>
        <v/>
      </c>
      <c r="CB114" s="14" t="str">
        <f>IF(AND(ISNUMBER($I114),OR($K114="Milestone",$K114="Deadline"),$I114&gt;=CB$4,$I114&lt;CB$4+7),IF($K114="Deadline","◇","◆"),"")</f>
        <v/>
      </c>
      <c r="CC114" s="14" t="str">
        <f>IF(AND(ISNUMBER($I114),OR($K114="Milestone",$K114="Deadline"),$I114&gt;=CC$4,$I114&lt;CC$4+7),IF($K114="Deadline","◇","◆"),"")</f>
        <v/>
      </c>
      <c r="CD114" s="14" t="str">
        <f>IF(AND(ISNUMBER($I114),OR($K114="Milestone",$K114="Deadline"),$I114&gt;=CD$4,$I114&lt;CD$4+7),IF($K114="Deadline","◇","◆"),"")</f>
        <v/>
      </c>
      <c r="CE114" s="14" t="str">
        <f>IF(AND(ISNUMBER($I114),OR($K114="Milestone",$K114="Deadline"),$I114&gt;=CE$4,$I114&lt;CE$4+7),IF($K114="Deadline","◇","◆"),"")</f>
        <v/>
      </c>
      <c r="CF114" s="14" t="str">
        <f>IF(AND(ISNUMBER($I114),OR($K114="Milestone",$K114="Deadline"),$I114&gt;=CF$4,$I114&lt;CF$4+7),IF($K114="Deadline","◇","◆"),"")</f>
        <v/>
      </c>
      <c r="CG114" s="14" t="str">
        <f>IF(AND(ISNUMBER($I114),OR($K114="Milestone",$K114="Deadline"),$I114&gt;=CG$4,$I114&lt;CG$4+7),IF($K114="Deadline","◇","◆"),"")</f>
        <v/>
      </c>
      <c r="CH114" s="14" t="str">
        <f>IF(AND(ISNUMBER($I114),OR($K114="Milestone",$K114="Deadline"),$I114&gt;=CH$4,$I114&lt;CH$4+7),IF($K114="Deadline","◇","◆"),"")</f>
        <v/>
      </c>
      <c r="CI114" s="14" t="str">
        <f>IF(AND(ISNUMBER($I114),OR($K114="Milestone",$K114="Deadline"),$I114&gt;=CI$4,$I114&lt;CI$4+7),IF($K114="Deadline","◇","◆"),"")</f>
        <v/>
      </c>
      <c r="CJ114" s="14" t="str">
        <f>IF(AND(ISNUMBER($I114),OR($K114="Milestone",$K114="Deadline"),$I114&gt;=CJ$4,$I114&lt;CJ$4+7),IF($K114="Deadline","◇","◆"),"")</f>
        <v/>
      </c>
      <c r="CK114" s="14" t="str">
        <f>IF(AND(ISNUMBER($I114),OR($K114="Milestone",$K114="Deadline"),$I114&gt;=CK$4,$I114&lt;CK$4+7),IF($K114="Deadline","◇","◆"),"")</f>
        <v/>
      </c>
      <c r="CL114" s="14" t="str">
        <f>IF(AND(ISNUMBER($I114),OR($K114="Milestone",$K114="Deadline"),$I114&gt;=CL$4,$I114&lt;CL$4+7),IF($K114="Deadline","◇","◆"),"")</f>
        <v/>
      </c>
      <c r="CM114" s="14" t="str">
        <f>IF(AND(ISNUMBER($I114),OR($K114="Milestone",$K114="Deadline"),$I114&gt;=CM$4,$I114&lt;CM$4+7),IF($K114="Deadline","◇","◆"),"")</f>
        <v/>
      </c>
    </row>
    <row r="115" spans="1:91" ht="15" hidden="1" customHeight="1">
      <c r="A115" s="29" t="s">
        <v>316</v>
      </c>
      <c r="B115" s="29" t="s">
        <v>300</v>
      </c>
      <c r="C115" s="29" t="s">
        <v>226</v>
      </c>
      <c r="D115" s="29" t="s">
        <v>301</v>
      </c>
      <c r="E115" s="29"/>
      <c r="F115" s="29" t="s">
        <v>216</v>
      </c>
      <c r="G115" s="29" t="s">
        <v>227</v>
      </c>
      <c r="H115" s="29">
        <v>7</v>
      </c>
      <c r="I115" s="30">
        <f>MAX($C$2,J133+1)</f>
        <v>46441</v>
      </c>
      <c r="J115" s="31">
        <f>IF(AND(ISNUMBER(I115),ISNUMBER(H115)),I115+H115-1,"")</f>
        <v>46447</v>
      </c>
      <c r="K115" s="29" t="s">
        <v>27</v>
      </c>
      <c r="L115" s="29"/>
      <c r="M115" s="32" t="s">
        <v>317</v>
      </c>
      <c r="N115" s="29"/>
      <c r="O115" s="32">
        <f>IF(AND(ISNUMBER(I115),ISNUMBER(J115)),J115-I115+1,"")</f>
        <v>7</v>
      </c>
      <c r="P115" s="13" t="s">
        <v>140</v>
      </c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4" t="str">
        <f>IF(AND(ISNUMBER($I115),OR($K115="Milestone",$K115="Deadline"),$I115&gt;=AO$4,$I115&lt;AO$4+7),IF($K115="Deadline","◇","◆"),"")</f>
        <v/>
      </c>
      <c r="AP115" s="14" t="str">
        <f>IF(AND(ISNUMBER($I115),OR($K115="Milestone",$K115="Deadline"),$I115&gt;=AP$4,$I115&lt;AP$4+7),IF($K115="Deadline","◇","◆"),"")</f>
        <v/>
      </c>
      <c r="AQ115" s="14" t="str">
        <f>IF(AND(ISNUMBER($I115),OR($K115="Milestone",$K115="Deadline"),$I115&gt;=AQ$4,$I115&lt;AQ$4+7),IF($K115="Deadline","◇","◆"),"")</f>
        <v/>
      </c>
      <c r="AR115" s="14" t="str">
        <f>IF(AND(ISNUMBER($I115),OR($K115="Milestone",$K115="Deadline"),$I115&gt;=AR$4,$I115&lt;AR$4+7),IF($K115="Deadline","◇","◆"),"")</f>
        <v/>
      </c>
      <c r="AS115" s="14" t="str">
        <f>IF(AND(ISNUMBER($I115),OR($K115="Milestone",$K115="Deadline"),$I115&gt;=AS$4,$I115&lt;AS$4+7),IF($K115="Deadline","◇","◆"),"")</f>
        <v/>
      </c>
      <c r="AT115" s="14" t="str">
        <f>IF(AND(ISNUMBER($I115),OR($K115="Milestone",$K115="Deadline"),$I115&gt;=AT$4,$I115&lt;AT$4+7),IF($K115="Deadline","◇","◆"),"")</f>
        <v/>
      </c>
      <c r="AU115" s="14" t="str">
        <f>IF(AND(ISNUMBER($I115),OR($K115="Milestone",$K115="Deadline"),$I115&gt;=AU$4,$I115&lt;AU$4+7),IF($K115="Deadline","◇","◆"),"")</f>
        <v/>
      </c>
      <c r="AV115" s="14" t="str">
        <f>IF(AND(ISNUMBER($I115),OR($K115="Milestone",$K115="Deadline"),$I115&gt;=AV$4,$I115&lt;AV$4+7),IF($K115="Deadline","◇","◆"),"")</f>
        <v/>
      </c>
      <c r="AW115" s="14" t="str">
        <f>IF(AND(ISNUMBER($I115),OR($K115="Milestone",$K115="Deadline"),$I115&gt;=AW$4,$I115&lt;AW$4+7),IF($K115="Deadline","◇","◆"),"")</f>
        <v/>
      </c>
      <c r="AX115" s="14" t="str">
        <f>IF(AND(ISNUMBER($I115),OR($K115="Milestone",$K115="Deadline"),$I115&gt;=AX$4,$I115&lt;AX$4+7),IF($K115="Deadline","◇","◆"),"")</f>
        <v/>
      </c>
      <c r="AY115" s="14" t="str">
        <f>IF(AND(ISNUMBER($I115),OR($K115="Milestone",$K115="Deadline"),$I115&gt;=AY$4,$I115&lt;AY$4+7),IF($K115="Deadline","◇","◆"),"")</f>
        <v/>
      </c>
      <c r="AZ115" s="14" t="str">
        <f>IF(AND(ISNUMBER($I115),OR($K115="Milestone",$K115="Deadline"),$I115&gt;=AZ$4,$I115&lt;AZ$4+7),IF($K115="Deadline","◇","◆"),"")</f>
        <v/>
      </c>
      <c r="BA115" s="14" t="str">
        <f>IF(AND(ISNUMBER($I115),OR($K115="Milestone",$K115="Deadline"),$I115&gt;=BA$4,$I115&lt;BA$4+7),IF($K115="Deadline","◇","◆"),"")</f>
        <v/>
      </c>
      <c r="BB115" s="14" t="str">
        <f>IF(AND(ISNUMBER($I115),OR($K115="Milestone",$K115="Deadline"),$I115&gt;=BB$4,$I115&lt;BB$4+7),IF($K115="Deadline","◇","◆"),"")</f>
        <v/>
      </c>
      <c r="BC115" s="14" t="str">
        <f>IF(AND(ISNUMBER($I115),OR($K115="Milestone",$K115="Deadline"),$I115&gt;=BC$4,$I115&lt;BC$4+7),IF($K115="Deadline","◇","◆"),"")</f>
        <v/>
      </c>
      <c r="BD115" s="14" t="str">
        <f>IF(AND(ISNUMBER($I115),OR($K115="Milestone",$K115="Deadline"),$I115&gt;=BD$4,$I115&lt;BD$4+7),IF($K115="Deadline","◇","◆"),"")</f>
        <v/>
      </c>
      <c r="BE115" s="14" t="str">
        <f>IF(AND(ISNUMBER($I115),OR($K115="Milestone",$K115="Deadline"),$I115&gt;=BE$4,$I115&lt;BE$4+7),IF($K115="Deadline","◇","◆"),"")</f>
        <v/>
      </c>
      <c r="BF115" s="14" t="str">
        <f>IF(AND(ISNUMBER($I115),OR($K115="Milestone",$K115="Deadline"),$I115&gt;=BF$4,$I115&lt;BF$4+7),IF($K115="Deadline","◇","◆"),"")</f>
        <v/>
      </c>
      <c r="BG115" s="14" t="str">
        <f>IF(AND(ISNUMBER($I115),OR($K115="Milestone",$K115="Deadline"),$I115&gt;=BG$4,$I115&lt;BG$4+7),IF($K115="Deadline","◇","◆"),"")</f>
        <v/>
      </c>
      <c r="BH115" s="14" t="str">
        <f>IF(AND(ISNUMBER($I115),OR($K115="Milestone",$K115="Deadline"),$I115&gt;=BH$4,$I115&lt;BH$4+7),IF($K115="Deadline","◇","◆"),"")</f>
        <v/>
      </c>
      <c r="BI115" s="14" t="str">
        <f>IF(AND(ISNUMBER($I115),OR($K115="Milestone",$K115="Deadline"),$I115&gt;=BI$4,$I115&lt;BI$4+7),IF($K115="Deadline","◇","◆"),"")</f>
        <v/>
      </c>
      <c r="BJ115" s="14" t="str">
        <f>IF(AND(ISNUMBER($I115),OR($K115="Milestone",$K115="Deadline"),$I115&gt;=BJ$4,$I115&lt;BJ$4+7),IF($K115="Deadline","◇","◆"),"")</f>
        <v/>
      </c>
      <c r="BK115" s="14" t="str">
        <f>IF(AND(ISNUMBER($I115),OR($K115="Milestone",$K115="Deadline"),$I115&gt;=BK$4,$I115&lt;BK$4+7),IF($K115="Deadline","◇","◆"),"")</f>
        <v/>
      </c>
      <c r="BL115" s="14" t="str">
        <f>IF(AND(ISNUMBER($I115),OR($K115="Milestone",$K115="Deadline"),$I115&gt;=BL$4,$I115&lt;BL$4+7),IF($K115="Deadline","◇","◆"),"")</f>
        <v/>
      </c>
      <c r="BM115" s="14" t="str">
        <f>IF(AND(ISNUMBER($I115),OR($K115="Milestone",$K115="Deadline"),$I115&gt;=BM$4,$I115&lt;BM$4+7),IF($K115="Deadline","◇","◆"),"")</f>
        <v/>
      </c>
      <c r="BN115" s="14" t="str">
        <f>IF(AND(ISNUMBER($I115),OR($K115="Milestone",$K115="Deadline"),$I115&gt;=BN$4,$I115&lt;BN$4+7),IF($K115="Deadline","◇","◆"),"")</f>
        <v/>
      </c>
      <c r="BO115" s="14" t="str">
        <f>IF(AND(ISNUMBER($I115),OR($K115="Milestone",$K115="Deadline"),$I115&gt;=BO$4,$I115&lt;BO$4+7),IF($K115="Deadline","◇","◆"),"")</f>
        <v/>
      </c>
      <c r="BP115" s="14" t="str">
        <f>IF(AND(ISNUMBER($I115),OR($K115="Milestone",$K115="Deadline"),$I115&gt;=BP$4,$I115&lt;BP$4+7),IF($K115="Deadline","◇","◆"),"")</f>
        <v/>
      </c>
      <c r="BQ115" s="14" t="str">
        <f>IF(AND(ISNUMBER($I115),OR($K115="Milestone",$K115="Deadline"),$I115&gt;=BQ$4,$I115&lt;BQ$4+7),IF($K115="Deadline","◇","◆"),"")</f>
        <v/>
      </c>
      <c r="BR115" s="14" t="str">
        <f>IF(AND(ISNUMBER($I115),OR($K115="Milestone",$K115="Deadline"),$I115&gt;=BR$4,$I115&lt;BR$4+7),IF($K115="Deadline","◇","◆"),"")</f>
        <v/>
      </c>
      <c r="BS115" s="14" t="str">
        <f>IF(AND(ISNUMBER($I115),OR($K115="Milestone",$K115="Deadline"),$I115&gt;=BS$4,$I115&lt;BS$4+7),IF($K115="Deadline","◇","◆"),"")</f>
        <v/>
      </c>
      <c r="BT115" s="14" t="str">
        <f>IF(AND(ISNUMBER($I115),OR($K115="Milestone",$K115="Deadline"),$I115&gt;=BT$4,$I115&lt;BT$4+7),IF($K115="Deadline","◇","◆"),"")</f>
        <v/>
      </c>
      <c r="BU115" s="14" t="str">
        <f>IF(AND(ISNUMBER($I115),OR($K115="Milestone",$K115="Deadline"),$I115&gt;=BU$4,$I115&lt;BU$4+7),IF($K115="Deadline","◇","◆"),"")</f>
        <v/>
      </c>
      <c r="BV115" s="14" t="str">
        <f>IF(AND(ISNUMBER($I115),OR($K115="Milestone",$K115="Deadline"),$I115&gt;=BV$4,$I115&lt;BV$4+7),IF($K115="Deadline","◇","◆"),"")</f>
        <v/>
      </c>
      <c r="BW115" s="14" t="str">
        <f>IF(AND(ISNUMBER($I115),OR($K115="Milestone",$K115="Deadline"),$I115&gt;=BW$4,$I115&lt;BW$4+7),IF($K115="Deadline","◇","◆"),"")</f>
        <v/>
      </c>
      <c r="BX115" s="14" t="str">
        <f>IF(AND(ISNUMBER($I115),OR($K115="Milestone",$K115="Deadline"),$I115&gt;=BX$4,$I115&lt;BX$4+7),IF($K115="Deadline","◇","◆"),"")</f>
        <v/>
      </c>
      <c r="BY115" s="14" t="str">
        <f>IF(AND(ISNUMBER($I115),OR($K115="Milestone",$K115="Deadline"),$I115&gt;=BY$4,$I115&lt;BY$4+7),IF($K115="Deadline","◇","◆"),"")</f>
        <v/>
      </c>
      <c r="BZ115" s="14" t="str">
        <f>IF(AND(ISNUMBER($I115),OR($K115="Milestone",$K115="Deadline"),$I115&gt;=BZ$4,$I115&lt;BZ$4+7),IF($K115="Deadline","◇","◆"),"")</f>
        <v/>
      </c>
      <c r="CA115" s="14" t="str">
        <f>IF(AND(ISNUMBER($I115),OR($K115="Milestone",$K115="Deadline"),$I115&gt;=CA$4,$I115&lt;CA$4+7),IF($K115="Deadline","◇","◆"),"")</f>
        <v/>
      </c>
      <c r="CB115" s="14" t="str">
        <f>IF(AND(ISNUMBER($I115),OR($K115="Milestone",$K115="Deadline"),$I115&gt;=CB$4,$I115&lt;CB$4+7),IF($K115="Deadline","◇","◆"),"")</f>
        <v/>
      </c>
      <c r="CC115" s="14" t="str">
        <f>IF(AND(ISNUMBER($I115),OR($K115="Milestone",$K115="Deadline"),$I115&gt;=CC$4,$I115&lt;CC$4+7),IF($K115="Deadline","◇","◆"),"")</f>
        <v/>
      </c>
      <c r="CD115" s="14" t="str">
        <f>IF(AND(ISNUMBER($I115),OR($K115="Milestone",$K115="Deadline"),$I115&gt;=CD$4,$I115&lt;CD$4+7),IF($K115="Deadline","◇","◆"),"")</f>
        <v/>
      </c>
      <c r="CE115" s="14" t="str">
        <f>IF(AND(ISNUMBER($I115),OR($K115="Milestone",$K115="Deadline"),$I115&gt;=CE$4,$I115&lt;CE$4+7),IF($K115="Deadline","◇","◆"),"")</f>
        <v/>
      </c>
      <c r="CF115" s="14" t="str">
        <f>IF(AND(ISNUMBER($I115),OR($K115="Milestone",$K115="Deadline"),$I115&gt;=CF$4,$I115&lt;CF$4+7),IF($K115="Deadline","◇","◆"),"")</f>
        <v/>
      </c>
      <c r="CG115" s="14" t="str">
        <f>IF(AND(ISNUMBER($I115),OR($K115="Milestone",$K115="Deadline"),$I115&gt;=CG$4,$I115&lt;CG$4+7),IF($K115="Deadline","◇","◆"),"")</f>
        <v/>
      </c>
      <c r="CH115" s="14" t="str">
        <f>IF(AND(ISNUMBER($I115),OR($K115="Milestone",$K115="Deadline"),$I115&gt;=CH$4,$I115&lt;CH$4+7),IF($K115="Deadline","◇","◆"),"")</f>
        <v/>
      </c>
      <c r="CI115" s="14" t="str">
        <f>IF(AND(ISNUMBER($I115),OR($K115="Milestone",$K115="Deadline"),$I115&gt;=CI$4,$I115&lt;CI$4+7),IF($K115="Deadline","◇","◆"),"")</f>
        <v/>
      </c>
      <c r="CJ115" s="14" t="str">
        <f>IF(AND(ISNUMBER($I115),OR($K115="Milestone",$K115="Deadline"),$I115&gt;=CJ$4,$I115&lt;CJ$4+7),IF($K115="Deadline","◇","◆"),"")</f>
        <v/>
      </c>
      <c r="CK115" s="14" t="str">
        <f>IF(AND(ISNUMBER($I115),OR($K115="Milestone",$K115="Deadline"),$I115&gt;=CK$4,$I115&lt;CK$4+7),IF($K115="Deadline","◇","◆"),"")</f>
        <v/>
      </c>
      <c r="CL115" s="14" t="str">
        <f>IF(AND(ISNUMBER($I115),OR($K115="Milestone",$K115="Deadline"),$I115&gt;=CL$4,$I115&lt;CL$4+7),IF($K115="Deadline","◇","◆"),"")</f>
        <v/>
      </c>
      <c r="CM115" s="14" t="str">
        <f>IF(AND(ISNUMBER($I115),OR($K115="Milestone",$K115="Deadline"),$I115&gt;=CM$4,$I115&lt;CM$4+7),IF($K115="Deadline","◇","◆"),"")</f>
        <v/>
      </c>
    </row>
    <row r="116" spans="1:91" ht="15" hidden="1" customHeight="1">
      <c r="A116" s="29" t="s">
        <v>318</v>
      </c>
      <c r="B116" s="29" t="s">
        <v>300</v>
      </c>
      <c r="C116" s="29" t="s">
        <v>230</v>
      </c>
      <c r="D116" s="29" t="s">
        <v>301</v>
      </c>
      <c r="E116" s="29"/>
      <c r="F116" s="29" t="s">
        <v>216</v>
      </c>
      <c r="G116" s="29" t="s">
        <v>231</v>
      </c>
      <c r="H116" s="29">
        <v>14</v>
      </c>
      <c r="I116" s="30">
        <f>MAX(DATE(2027,3,8),J66+1)</f>
        <v>46468</v>
      </c>
      <c r="J116" s="31">
        <f>IF(AND(ISNUMBER(I116),ISNUMBER(H116)),I116+H116-1,"")</f>
        <v>46481</v>
      </c>
      <c r="K116" s="29" t="s">
        <v>27</v>
      </c>
      <c r="L116" s="29"/>
      <c r="M116" s="32" t="s">
        <v>229</v>
      </c>
      <c r="N116" s="29"/>
      <c r="O116" s="32">
        <f>IF(AND(ISNUMBER(I116),ISNUMBER(J116)),J116-I116+1,"")</f>
        <v>14</v>
      </c>
      <c r="P116" s="13"/>
      <c r="Q116" s="13"/>
      <c r="R116" s="13"/>
      <c r="S116" s="13"/>
      <c r="T116" s="13" t="s">
        <v>140</v>
      </c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4" t="str">
        <f>IF(AND(ISNUMBER($I116),OR($K116="Milestone",$K116="Deadline"),$I116&gt;=AO$4,$I116&lt;AO$4+7),IF($K116="Deadline","◇","◆"),"")</f>
        <v/>
      </c>
      <c r="AP116" s="14" t="str">
        <f>IF(AND(ISNUMBER($I116),OR($K116="Milestone",$K116="Deadline"),$I116&gt;=AP$4,$I116&lt;AP$4+7),IF($K116="Deadline","◇","◆"),"")</f>
        <v/>
      </c>
      <c r="AQ116" s="14" t="str">
        <f>IF(AND(ISNUMBER($I116),OR($K116="Milestone",$K116="Deadline"),$I116&gt;=AQ$4,$I116&lt;AQ$4+7),IF($K116="Deadline","◇","◆"),"")</f>
        <v/>
      </c>
      <c r="AR116" s="14" t="str">
        <f>IF(AND(ISNUMBER($I116),OR($K116="Milestone",$K116="Deadline"),$I116&gt;=AR$4,$I116&lt;AR$4+7),IF($K116="Deadline","◇","◆"),"")</f>
        <v/>
      </c>
      <c r="AS116" s="14" t="str">
        <f>IF(AND(ISNUMBER($I116),OR($K116="Milestone",$K116="Deadline"),$I116&gt;=AS$4,$I116&lt;AS$4+7),IF($K116="Deadline","◇","◆"),"")</f>
        <v/>
      </c>
      <c r="AT116" s="14" t="str">
        <f>IF(AND(ISNUMBER($I116),OR($K116="Milestone",$K116="Deadline"),$I116&gt;=AT$4,$I116&lt;AT$4+7),IF($K116="Deadline","◇","◆"),"")</f>
        <v/>
      </c>
      <c r="AU116" s="14" t="str">
        <f>IF(AND(ISNUMBER($I116),OR($K116="Milestone",$K116="Deadline"),$I116&gt;=AU$4,$I116&lt;AU$4+7),IF($K116="Deadline","◇","◆"),"")</f>
        <v/>
      </c>
      <c r="AV116" s="14" t="str">
        <f>IF(AND(ISNUMBER($I116),OR($K116="Milestone",$K116="Deadline"),$I116&gt;=AV$4,$I116&lt;AV$4+7),IF($K116="Deadline","◇","◆"),"")</f>
        <v/>
      </c>
      <c r="AW116" s="14" t="str">
        <f>IF(AND(ISNUMBER($I116),OR($K116="Milestone",$K116="Deadline"),$I116&gt;=AW$4,$I116&lt;AW$4+7),IF($K116="Deadline","◇","◆"),"")</f>
        <v/>
      </c>
      <c r="AX116" s="14" t="str">
        <f>IF(AND(ISNUMBER($I116),OR($K116="Milestone",$K116="Deadline"),$I116&gt;=AX$4,$I116&lt;AX$4+7),IF($K116="Deadline","◇","◆"),"")</f>
        <v/>
      </c>
      <c r="AY116" s="14" t="str">
        <f>IF(AND(ISNUMBER($I116),OR($K116="Milestone",$K116="Deadline"),$I116&gt;=AY$4,$I116&lt;AY$4+7),IF($K116="Deadline","◇","◆"),"")</f>
        <v/>
      </c>
      <c r="AZ116" s="14" t="str">
        <f>IF(AND(ISNUMBER($I116),OR($K116="Milestone",$K116="Deadline"),$I116&gt;=AZ$4,$I116&lt;AZ$4+7),IF($K116="Deadline","◇","◆"),"")</f>
        <v/>
      </c>
      <c r="BA116" s="14" t="str">
        <f>IF(AND(ISNUMBER($I116),OR($K116="Milestone",$K116="Deadline"),$I116&gt;=BA$4,$I116&lt;BA$4+7),IF($K116="Deadline","◇","◆"),"")</f>
        <v/>
      </c>
      <c r="BB116" s="14" t="str">
        <f>IF(AND(ISNUMBER($I116),OR($K116="Milestone",$K116="Deadline"),$I116&gt;=BB$4,$I116&lt;BB$4+7),IF($K116="Deadline","◇","◆"),"")</f>
        <v/>
      </c>
      <c r="BC116" s="14" t="str">
        <f>IF(AND(ISNUMBER($I116),OR($K116="Milestone",$K116="Deadline"),$I116&gt;=BC$4,$I116&lt;BC$4+7),IF($K116="Deadline","◇","◆"),"")</f>
        <v/>
      </c>
      <c r="BD116" s="14" t="str">
        <f>IF(AND(ISNUMBER($I116),OR($K116="Milestone",$K116="Deadline"),$I116&gt;=BD$4,$I116&lt;BD$4+7),IF($K116="Deadline","◇","◆"),"")</f>
        <v/>
      </c>
      <c r="BE116" s="14" t="str">
        <f>IF(AND(ISNUMBER($I116),OR($K116="Milestone",$K116="Deadline"),$I116&gt;=BE$4,$I116&lt;BE$4+7),IF($K116="Deadline","◇","◆"),"")</f>
        <v/>
      </c>
      <c r="BF116" s="14" t="str">
        <f>IF(AND(ISNUMBER($I116),OR($K116="Milestone",$K116="Deadline"),$I116&gt;=BF$4,$I116&lt;BF$4+7),IF($K116="Deadline","◇","◆"),"")</f>
        <v/>
      </c>
      <c r="BG116" s="14" t="str">
        <f>IF(AND(ISNUMBER($I116),OR($K116="Milestone",$K116="Deadline"),$I116&gt;=BG$4,$I116&lt;BG$4+7),IF($K116="Deadline","◇","◆"),"")</f>
        <v/>
      </c>
      <c r="BH116" s="14" t="str">
        <f>IF(AND(ISNUMBER($I116),OR($K116="Milestone",$K116="Deadline"),$I116&gt;=BH$4,$I116&lt;BH$4+7),IF($K116="Deadline","◇","◆"),"")</f>
        <v/>
      </c>
      <c r="BI116" s="14" t="str">
        <f>IF(AND(ISNUMBER($I116),OR($K116="Milestone",$K116="Deadline"),$I116&gt;=BI$4,$I116&lt;BI$4+7),IF($K116="Deadline","◇","◆"),"")</f>
        <v/>
      </c>
      <c r="BJ116" s="14" t="str">
        <f>IF(AND(ISNUMBER($I116),OR($K116="Milestone",$K116="Deadline"),$I116&gt;=BJ$4,$I116&lt;BJ$4+7),IF($K116="Deadline","◇","◆"),"")</f>
        <v/>
      </c>
      <c r="BK116" s="14" t="str">
        <f>IF(AND(ISNUMBER($I116),OR($K116="Milestone",$K116="Deadline"),$I116&gt;=BK$4,$I116&lt;BK$4+7),IF($K116="Deadline","◇","◆"),"")</f>
        <v/>
      </c>
      <c r="BL116" s="14" t="str">
        <f>IF(AND(ISNUMBER($I116),OR($K116="Milestone",$K116="Deadline"),$I116&gt;=BL$4,$I116&lt;BL$4+7),IF($K116="Deadline","◇","◆"),"")</f>
        <v/>
      </c>
      <c r="BM116" s="14" t="str">
        <f>IF(AND(ISNUMBER($I116),OR($K116="Milestone",$K116="Deadline"),$I116&gt;=BM$4,$I116&lt;BM$4+7),IF($K116="Deadline","◇","◆"),"")</f>
        <v/>
      </c>
      <c r="BN116" s="14" t="str">
        <f>IF(AND(ISNUMBER($I116),OR($K116="Milestone",$K116="Deadline"),$I116&gt;=BN$4,$I116&lt;BN$4+7),IF($K116="Deadline","◇","◆"),"")</f>
        <v/>
      </c>
      <c r="BO116" s="14" t="str">
        <f>IF(AND(ISNUMBER($I116),OR($K116="Milestone",$K116="Deadline"),$I116&gt;=BO$4,$I116&lt;BO$4+7),IF($K116="Deadline","◇","◆"),"")</f>
        <v/>
      </c>
      <c r="BP116" s="14" t="str">
        <f>IF(AND(ISNUMBER($I116),OR($K116="Milestone",$K116="Deadline"),$I116&gt;=BP$4,$I116&lt;BP$4+7),IF($K116="Deadline","◇","◆"),"")</f>
        <v/>
      </c>
      <c r="BQ116" s="14" t="str">
        <f>IF(AND(ISNUMBER($I116),OR($K116="Milestone",$K116="Deadline"),$I116&gt;=BQ$4,$I116&lt;BQ$4+7),IF($K116="Deadline","◇","◆"),"")</f>
        <v/>
      </c>
      <c r="BR116" s="14" t="str">
        <f>IF(AND(ISNUMBER($I116),OR($K116="Milestone",$K116="Deadline"),$I116&gt;=BR$4,$I116&lt;BR$4+7),IF($K116="Deadline","◇","◆"),"")</f>
        <v/>
      </c>
      <c r="BS116" s="14" t="str">
        <f>IF(AND(ISNUMBER($I116),OR($K116="Milestone",$K116="Deadline"),$I116&gt;=BS$4,$I116&lt;BS$4+7),IF($K116="Deadline","◇","◆"),"")</f>
        <v/>
      </c>
      <c r="BT116" s="14" t="str">
        <f>IF(AND(ISNUMBER($I116),OR($K116="Milestone",$K116="Deadline"),$I116&gt;=BT$4,$I116&lt;BT$4+7),IF($K116="Deadline","◇","◆"),"")</f>
        <v/>
      </c>
      <c r="BU116" s="14" t="str">
        <f>IF(AND(ISNUMBER($I116),OR($K116="Milestone",$K116="Deadline"),$I116&gt;=BU$4,$I116&lt;BU$4+7),IF($K116="Deadline","◇","◆"),"")</f>
        <v/>
      </c>
      <c r="BV116" s="14" t="str">
        <f>IF(AND(ISNUMBER($I116),OR($K116="Milestone",$K116="Deadline"),$I116&gt;=BV$4,$I116&lt;BV$4+7),IF($K116="Deadline","◇","◆"),"")</f>
        <v/>
      </c>
      <c r="BW116" s="14" t="str">
        <f>IF(AND(ISNUMBER($I116),OR($K116="Milestone",$K116="Deadline"),$I116&gt;=BW$4,$I116&lt;BW$4+7),IF($K116="Deadline","◇","◆"),"")</f>
        <v/>
      </c>
      <c r="BX116" s="14" t="str">
        <f>IF(AND(ISNUMBER($I116),OR($K116="Milestone",$K116="Deadline"),$I116&gt;=BX$4,$I116&lt;BX$4+7),IF($K116="Deadline","◇","◆"),"")</f>
        <v/>
      </c>
      <c r="BY116" s="14" t="str">
        <f>IF(AND(ISNUMBER($I116),OR($K116="Milestone",$K116="Deadline"),$I116&gt;=BY$4,$I116&lt;BY$4+7),IF($K116="Deadline","◇","◆"),"")</f>
        <v/>
      </c>
      <c r="BZ116" s="14" t="str">
        <f>IF(AND(ISNUMBER($I116),OR($K116="Milestone",$K116="Deadline"),$I116&gt;=BZ$4,$I116&lt;BZ$4+7),IF($K116="Deadline","◇","◆"),"")</f>
        <v/>
      </c>
      <c r="CA116" s="14" t="str">
        <f>IF(AND(ISNUMBER($I116),OR($K116="Milestone",$K116="Deadline"),$I116&gt;=CA$4,$I116&lt;CA$4+7),IF($K116="Deadline","◇","◆"),"")</f>
        <v/>
      </c>
      <c r="CB116" s="14" t="str">
        <f>IF(AND(ISNUMBER($I116),OR($K116="Milestone",$K116="Deadline"),$I116&gt;=CB$4,$I116&lt;CB$4+7),IF($K116="Deadline","◇","◆"),"")</f>
        <v/>
      </c>
      <c r="CC116" s="14" t="str">
        <f>IF(AND(ISNUMBER($I116),OR($K116="Milestone",$K116="Deadline"),$I116&gt;=CC$4,$I116&lt;CC$4+7),IF($K116="Deadline","◇","◆"),"")</f>
        <v/>
      </c>
      <c r="CD116" s="14" t="str">
        <f>IF(AND(ISNUMBER($I116),OR($K116="Milestone",$K116="Deadline"),$I116&gt;=CD$4,$I116&lt;CD$4+7),IF($K116="Deadline","◇","◆"),"")</f>
        <v/>
      </c>
      <c r="CE116" s="14" t="str">
        <f>IF(AND(ISNUMBER($I116),OR($K116="Milestone",$K116="Deadline"),$I116&gt;=CE$4,$I116&lt;CE$4+7),IF($K116="Deadline","◇","◆"),"")</f>
        <v/>
      </c>
      <c r="CF116" s="14" t="str">
        <f>IF(AND(ISNUMBER($I116),OR($K116="Milestone",$K116="Deadline"),$I116&gt;=CF$4,$I116&lt;CF$4+7),IF($K116="Deadline","◇","◆"),"")</f>
        <v/>
      </c>
      <c r="CG116" s="14" t="str">
        <f>IF(AND(ISNUMBER($I116),OR($K116="Milestone",$K116="Deadline"),$I116&gt;=CG$4,$I116&lt;CG$4+7),IF($K116="Deadline","◇","◆"),"")</f>
        <v/>
      </c>
      <c r="CH116" s="14" t="str">
        <f>IF(AND(ISNUMBER($I116),OR($K116="Milestone",$K116="Deadline"),$I116&gt;=CH$4,$I116&lt;CH$4+7),IF($K116="Deadline","◇","◆"),"")</f>
        <v/>
      </c>
      <c r="CI116" s="14" t="str">
        <f>IF(AND(ISNUMBER($I116),OR($K116="Milestone",$K116="Deadline"),$I116&gt;=CI$4,$I116&lt;CI$4+7),IF($K116="Deadline","◇","◆"),"")</f>
        <v/>
      </c>
      <c r="CJ116" s="14" t="str">
        <f>IF(AND(ISNUMBER($I116),OR($K116="Milestone",$K116="Deadline"),$I116&gt;=CJ$4,$I116&lt;CJ$4+7),IF($K116="Deadline","◇","◆"),"")</f>
        <v/>
      </c>
      <c r="CK116" s="14" t="str">
        <f>IF(AND(ISNUMBER($I116),OR($K116="Milestone",$K116="Deadline"),$I116&gt;=CK$4,$I116&lt;CK$4+7),IF($K116="Deadline","◇","◆"),"")</f>
        <v/>
      </c>
      <c r="CL116" s="14" t="str">
        <f>IF(AND(ISNUMBER($I116),OR($K116="Milestone",$K116="Deadline"),$I116&gt;=CL$4,$I116&lt;CL$4+7),IF($K116="Deadline","◇","◆"),"")</f>
        <v/>
      </c>
      <c r="CM116" s="14" t="str">
        <f>IF(AND(ISNUMBER($I116),OR($K116="Milestone",$K116="Deadline"),$I116&gt;=CM$4,$I116&lt;CM$4+7),IF($K116="Deadline","◇","◆"),"")</f>
        <v/>
      </c>
    </row>
    <row r="117" spans="1:91" ht="15" hidden="1" customHeight="1">
      <c r="A117" s="15" t="s">
        <v>319</v>
      </c>
      <c r="B117" s="15" t="s">
        <v>320</v>
      </c>
      <c r="C117" s="15" t="s">
        <v>63</v>
      </c>
      <c r="D117" s="15" t="s">
        <v>168</v>
      </c>
      <c r="E117" s="15" t="s">
        <v>169</v>
      </c>
      <c r="F117" s="15" t="s">
        <v>170</v>
      </c>
      <c r="G117" s="15" t="s">
        <v>176</v>
      </c>
      <c r="H117" s="15">
        <v>3</v>
      </c>
      <c r="I117" s="34">
        <f>MAX($C$2,J45+1,J69+1,J74+1)</f>
        <v>46397</v>
      </c>
      <c r="J117" s="17">
        <f>IF(AND(ISNUMBER(I117),ISNUMBER(H117)),I117+H117-1,"")</f>
        <v>46399</v>
      </c>
      <c r="K117" s="15" t="s">
        <v>27</v>
      </c>
      <c r="L117" s="15" t="s">
        <v>321</v>
      </c>
      <c r="M117" s="18" t="s">
        <v>241</v>
      </c>
      <c r="N117" s="15"/>
      <c r="O117" s="18">
        <f>IF(AND(ISNUMBER(I117),ISNUMBER(J117)),J117-I117+1,"")</f>
        <v>3</v>
      </c>
      <c r="P117" s="13"/>
      <c r="Q117" s="13"/>
      <c r="R117" s="13"/>
      <c r="S117" s="13"/>
      <c r="T117" s="13"/>
      <c r="U117" s="13"/>
      <c r="V117" s="13" t="s">
        <v>140</v>
      </c>
      <c r="W117" s="13"/>
      <c r="X117" s="13"/>
      <c r="Y117" s="13"/>
      <c r="Z117" s="13" t="s">
        <v>140</v>
      </c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4" t="str">
        <f>IF(AND(ISNUMBER($I117),OR($K117="Milestone",$K117="Deadline"),$I117&gt;=AO$4,$I117&lt;AO$4+7),IF($K117="Deadline","◇","◆"),"")</f>
        <v/>
      </c>
      <c r="AP117" s="14" t="str">
        <f>IF(AND(ISNUMBER($I117),OR($K117="Milestone",$K117="Deadline"),$I117&gt;=AP$4,$I117&lt;AP$4+7),IF($K117="Deadline","◇","◆"),"")</f>
        <v/>
      </c>
      <c r="AQ117" s="14" t="str">
        <f>IF(AND(ISNUMBER($I117),OR($K117="Milestone",$K117="Deadline"),$I117&gt;=AQ$4,$I117&lt;AQ$4+7),IF($K117="Deadline","◇","◆"),"")</f>
        <v/>
      </c>
      <c r="AR117" s="14" t="str">
        <f>IF(AND(ISNUMBER($I117),OR($K117="Milestone",$K117="Deadline"),$I117&gt;=AR$4,$I117&lt;AR$4+7),IF($K117="Deadline","◇","◆"),"")</f>
        <v/>
      </c>
      <c r="AS117" s="14" t="str">
        <f>IF(AND(ISNUMBER($I117),OR($K117="Milestone",$K117="Deadline"),$I117&gt;=AS$4,$I117&lt;AS$4+7),IF($K117="Deadline","◇","◆"),"")</f>
        <v/>
      </c>
      <c r="AT117" s="14" t="str">
        <f>IF(AND(ISNUMBER($I117),OR($K117="Milestone",$K117="Deadline"),$I117&gt;=AT$4,$I117&lt;AT$4+7),IF($K117="Deadline","◇","◆"),"")</f>
        <v/>
      </c>
      <c r="AU117" s="14" t="str">
        <f>IF(AND(ISNUMBER($I117),OR($K117="Milestone",$K117="Deadline"),$I117&gt;=AU$4,$I117&lt;AU$4+7),IF($K117="Deadline","◇","◆"),"")</f>
        <v/>
      </c>
      <c r="AV117" s="14" t="str">
        <f>IF(AND(ISNUMBER($I117),OR($K117="Milestone",$K117="Deadline"),$I117&gt;=AV$4,$I117&lt;AV$4+7),IF($K117="Deadline","◇","◆"),"")</f>
        <v/>
      </c>
      <c r="AW117" s="14" t="str">
        <f>IF(AND(ISNUMBER($I117),OR($K117="Milestone",$K117="Deadline"),$I117&gt;=AW$4,$I117&lt;AW$4+7),IF($K117="Deadline","◇","◆"),"")</f>
        <v/>
      </c>
      <c r="AX117" s="14" t="str">
        <f>IF(AND(ISNUMBER($I117),OR($K117="Milestone",$K117="Deadline"),$I117&gt;=AX$4,$I117&lt;AX$4+7),IF($K117="Deadline","◇","◆"),"")</f>
        <v/>
      </c>
      <c r="AY117" s="14" t="str">
        <f>IF(AND(ISNUMBER($I117),OR($K117="Milestone",$K117="Deadline"),$I117&gt;=AY$4,$I117&lt;AY$4+7),IF($K117="Deadline","◇","◆"),"")</f>
        <v/>
      </c>
      <c r="AZ117" s="14" t="str">
        <f>IF(AND(ISNUMBER($I117),OR($K117="Milestone",$K117="Deadline"),$I117&gt;=AZ$4,$I117&lt;AZ$4+7),IF($K117="Deadline","◇","◆"),"")</f>
        <v/>
      </c>
      <c r="BA117" s="14" t="str">
        <f>IF(AND(ISNUMBER($I117),OR($K117="Milestone",$K117="Deadline"),$I117&gt;=BA$4,$I117&lt;BA$4+7),IF($K117="Deadline","◇","◆"),"")</f>
        <v/>
      </c>
      <c r="BB117" s="14" t="str">
        <f>IF(AND(ISNUMBER($I117),OR($K117="Milestone",$K117="Deadline"),$I117&gt;=BB$4,$I117&lt;BB$4+7),IF($K117="Deadline","◇","◆"),"")</f>
        <v/>
      </c>
      <c r="BC117" s="14" t="str">
        <f>IF(AND(ISNUMBER($I117),OR($K117="Milestone",$K117="Deadline"),$I117&gt;=BC$4,$I117&lt;BC$4+7),IF($K117="Deadline","◇","◆"),"")</f>
        <v/>
      </c>
      <c r="BD117" s="14" t="str">
        <f>IF(AND(ISNUMBER($I117),OR($K117="Milestone",$K117="Deadline"),$I117&gt;=BD$4,$I117&lt;BD$4+7),IF($K117="Deadline","◇","◆"),"")</f>
        <v/>
      </c>
      <c r="BE117" s="14" t="str">
        <f>IF(AND(ISNUMBER($I117),OR($K117="Milestone",$K117="Deadline"),$I117&gt;=BE$4,$I117&lt;BE$4+7),IF($K117="Deadline","◇","◆"),"")</f>
        <v/>
      </c>
      <c r="BF117" s="14" t="str">
        <f>IF(AND(ISNUMBER($I117),OR($K117="Milestone",$K117="Deadline"),$I117&gt;=BF$4,$I117&lt;BF$4+7),IF($K117="Deadline","◇","◆"),"")</f>
        <v/>
      </c>
      <c r="BG117" s="14" t="str">
        <f>IF(AND(ISNUMBER($I117),OR($K117="Milestone",$K117="Deadline"),$I117&gt;=BG$4,$I117&lt;BG$4+7),IF($K117="Deadline","◇","◆"),"")</f>
        <v/>
      </c>
      <c r="BH117" s="14" t="str">
        <f>IF(AND(ISNUMBER($I117),OR($K117="Milestone",$K117="Deadline"),$I117&gt;=BH$4,$I117&lt;BH$4+7),IF($K117="Deadline","◇","◆"),"")</f>
        <v/>
      </c>
      <c r="BI117" s="14" t="str">
        <f>IF(AND(ISNUMBER($I117),OR($K117="Milestone",$K117="Deadline"),$I117&gt;=BI$4,$I117&lt;BI$4+7),IF($K117="Deadline","◇","◆"),"")</f>
        <v/>
      </c>
      <c r="BJ117" s="14" t="str">
        <f>IF(AND(ISNUMBER($I117),OR($K117="Milestone",$K117="Deadline"),$I117&gt;=BJ$4,$I117&lt;BJ$4+7),IF($K117="Deadline","◇","◆"),"")</f>
        <v/>
      </c>
      <c r="BK117" s="14" t="str">
        <f>IF(AND(ISNUMBER($I117),OR($K117="Milestone",$K117="Deadline"),$I117&gt;=BK$4,$I117&lt;BK$4+7),IF($K117="Deadline","◇","◆"),"")</f>
        <v/>
      </c>
      <c r="BL117" s="14" t="str">
        <f>IF(AND(ISNUMBER($I117),OR($K117="Milestone",$K117="Deadline"),$I117&gt;=BL$4,$I117&lt;BL$4+7),IF($K117="Deadline","◇","◆"),"")</f>
        <v/>
      </c>
      <c r="BM117" s="14" t="str">
        <f>IF(AND(ISNUMBER($I117),OR($K117="Milestone",$K117="Deadline"),$I117&gt;=BM$4,$I117&lt;BM$4+7),IF($K117="Deadline","◇","◆"),"")</f>
        <v/>
      </c>
      <c r="BN117" s="14" t="str">
        <f>IF(AND(ISNUMBER($I117),OR($K117="Milestone",$K117="Deadline"),$I117&gt;=BN$4,$I117&lt;BN$4+7),IF($K117="Deadline","◇","◆"),"")</f>
        <v/>
      </c>
      <c r="BO117" s="14" t="str">
        <f>IF(AND(ISNUMBER($I117),OR($K117="Milestone",$K117="Deadline"),$I117&gt;=BO$4,$I117&lt;BO$4+7),IF($K117="Deadline","◇","◆"),"")</f>
        <v/>
      </c>
      <c r="BP117" s="14" t="str">
        <f>IF(AND(ISNUMBER($I117),OR($K117="Milestone",$K117="Deadline"),$I117&gt;=BP$4,$I117&lt;BP$4+7),IF($K117="Deadline","◇","◆"),"")</f>
        <v/>
      </c>
      <c r="BQ117" s="14" t="str">
        <f>IF(AND(ISNUMBER($I117),OR($K117="Milestone",$K117="Deadline"),$I117&gt;=BQ$4,$I117&lt;BQ$4+7),IF($K117="Deadline","◇","◆"),"")</f>
        <v/>
      </c>
      <c r="BR117" s="14" t="str">
        <f>IF(AND(ISNUMBER($I117),OR($K117="Milestone",$K117="Deadline"),$I117&gt;=BR$4,$I117&lt;BR$4+7),IF($K117="Deadline","◇","◆"),"")</f>
        <v/>
      </c>
      <c r="BS117" s="14" t="str">
        <f>IF(AND(ISNUMBER($I117),OR($K117="Milestone",$K117="Deadline"),$I117&gt;=BS$4,$I117&lt;BS$4+7),IF($K117="Deadline","◇","◆"),"")</f>
        <v/>
      </c>
      <c r="BT117" s="14" t="str">
        <f>IF(AND(ISNUMBER($I117),OR($K117="Milestone",$K117="Deadline"),$I117&gt;=BT$4,$I117&lt;BT$4+7),IF($K117="Deadline","◇","◆"),"")</f>
        <v/>
      </c>
      <c r="BU117" s="14" t="str">
        <f>IF(AND(ISNUMBER($I117),OR($K117="Milestone",$K117="Deadline"),$I117&gt;=BU$4,$I117&lt;BU$4+7),IF($K117="Deadline","◇","◆"),"")</f>
        <v/>
      </c>
      <c r="BV117" s="14" t="str">
        <f>IF(AND(ISNUMBER($I117),OR($K117="Milestone",$K117="Deadline"),$I117&gt;=BV$4,$I117&lt;BV$4+7),IF($K117="Deadline","◇","◆"),"")</f>
        <v/>
      </c>
      <c r="BW117" s="14" t="str">
        <f>IF(AND(ISNUMBER($I117),OR($K117="Milestone",$K117="Deadline"),$I117&gt;=BW$4,$I117&lt;BW$4+7),IF($K117="Deadline","◇","◆"),"")</f>
        <v/>
      </c>
      <c r="BX117" s="14" t="str">
        <f>IF(AND(ISNUMBER($I117),OR($K117="Milestone",$K117="Deadline"),$I117&gt;=BX$4,$I117&lt;BX$4+7),IF($K117="Deadline","◇","◆"),"")</f>
        <v/>
      </c>
      <c r="BY117" s="14" t="str">
        <f>IF(AND(ISNUMBER($I117),OR($K117="Milestone",$K117="Deadline"),$I117&gt;=BY$4,$I117&lt;BY$4+7),IF($K117="Deadline","◇","◆"),"")</f>
        <v/>
      </c>
      <c r="BZ117" s="14" t="str">
        <f>IF(AND(ISNUMBER($I117),OR($K117="Milestone",$K117="Deadline"),$I117&gt;=BZ$4,$I117&lt;BZ$4+7),IF($K117="Deadline","◇","◆"),"")</f>
        <v/>
      </c>
      <c r="CA117" s="14" t="str">
        <f>IF(AND(ISNUMBER($I117),OR($K117="Milestone",$K117="Deadline"),$I117&gt;=CA$4,$I117&lt;CA$4+7),IF($K117="Deadline","◇","◆"),"")</f>
        <v/>
      </c>
      <c r="CB117" s="14" t="str">
        <f>IF(AND(ISNUMBER($I117),OR($K117="Milestone",$K117="Deadline"),$I117&gt;=CB$4,$I117&lt;CB$4+7),IF($K117="Deadline","◇","◆"),"")</f>
        <v/>
      </c>
      <c r="CC117" s="14" t="str">
        <f>IF(AND(ISNUMBER($I117),OR($K117="Milestone",$K117="Deadline"),$I117&gt;=CC$4,$I117&lt;CC$4+7),IF($K117="Deadline","◇","◆"),"")</f>
        <v/>
      </c>
      <c r="CD117" s="14" t="str">
        <f>IF(AND(ISNUMBER($I117),OR($K117="Milestone",$K117="Deadline"),$I117&gt;=CD$4,$I117&lt;CD$4+7),IF($K117="Deadline","◇","◆"),"")</f>
        <v/>
      </c>
      <c r="CE117" s="14" t="str">
        <f>IF(AND(ISNUMBER($I117),OR($K117="Milestone",$K117="Deadline"),$I117&gt;=CE$4,$I117&lt;CE$4+7),IF($K117="Deadline","◇","◆"),"")</f>
        <v/>
      </c>
      <c r="CF117" s="14" t="str">
        <f>IF(AND(ISNUMBER($I117),OR($K117="Milestone",$K117="Deadline"),$I117&gt;=CF$4,$I117&lt;CF$4+7),IF($K117="Deadline","◇","◆"),"")</f>
        <v/>
      </c>
      <c r="CG117" s="14" t="str">
        <f>IF(AND(ISNUMBER($I117),OR($K117="Milestone",$K117="Deadline"),$I117&gt;=CG$4,$I117&lt;CG$4+7),IF($K117="Deadline","◇","◆"),"")</f>
        <v/>
      </c>
      <c r="CH117" s="14" t="str">
        <f>IF(AND(ISNUMBER($I117),OR($K117="Milestone",$K117="Deadline"),$I117&gt;=CH$4,$I117&lt;CH$4+7),IF($K117="Deadline","◇","◆"),"")</f>
        <v/>
      </c>
      <c r="CI117" s="14" t="str">
        <f>IF(AND(ISNUMBER($I117),OR($K117="Milestone",$K117="Deadline"),$I117&gt;=CI$4,$I117&lt;CI$4+7),IF($K117="Deadline","◇","◆"),"")</f>
        <v/>
      </c>
      <c r="CJ117" s="14" t="str">
        <f>IF(AND(ISNUMBER($I117),OR($K117="Milestone",$K117="Deadline"),$I117&gt;=CJ$4,$I117&lt;CJ$4+7),IF($K117="Deadline","◇","◆"),"")</f>
        <v/>
      </c>
      <c r="CK117" s="14" t="str">
        <f>IF(AND(ISNUMBER($I117),OR($K117="Milestone",$K117="Deadline"),$I117&gt;=CK$4,$I117&lt;CK$4+7),IF($K117="Deadline","◇","◆"),"")</f>
        <v/>
      </c>
      <c r="CL117" s="14" t="str">
        <f>IF(AND(ISNUMBER($I117),OR($K117="Milestone",$K117="Deadline"),$I117&gt;=CL$4,$I117&lt;CL$4+7),IF($K117="Deadline","◇","◆"),"")</f>
        <v/>
      </c>
      <c r="CM117" s="14" t="str">
        <f>IF(AND(ISNUMBER($I117),OR($K117="Milestone",$K117="Deadline"),$I117&gt;=CM$4,$I117&lt;CM$4+7),IF($K117="Deadline","◇","◆"),"")</f>
        <v/>
      </c>
    </row>
    <row r="118" spans="1:91" ht="15" hidden="1" customHeight="1">
      <c r="A118" s="15" t="s">
        <v>322</v>
      </c>
      <c r="B118" s="15" t="s">
        <v>320</v>
      </c>
      <c r="C118" s="15" t="s">
        <v>63</v>
      </c>
      <c r="D118" s="15" t="s">
        <v>168</v>
      </c>
      <c r="E118" s="15" t="s">
        <v>169</v>
      </c>
      <c r="F118" s="15" t="s">
        <v>179</v>
      </c>
      <c r="G118" s="15" t="s">
        <v>176</v>
      </c>
      <c r="H118" s="15">
        <v>4</v>
      </c>
      <c r="I118" s="34">
        <f>MAX($C$2,J48+1,J72+1,J127+1)</f>
        <v>46385</v>
      </c>
      <c r="J118" s="17">
        <f>IF(AND(ISNUMBER(I118),ISNUMBER(H118)),I118+H118-1,"")</f>
        <v>46388</v>
      </c>
      <c r="K118" s="15" t="s">
        <v>27</v>
      </c>
      <c r="L118" s="15" t="s">
        <v>323</v>
      </c>
      <c r="M118" s="18" t="s">
        <v>324</v>
      </c>
      <c r="N118" s="15"/>
      <c r="O118" s="18">
        <f>IF(AND(ISNUMBER(I118),ISNUMBER(J118)),J118-I118+1,"")</f>
        <v>4</v>
      </c>
      <c r="P118" s="13"/>
      <c r="Q118" s="13"/>
      <c r="R118" s="13"/>
      <c r="S118" s="13"/>
      <c r="T118" s="13"/>
      <c r="U118" s="13"/>
      <c r="V118" s="13" t="s">
        <v>140</v>
      </c>
      <c r="W118" s="13"/>
      <c r="X118" s="13"/>
      <c r="Y118" s="13"/>
      <c r="Z118" s="13"/>
      <c r="AA118" s="13"/>
      <c r="AB118" s="13"/>
      <c r="AC118" s="13" t="s">
        <v>140</v>
      </c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4" t="str">
        <f>IF(AND(ISNUMBER($I118),OR($K118="Milestone",$K118="Deadline"),$I118&gt;=AO$4,$I118&lt;AO$4+7),IF($K118="Deadline","◇","◆"),"")</f>
        <v/>
      </c>
      <c r="AP118" s="14" t="str">
        <f>IF(AND(ISNUMBER($I118),OR($K118="Milestone",$K118="Deadline"),$I118&gt;=AP$4,$I118&lt;AP$4+7),IF($K118="Deadline","◇","◆"),"")</f>
        <v/>
      </c>
      <c r="AQ118" s="14" t="str">
        <f>IF(AND(ISNUMBER($I118),OR($K118="Milestone",$K118="Deadline"),$I118&gt;=AQ$4,$I118&lt;AQ$4+7),IF($K118="Deadline","◇","◆"),"")</f>
        <v/>
      </c>
      <c r="AR118" s="14" t="str">
        <f>IF(AND(ISNUMBER($I118),OR($K118="Milestone",$K118="Deadline"),$I118&gt;=AR$4,$I118&lt;AR$4+7),IF($K118="Deadline","◇","◆"),"")</f>
        <v/>
      </c>
      <c r="AS118" s="14" t="str">
        <f>IF(AND(ISNUMBER($I118),OR($K118="Milestone",$K118="Deadline"),$I118&gt;=AS$4,$I118&lt;AS$4+7),IF($K118="Deadline","◇","◆"),"")</f>
        <v/>
      </c>
      <c r="AT118" s="14" t="str">
        <f>IF(AND(ISNUMBER($I118),OR($K118="Milestone",$K118="Deadline"),$I118&gt;=AT$4,$I118&lt;AT$4+7),IF($K118="Deadline","◇","◆"),"")</f>
        <v/>
      </c>
      <c r="AU118" s="14" t="str">
        <f>IF(AND(ISNUMBER($I118),OR($K118="Milestone",$K118="Deadline"),$I118&gt;=AU$4,$I118&lt;AU$4+7),IF($K118="Deadline","◇","◆"),"")</f>
        <v/>
      </c>
      <c r="AV118" s="14" t="str">
        <f>IF(AND(ISNUMBER($I118),OR($K118="Milestone",$K118="Deadline"),$I118&gt;=AV$4,$I118&lt;AV$4+7),IF($K118="Deadline","◇","◆"),"")</f>
        <v/>
      </c>
      <c r="AW118" s="14" t="str">
        <f>IF(AND(ISNUMBER($I118),OR($K118="Milestone",$K118="Deadline"),$I118&gt;=AW$4,$I118&lt;AW$4+7),IF($K118="Deadline","◇","◆"),"")</f>
        <v/>
      </c>
      <c r="AX118" s="14" t="str">
        <f>IF(AND(ISNUMBER($I118),OR($K118="Milestone",$K118="Deadline"),$I118&gt;=AX$4,$I118&lt;AX$4+7),IF($K118="Deadline","◇","◆"),"")</f>
        <v/>
      </c>
      <c r="AY118" s="14" t="str">
        <f>IF(AND(ISNUMBER($I118),OR($K118="Milestone",$K118="Deadline"),$I118&gt;=AY$4,$I118&lt;AY$4+7),IF($K118="Deadline","◇","◆"),"")</f>
        <v/>
      </c>
      <c r="AZ118" s="14" t="str">
        <f>IF(AND(ISNUMBER($I118),OR($K118="Milestone",$K118="Deadline"),$I118&gt;=AZ$4,$I118&lt;AZ$4+7),IF($K118="Deadline","◇","◆"),"")</f>
        <v/>
      </c>
      <c r="BA118" s="14" t="str">
        <f>IF(AND(ISNUMBER($I118),OR($K118="Milestone",$K118="Deadline"),$I118&gt;=BA$4,$I118&lt;BA$4+7),IF($K118="Deadline","◇","◆"),"")</f>
        <v/>
      </c>
      <c r="BB118" s="14" t="str">
        <f>IF(AND(ISNUMBER($I118),OR($K118="Milestone",$K118="Deadline"),$I118&gt;=BB$4,$I118&lt;BB$4+7),IF($K118="Deadline","◇","◆"),"")</f>
        <v/>
      </c>
      <c r="BC118" s="14" t="str">
        <f>IF(AND(ISNUMBER($I118),OR($K118="Milestone",$K118="Deadline"),$I118&gt;=BC$4,$I118&lt;BC$4+7),IF($K118="Deadline","◇","◆"),"")</f>
        <v/>
      </c>
      <c r="BD118" s="14" t="str">
        <f>IF(AND(ISNUMBER($I118),OR($K118="Milestone",$K118="Deadline"),$I118&gt;=BD$4,$I118&lt;BD$4+7),IF($K118="Deadline","◇","◆"),"")</f>
        <v/>
      </c>
      <c r="BE118" s="14" t="str">
        <f>IF(AND(ISNUMBER($I118),OR($K118="Milestone",$K118="Deadline"),$I118&gt;=BE$4,$I118&lt;BE$4+7),IF($K118="Deadline","◇","◆"),"")</f>
        <v/>
      </c>
      <c r="BF118" s="14" t="str">
        <f>IF(AND(ISNUMBER($I118),OR($K118="Milestone",$K118="Deadline"),$I118&gt;=BF$4,$I118&lt;BF$4+7),IF($K118="Deadline","◇","◆"),"")</f>
        <v/>
      </c>
      <c r="BG118" s="14" t="str">
        <f>IF(AND(ISNUMBER($I118),OR($K118="Milestone",$K118="Deadline"),$I118&gt;=BG$4,$I118&lt;BG$4+7),IF($K118="Deadline","◇","◆"),"")</f>
        <v/>
      </c>
      <c r="BH118" s="14" t="str">
        <f>IF(AND(ISNUMBER($I118),OR($K118="Milestone",$K118="Deadline"),$I118&gt;=BH$4,$I118&lt;BH$4+7),IF($K118="Deadline","◇","◆"),"")</f>
        <v/>
      </c>
      <c r="BI118" s="14" t="str">
        <f>IF(AND(ISNUMBER($I118),OR($K118="Milestone",$K118="Deadline"),$I118&gt;=BI$4,$I118&lt;BI$4+7),IF($K118="Deadline","◇","◆"),"")</f>
        <v/>
      </c>
      <c r="BJ118" s="14" t="str">
        <f>IF(AND(ISNUMBER($I118),OR($K118="Milestone",$K118="Deadline"),$I118&gt;=BJ$4,$I118&lt;BJ$4+7),IF($K118="Deadline","◇","◆"),"")</f>
        <v/>
      </c>
      <c r="BK118" s="14" t="str">
        <f>IF(AND(ISNUMBER($I118),OR($K118="Milestone",$K118="Deadline"),$I118&gt;=BK$4,$I118&lt;BK$4+7),IF($K118="Deadline","◇","◆"),"")</f>
        <v/>
      </c>
      <c r="BL118" s="14" t="str">
        <f>IF(AND(ISNUMBER($I118),OR($K118="Milestone",$K118="Deadline"),$I118&gt;=BL$4,$I118&lt;BL$4+7),IF($K118="Deadline","◇","◆"),"")</f>
        <v/>
      </c>
      <c r="BM118" s="14" t="str">
        <f>IF(AND(ISNUMBER($I118),OR($K118="Milestone",$K118="Deadline"),$I118&gt;=BM$4,$I118&lt;BM$4+7),IF($K118="Deadline","◇","◆"),"")</f>
        <v/>
      </c>
      <c r="BN118" s="14" t="str">
        <f>IF(AND(ISNUMBER($I118),OR($K118="Milestone",$K118="Deadline"),$I118&gt;=BN$4,$I118&lt;BN$4+7),IF($K118="Deadline","◇","◆"),"")</f>
        <v/>
      </c>
      <c r="BO118" s="14" t="str">
        <f>IF(AND(ISNUMBER($I118),OR($K118="Milestone",$K118="Deadline"),$I118&gt;=BO$4,$I118&lt;BO$4+7),IF($K118="Deadline","◇","◆"),"")</f>
        <v/>
      </c>
      <c r="BP118" s="14" t="str">
        <f>IF(AND(ISNUMBER($I118),OR($K118="Milestone",$K118="Deadline"),$I118&gt;=BP$4,$I118&lt;BP$4+7),IF($K118="Deadline","◇","◆"),"")</f>
        <v/>
      </c>
      <c r="BQ118" s="14" t="str">
        <f>IF(AND(ISNUMBER($I118),OR($K118="Milestone",$K118="Deadline"),$I118&gt;=BQ$4,$I118&lt;BQ$4+7),IF($K118="Deadline","◇","◆"),"")</f>
        <v/>
      </c>
      <c r="BR118" s="14" t="str">
        <f>IF(AND(ISNUMBER($I118),OR($K118="Milestone",$K118="Deadline"),$I118&gt;=BR$4,$I118&lt;BR$4+7),IF($K118="Deadline","◇","◆"),"")</f>
        <v/>
      </c>
      <c r="BS118" s="14" t="str">
        <f>IF(AND(ISNUMBER($I118),OR($K118="Milestone",$K118="Deadline"),$I118&gt;=BS$4,$I118&lt;BS$4+7),IF($K118="Deadline","◇","◆"),"")</f>
        <v/>
      </c>
      <c r="BT118" s="14" t="str">
        <f>IF(AND(ISNUMBER($I118),OR($K118="Milestone",$K118="Deadline"),$I118&gt;=BT$4,$I118&lt;BT$4+7),IF($K118="Deadline","◇","◆"),"")</f>
        <v/>
      </c>
      <c r="BU118" s="14" t="str">
        <f>IF(AND(ISNUMBER($I118),OR($K118="Milestone",$K118="Deadline"),$I118&gt;=BU$4,$I118&lt;BU$4+7),IF($K118="Deadline","◇","◆"),"")</f>
        <v/>
      </c>
      <c r="BV118" s="14" t="str">
        <f>IF(AND(ISNUMBER($I118),OR($K118="Milestone",$K118="Deadline"),$I118&gt;=BV$4,$I118&lt;BV$4+7),IF($K118="Deadline","◇","◆"),"")</f>
        <v/>
      </c>
      <c r="BW118" s="14" t="str">
        <f>IF(AND(ISNUMBER($I118),OR($K118="Milestone",$K118="Deadline"),$I118&gt;=BW$4,$I118&lt;BW$4+7),IF($K118="Deadline","◇","◆"),"")</f>
        <v/>
      </c>
      <c r="BX118" s="14" t="str">
        <f>IF(AND(ISNUMBER($I118),OR($K118="Milestone",$K118="Deadline"),$I118&gt;=BX$4,$I118&lt;BX$4+7),IF($K118="Deadline","◇","◆"),"")</f>
        <v/>
      </c>
      <c r="BY118" s="14" t="str">
        <f>IF(AND(ISNUMBER($I118),OR($K118="Milestone",$K118="Deadline"),$I118&gt;=BY$4,$I118&lt;BY$4+7),IF($K118="Deadline","◇","◆"),"")</f>
        <v/>
      </c>
      <c r="BZ118" s="14" t="str">
        <f>IF(AND(ISNUMBER($I118),OR($K118="Milestone",$K118="Deadline"),$I118&gt;=BZ$4,$I118&lt;BZ$4+7),IF($K118="Deadline","◇","◆"),"")</f>
        <v/>
      </c>
      <c r="CA118" s="14" t="str">
        <f>IF(AND(ISNUMBER($I118),OR($K118="Milestone",$K118="Deadline"),$I118&gt;=CA$4,$I118&lt;CA$4+7),IF($K118="Deadline","◇","◆"),"")</f>
        <v/>
      </c>
      <c r="CB118" s="14" t="str">
        <f>IF(AND(ISNUMBER($I118),OR($K118="Milestone",$K118="Deadline"),$I118&gt;=CB$4,$I118&lt;CB$4+7),IF($K118="Deadline","◇","◆"),"")</f>
        <v/>
      </c>
      <c r="CC118" s="14" t="str">
        <f>IF(AND(ISNUMBER($I118),OR($K118="Milestone",$K118="Deadline"),$I118&gt;=CC$4,$I118&lt;CC$4+7),IF($K118="Deadline","◇","◆"),"")</f>
        <v/>
      </c>
      <c r="CD118" s="14" t="str">
        <f>IF(AND(ISNUMBER($I118),OR($K118="Milestone",$K118="Deadline"),$I118&gt;=CD$4,$I118&lt;CD$4+7),IF($K118="Deadline","◇","◆"),"")</f>
        <v/>
      </c>
      <c r="CE118" s="14" t="str">
        <f>IF(AND(ISNUMBER($I118),OR($K118="Milestone",$K118="Deadline"),$I118&gt;=CE$4,$I118&lt;CE$4+7),IF($K118="Deadline","◇","◆"),"")</f>
        <v/>
      </c>
      <c r="CF118" s="14" t="str">
        <f>IF(AND(ISNUMBER($I118),OR($K118="Milestone",$K118="Deadline"),$I118&gt;=CF$4,$I118&lt;CF$4+7),IF($K118="Deadline","◇","◆"),"")</f>
        <v/>
      </c>
      <c r="CG118" s="14" t="str">
        <f>IF(AND(ISNUMBER($I118),OR($K118="Milestone",$K118="Deadline"),$I118&gt;=CG$4,$I118&lt;CG$4+7),IF($K118="Deadline","◇","◆"),"")</f>
        <v/>
      </c>
      <c r="CH118" s="14" t="str">
        <f>IF(AND(ISNUMBER($I118),OR($K118="Milestone",$K118="Deadline"),$I118&gt;=CH$4,$I118&lt;CH$4+7),IF($K118="Deadline","◇","◆"),"")</f>
        <v/>
      </c>
      <c r="CI118" s="14" t="str">
        <f>IF(AND(ISNUMBER($I118),OR($K118="Milestone",$K118="Deadline"),$I118&gt;=CI$4,$I118&lt;CI$4+7),IF($K118="Deadline","◇","◆"),"")</f>
        <v/>
      </c>
      <c r="CJ118" s="14" t="str">
        <f>IF(AND(ISNUMBER($I118),OR($K118="Milestone",$K118="Deadline"),$I118&gt;=CJ$4,$I118&lt;CJ$4+7),IF($K118="Deadline","◇","◆"),"")</f>
        <v/>
      </c>
      <c r="CK118" s="14" t="str">
        <f>IF(AND(ISNUMBER($I118),OR($K118="Milestone",$K118="Deadline"),$I118&gt;=CK$4,$I118&lt;CK$4+7),IF($K118="Deadline","◇","◆"),"")</f>
        <v/>
      </c>
      <c r="CL118" s="14" t="str">
        <f>IF(AND(ISNUMBER($I118),OR($K118="Milestone",$K118="Deadline"),$I118&gt;=CL$4,$I118&lt;CL$4+7),IF($K118="Deadline","◇","◆"),"")</f>
        <v/>
      </c>
      <c r="CM118" s="14" t="str">
        <f>IF(AND(ISNUMBER($I118),OR($K118="Milestone",$K118="Deadline"),$I118&gt;=CM$4,$I118&lt;CM$4+7),IF($K118="Deadline","◇","◆"),"")</f>
        <v/>
      </c>
    </row>
    <row r="119" spans="1:91" ht="15" hidden="1" customHeight="1">
      <c r="A119" s="15" t="s">
        <v>325</v>
      </c>
      <c r="B119" s="15" t="s">
        <v>320</v>
      </c>
      <c r="C119" s="15" t="s">
        <v>63</v>
      </c>
      <c r="D119" s="15" t="s">
        <v>168</v>
      </c>
      <c r="E119" s="15" t="s">
        <v>169</v>
      </c>
      <c r="F119" s="15" t="s">
        <v>183</v>
      </c>
      <c r="G119" s="15" t="s">
        <v>184</v>
      </c>
      <c r="H119" s="15">
        <v>7</v>
      </c>
      <c r="I119" s="34">
        <f>MAX($C$2,J117+1,J118+1,J11+1,J129+1)</f>
        <v>46400</v>
      </c>
      <c r="J119" s="17">
        <f>IF(AND(ISNUMBER(I119),ISNUMBER(H119)),I119+H119-1,"")</f>
        <v>46406</v>
      </c>
      <c r="K119" s="15" t="s">
        <v>27</v>
      </c>
      <c r="L119" s="15" t="s">
        <v>326</v>
      </c>
      <c r="M119" s="18" t="s">
        <v>327</v>
      </c>
      <c r="N119" s="15"/>
      <c r="O119" s="18">
        <f>IF(AND(ISNUMBER(I119),ISNUMBER(J119)),J119-I119+1,"")</f>
        <v>7</v>
      </c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 t="s">
        <v>140</v>
      </c>
      <c r="AG119" s="13"/>
      <c r="AH119" s="13"/>
      <c r="AI119" s="13"/>
      <c r="AJ119" s="13"/>
      <c r="AK119" s="13"/>
      <c r="AL119" s="13"/>
      <c r="AM119" s="13"/>
      <c r="AN119" s="13"/>
      <c r="AO119" s="14" t="str">
        <f>IF(AND(ISNUMBER($I119),OR($K119="Milestone",$K119="Deadline"),$I119&gt;=AO$4,$I119&lt;AO$4+7),IF($K119="Deadline","◇","◆"),"")</f>
        <v/>
      </c>
      <c r="AP119" s="14" t="str">
        <f>IF(AND(ISNUMBER($I119),OR($K119="Milestone",$K119="Deadline"),$I119&gt;=AP$4,$I119&lt;AP$4+7),IF($K119="Deadline","◇","◆"),"")</f>
        <v/>
      </c>
      <c r="AQ119" s="14" t="str">
        <f>IF(AND(ISNUMBER($I119),OR($K119="Milestone",$K119="Deadline"),$I119&gt;=AQ$4,$I119&lt;AQ$4+7),IF($K119="Deadline","◇","◆"),"")</f>
        <v/>
      </c>
      <c r="AR119" s="14" t="str">
        <f>IF(AND(ISNUMBER($I119),OR($K119="Milestone",$K119="Deadline"),$I119&gt;=AR$4,$I119&lt;AR$4+7),IF($K119="Deadline","◇","◆"),"")</f>
        <v/>
      </c>
      <c r="AS119" s="14" t="str">
        <f>IF(AND(ISNUMBER($I119),OR($K119="Milestone",$K119="Deadline"),$I119&gt;=AS$4,$I119&lt;AS$4+7),IF($K119="Deadline","◇","◆"),"")</f>
        <v/>
      </c>
      <c r="AT119" s="14" t="str">
        <f>IF(AND(ISNUMBER($I119),OR($K119="Milestone",$K119="Deadline"),$I119&gt;=AT$4,$I119&lt;AT$4+7),IF($K119="Deadline","◇","◆"),"")</f>
        <v/>
      </c>
      <c r="AU119" s="14" t="str">
        <f>IF(AND(ISNUMBER($I119),OR($K119="Milestone",$K119="Deadline"),$I119&gt;=AU$4,$I119&lt;AU$4+7),IF($K119="Deadline","◇","◆"),"")</f>
        <v/>
      </c>
      <c r="AV119" s="14" t="str">
        <f>IF(AND(ISNUMBER($I119),OR($K119="Milestone",$K119="Deadline"),$I119&gt;=AV$4,$I119&lt;AV$4+7),IF($K119="Deadline","◇","◆"),"")</f>
        <v/>
      </c>
      <c r="AW119" s="14" t="str">
        <f>IF(AND(ISNUMBER($I119),OR($K119="Milestone",$K119="Deadline"),$I119&gt;=AW$4,$I119&lt;AW$4+7),IF($K119="Deadline","◇","◆"),"")</f>
        <v/>
      </c>
      <c r="AX119" s="14" t="str">
        <f>IF(AND(ISNUMBER($I119),OR($K119="Milestone",$K119="Deadline"),$I119&gt;=AX$4,$I119&lt;AX$4+7),IF($K119="Deadline","◇","◆"),"")</f>
        <v/>
      </c>
      <c r="AY119" s="14" t="str">
        <f>IF(AND(ISNUMBER($I119),OR($K119="Milestone",$K119="Deadline"),$I119&gt;=AY$4,$I119&lt;AY$4+7),IF($K119="Deadline","◇","◆"),"")</f>
        <v/>
      </c>
      <c r="AZ119" s="14" t="str">
        <f>IF(AND(ISNUMBER($I119),OR($K119="Milestone",$K119="Deadline"),$I119&gt;=AZ$4,$I119&lt;AZ$4+7),IF($K119="Deadline","◇","◆"),"")</f>
        <v/>
      </c>
      <c r="BA119" s="14" t="str">
        <f>IF(AND(ISNUMBER($I119),OR($K119="Milestone",$K119="Deadline"),$I119&gt;=BA$4,$I119&lt;BA$4+7),IF($K119="Deadline","◇","◆"),"")</f>
        <v/>
      </c>
      <c r="BB119" s="14" t="str">
        <f>IF(AND(ISNUMBER($I119),OR($K119="Milestone",$K119="Deadline"),$I119&gt;=BB$4,$I119&lt;BB$4+7),IF($K119="Deadline","◇","◆"),"")</f>
        <v/>
      </c>
      <c r="BC119" s="14" t="str">
        <f>IF(AND(ISNUMBER($I119),OR($K119="Milestone",$K119="Deadline"),$I119&gt;=BC$4,$I119&lt;BC$4+7),IF($K119="Deadline","◇","◆"),"")</f>
        <v/>
      </c>
      <c r="BD119" s="14" t="str">
        <f>IF(AND(ISNUMBER($I119),OR($K119="Milestone",$K119="Deadline"),$I119&gt;=BD$4,$I119&lt;BD$4+7),IF($K119="Deadline","◇","◆"),"")</f>
        <v/>
      </c>
      <c r="BE119" s="14" t="str">
        <f>IF(AND(ISNUMBER($I119),OR($K119="Milestone",$K119="Deadline"),$I119&gt;=BE$4,$I119&lt;BE$4+7),IF($K119="Deadline","◇","◆"),"")</f>
        <v/>
      </c>
      <c r="BF119" s="14" t="str">
        <f>IF(AND(ISNUMBER($I119),OR($K119="Milestone",$K119="Deadline"),$I119&gt;=BF$4,$I119&lt;BF$4+7),IF($K119="Deadline","◇","◆"),"")</f>
        <v/>
      </c>
      <c r="BG119" s="14" t="str">
        <f>IF(AND(ISNUMBER($I119),OR($K119="Milestone",$K119="Deadline"),$I119&gt;=BG$4,$I119&lt;BG$4+7),IF($K119="Deadline","◇","◆"),"")</f>
        <v/>
      </c>
      <c r="BH119" s="14" t="str">
        <f>IF(AND(ISNUMBER($I119),OR($K119="Milestone",$K119="Deadline"),$I119&gt;=BH$4,$I119&lt;BH$4+7),IF($K119="Deadline","◇","◆"),"")</f>
        <v/>
      </c>
      <c r="BI119" s="14" t="str">
        <f>IF(AND(ISNUMBER($I119),OR($K119="Milestone",$K119="Deadline"),$I119&gt;=BI$4,$I119&lt;BI$4+7),IF($K119="Deadline","◇","◆"),"")</f>
        <v/>
      </c>
      <c r="BJ119" s="14" t="str">
        <f>IF(AND(ISNUMBER($I119),OR($K119="Milestone",$K119="Deadline"),$I119&gt;=BJ$4,$I119&lt;BJ$4+7),IF($K119="Deadline","◇","◆"),"")</f>
        <v/>
      </c>
      <c r="BK119" s="14" t="str">
        <f>IF(AND(ISNUMBER($I119),OR($K119="Milestone",$K119="Deadline"),$I119&gt;=BK$4,$I119&lt;BK$4+7),IF($K119="Deadline","◇","◆"),"")</f>
        <v/>
      </c>
      <c r="BL119" s="14" t="str">
        <f>IF(AND(ISNUMBER($I119),OR($K119="Milestone",$K119="Deadline"),$I119&gt;=BL$4,$I119&lt;BL$4+7),IF($K119="Deadline","◇","◆"),"")</f>
        <v/>
      </c>
      <c r="BM119" s="14" t="str">
        <f>IF(AND(ISNUMBER($I119),OR($K119="Milestone",$K119="Deadline"),$I119&gt;=BM$4,$I119&lt;BM$4+7),IF($K119="Deadline","◇","◆"),"")</f>
        <v/>
      </c>
      <c r="BN119" s="14" t="str">
        <f>IF(AND(ISNUMBER($I119),OR($K119="Milestone",$K119="Deadline"),$I119&gt;=BN$4,$I119&lt;BN$4+7),IF($K119="Deadline","◇","◆"),"")</f>
        <v/>
      </c>
      <c r="BO119" s="14" t="str">
        <f>IF(AND(ISNUMBER($I119),OR($K119="Milestone",$K119="Deadline"),$I119&gt;=BO$4,$I119&lt;BO$4+7),IF($K119="Deadline","◇","◆"),"")</f>
        <v/>
      </c>
      <c r="BP119" s="14" t="str">
        <f>IF(AND(ISNUMBER($I119),OR($K119="Milestone",$K119="Deadline"),$I119&gt;=BP$4,$I119&lt;BP$4+7),IF($K119="Deadline","◇","◆"),"")</f>
        <v/>
      </c>
      <c r="BQ119" s="14" t="str">
        <f>IF(AND(ISNUMBER($I119),OR($K119="Milestone",$K119="Deadline"),$I119&gt;=BQ$4,$I119&lt;BQ$4+7),IF($K119="Deadline","◇","◆"),"")</f>
        <v/>
      </c>
      <c r="BR119" s="14" t="str">
        <f>IF(AND(ISNUMBER($I119),OR($K119="Milestone",$K119="Deadline"),$I119&gt;=BR$4,$I119&lt;BR$4+7),IF($K119="Deadline","◇","◆"),"")</f>
        <v/>
      </c>
      <c r="BS119" s="14" t="str">
        <f>IF(AND(ISNUMBER($I119),OR($K119="Milestone",$K119="Deadline"),$I119&gt;=BS$4,$I119&lt;BS$4+7),IF($K119="Deadline","◇","◆"),"")</f>
        <v/>
      </c>
      <c r="BT119" s="14" t="str">
        <f>IF(AND(ISNUMBER($I119),OR($K119="Milestone",$K119="Deadline"),$I119&gt;=BT$4,$I119&lt;BT$4+7),IF($K119="Deadline","◇","◆"),"")</f>
        <v/>
      </c>
      <c r="BU119" s="14" t="str">
        <f>IF(AND(ISNUMBER($I119),OR($K119="Milestone",$K119="Deadline"),$I119&gt;=BU$4,$I119&lt;BU$4+7),IF($K119="Deadline","◇","◆"),"")</f>
        <v/>
      </c>
      <c r="BV119" s="14" t="str">
        <f>IF(AND(ISNUMBER($I119),OR($K119="Milestone",$K119="Deadline"),$I119&gt;=BV$4,$I119&lt;BV$4+7),IF($K119="Deadline","◇","◆"),"")</f>
        <v/>
      </c>
      <c r="BW119" s="14" t="str">
        <f>IF(AND(ISNUMBER($I119),OR($K119="Milestone",$K119="Deadline"),$I119&gt;=BW$4,$I119&lt;BW$4+7),IF($K119="Deadline","◇","◆"),"")</f>
        <v/>
      </c>
      <c r="BX119" s="14" t="str">
        <f>IF(AND(ISNUMBER($I119),OR($K119="Milestone",$K119="Deadline"),$I119&gt;=BX$4,$I119&lt;BX$4+7),IF($K119="Deadline","◇","◆"),"")</f>
        <v/>
      </c>
      <c r="BY119" s="14" t="str">
        <f>IF(AND(ISNUMBER($I119),OR($K119="Milestone",$K119="Deadline"),$I119&gt;=BY$4,$I119&lt;BY$4+7),IF($K119="Deadline","◇","◆"),"")</f>
        <v/>
      </c>
      <c r="BZ119" s="14" t="str">
        <f>IF(AND(ISNUMBER($I119),OR($K119="Milestone",$K119="Deadline"),$I119&gt;=BZ$4,$I119&lt;BZ$4+7),IF($K119="Deadline","◇","◆"),"")</f>
        <v/>
      </c>
      <c r="CA119" s="14" t="str">
        <f>IF(AND(ISNUMBER($I119),OR($K119="Milestone",$K119="Deadline"),$I119&gt;=CA$4,$I119&lt;CA$4+7),IF($K119="Deadline","◇","◆"),"")</f>
        <v/>
      </c>
      <c r="CB119" s="14" t="str">
        <f>IF(AND(ISNUMBER($I119),OR($K119="Milestone",$K119="Deadline"),$I119&gt;=CB$4,$I119&lt;CB$4+7),IF($K119="Deadline","◇","◆"),"")</f>
        <v/>
      </c>
      <c r="CC119" s="14" t="str">
        <f>IF(AND(ISNUMBER($I119),OR($K119="Milestone",$K119="Deadline"),$I119&gt;=CC$4,$I119&lt;CC$4+7),IF($K119="Deadline","◇","◆"),"")</f>
        <v/>
      </c>
      <c r="CD119" s="14" t="str">
        <f>IF(AND(ISNUMBER($I119),OR($K119="Milestone",$K119="Deadline"),$I119&gt;=CD$4,$I119&lt;CD$4+7),IF($K119="Deadline","◇","◆"),"")</f>
        <v/>
      </c>
      <c r="CE119" s="14" t="str">
        <f>IF(AND(ISNUMBER($I119),OR($K119="Milestone",$K119="Deadline"),$I119&gt;=CE$4,$I119&lt;CE$4+7),IF($K119="Deadline","◇","◆"),"")</f>
        <v/>
      </c>
      <c r="CF119" s="14" t="str">
        <f>IF(AND(ISNUMBER($I119),OR($K119="Milestone",$K119="Deadline"),$I119&gt;=CF$4,$I119&lt;CF$4+7),IF($K119="Deadline","◇","◆"),"")</f>
        <v/>
      </c>
      <c r="CG119" s="14" t="str">
        <f>IF(AND(ISNUMBER($I119),OR($K119="Milestone",$K119="Deadline"),$I119&gt;=CG$4,$I119&lt;CG$4+7),IF($K119="Deadline","◇","◆"),"")</f>
        <v/>
      </c>
      <c r="CH119" s="14" t="str">
        <f>IF(AND(ISNUMBER($I119),OR($K119="Milestone",$K119="Deadline"),$I119&gt;=CH$4,$I119&lt;CH$4+7),IF($K119="Deadline","◇","◆"),"")</f>
        <v/>
      </c>
      <c r="CI119" s="14" t="str">
        <f>IF(AND(ISNUMBER($I119),OR($K119="Milestone",$K119="Deadline"),$I119&gt;=CI$4,$I119&lt;CI$4+7),IF($K119="Deadline","◇","◆"),"")</f>
        <v/>
      </c>
      <c r="CJ119" s="14" t="str">
        <f>IF(AND(ISNUMBER($I119),OR($K119="Milestone",$K119="Deadline"),$I119&gt;=CJ$4,$I119&lt;CJ$4+7),IF($K119="Deadline","◇","◆"),"")</f>
        <v/>
      </c>
      <c r="CK119" s="14" t="str">
        <f>IF(AND(ISNUMBER($I119),OR($K119="Milestone",$K119="Deadline"),$I119&gt;=CK$4,$I119&lt;CK$4+7),IF($K119="Deadline","◇","◆"),"")</f>
        <v/>
      </c>
      <c r="CL119" s="14" t="str">
        <f>IF(AND(ISNUMBER($I119),OR($K119="Milestone",$K119="Deadline"),$I119&gt;=CL$4,$I119&lt;CL$4+7),IF($K119="Deadline","◇","◆"),"")</f>
        <v/>
      </c>
      <c r="CM119" s="14" t="str">
        <f>IF(AND(ISNUMBER($I119),OR($K119="Milestone",$K119="Deadline"),$I119&gt;=CM$4,$I119&lt;CM$4+7),IF($K119="Deadline","◇","◆"),"")</f>
        <v/>
      </c>
    </row>
    <row r="120" spans="1:91" ht="15" hidden="1" customHeight="1">
      <c r="A120" s="15" t="s">
        <v>328</v>
      </c>
      <c r="B120" s="15" t="s">
        <v>320</v>
      </c>
      <c r="C120" s="15" t="s">
        <v>63</v>
      </c>
      <c r="D120" s="15" t="s">
        <v>168</v>
      </c>
      <c r="E120" s="15" t="s">
        <v>169</v>
      </c>
      <c r="F120" s="15" t="s">
        <v>183</v>
      </c>
      <c r="G120" s="15" t="s">
        <v>188</v>
      </c>
      <c r="H120" s="15">
        <v>4</v>
      </c>
      <c r="I120" s="34">
        <f>MAX($C$2,J119+1,J50+1)</f>
        <v>46407</v>
      </c>
      <c r="J120" s="17">
        <f>IF(AND(ISNUMBER(I120),ISNUMBER(H120)),I120+H120-1,"")</f>
        <v>46410</v>
      </c>
      <c r="K120" s="15" t="s">
        <v>27</v>
      </c>
      <c r="L120" s="15" t="s">
        <v>325</v>
      </c>
      <c r="M120" s="18" t="s">
        <v>187</v>
      </c>
      <c r="N120" s="15"/>
      <c r="O120" s="18">
        <f>IF(AND(ISNUMBER(I120),ISNUMBER(J120)),J120-I120+1,"")</f>
        <v>4</v>
      </c>
      <c r="P120" s="13"/>
      <c r="Q120" s="13"/>
      <c r="R120" s="13"/>
      <c r="S120" s="13"/>
      <c r="T120" s="13"/>
      <c r="U120" s="13"/>
      <c r="V120" s="13" t="s">
        <v>140</v>
      </c>
      <c r="W120" s="13"/>
      <c r="X120" s="13"/>
      <c r="Y120" s="13"/>
      <c r="Z120" s="13"/>
      <c r="AA120" s="13"/>
      <c r="AB120" s="13"/>
      <c r="AC120" s="13"/>
      <c r="AD120" s="13"/>
      <c r="AE120" s="13" t="s">
        <v>140</v>
      </c>
      <c r="AF120" s="13"/>
      <c r="AG120" s="13"/>
      <c r="AH120" s="13"/>
      <c r="AI120" s="13"/>
      <c r="AJ120" s="13"/>
      <c r="AK120" s="13"/>
      <c r="AL120" s="13"/>
      <c r="AM120" s="13"/>
      <c r="AN120" s="13"/>
      <c r="AO120" s="14" t="str">
        <f>IF(AND(ISNUMBER($I120),OR($K120="Milestone",$K120="Deadline"),$I120&gt;=AO$4,$I120&lt;AO$4+7),IF($K120="Deadline","◇","◆"),"")</f>
        <v/>
      </c>
      <c r="AP120" s="14" t="str">
        <f>IF(AND(ISNUMBER($I120),OR($K120="Milestone",$K120="Deadline"),$I120&gt;=AP$4,$I120&lt;AP$4+7),IF($K120="Deadline","◇","◆"),"")</f>
        <v/>
      </c>
      <c r="AQ120" s="14" t="str">
        <f>IF(AND(ISNUMBER($I120),OR($K120="Milestone",$K120="Deadline"),$I120&gt;=AQ$4,$I120&lt;AQ$4+7),IF($K120="Deadline","◇","◆"),"")</f>
        <v/>
      </c>
      <c r="AR120" s="14" t="str">
        <f>IF(AND(ISNUMBER($I120),OR($K120="Milestone",$K120="Deadline"),$I120&gt;=AR$4,$I120&lt;AR$4+7),IF($K120="Deadline","◇","◆"),"")</f>
        <v/>
      </c>
      <c r="AS120" s="14" t="str">
        <f>IF(AND(ISNUMBER($I120),OR($K120="Milestone",$K120="Deadline"),$I120&gt;=AS$4,$I120&lt;AS$4+7),IF($K120="Deadline","◇","◆"),"")</f>
        <v/>
      </c>
      <c r="AT120" s="14" t="str">
        <f>IF(AND(ISNUMBER($I120),OR($K120="Milestone",$K120="Deadline"),$I120&gt;=AT$4,$I120&lt;AT$4+7),IF($K120="Deadline","◇","◆"),"")</f>
        <v/>
      </c>
      <c r="AU120" s="14" t="str">
        <f>IF(AND(ISNUMBER($I120),OR($K120="Milestone",$K120="Deadline"),$I120&gt;=AU$4,$I120&lt;AU$4+7),IF($K120="Deadline","◇","◆"),"")</f>
        <v/>
      </c>
      <c r="AV120" s="14" t="str">
        <f>IF(AND(ISNUMBER($I120),OR($K120="Milestone",$K120="Deadline"),$I120&gt;=AV$4,$I120&lt;AV$4+7),IF($K120="Deadline","◇","◆"),"")</f>
        <v/>
      </c>
      <c r="AW120" s="14" t="str">
        <f>IF(AND(ISNUMBER($I120),OR($K120="Milestone",$K120="Deadline"),$I120&gt;=AW$4,$I120&lt;AW$4+7),IF($K120="Deadline","◇","◆"),"")</f>
        <v/>
      </c>
      <c r="AX120" s="14" t="str">
        <f>IF(AND(ISNUMBER($I120),OR($K120="Milestone",$K120="Deadline"),$I120&gt;=AX$4,$I120&lt;AX$4+7),IF($K120="Deadline","◇","◆"),"")</f>
        <v/>
      </c>
      <c r="AY120" s="14" t="str">
        <f>IF(AND(ISNUMBER($I120),OR($K120="Milestone",$K120="Deadline"),$I120&gt;=AY$4,$I120&lt;AY$4+7),IF($K120="Deadline","◇","◆"),"")</f>
        <v/>
      </c>
      <c r="AZ120" s="14" t="str">
        <f>IF(AND(ISNUMBER($I120),OR($K120="Milestone",$K120="Deadline"),$I120&gt;=AZ$4,$I120&lt;AZ$4+7),IF($K120="Deadline","◇","◆"),"")</f>
        <v/>
      </c>
      <c r="BA120" s="14" t="str">
        <f>IF(AND(ISNUMBER($I120),OR($K120="Milestone",$K120="Deadline"),$I120&gt;=BA$4,$I120&lt;BA$4+7),IF($K120="Deadline","◇","◆"),"")</f>
        <v/>
      </c>
      <c r="BB120" s="14" t="str">
        <f>IF(AND(ISNUMBER($I120),OR($K120="Milestone",$K120="Deadline"),$I120&gt;=BB$4,$I120&lt;BB$4+7),IF($K120="Deadline","◇","◆"),"")</f>
        <v/>
      </c>
      <c r="BC120" s="14" t="str">
        <f>IF(AND(ISNUMBER($I120),OR($K120="Milestone",$K120="Deadline"),$I120&gt;=BC$4,$I120&lt;BC$4+7),IF($K120="Deadline","◇","◆"),"")</f>
        <v/>
      </c>
      <c r="BD120" s="14" t="str">
        <f>IF(AND(ISNUMBER($I120),OR($K120="Milestone",$K120="Deadline"),$I120&gt;=BD$4,$I120&lt;BD$4+7),IF($K120="Deadline","◇","◆"),"")</f>
        <v/>
      </c>
      <c r="BE120" s="14" t="str">
        <f>IF(AND(ISNUMBER($I120),OR($K120="Milestone",$K120="Deadline"),$I120&gt;=BE$4,$I120&lt;BE$4+7),IF($K120="Deadline","◇","◆"),"")</f>
        <v/>
      </c>
      <c r="BF120" s="14" t="str">
        <f>IF(AND(ISNUMBER($I120),OR($K120="Milestone",$K120="Deadline"),$I120&gt;=BF$4,$I120&lt;BF$4+7),IF($K120="Deadline","◇","◆"),"")</f>
        <v/>
      </c>
      <c r="BG120" s="14" t="str">
        <f>IF(AND(ISNUMBER($I120),OR($K120="Milestone",$K120="Deadline"),$I120&gt;=BG$4,$I120&lt;BG$4+7),IF($K120="Deadline","◇","◆"),"")</f>
        <v/>
      </c>
      <c r="BH120" s="14" t="str">
        <f>IF(AND(ISNUMBER($I120),OR($K120="Milestone",$K120="Deadline"),$I120&gt;=BH$4,$I120&lt;BH$4+7),IF($K120="Deadline","◇","◆"),"")</f>
        <v/>
      </c>
      <c r="BI120" s="14" t="str">
        <f>IF(AND(ISNUMBER($I120),OR($K120="Milestone",$K120="Deadline"),$I120&gt;=BI$4,$I120&lt;BI$4+7),IF($K120="Deadline","◇","◆"),"")</f>
        <v/>
      </c>
      <c r="BJ120" s="14" t="str">
        <f>IF(AND(ISNUMBER($I120),OR($K120="Milestone",$K120="Deadline"),$I120&gt;=BJ$4,$I120&lt;BJ$4+7),IF($K120="Deadline","◇","◆"),"")</f>
        <v/>
      </c>
      <c r="BK120" s="14" t="str">
        <f>IF(AND(ISNUMBER($I120),OR($K120="Milestone",$K120="Deadline"),$I120&gt;=BK$4,$I120&lt;BK$4+7),IF($K120="Deadline","◇","◆"),"")</f>
        <v/>
      </c>
      <c r="BL120" s="14" t="str">
        <f>IF(AND(ISNUMBER($I120),OR($K120="Milestone",$K120="Deadline"),$I120&gt;=BL$4,$I120&lt;BL$4+7),IF($K120="Deadline","◇","◆"),"")</f>
        <v/>
      </c>
      <c r="BM120" s="14" t="str">
        <f>IF(AND(ISNUMBER($I120),OR($K120="Milestone",$K120="Deadline"),$I120&gt;=BM$4,$I120&lt;BM$4+7),IF($K120="Deadline","◇","◆"),"")</f>
        <v/>
      </c>
      <c r="BN120" s="14" t="str">
        <f>IF(AND(ISNUMBER($I120),OR($K120="Milestone",$K120="Deadline"),$I120&gt;=BN$4,$I120&lt;BN$4+7),IF($K120="Deadline","◇","◆"),"")</f>
        <v/>
      </c>
      <c r="BO120" s="14" t="str">
        <f>IF(AND(ISNUMBER($I120),OR($K120="Milestone",$K120="Deadline"),$I120&gt;=BO$4,$I120&lt;BO$4+7),IF($K120="Deadline","◇","◆"),"")</f>
        <v/>
      </c>
      <c r="BP120" s="14" t="str">
        <f>IF(AND(ISNUMBER($I120),OR($K120="Milestone",$K120="Deadline"),$I120&gt;=BP$4,$I120&lt;BP$4+7),IF($K120="Deadline","◇","◆"),"")</f>
        <v/>
      </c>
      <c r="BQ120" s="14" t="str">
        <f>IF(AND(ISNUMBER($I120),OR($K120="Milestone",$K120="Deadline"),$I120&gt;=BQ$4,$I120&lt;BQ$4+7),IF($K120="Deadline","◇","◆"),"")</f>
        <v/>
      </c>
      <c r="BR120" s="14" t="str">
        <f>IF(AND(ISNUMBER($I120),OR($K120="Milestone",$K120="Deadline"),$I120&gt;=BR$4,$I120&lt;BR$4+7),IF($K120="Deadline","◇","◆"),"")</f>
        <v/>
      </c>
      <c r="BS120" s="14" t="str">
        <f>IF(AND(ISNUMBER($I120),OR($K120="Milestone",$K120="Deadline"),$I120&gt;=BS$4,$I120&lt;BS$4+7),IF($K120="Deadline","◇","◆"),"")</f>
        <v/>
      </c>
      <c r="BT120" s="14" t="str">
        <f>IF(AND(ISNUMBER($I120),OR($K120="Milestone",$K120="Deadline"),$I120&gt;=BT$4,$I120&lt;BT$4+7),IF($K120="Deadline","◇","◆"),"")</f>
        <v/>
      </c>
      <c r="BU120" s="14" t="str">
        <f>IF(AND(ISNUMBER($I120),OR($K120="Milestone",$K120="Deadline"),$I120&gt;=BU$4,$I120&lt;BU$4+7),IF($K120="Deadline","◇","◆"),"")</f>
        <v/>
      </c>
      <c r="BV120" s="14" t="str">
        <f>IF(AND(ISNUMBER($I120),OR($K120="Milestone",$K120="Deadline"),$I120&gt;=BV$4,$I120&lt;BV$4+7),IF($K120="Deadline","◇","◆"),"")</f>
        <v/>
      </c>
      <c r="BW120" s="14" t="str">
        <f>IF(AND(ISNUMBER($I120),OR($K120="Milestone",$K120="Deadline"),$I120&gt;=BW$4,$I120&lt;BW$4+7),IF($K120="Deadline","◇","◆"),"")</f>
        <v/>
      </c>
      <c r="BX120" s="14" t="str">
        <f>IF(AND(ISNUMBER($I120),OR($K120="Milestone",$K120="Deadline"),$I120&gt;=BX$4,$I120&lt;BX$4+7),IF($K120="Deadline","◇","◆"),"")</f>
        <v/>
      </c>
      <c r="BY120" s="14" t="str">
        <f>IF(AND(ISNUMBER($I120),OR($K120="Milestone",$K120="Deadline"),$I120&gt;=BY$4,$I120&lt;BY$4+7),IF($K120="Deadline","◇","◆"),"")</f>
        <v/>
      </c>
      <c r="BZ120" s="14" t="str">
        <f>IF(AND(ISNUMBER($I120),OR($K120="Milestone",$K120="Deadline"),$I120&gt;=BZ$4,$I120&lt;BZ$4+7),IF($K120="Deadline","◇","◆"),"")</f>
        <v/>
      </c>
      <c r="CA120" s="14" t="str">
        <f>IF(AND(ISNUMBER($I120),OR($K120="Milestone",$K120="Deadline"),$I120&gt;=CA$4,$I120&lt;CA$4+7),IF($K120="Deadline","◇","◆"),"")</f>
        <v/>
      </c>
      <c r="CB120" s="14" t="str">
        <f>IF(AND(ISNUMBER($I120),OR($K120="Milestone",$K120="Deadline"),$I120&gt;=CB$4,$I120&lt;CB$4+7),IF($K120="Deadline","◇","◆"),"")</f>
        <v/>
      </c>
      <c r="CC120" s="14" t="str">
        <f>IF(AND(ISNUMBER($I120),OR($K120="Milestone",$K120="Deadline"),$I120&gt;=CC$4,$I120&lt;CC$4+7),IF($K120="Deadline","◇","◆"),"")</f>
        <v/>
      </c>
      <c r="CD120" s="14" t="str">
        <f>IF(AND(ISNUMBER($I120),OR($K120="Milestone",$K120="Deadline"),$I120&gt;=CD$4,$I120&lt;CD$4+7),IF($K120="Deadline","◇","◆"),"")</f>
        <v/>
      </c>
      <c r="CE120" s="14" t="str">
        <f>IF(AND(ISNUMBER($I120),OR($K120="Milestone",$K120="Deadline"),$I120&gt;=CE$4,$I120&lt;CE$4+7),IF($K120="Deadline","◇","◆"),"")</f>
        <v/>
      </c>
      <c r="CF120" s="14" t="str">
        <f>IF(AND(ISNUMBER($I120),OR($K120="Milestone",$K120="Deadline"),$I120&gt;=CF$4,$I120&lt;CF$4+7),IF($K120="Deadline","◇","◆"),"")</f>
        <v/>
      </c>
      <c r="CG120" s="14" t="str">
        <f>IF(AND(ISNUMBER($I120),OR($K120="Milestone",$K120="Deadline"),$I120&gt;=CG$4,$I120&lt;CG$4+7),IF($K120="Deadline","◇","◆"),"")</f>
        <v/>
      </c>
      <c r="CH120" s="14" t="str">
        <f>IF(AND(ISNUMBER($I120),OR($K120="Milestone",$K120="Deadline"),$I120&gt;=CH$4,$I120&lt;CH$4+7),IF($K120="Deadline","◇","◆"),"")</f>
        <v/>
      </c>
      <c r="CI120" s="14" t="str">
        <f>IF(AND(ISNUMBER($I120),OR($K120="Milestone",$K120="Deadline"),$I120&gt;=CI$4,$I120&lt;CI$4+7),IF($K120="Deadline","◇","◆"),"")</f>
        <v/>
      </c>
      <c r="CJ120" s="14" t="str">
        <f>IF(AND(ISNUMBER($I120),OR($K120="Milestone",$K120="Deadline"),$I120&gt;=CJ$4,$I120&lt;CJ$4+7),IF($K120="Deadline","◇","◆"),"")</f>
        <v/>
      </c>
      <c r="CK120" s="14" t="str">
        <f>IF(AND(ISNUMBER($I120),OR($K120="Milestone",$K120="Deadline"),$I120&gt;=CK$4,$I120&lt;CK$4+7),IF($K120="Deadline","◇","◆"),"")</f>
        <v/>
      </c>
      <c r="CL120" s="14" t="str">
        <f>IF(AND(ISNUMBER($I120),OR($K120="Milestone",$K120="Deadline"),$I120&gt;=CL$4,$I120&lt;CL$4+7),IF($K120="Deadline","◇","◆"),"")</f>
        <v/>
      </c>
      <c r="CM120" s="14" t="str">
        <f>IF(AND(ISNUMBER($I120),OR($K120="Milestone",$K120="Deadline"),$I120&gt;=CM$4,$I120&lt;CM$4+7),IF($K120="Deadline","◇","◆"),"")</f>
        <v/>
      </c>
    </row>
    <row r="121" spans="1:91" ht="15" hidden="1" customHeight="1">
      <c r="A121" s="15" t="s">
        <v>329</v>
      </c>
      <c r="B121" s="15" t="s">
        <v>320</v>
      </c>
      <c r="C121" s="15" t="s">
        <v>191</v>
      </c>
      <c r="D121" s="15" t="s">
        <v>168</v>
      </c>
      <c r="E121" s="15" t="s">
        <v>169</v>
      </c>
      <c r="F121" s="15" t="s">
        <v>183</v>
      </c>
      <c r="G121" s="15" t="s">
        <v>192</v>
      </c>
      <c r="H121" s="15">
        <v>3</v>
      </c>
      <c r="I121" s="34">
        <f>MAX(DATE(2027,3,1),J120+1,J256+1)</f>
        <v>46447</v>
      </c>
      <c r="J121" s="17">
        <f>IF(AND(ISNUMBER(I121),ISNUMBER(H121)),I121+H121-1,"")</f>
        <v>46449</v>
      </c>
      <c r="K121" s="15" t="s">
        <v>27</v>
      </c>
      <c r="L121" s="15" t="s">
        <v>328</v>
      </c>
      <c r="M121" s="18" t="s">
        <v>330</v>
      </c>
      <c r="N121" s="15"/>
      <c r="O121" s="18">
        <f>IF(AND(ISNUMBER(I121),ISNUMBER(J121)),J121-I121+1,"")</f>
        <v>3</v>
      </c>
      <c r="P121" s="13"/>
      <c r="Q121" s="13"/>
      <c r="R121" s="13"/>
      <c r="S121" s="13"/>
      <c r="T121" s="13"/>
      <c r="U121" s="13"/>
      <c r="V121" s="13" t="s">
        <v>140</v>
      </c>
      <c r="W121" s="13"/>
      <c r="X121" s="13"/>
      <c r="Y121" s="13" t="s">
        <v>140</v>
      </c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4" t="str">
        <f>IF(AND(ISNUMBER($I121),OR($K121="Milestone",$K121="Deadline"),$I121&gt;=AO$4,$I121&lt;AO$4+7),IF($K121="Deadline","◇","◆"),"")</f>
        <v/>
      </c>
      <c r="AP121" s="14" t="str">
        <f>IF(AND(ISNUMBER($I121),OR($K121="Milestone",$K121="Deadline"),$I121&gt;=AP$4,$I121&lt;AP$4+7),IF($K121="Deadline","◇","◆"),"")</f>
        <v/>
      </c>
      <c r="AQ121" s="14" t="str">
        <f>IF(AND(ISNUMBER($I121),OR($K121="Milestone",$K121="Deadline"),$I121&gt;=AQ$4,$I121&lt;AQ$4+7),IF($K121="Deadline","◇","◆"),"")</f>
        <v/>
      </c>
      <c r="AR121" s="14" t="str">
        <f>IF(AND(ISNUMBER($I121),OR($K121="Milestone",$K121="Deadline"),$I121&gt;=AR$4,$I121&lt;AR$4+7),IF($K121="Deadline","◇","◆"),"")</f>
        <v/>
      </c>
      <c r="AS121" s="14" t="str">
        <f>IF(AND(ISNUMBER($I121),OR($K121="Milestone",$K121="Deadline"),$I121&gt;=AS$4,$I121&lt;AS$4+7),IF($K121="Deadline","◇","◆"),"")</f>
        <v/>
      </c>
      <c r="AT121" s="14" t="str">
        <f>IF(AND(ISNUMBER($I121),OR($K121="Milestone",$K121="Deadline"),$I121&gt;=AT$4,$I121&lt;AT$4+7),IF($K121="Deadline","◇","◆"),"")</f>
        <v/>
      </c>
      <c r="AU121" s="14" t="str">
        <f>IF(AND(ISNUMBER($I121),OR($K121="Milestone",$K121="Deadline"),$I121&gt;=AU$4,$I121&lt;AU$4+7),IF($K121="Deadline","◇","◆"),"")</f>
        <v/>
      </c>
      <c r="AV121" s="14" t="str">
        <f>IF(AND(ISNUMBER($I121),OR($K121="Milestone",$K121="Deadline"),$I121&gt;=AV$4,$I121&lt;AV$4+7),IF($K121="Deadline","◇","◆"),"")</f>
        <v/>
      </c>
      <c r="AW121" s="14" t="str">
        <f>IF(AND(ISNUMBER($I121),OR($K121="Milestone",$K121="Deadline"),$I121&gt;=AW$4,$I121&lt;AW$4+7),IF($K121="Deadline","◇","◆"),"")</f>
        <v/>
      </c>
      <c r="AX121" s="14" t="str">
        <f>IF(AND(ISNUMBER($I121),OR($K121="Milestone",$K121="Deadline"),$I121&gt;=AX$4,$I121&lt;AX$4+7),IF($K121="Deadline","◇","◆"),"")</f>
        <v/>
      </c>
      <c r="AY121" s="14" t="str">
        <f>IF(AND(ISNUMBER($I121),OR($K121="Milestone",$K121="Deadline"),$I121&gt;=AY$4,$I121&lt;AY$4+7),IF($K121="Deadline","◇","◆"),"")</f>
        <v/>
      </c>
      <c r="AZ121" s="14" t="str">
        <f>IF(AND(ISNUMBER($I121),OR($K121="Milestone",$K121="Deadline"),$I121&gt;=AZ$4,$I121&lt;AZ$4+7),IF($K121="Deadline","◇","◆"),"")</f>
        <v/>
      </c>
      <c r="BA121" s="14" t="str">
        <f>IF(AND(ISNUMBER($I121),OR($K121="Milestone",$K121="Deadline"),$I121&gt;=BA$4,$I121&lt;BA$4+7),IF($K121="Deadline","◇","◆"),"")</f>
        <v/>
      </c>
      <c r="BB121" s="14" t="str">
        <f>IF(AND(ISNUMBER($I121),OR($K121="Milestone",$K121="Deadline"),$I121&gt;=BB$4,$I121&lt;BB$4+7),IF($K121="Deadline","◇","◆"),"")</f>
        <v/>
      </c>
      <c r="BC121" s="14" t="str">
        <f>IF(AND(ISNUMBER($I121),OR($K121="Milestone",$K121="Deadline"),$I121&gt;=BC$4,$I121&lt;BC$4+7),IF($K121="Deadline","◇","◆"),"")</f>
        <v/>
      </c>
      <c r="BD121" s="14" t="str">
        <f>IF(AND(ISNUMBER($I121),OR($K121="Milestone",$K121="Deadline"),$I121&gt;=BD$4,$I121&lt;BD$4+7),IF($K121="Deadline","◇","◆"),"")</f>
        <v/>
      </c>
      <c r="BE121" s="14" t="str">
        <f>IF(AND(ISNUMBER($I121),OR($K121="Milestone",$K121="Deadline"),$I121&gt;=BE$4,$I121&lt;BE$4+7),IF($K121="Deadline","◇","◆"),"")</f>
        <v/>
      </c>
      <c r="BF121" s="14" t="str">
        <f>IF(AND(ISNUMBER($I121),OR($K121="Milestone",$K121="Deadline"),$I121&gt;=BF$4,$I121&lt;BF$4+7),IF($K121="Deadline","◇","◆"),"")</f>
        <v/>
      </c>
      <c r="BG121" s="14" t="str">
        <f>IF(AND(ISNUMBER($I121),OR($K121="Milestone",$K121="Deadline"),$I121&gt;=BG$4,$I121&lt;BG$4+7),IF($K121="Deadline","◇","◆"),"")</f>
        <v/>
      </c>
      <c r="BH121" s="14" t="str">
        <f>IF(AND(ISNUMBER($I121),OR($K121="Milestone",$K121="Deadline"),$I121&gt;=BH$4,$I121&lt;BH$4+7),IF($K121="Deadline","◇","◆"),"")</f>
        <v/>
      </c>
      <c r="BI121" s="14" t="str">
        <f>IF(AND(ISNUMBER($I121),OR($K121="Milestone",$K121="Deadline"),$I121&gt;=BI$4,$I121&lt;BI$4+7),IF($K121="Deadline","◇","◆"),"")</f>
        <v/>
      </c>
      <c r="BJ121" s="14" t="str">
        <f>IF(AND(ISNUMBER($I121),OR($K121="Milestone",$K121="Deadline"),$I121&gt;=BJ$4,$I121&lt;BJ$4+7),IF($K121="Deadline","◇","◆"),"")</f>
        <v/>
      </c>
      <c r="BK121" s="14" t="str">
        <f>IF(AND(ISNUMBER($I121),OR($K121="Milestone",$K121="Deadline"),$I121&gt;=BK$4,$I121&lt;BK$4+7),IF($K121="Deadline","◇","◆"),"")</f>
        <v/>
      </c>
      <c r="BL121" s="14" t="str">
        <f>IF(AND(ISNUMBER($I121),OR($K121="Milestone",$K121="Deadline"),$I121&gt;=BL$4,$I121&lt;BL$4+7),IF($K121="Deadline","◇","◆"),"")</f>
        <v/>
      </c>
      <c r="BM121" s="14" t="str">
        <f>IF(AND(ISNUMBER($I121),OR($K121="Milestone",$K121="Deadline"),$I121&gt;=BM$4,$I121&lt;BM$4+7),IF($K121="Deadline","◇","◆"),"")</f>
        <v/>
      </c>
      <c r="BN121" s="14" t="str">
        <f>IF(AND(ISNUMBER($I121),OR($K121="Milestone",$K121="Deadline"),$I121&gt;=BN$4,$I121&lt;BN$4+7),IF($K121="Deadline","◇","◆"),"")</f>
        <v/>
      </c>
      <c r="BO121" s="14" t="str">
        <f>IF(AND(ISNUMBER($I121),OR($K121="Milestone",$K121="Deadline"),$I121&gt;=BO$4,$I121&lt;BO$4+7),IF($K121="Deadline","◇","◆"),"")</f>
        <v/>
      </c>
      <c r="BP121" s="14" t="str">
        <f>IF(AND(ISNUMBER($I121),OR($K121="Milestone",$K121="Deadline"),$I121&gt;=BP$4,$I121&lt;BP$4+7),IF($K121="Deadline","◇","◆"),"")</f>
        <v/>
      </c>
      <c r="BQ121" s="14" t="str">
        <f>IF(AND(ISNUMBER($I121),OR($K121="Milestone",$K121="Deadline"),$I121&gt;=BQ$4,$I121&lt;BQ$4+7),IF($K121="Deadline","◇","◆"),"")</f>
        <v/>
      </c>
      <c r="BR121" s="14" t="str">
        <f>IF(AND(ISNUMBER($I121),OR($K121="Milestone",$K121="Deadline"),$I121&gt;=BR$4,$I121&lt;BR$4+7),IF($K121="Deadline","◇","◆"),"")</f>
        <v/>
      </c>
      <c r="BS121" s="14" t="str">
        <f>IF(AND(ISNUMBER($I121),OR($K121="Milestone",$K121="Deadline"),$I121&gt;=BS$4,$I121&lt;BS$4+7),IF($K121="Deadline","◇","◆"),"")</f>
        <v/>
      </c>
      <c r="BT121" s="14" t="str">
        <f>IF(AND(ISNUMBER($I121),OR($K121="Milestone",$K121="Deadline"),$I121&gt;=BT$4,$I121&lt;BT$4+7),IF($K121="Deadline","◇","◆"),"")</f>
        <v/>
      </c>
      <c r="BU121" s="14" t="str">
        <f>IF(AND(ISNUMBER($I121),OR($K121="Milestone",$K121="Deadline"),$I121&gt;=BU$4,$I121&lt;BU$4+7),IF($K121="Deadline","◇","◆"),"")</f>
        <v/>
      </c>
      <c r="BV121" s="14" t="str">
        <f>IF(AND(ISNUMBER($I121),OR($K121="Milestone",$K121="Deadline"),$I121&gt;=BV$4,$I121&lt;BV$4+7),IF($K121="Deadline","◇","◆"),"")</f>
        <v/>
      </c>
      <c r="BW121" s="14" t="str">
        <f>IF(AND(ISNUMBER($I121),OR($K121="Milestone",$K121="Deadline"),$I121&gt;=BW$4,$I121&lt;BW$4+7),IF($K121="Deadline","◇","◆"),"")</f>
        <v/>
      </c>
      <c r="BX121" s="14" t="str">
        <f>IF(AND(ISNUMBER($I121),OR($K121="Milestone",$K121="Deadline"),$I121&gt;=BX$4,$I121&lt;BX$4+7),IF($K121="Deadline","◇","◆"),"")</f>
        <v/>
      </c>
      <c r="BY121" s="14" t="str">
        <f>IF(AND(ISNUMBER($I121),OR($K121="Milestone",$K121="Deadline"),$I121&gt;=BY$4,$I121&lt;BY$4+7),IF($K121="Deadline","◇","◆"),"")</f>
        <v/>
      </c>
      <c r="BZ121" s="14" t="str">
        <f>IF(AND(ISNUMBER($I121),OR($K121="Milestone",$K121="Deadline"),$I121&gt;=BZ$4,$I121&lt;BZ$4+7),IF($K121="Deadline","◇","◆"),"")</f>
        <v/>
      </c>
      <c r="CA121" s="14" t="str">
        <f>IF(AND(ISNUMBER($I121),OR($K121="Milestone",$K121="Deadline"),$I121&gt;=CA$4,$I121&lt;CA$4+7),IF($K121="Deadline","◇","◆"),"")</f>
        <v/>
      </c>
      <c r="CB121" s="14" t="str">
        <f>IF(AND(ISNUMBER($I121),OR($K121="Milestone",$K121="Deadline"),$I121&gt;=CB$4,$I121&lt;CB$4+7),IF($K121="Deadline","◇","◆"),"")</f>
        <v/>
      </c>
      <c r="CC121" s="14" t="str">
        <f>IF(AND(ISNUMBER($I121),OR($K121="Milestone",$K121="Deadline"),$I121&gt;=CC$4,$I121&lt;CC$4+7),IF($K121="Deadline","◇","◆"),"")</f>
        <v/>
      </c>
      <c r="CD121" s="14" t="str">
        <f>IF(AND(ISNUMBER($I121),OR($K121="Milestone",$K121="Deadline"),$I121&gt;=CD$4,$I121&lt;CD$4+7),IF($K121="Deadline","◇","◆"),"")</f>
        <v/>
      </c>
      <c r="CE121" s="14" t="str">
        <f>IF(AND(ISNUMBER($I121),OR($K121="Milestone",$K121="Deadline"),$I121&gt;=CE$4,$I121&lt;CE$4+7),IF($K121="Deadline","◇","◆"),"")</f>
        <v/>
      </c>
      <c r="CF121" s="14" t="str">
        <f>IF(AND(ISNUMBER($I121),OR($K121="Milestone",$K121="Deadline"),$I121&gt;=CF$4,$I121&lt;CF$4+7),IF($K121="Deadline","◇","◆"),"")</f>
        <v/>
      </c>
      <c r="CG121" s="14" t="str">
        <f>IF(AND(ISNUMBER($I121),OR($K121="Milestone",$K121="Deadline"),$I121&gt;=CG$4,$I121&lt;CG$4+7),IF($K121="Deadline","◇","◆"),"")</f>
        <v/>
      </c>
      <c r="CH121" s="14" t="str">
        <f>IF(AND(ISNUMBER($I121),OR($K121="Milestone",$K121="Deadline"),$I121&gt;=CH$4,$I121&lt;CH$4+7),IF($K121="Deadline","◇","◆"),"")</f>
        <v/>
      </c>
      <c r="CI121" s="14" t="str">
        <f>IF(AND(ISNUMBER($I121),OR($K121="Milestone",$K121="Deadline"),$I121&gt;=CI$4,$I121&lt;CI$4+7),IF($K121="Deadline","◇","◆"),"")</f>
        <v/>
      </c>
      <c r="CJ121" s="14" t="str">
        <f>IF(AND(ISNUMBER($I121),OR($K121="Milestone",$K121="Deadline"),$I121&gt;=CJ$4,$I121&lt;CJ$4+7),IF($K121="Deadline","◇","◆"),"")</f>
        <v/>
      </c>
      <c r="CK121" s="14" t="str">
        <f>IF(AND(ISNUMBER($I121),OR($K121="Milestone",$K121="Deadline"),$I121&gt;=CK$4,$I121&lt;CK$4+7),IF($K121="Deadline","◇","◆"),"")</f>
        <v/>
      </c>
      <c r="CL121" s="14" t="str">
        <f>IF(AND(ISNUMBER($I121),OR($K121="Milestone",$K121="Deadline"),$I121&gt;=CL$4,$I121&lt;CL$4+7),IF($K121="Deadline","◇","◆"),"")</f>
        <v/>
      </c>
      <c r="CM121" s="14" t="str">
        <f>IF(AND(ISNUMBER($I121),OR($K121="Milestone",$K121="Deadline"),$I121&gt;=CM$4,$I121&lt;CM$4+7),IF($K121="Deadline","◇","◆"),"")</f>
        <v/>
      </c>
    </row>
    <row r="122" spans="1:91" ht="15" customHeight="1">
      <c r="A122" s="15" t="s">
        <v>245</v>
      </c>
      <c r="B122" s="15" t="s">
        <v>320</v>
      </c>
      <c r="C122" s="15" t="s">
        <v>63</v>
      </c>
      <c r="D122" s="15" t="s">
        <v>195</v>
      </c>
      <c r="E122" s="15" t="s">
        <v>281</v>
      </c>
      <c r="F122" s="15" t="s">
        <v>197</v>
      </c>
      <c r="G122" s="15" t="s">
        <v>198</v>
      </c>
      <c r="H122" s="15">
        <v>2</v>
      </c>
      <c r="I122" s="34">
        <f>MAX(DATE(2026,11,16),J52+1,J52+1)</f>
        <v>46344</v>
      </c>
      <c r="J122" s="17">
        <f>IF(AND(ISNUMBER(I122),ISNUMBER(H122)),I122+H122-1,"")</f>
        <v>46345</v>
      </c>
      <c r="K122" s="15" t="s">
        <v>27</v>
      </c>
      <c r="L122" s="15" t="s">
        <v>194</v>
      </c>
      <c r="M122" s="18" t="s">
        <v>194</v>
      </c>
      <c r="N122" s="15"/>
      <c r="O122" s="18">
        <f>IF(AND(ISNUMBER(I122),ISNUMBER(J122)),J122-I122+1,"")</f>
        <v>2</v>
      </c>
      <c r="P122" s="13"/>
      <c r="Q122" s="13"/>
      <c r="R122" s="13"/>
      <c r="S122" s="13"/>
      <c r="T122" s="13" t="s">
        <v>140</v>
      </c>
      <c r="U122" s="13"/>
      <c r="V122" s="13" t="s">
        <v>140</v>
      </c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4" t="str">
        <f>IF(AND(ISNUMBER($I122),OR($K122="Milestone",$K122="Deadline"),$I122&gt;=AO$4,$I122&lt;AO$4+7),IF($K122="Deadline","◇","◆"),"")</f>
        <v/>
      </c>
      <c r="AP122" s="14" t="str">
        <f>IF(AND(ISNUMBER($I122),OR($K122="Milestone",$K122="Deadline"),$I122&gt;=AP$4,$I122&lt;AP$4+7),IF($K122="Deadline","◇","◆"),"")</f>
        <v/>
      </c>
      <c r="AQ122" s="14" t="str">
        <f>IF(AND(ISNUMBER($I122),OR($K122="Milestone",$K122="Deadline"),$I122&gt;=AQ$4,$I122&lt;AQ$4+7),IF($K122="Deadline","◇","◆"),"")</f>
        <v/>
      </c>
      <c r="AR122" s="14" t="str">
        <f>IF(AND(ISNUMBER($I122),OR($K122="Milestone",$K122="Deadline"),$I122&gt;=AR$4,$I122&lt;AR$4+7),IF($K122="Deadline","◇","◆"),"")</f>
        <v/>
      </c>
      <c r="AS122" s="14" t="str">
        <f>IF(AND(ISNUMBER($I122),OR($K122="Milestone",$K122="Deadline"),$I122&gt;=AS$4,$I122&lt;AS$4+7),IF($K122="Deadline","◇","◆"),"")</f>
        <v/>
      </c>
      <c r="AT122" s="14" t="str">
        <f>IF(AND(ISNUMBER($I122),OR($K122="Milestone",$K122="Deadline"),$I122&gt;=AT$4,$I122&lt;AT$4+7),IF($K122="Deadline","◇","◆"),"")</f>
        <v/>
      </c>
      <c r="AU122" s="14" t="str">
        <f>IF(AND(ISNUMBER($I122),OR($K122="Milestone",$K122="Deadline"),$I122&gt;=AU$4,$I122&lt;AU$4+7),IF($K122="Deadline","◇","◆"),"")</f>
        <v/>
      </c>
      <c r="AV122" s="14" t="str">
        <f>IF(AND(ISNUMBER($I122),OR($K122="Milestone",$K122="Deadline"),$I122&gt;=AV$4,$I122&lt;AV$4+7),IF($K122="Deadline","◇","◆"),"")</f>
        <v/>
      </c>
      <c r="AW122" s="14" t="str">
        <f>IF(AND(ISNUMBER($I122),OR($K122="Milestone",$K122="Deadline"),$I122&gt;=AW$4,$I122&lt;AW$4+7),IF($K122="Deadline","◇","◆"),"")</f>
        <v/>
      </c>
      <c r="AX122" s="14" t="str">
        <f>IF(AND(ISNUMBER($I122),OR($K122="Milestone",$K122="Deadline"),$I122&gt;=AX$4,$I122&lt;AX$4+7),IF($K122="Deadline","◇","◆"),"")</f>
        <v/>
      </c>
      <c r="AY122" s="14" t="str">
        <f>IF(AND(ISNUMBER($I122),OR($K122="Milestone",$K122="Deadline"),$I122&gt;=AY$4,$I122&lt;AY$4+7),IF($K122="Deadline","◇","◆"),"")</f>
        <v/>
      </c>
      <c r="AZ122" s="14" t="str">
        <f>IF(AND(ISNUMBER($I122),OR($K122="Milestone",$K122="Deadline"),$I122&gt;=AZ$4,$I122&lt;AZ$4+7),IF($K122="Deadline","◇","◆"),"")</f>
        <v/>
      </c>
      <c r="BA122" s="14" t="str">
        <f>IF(AND(ISNUMBER($I122),OR($K122="Milestone",$K122="Deadline"),$I122&gt;=BA$4,$I122&lt;BA$4+7),IF($K122="Deadline","◇","◆"),"")</f>
        <v/>
      </c>
      <c r="BB122" s="14" t="str">
        <f>IF(AND(ISNUMBER($I122),OR($K122="Milestone",$K122="Deadline"),$I122&gt;=BB$4,$I122&lt;BB$4+7),IF($K122="Deadline","◇","◆"),"")</f>
        <v/>
      </c>
      <c r="BC122" s="14" t="str">
        <f>IF(AND(ISNUMBER($I122),OR($K122="Milestone",$K122="Deadline"),$I122&gt;=BC$4,$I122&lt;BC$4+7),IF($K122="Deadline","◇","◆"),"")</f>
        <v/>
      </c>
      <c r="BD122" s="14" t="str">
        <f>IF(AND(ISNUMBER($I122),OR($K122="Milestone",$K122="Deadline"),$I122&gt;=BD$4,$I122&lt;BD$4+7),IF($K122="Deadline","◇","◆"),"")</f>
        <v/>
      </c>
      <c r="BE122" s="14" t="str">
        <f>IF(AND(ISNUMBER($I122),OR($K122="Milestone",$K122="Deadline"),$I122&gt;=BE$4,$I122&lt;BE$4+7),IF($K122="Deadline","◇","◆"),"")</f>
        <v/>
      </c>
      <c r="BF122" s="14" t="str">
        <f>IF(AND(ISNUMBER($I122),OR($K122="Milestone",$K122="Deadline"),$I122&gt;=BF$4,$I122&lt;BF$4+7),IF($K122="Deadline","◇","◆"),"")</f>
        <v/>
      </c>
      <c r="BG122" s="14" t="str">
        <f>IF(AND(ISNUMBER($I122),OR($K122="Milestone",$K122="Deadline"),$I122&gt;=BG$4,$I122&lt;BG$4+7),IF($K122="Deadline","◇","◆"),"")</f>
        <v/>
      </c>
      <c r="BH122" s="14" t="str">
        <f>IF(AND(ISNUMBER($I122),OR($K122="Milestone",$K122="Deadline"),$I122&gt;=BH$4,$I122&lt;BH$4+7),IF($K122="Deadline","◇","◆"),"")</f>
        <v/>
      </c>
      <c r="BI122" s="14" t="str">
        <f>IF(AND(ISNUMBER($I122),OR($K122="Milestone",$K122="Deadline"),$I122&gt;=BI$4,$I122&lt;BI$4+7),IF($K122="Deadline","◇","◆"),"")</f>
        <v/>
      </c>
      <c r="BJ122" s="14" t="str">
        <f>IF(AND(ISNUMBER($I122),OR($K122="Milestone",$K122="Deadline"),$I122&gt;=BJ$4,$I122&lt;BJ$4+7),IF($K122="Deadline","◇","◆"),"")</f>
        <v/>
      </c>
      <c r="BK122" s="14" t="str">
        <f>IF(AND(ISNUMBER($I122),OR($K122="Milestone",$K122="Deadline"),$I122&gt;=BK$4,$I122&lt;BK$4+7),IF($K122="Deadline","◇","◆"),"")</f>
        <v/>
      </c>
      <c r="BL122" s="14" t="str">
        <f>IF(AND(ISNUMBER($I122),OR($K122="Milestone",$K122="Deadline"),$I122&gt;=BL$4,$I122&lt;BL$4+7),IF($K122="Deadline","◇","◆"),"")</f>
        <v/>
      </c>
      <c r="BM122" s="14" t="str">
        <f>IF(AND(ISNUMBER($I122),OR($K122="Milestone",$K122="Deadline"),$I122&gt;=BM$4,$I122&lt;BM$4+7),IF($K122="Deadline","◇","◆"),"")</f>
        <v/>
      </c>
      <c r="BN122" s="14" t="str">
        <f>IF(AND(ISNUMBER($I122),OR($K122="Milestone",$K122="Deadline"),$I122&gt;=BN$4,$I122&lt;BN$4+7),IF($K122="Deadline","◇","◆"),"")</f>
        <v/>
      </c>
      <c r="BO122" s="14" t="str">
        <f>IF(AND(ISNUMBER($I122),OR($K122="Milestone",$K122="Deadline"),$I122&gt;=BO$4,$I122&lt;BO$4+7),IF($K122="Deadline","◇","◆"),"")</f>
        <v/>
      </c>
      <c r="BP122" s="14" t="str">
        <f>IF(AND(ISNUMBER($I122),OR($K122="Milestone",$K122="Deadline"),$I122&gt;=BP$4,$I122&lt;BP$4+7),IF($K122="Deadline","◇","◆"),"")</f>
        <v/>
      </c>
      <c r="BQ122" s="14" t="str">
        <f>IF(AND(ISNUMBER($I122),OR($K122="Milestone",$K122="Deadline"),$I122&gt;=BQ$4,$I122&lt;BQ$4+7),IF($K122="Deadline","◇","◆"),"")</f>
        <v/>
      </c>
      <c r="BR122" s="14" t="str">
        <f>IF(AND(ISNUMBER($I122),OR($K122="Milestone",$K122="Deadline"),$I122&gt;=BR$4,$I122&lt;BR$4+7),IF($K122="Deadline","◇","◆"),"")</f>
        <v/>
      </c>
      <c r="BS122" s="14" t="str">
        <f>IF(AND(ISNUMBER($I122),OR($K122="Milestone",$K122="Deadline"),$I122&gt;=BS$4,$I122&lt;BS$4+7),IF($K122="Deadline","◇","◆"),"")</f>
        <v/>
      </c>
      <c r="BT122" s="14" t="str">
        <f>IF(AND(ISNUMBER($I122),OR($K122="Milestone",$K122="Deadline"),$I122&gt;=BT$4,$I122&lt;BT$4+7),IF($K122="Deadline","◇","◆"),"")</f>
        <v/>
      </c>
      <c r="BU122" s="14" t="str">
        <f>IF(AND(ISNUMBER($I122),OR($K122="Milestone",$K122="Deadline"),$I122&gt;=BU$4,$I122&lt;BU$4+7),IF($K122="Deadline","◇","◆"),"")</f>
        <v/>
      </c>
      <c r="BV122" s="14" t="str">
        <f>IF(AND(ISNUMBER($I122),OR($K122="Milestone",$K122="Deadline"),$I122&gt;=BV$4,$I122&lt;BV$4+7),IF($K122="Deadline","◇","◆"),"")</f>
        <v/>
      </c>
      <c r="BW122" s="14" t="str">
        <f>IF(AND(ISNUMBER($I122),OR($K122="Milestone",$K122="Deadline"),$I122&gt;=BW$4,$I122&lt;BW$4+7),IF($K122="Deadline","◇","◆"),"")</f>
        <v/>
      </c>
      <c r="BX122" s="14" t="str">
        <f>IF(AND(ISNUMBER($I122),OR($K122="Milestone",$K122="Deadline"),$I122&gt;=BX$4,$I122&lt;BX$4+7),IF($K122="Deadline","◇","◆"),"")</f>
        <v/>
      </c>
      <c r="BY122" s="14" t="str">
        <f>IF(AND(ISNUMBER($I122),OR($K122="Milestone",$K122="Deadline"),$I122&gt;=BY$4,$I122&lt;BY$4+7),IF($K122="Deadline","◇","◆"),"")</f>
        <v/>
      </c>
      <c r="BZ122" s="14" t="str">
        <f>IF(AND(ISNUMBER($I122),OR($K122="Milestone",$K122="Deadline"),$I122&gt;=BZ$4,$I122&lt;BZ$4+7),IF($K122="Deadline","◇","◆"),"")</f>
        <v/>
      </c>
      <c r="CA122" s="14" t="str">
        <f>IF(AND(ISNUMBER($I122),OR($K122="Milestone",$K122="Deadline"),$I122&gt;=CA$4,$I122&lt;CA$4+7),IF($K122="Deadline","◇","◆"),"")</f>
        <v/>
      </c>
      <c r="CB122" s="14" t="str">
        <f>IF(AND(ISNUMBER($I122),OR($K122="Milestone",$K122="Deadline"),$I122&gt;=CB$4,$I122&lt;CB$4+7),IF($K122="Deadline","◇","◆"),"")</f>
        <v/>
      </c>
      <c r="CC122" s="14" t="str">
        <f>IF(AND(ISNUMBER($I122),OR($K122="Milestone",$K122="Deadline"),$I122&gt;=CC$4,$I122&lt;CC$4+7),IF($K122="Deadline","◇","◆"),"")</f>
        <v/>
      </c>
      <c r="CD122" s="14" t="str">
        <f>IF(AND(ISNUMBER($I122),OR($K122="Milestone",$K122="Deadline"),$I122&gt;=CD$4,$I122&lt;CD$4+7),IF($K122="Deadline","◇","◆"),"")</f>
        <v/>
      </c>
      <c r="CE122" s="14" t="str">
        <f>IF(AND(ISNUMBER($I122),OR($K122="Milestone",$K122="Deadline"),$I122&gt;=CE$4,$I122&lt;CE$4+7),IF($K122="Deadline","◇","◆"),"")</f>
        <v/>
      </c>
      <c r="CF122" s="14" t="str">
        <f>IF(AND(ISNUMBER($I122),OR($K122="Milestone",$K122="Deadline"),$I122&gt;=CF$4,$I122&lt;CF$4+7),IF($K122="Deadline","◇","◆"),"")</f>
        <v/>
      </c>
      <c r="CG122" s="14" t="str">
        <f>IF(AND(ISNUMBER($I122),OR($K122="Milestone",$K122="Deadline"),$I122&gt;=CG$4,$I122&lt;CG$4+7),IF($K122="Deadline","◇","◆"),"")</f>
        <v/>
      </c>
      <c r="CH122" s="14" t="str">
        <f>IF(AND(ISNUMBER($I122),OR($K122="Milestone",$K122="Deadline"),$I122&gt;=CH$4,$I122&lt;CH$4+7),IF($K122="Deadline","◇","◆"),"")</f>
        <v/>
      </c>
      <c r="CI122" s="14" t="str">
        <f>IF(AND(ISNUMBER($I122),OR($K122="Milestone",$K122="Deadline"),$I122&gt;=CI$4,$I122&lt;CI$4+7),IF($K122="Deadline","◇","◆"),"")</f>
        <v/>
      </c>
      <c r="CJ122" s="14" t="str">
        <f>IF(AND(ISNUMBER($I122),OR($K122="Milestone",$K122="Deadline"),$I122&gt;=CJ$4,$I122&lt;CJ$4+7),IF($K122="Deadline","◇","◆"),"")</f>
        <v/>
      </c>
      <c r="CK122" s="14" t="str">
        <f>IF(AND(ISNUMBER($I122),OR($K122="Milestone",$K122="Deadline"),$I122&gt;=CK$4,$I122&lt;CK$4+7),IF($K122="Deadline","◇","◆"),"")</f>
        <v/>
      </c>
      <c r="CL122" s="14" t="str">
        <f>IF(AND(ISNUMBER($I122),OR($K122="Milestone",$K122="Deadline"),$I122&gt;=CL$4,$I122&lt;CL$4+7),IF($K122="Deadline","◇","◆"),"")</f>
        <v/>
      </c>
      <c r="CM122" s="14" t="str">
        <f>IF(AND(ISNUMBER($I122),OR($K122="Milestone",$K122="Deadline"),$I122&gt;=CM$4,$I122&lt;CM$4+7),IF($K122="Deadline","◇","◆"),"")</f>
        <v/>
      </c>
    </row>
    <row r="123" spans="1:91" ht="15" hidden="1" customHeight="1">
      <c r="A123" s="15" t="s">
        <v>331</v>
      </c>
      <c r="B123" s="15" t="s">
        <v>320</v>
      </c>
      <c r="C123" s="15" t="s">
        <v>63</v>
      </c>
      <c r="D123" s="15" t="s">
        <v>195</v>
      </c>
      <c r="E123" s="15" t="s">
        <v>281</v>
      </c>
      <c r="F123" s="15" t="s">
        <v>197</v>
      </c>
      <c r="G123" s="15" t="s">
        <v>173</v>
      </c>
      <c r="H123" s="15">
        <v>7</v>
      </c>
      <c r="I123" s="16">
        <v>46364</v>
      </c>
      <c r="J123" s="17">
        <f>IF(AND(ISNUMBER(I123),ISNUMBER(H123)),I123+H123-1,"")</f>
        <v>46370</v>
      </c>
      <c r="K123" s="15" t="s">
        <v>27</v>
      </c>
      <c r="L123" s="15"/>
      <c r="M123" s="18"/>
      <c r="N123" s="15"/>
      <c r="O123" s="18">
        <f>IF(AND(ISNUMBER(I123),ISNUMBER(J123)),J123-I123+1,"")</f>
        <v>7</v>
      </c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 t="s">
        <v>140</v>
      </c>
      <c r="AL123" s="13"/>
      <c r="AM123" s="13"/>
      <c r="AN123" s="13"/>
      <c r="AO123" s="14" t="str">
        <f>IF(AND(ISNUMBER($I123),OR($K123="Milestone",$K123="Deadline"),$I123&gt;=AO$4,$I123&lt;AO$4+7),IF($K123="Deadline","◇","◆"),"")</f>
        <v/>
      </c>
      <c r="AP123" s="14" t="str">
        <f>IF(AND(ISNUMBER($I123),OR($K123="Milestone",$K123="Deadline"),$I123&gt;=AP$4,$I123&lt;AP$4+7),IF($K123="Deadline","◇","◆"),"")</f>
        <v/>
      </c>
      <c r="AQ123" s="14" t="str">
        <f>IF(AND(ISNUMBER($I123),OR($K123="Milestone",$K123="Deadline"),$I123&gt;=AQ$4,$I123&lt;AQ$4+7),IF($K123="Deadline","◇","◆"),"")</f>
        <v/>
      </c>
      <c r="AR123" s="14" t="str">
        <f>IF(AND(ISNUMBER($I123),OR($K123="Milestone",$K123="Deadline"),$I123&gt;=AR$4,$I123&lt;AR$4+7),IF($K123="Deadline","◇","◆"),"")</f>
        <v/>
      </c>
      <c r="AS123" s="14" t="str">
        <f>IF(AND(ISNUMBER($I123),OR($K123="Milestone",$K123="Deadline"),$I123&gt;=AS$4,$I123&lt;AS$4+7),IF($K123="Deadline","◇","◆"),"")</f>
        <v/>
      </c>
      <c r="AT123" s="14" t="str">
        <f>IF(AND(ISNUMBER($I123),OR($K123="Milestone",$K123="Deadline"),$I123&gt;=AT$4,$I123&lt;AT$4+7),IF($K123="Deadline","◇","◆"),"")</f>
        <v/>
      </c>
      <c r="AU123" s="14" t="str">
        <f>IF(AND(ISNUMBER($I123),OR($K123="Milestone",$K123="Deadline"),$I123&gt;=AU$4,$I123&lt;AU$4+7),IF($K123="Deadline","◇","◆"),"")</f>
        <v/>
      </c>
      <c r="AV123" s="14" t="str">
        <f>IF(AND(ISNUMBER($I123),OR($K123="Milestone",$K123="Deadline"),$I123&gt;=AV$4,$I123&lt;AV$4+7),IF($K123="Deadline","◇","◆"),"")</f>
        <v/>
      </c>
      <c r="AW123" s="14" t="str">
        <f>IF(AND(ISNUMBER($I123),OR($K123="Milestone",$K123="Deadline"),$I123&gt;=AW$4,$I123&lt;AW$4+7),IF($K123="Deadline","◇","◆"),"")</f>
        <v/>
      </c>
      <c r="AX123" s="14" t="str">
        <f>IF(AND(ISNUMBER($I123),OR($K123="Milestone",$K123="Deadline"),$I123&gt;=AX$4,$I123&lt;AX$4+7),IF($K123="Deadline","◇","◆"),"")</f>
        <v/>
      </c>
      <c r="AY123" s="14" t="str">
        <f>IF(AND(ISNUMBER($I123),OR($K123="Milestone",$K123="Deadline"),$I123&gt;=AY$4,$I123&lt;AY$4+7),IF($K123="Deadline","◇","◆"),"")</f>
        <v/>
      </c>
      <c r="AZ123" s="14" t="str">
        <f>IF(AND(ISNUMBER($I123),OR($K123="Milestone",$K123="Deadline"),$I123&gt;=AZ$4,$I123&lt;AZ$4+7),IF($K123="Deadline","◇","◆"),"")</f>
        <v/>
      </c>
      <c r="BA123" s="14" t="str">
        <f>IF(AND(ISNUMBER($I123),OR($K123="Milestone",$K123="Deadline"),$I123&gt;=BA$4,$I123&lt;BA$4+7),IF($K123="Deadline","◇","◆"),"")</f>
        <v/>
      </c>
      <c r="BB123" s="14" t="str">
        <f>IF(AND(ISNUMBER($I123),OR($K123="Milestone",$K123="Deadline"),$I123&gt;=BB$4,$I123&lt;BB$4+7),IF($K123="Deadline","◇","◆"),"")</f>
        <v/>
      </c>
      <c r="BC123" s="14" t="str">
        <f>IF(AND(ISNUMBER($I123),OR($K123="Milestone",$K123="Deadline"),$I123&gt;=BC$4,$I123&lt;BC$4+7),IF($K123="Deadline","◇","◆"),"")</f>
        <v/>
      </c>
      <c r="BD123" s="14" t="str">
        <f>IF(AND(ISNUMBER($I123),OR($K123="Milestone",$K123="Deadline"),$I123&gt;=BD$4,$I123&lt;BD$4+7),IF($K123="Deadline","◇","◆"),"")</f>
        <v/>
      </c>
      <c r="BE123" s="14" t="str">
        <f>IF(AND(ISNUMBER($I123),OR($K123="Milestone",$K123="Deadline"),$I123&gt;=BE$4,$I123&lt;BE$4+7),IF($K123="Deadline","◇","◆"),"")</f>
        <v/>
      </c>
      <c r="BF123" s="14" t="str">
        <f>IF(AND(ISNUMBER($I123),OR($K123="Milestone",$K123="Deadline"),$I123&gt;=BF$4,$I123&lt;BF$4+7),IF($K123="Deadline","◇","◆"),"")</f>
        <v/>
      </c>
      <c r="BG123" s="14" t="str">
        <f>IF(AND(ISNUMBER($I123),OR($K123="Milestone",$K123="Deadline"),$I123&gt;=BG$4,$I123&lt;BG$4+7),IF($K123="Deadline","◇","◆"),"")</f>
        <v/>
      </c>
      <c r="BH123" s="14" t="str">
        <f>IF(AND(ISNUMBER($I123),OR($K123="Milestone",$K123="Deadline"),$I123&gt;=BH$4,$I123&lt;BH$4+7),IF($K123="Deadline","◇","◆"),"")</f>
        <v/>
      </c>
      <c r="BI123" s="14" t="str">
        <f>IF(AND(ISNUMBER($I123),OR($K123="Milestone",$K123="Deadline"),$I123&gt;=BI$4,$I123&lt;BI$4+7),IF($K123="Deadline","◇","◆"),"")</f>
        <v/>
      </c>
      <c r="BJ123" s="14" t="str">
        <f>IF(AND(ISNUMBER($I123),OR($K123="Milestone",$K123="Deadline"),$I123&gt;=BJ$4,$I123&lt;BJ$4+7),IF($K123="Deadline","◇","◆"),"")</f>
        <v/>
      </c>
      <c r="BK123" s="14" t="str">
        <f>IF(AND(ISNUMBER($I123),OR($K123="Milestone",$K123="Deadline"),$I123&gt;=BK$4,$I123&lt;BK$4+7),IF($K123="Deadline","◇","◆"),"")</f>
        <v/>
      </c>
      <c r="BL123" s="14" t="str">
        <f>IF(AND(ISNUMBER($I123),OR($K123="Milestone",$K123="Deadline"),$I123&gt;=BL$4,$I123&lt;BL$4+7),IF($K123="Deadline","◇","◆"),"")</f>
        <v/>
      </c>
      <c r="BM123" s="14" t="str">
        <f>IF(AND(ISNUMBER($I123),OR($K123="Milestone",$K123="Deadline"),$I123&gt;=BM$4,$I123&lt;BM$4+7),IF($K123="Deadline","◇","◆"),"")</f>
        <v/>
      </c>
      <c r="BN123" s="14" t="str">
        <f>IF(AND(ISNUMBER($I123),OR($K123="Milestone",$K123="Deadline"),$I123&gt;=BN$4,$I123&lt;BN$4+7),IF($K123="Deadline","◇","◆"),"")</f>
        <v/>
      </c>
      <c r="BO123" s="14" t="str">
        <f>IF(AND(ISNUMBER($I123),OR($K123="Milestone",$K123="Deadline"),$I123&gt;=BO$4,$I123&lt;BO$4+7),IF($K123="Deadline","◇","◆"),"")</f>
        <v/>
      </c>
      <c r="BP123" s="14" t="str">
        <f>IF(AND(ISNUMBER($I123),OR($K123="Milestone",$K123="Deadline"),$I123&gt;=BP$4,$I123&lt;BP$4+7),IF($K123="Deadline","◇","◆"),"")</f>
        <v/>
      </c>
      <c r="BQ123" s="14" t="str">
        <f>IF(AND(ISNUMBER($I123),OR($K123="Milestone",$K123="Deadline"),$I123&gt;=BQ$4,$I123&lt;BQ$4+7),IF($K123="Deadline","◇","◆"),"")</f>
        <v/>
      </c>
      <c r="BR123" s="14" t="str">
        <f>IF(AND(ISNUMBER($I123),OR($K123="Milestone",$K123="Deadline"),$I123&gt;=BR$4,$I123&lt;BR$4+7),IF($K123="Deadline","◇","◆"),"")</f>
        <v/>
      </c>
      <c r="BS123" s="14" t="str">
        <f>IF(AND(ISNUMBER($I123),OR($K123="Milestone",$K123="Deadline"),$I123&gt;=BS$4,$I123&lt;BS$4+7),IF($K123="Deadline","◇","◆"),"")</f>
        <v/>
      </c>
      <c r="BT123" s="14" t="str">
        <f>IF(AND(ISNUMBER($I123),OR($K123="Milestone",$K123="Deadline"),$I123&gt;=BT$4,$I123&lt;BT$4+7),IF($K123="Deadline","◇","◆"),"")</f>
        <v/>
      </c>
      <c r="BU123" s="14" t="str">
        <f>IF(AND(ISNUMBER($I123),OR($K123="Milestone",$K123="Deadline"),$I123&gt;=BU$4,$I123&lt;BU$4+7),IF($K123="Deadline","◇","◆"),"")</f>
        <v/>
      </c>
      <c r="BV123" s="14" t="str">
        <f>IF(AND(ISNUMBER($I123),OR($K123="Milestone",$K123="Deadline"),$I123&gt;=BV$4,$I123&lt;BV$4+7),IF($K123="Deadline","◇","◆"),"")</f>
        <v/>
      </c>
      <c r="BW123" s="14" t="str">
        <f>IF(AND(ISNUMBER($I123),OR($K123="Milestone",$K123="Deadline"),$I123&gt;=BW$4,$I123&lt;BW$4+7),IF($K123="Deadline","◇","◆"),"")</f>
        <v/>
      </c>
      <c r="BX123" s="14" t="str">
        <f>IF(AND(ISNUMBER($I123),OR($K123="Milestone",$K123="Deadline"),$I123&gt;=BX$4,$I123&lt;BX$4+7),IF($K123="Deadline","◇","◆"),"")</f>
        <v/>
      </c>
      <c r="BY123" s="14" t="str">
        <f>IF(AND(ISNUMBER($I123),OR($K123="Milestone",$K123="Deadline"),$I123&gt;=BY$4,$I123&lt;BY$4+7),IF($K123="Deadline","◇","◆"),"")</f>
        <v/>
      </c>
      <c r="BZ123" s="14" t="str">
        <f>IF(AND(ISNUMBER($I123),OR($K123="Milestone",$K123="Deadline"),$I123&gt;=BZ$4,$I123&lt;BZ$4+7),IF($K123="Deadline","◇","◆"),"")</f>
        <v/>
      </c>
      <c r="CA123" s="14" t="str">
        <f>IF(AND(ISNUMBER($I123),OR($K123="Milestone",$K123="Deadline"),$I123&gt;=CA$4,$I123&lt;CA$4+7),IF($K123="Deadline","◇","◆"),"")</f>
        <v/>
      </c>
      <c r="CB123" s="14" t="str">
        <f>IF(AND(ISNUMBER($I123),OR($K123="Milestone",$K123="Deadline"),$I123&gt;=CB$4,$I123&lt;CB$4+7),IF($K123="Deadline","◇","◆"),"")</f>
        <v/>
      </c>
      <c r="CC123" s="14" t="str">
        <f>IF(AND(ISNUMBER($I123),OR($K123="Milestone",$K123="Deadline"),$I123&gt;=CC$4,$I123&lt;CC$4+7),IF($K123="Deadline","◇","◆"),"")</f>
        <v/>
      </c>
      <c r="CD123" s="14" t="str">
        <f>IF(AND(ISNUMBER($I123),OR($K123="Milestone",$K123="Deadline"),$I123&gt;=CD$4,$I123&lt;CD$4+7),IF($K123="Deadline","◇","◆"),"")</f>
        <v/>
      </c>
      <c r="CE123" s="14" t="str">
        <f>IF(AND(ISNUMBER($I123),OR($K123="Milestone",$K123="Deadline"),$I123&gt;=CE$4,$I123&lt;CE$4+7),IF($K123="Deadline","◇","◆"),"")</f>
        <v/>
      </c>
      <c r="CF123" s="14" t="str">
        <f>IF(AND(ISNUMBER($I123),OR($K123="Milestone",$K123="Deadline"),$I123&gt;=CF$4,$I123&lt;CF$4+7),IF($K123="Deadline","◇","◆"),"")</f>
        <v/>
      </c>
      <c r="CG123" s="14" t="str">
        <f>IF(AND(ISNUMBER($I123),OR($K123="Milestone",$K123="Deadline"),$I123&gt;=CG$4,$I123&lt;CG$4+7),IF($K123="Deadline","◇","◆"),"")</f>
        <v/>
      </c>
      <c r="CH123" s="14" t="str">
        <f>IF(AND(ISNUMBER($I123),OR($K123="Milestone",$K123="Deadline"),$I123&gt;=CH$4,$I123&lt;CH$4+7),IF($K123="Deadline","◇","◆"),"")</f>
        <v/>
      </c>
      <c r="CI123" s="14" t="str">
        <f>IF(AND(ISNUMBER($I123),OR($K123="Milestone",$K123="Deadline"),$I123&gt;=CI$4,$I123&lt;CI$4+7),IF($K123="Deadline","◇","◆"),"")</f>
        <v/>
      </c>
      <c r="CJ123" s="14" t="str">
        <f>IF(AND(ISNUMBER($I123),OR($K123="Milestone",$K123="Deadline"),$I123&gt;=CJ$4,$I123&lt;CJ$4+7),IF($K123="Deadline","◇","◆"),"")</f>
        <v/>
      </c>
      <c r="CK123" s="14" t="str">
        <f>IF(AND(ISNUMBER($I123),OR($K123="Milestone",$K123="Deadline"),$I123&gt;=CK$4,$I123&lt;CK$4+7),IF($K123="Deadline","◇","◆"),"")</f>
        <v/>
      </c>
      <c r="CL123" s="14" t="str">
        <f>IF(AND(ISNUMBER($I123),OR($K123="Milestone",$K123="Deadline"),$I123&gt;=CL$4,$I123&lt;CL$4+7),IF($K123="Deadline","◇","◆"),"")</f>
        <v/>
      </c>
      <c r="CM123" s="14" t="str">
        <f>IF(AND(ISNUMBER($I123),OR($K123="Milestone",$K123="Deadline"),$I123&gt;=CM$4,$I123&lt;CM$4+7),IF($K123="Deadline","◇","◆"),"")</f>
        <v/>
      </c>
    </row>
    <row r="124" spans="1:91" ht="15" hidden="1" customHeight="1">
      <c r="A124" s="15" t="s">
        <v>332</v>
      </c>
      <c r="B124" s="15" t="s">
        <v>320</v>
      </c>
      <c r="C124" s="15" t="s">
        <v>63</v>
      </c>
      <c r="D124" s="15" t="s">
        <v>168</v>
      </c>
      <c r="E124" s="15" t="s">
        <v>281</v>
      </c>
      <c r="F124" s="15" t="s">
        <v>197</v>
      </c>
      <c r="G124" s="15" t="s">
        <v>176</v>
      </c>
      <c r="H124" s="15">
        <v>2</v>
      </c>
      <c r="I124" s="34">
        <f>MAX($C$2,J122+1,J55+1,J79+1,J274+1)</f>
        <v>46372</v>
      </c>
      <c r="J124" s="17">
        <f>IF(AND(ISNUMBER(I124),ISNUMBER(H124)),I124+H124-1,"")</f>
        <v>46373</v>
      </c>
      <c r="K124" s="15" t="s">
        <v>27</v>
      </c>
      <c r="L124" s="15" t="s">
        <v>333</v>
      </c>
      <c r="M124" s="18" t="s">
        <v>334</v>
      </c>
      <c r="N124" s="15"/>
      <c r="O124" s="18">
        <f>IF(AND(ISNUMBER(I124),ISNUMBER(J124)),J124-I124+1,"")</f>
        <v>2</v>
      </c>
      <c r="P124" s="13"/>
      <c r="Q124" s="13"/>
      <c r="R124" s="13"/>
      <c r="S124" s="13"/>
      <c r="T124" s="13"/>
      <c r="U124" s="13"/>
      <c r="V124" s="13" t="s">
        <v>140</v>
      </c>
      <c r="W124" s="13"/>
      <c r="X124" s="13"/>
      <c r="Y124" s="13"/>
      <c r="Z124" s="13"/>
      <c r="AA124" s="13"/>
      <c r="AB124" s="13"/>
      <c r="AC124" s="13" t="s">
        <v>140</v>
      </c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4" t="str">
        <f>IF(AND(ISNUMBER($I124),OR($K124="Milestone",$K124="Deadline"),$I124&gt;=AO$4,$I124&lt;AO$4+7),IF($K124="Deadline","◇","◆"),"")</f>
        <v/>
      </c>
      <c r="AP124" s="14" t="str">
        <f>IF(AND(ISNUMBER($I124),OR($K124="Milestone",$K124="Deadline"),$I124&gt;=AP$4,$I124&lt;AP$4+7),IF($K124="Deadline","◇","◆"),"")</f>
        <v/>
      </c>
      <c r="AQ124" s="14" t="str">
        <f>IF(AND(ISNUMBER($I124),OR($K124="Milestone",$K124="Deadline"),$I124&gt;=AQ$4,$I124&lt;AQ$4+7),IF($K124="Deadline","◇","◆"),"")</f>
        <v/>
      </c>
      <c r="AR124" s="14" t="str">
        <f>IF(AND(ISNUMBER($I124),OR($K124="Milestone",$K124="Deadline"),$I124&gt;=AR$4,$I124&lt;AR$4+7),IF($K124="Deadline","◇","◆"),"")</f>
        <v/>
      </c>
      <c r="AS124" s="14" t="str">
        <f>IF(AND(ISNUMBER($I124),OR($K124="Milestone",$K124="Deadline"),$I124&gt;=AS$4,$I124&lt;AS$4+7),IF($K124="Deadline","◇","◆"),"")</f>
        <v/>
      </c>
      <c r="AT124" s="14" t="str">
        <f>IF(AND(ISNUMBER($I124),OR($K124="Milestone",$K124="Deadline"),$I124&gt;=AT$4,$I124&lt;AT$4+7),IF($K124="Deadline","◇","◆"),"")</f>
        <v/>
      </c>
      <c r="AU124" s="14" t="str">
        <f>IF(AND(ISNUMBER($I124),OR($K124="Milestone",$K124="Deadline"),$I124&gt;=AU$4,$I124&lt;AU$4+7),IF($K124="Deadline","◇","◆"),"")</f>
        <v/>
      </c>
      <c r="AV124" s="14" t="str">
        <f>IF(AND(ISNUMBER($I124),OR($K124="Milestone",$K124="Deadline"),$I124&gt;=AV$4,$I124&lt;AV$4+7),IF($K124="Deadline","◇","◆"),"")</f>
        <v/>
      </c>
      <c r="AW124" s="14" t="str">
        <f>IF(AND(ISNUMBER($I124),OR($K124="Milestone",$K124="Deadline"),$I124&gt;=AW$4,$I124&lt;AW$4+7),IF($K124="Deadline","◇","◆"),"")</f>
        <v/>
      </c>
      <c r="AX124" s="14" t="str">
        <f>IF(AND(ISNUMBER($I124),OR($K124="Milestone",$K124="Deadline"),$I124&gt;=AX$4,$I124&lt;AX$4+7),IF($K124="Deadline","◇","◆"),"")</f>
        <v/>
      </c>
      <c r="AY124" s="14" t="str">
        <f>IF(AND(ISNUMBER($I124),OR($K124="Milestone",$K124="Deadline"),$I124&gt;=AY$4,$I124&lt;AY$4+7),IF($K124="Deadline","◇","◆"),"")</f>
        <v/>
      </c>
      <c r="AZ124" s="14" t="str">
        <f>IF(AND(ISNUMBER($I124),OR($K124="Milestone",$K124="Deadline"),$I124&gt;=AZ$4,$I124&lt;AZ$4+7),IF($K124="Deadline","◇","◆"),"")</f>
        <v/>
      </c>
      <c r="BA124" s="14" t="str">
        <f>IF(AND(ISNUMBER($I124),OR($K124="Milestone",$K124="Deadline"),$I124&gt;=BA$4,$I124&lt;BA$4+7),IF($K124="Deadline","◇","◆"),"")</f>
        <v/>
      </c>
      <c r="BB124" s="14" t="str">
        <f>IF(AND(ISNUMBER($I124),OR($K124="Milestone",$K124="Deadline"),$I124&gt;=BB$4,$I124&lt;BB$4+7),IF($K124="Deadline","◇","◆"),"")</f>
        <v/>
      </c>
      <c r="BC124" s="14" t="str">
        <f>IF(AND(ISNUMBER($I124),OR($K124="Milestone",$K124="Deadline"),$I124&gt;=BC$4,$I124&lt;BC$4+7),IF($K124="Deadline","◇","◆"),"")</f>
        <v/>
      </c>
      <c r="BD124" s="14" t="str">
        <f>IF(AND(ISNUMBER($I124),OR($K124="Milestone",$K124="Deadline"),$I124&gt;=BD$4,$I124&lt;BD$4+7),IF($K124="Deadline","◇","◆"),"")</f>
        <v/>
      </c>
      <c r="BE124" s="14" t="str">
        <f>IF(AND(ISNUMBER($I124),OR($K124="Milestone",$K124="Deadline"),$I124&gt;=BE$4,$I124&lt;BE$4+7),IF($K124="Deadline","◇","◆"),"")</f>
        <v/>
      </c>
      <c r="BF124" s="14" t="str">
        <f>IF(AND(ISNUMBER($I124),OR($K124="Milestone",$K124="Deadline"),$I124&gt;=BF$4,$I124&lt;BF$4+7),IF($K124="Deadline","◇","◆"),"")</f>
        <v/>
      </c>
      <c r="BG124" s="14" t="str">
        <f>IF(AND(ISNUMBER($I124),OR($K124="Milestone",$K124="Deadline"),$I124&gt;=BG$4,$I124&lt;BG$4+7),IF($K124="Deadline","◇","◆"),"")</f>
        <v/>
      </c>
      <c r="BH124" s="14" t="str">
        <f>IF(AND(ISNUMBER($I124),OR($K124="Milestone",$K124="Deadline"),$I124&gt;=BH$4,$I124&lt;BH$4+7),IF($K124="Deadline","◇","◆"),"")</f>
        <v/>
      </c>
      <c r="BI124" s="14" t="str">
        <f>IF(AND(ISNUMBER($I124),OR($K124="Milestone",$K124="Deadline"),$I124&gt;=BI$4,$I124&lt;BI$4+7),IF($K124="Deadline","◇","◆"),"")</f>
        <v/>
      </c>
      <c r="BJ124" s="14" t="str">
        <f>IF(AND(ISNUMBER($I124),OR($K124="Milestone",$K124="Deadline"),$I124&gt;=BJ$4,$I124&lt;BJ$4+7),IF($K124="Deadline","◇","◆"),"")</f>
        <v/>
      </c>
      <c r="BK124" s="14" t="str">
        <f>IF(AND(ISNUMBER($I124),OR($K124="Milestone",$K124="Deadline"),$I124&gt;=BK$4,$I124&lt;BK$4+7),IF($K124="Deadline","◇","◆"),"")</f>
        <v/>
      </c>
      <c r="BL124" s="14" t="str">
        <f>IF(AND(ISNUMBER($I124),OR($K124="Milestone",$K124="Deadline"),$I124&gt;=BL$4,$I124&lt;BL$4+7),IF($K124="Deadline","◇","◆"),"")</f>
        <v/>
      </c>
      <c r="BM124" s="14" t="str">
        <f>IF(AND(ISNUMBER($I124),OR($K124="Milestone",$K124="Deadline"),$I124&gt;=BM$4,$I124&lt;BM$4+7),IF($K124="Deadline","◇","◆"),"")</f>
        <v/>
      </c>
      <c r="BN124" s="14" t="str">
        <f>IF(AND(ISNUMBER($I124),OR($K124="Milestone",$K124="Deadline"),$I124&gt;=BN$4,$I124&lt;BN$4+7),IF($K124="Deadline","◇","◆"),"")</f>
        <v/>
      </c>
      <c r="BO124" s="14" t="str">
        <f>IF(AND(ISNUMBER($I124),OR($K124="Milestone",$K124="Deadline"),$I124&gt;=BO$4,$I124&lt;BO$4+7),IF($K124="Deadline","◇","◆"),"")</f>
        <v/>
      </c>
      <c r="BP124" s="14" t="str">
        <f>IF(AND(ISNUMBER($I124),OR($K124="Milestone",$K124="Deadline"),$I124&gt;=BP$4,$I124&lt;BP$4+7),IF($K124="Deadline","◇","◆"),"")</f>
        <v/>
      </c>
      <c r="BQ124" s="14" t="str">
        <f>IF(AND(ISNUMBER($I124),OR($K124="Milestone",$K124="Deadline"),$I124&gt;=BQ$4,$I124&lt;BQ$4+7),IF($K124="Deadline","◇","◆"),"")</f>
        <v/>
      </c>
      <c r="BR124" s="14" t="str">
        <f>IF(AND(ISNUMBER($I124),OR($K124="Milestone",$K124="Deadline"),$I124&gt;=BR$4,$I124&lt;BR$4+7),IF($K124="Deadline","◇","◆"),"")</f>
        <v/>
      </c>
      <c r="BS124" s="14" t="str">
        <f>IF(AND(ISNUMBER($I124),OR($K124="Milestone",$K124="Deadline"),$I124&gt;=BS$4,$I124&lt;BS$4+7),IF($K124="Deadline","◇","◆"),"")</f>
        <v/>
      </c>
      <c r="BT124" s="14" t="str">
        <f>IF(AND(ISNUMBER($I124),OR($K124="Milestone",$K124="Deadline"),$I124&gt;=BT$4,$I124&lt;BT$4+7),IF($K124="Deadline","◇","◆"),"")</f>
        <v/>
      </c>
      <c r="BU124" s="14" t="str">
        <f>IF(AND(ISNUMBER($I124),OR($K124="Milestone",$K124="Deadline"),$I124&gt;=BU$4,$I124&lt;BU$4+7),IF($K124="Deadline","◇","◆"),"")</f>
        <v/>
      </c>
      <c r="BV124" s="14" t="str">
        <f>IF(AND(ISNUMBER($I124),OR($K124="Milestone",$K124="Deadline"),$I124&gt;=BV$4,$I124&lt;BV$4+7),IF($K124="Deadline","◇","◆"),"")</f>
        <v/>
      </c>
      <c r="BW124" s="14" t="str">
        <f>IF(AND(ISNUMBER($I124),OR($K124="Milestone",$K124="Deadline"),$I124&gt;=BW$4,$I124&lt;BW$4+7),IF($K124="Deadline","◇","◆"),"")</f>
        <v/>
      </c>
      <c r="BX124" s="14" t="str">
        <f>IF(AND(ISNUMBER($I124),OR($K124="Milestone",$K124="Deadline"),$I124&gt;=BX$4,$I124&lt;BX$4+7),IF($K124="Deadline","◇","◆"),"")</f>
        <v/>
      </c>
      <c r="BY124" s="14" t="str">
        <f>IF(AND(ISNUMBER($I124),OR($K124="Milestone",$K124="Deadline"),$I124&gt;=BY$4,$I124&lt;BY$4+7),IF($K124="Deadline","◇","◆"),"")</f>
        <v/>
      </c>
      <c r="BZ124" s="14" t="str">
        <f>IF(AND(ISNUMBER($I124),OR($K124="Milestone",$K124="Deadline"),$I124&gt;=BZ$4,$I124&lt;BZ$4+7),IF($K124="Deadline","◇","◆"),"")</f>
        <v/>
      </c>
      <c r="CA124" s="14" t="str">
        <f>IF(AND(ISNUMBER($I124),OR($K124="Milestone",$K124="Deadline"),$I124&gt;=CA$4,$I124&lt;CA$4+7),IF($K124="Deadline","◇","◆"),"")</f>
        <v/>
      </c>
      <c r="CB124" s="14" t="str">
        <f>IF(AND(ISNUMBER($I124),OR($K124="Milestone",$K124="Deadline"),$I124&gt;=CB$4,$I124&lt;CB$4+7),IF($K124="Deadline","◇","◆"),"")</f>
        <v/>
      </c>
      <c r="CC124" s="14" t="str">
        <f>IF(AND(ISNUMBER($I124),OR($K124="Milestone",$K124="Deadline"),$I124&gt;=CC$4,$I124&lt;CC$4+7),IF($K124="Deadline","◇","◆"),"")</f>
        <v/>
      </c>
      <c r="CD124" s="14" t="str">
        <f>IF(AND(ISNUMBER($I124),OR($K124="Milestone",$K124="Deadline"),$I124&gt;=CD$4,$I124&lt;CD$4+7),IF($K124="Deadline","◇","◆"),"")</f>
        <v/>
      </c>
      <c r="CE124" s="14" t="str">
        <f>IF(AND(ISNUMBER($I124),OR($K124="Milestone",$K124="Deadline"),$I124&gt;=CE$4,$I124&lt;CE$4+7),IF($K124="Deadline","◇","◆"),"")</f>
        <v/>
      </c>
      <c r="CF124" s="14" t="str">
        <f>IF(AND(ISNUMBER($I124),OR($K124="Milestone",$K124="Deadline"),$I124&gt;=CF$4,$I124&lt;CF$4+7),IF($K124="Deadline","◇","◆"),"")</f>
        <v/>
      </c>
      <c r="CG124" s="14" t="str">
        <f>IF(AND(ISNUMBER($I124),OR($K124="Milestone",$K124="Deadline"),$I124&gt;=CG$4,$I124&lt;CG$4+7),IF($K124="Deadline","◇","◆"),"")</f>
        <v/>
      </c>
      <c r="CH124" s="14" t="str">
        <f>IF(AND(ISNUMBER($I124),OR($K124="Milestone",$K124="Deadline"),$I124&gt;=CH$4,$I124&lt;CH$4+7),IF($K124="Deadline","◇","◆"),"")</f>
        <v/>
      </c>
      <c r="CI124" s="14" t="str">
        <f>IF(AND(ISNUMBER($I124),OR($K124="Milestone",$K124="Deadline"),$I124&gt;=CI$4,$I124&lt;CI$4+7),IF($K124="Deadline","◇","◆"),"")</f>
        <v/>
      </c>
      <c r="CJ124" s="14" t="str">
        <f>IF(AND(ISNUMBER($I124),OR($K124="Milestone",$K124="Deadline"),$I124&gt;=CJ$4,$I124&lt;CJ$4+7),IF($K124="Deadline","◇","◆"),"")</f>
        <v/>
      </c>
      <c r="CK124" s="14" t="str">
        <f>IF(AND(ISNUMBER($I124),OR($K124="Milestone",$K124="Deadline"),$I124&gt;=CK$4,$I124&lt;CK$4+7),IF($K124="Deadline","◇","◆"),"")</f>
        <v/>
      </c>
      <c r="CL124" s="14" t="str">
        <f>IF(AND(ISNUMBER($I124),OR($K124="Milestone",$K124="Deadline"),$I124&gt;=CL$4,$I124&lt;CL$4+7),IF($K124="Deadline","◇","◆"),"")</f>
        <v/>
      </c>
      <c r="CM124" s="14" t="str">
        <f>IF(AND(ISNUMBER($I124),OR($K124="Milestone",$K124="Deadline"),$I124&gt;=CM$4,$I124&lt;CM$4+7),IF($K124="Deadline","◇","◆"),"")</f>
        <v/>
      </c>
    </row>
    <row r="125" spans="1:91" ht="15" customHeight="1">
      <c r="A125" s="15" t="s">
        <v>250</v>
      </c>
      <c r="B125" s="15" t="s">
        <v>320</v>
      </c>
      <c r="C125" s="15" t="s">
        <v>63</v>
      </c>
      <c r="D125" s="15" t="s">
        <v>195</v>
      </c>
      <c r="E125" s="15" t="s">
        <v>281</v>
      </c>
      <c r="F125" s="15" t="s">
        <v>204</v>
      </c>
      <c r="G125" s="15" t="s">
        <v>198</v>
      </c>
      <c r="H125" s="15">
        <v>2</v>
      </c>
      <c r="I125" s="34">
        <f>MAX(DATE(2026,11,16),J56+1,J56+1)</f>
        <v>46345</v>
      </c>
      <c r="J125" s="17">
        <f>IF(AND(ISNUMBER(I125),ISNUMBER(H125)),I125+H125-1,"")</f>
        <v>46346</v>
      </c>
      <c r="K125" s="15" t="s">
        <v>27</v>
      </c>
      <c r="L125" s="15" t="s">
        <v>203</v>
      </c>
      <c r="M125" s="18" t="s">
        <v>203</v>
      </c>
      <c r="N125" s="15"/>
      <c r="O125" s="18">
        <f>IF(AND(ISNUMBER(I125),ISNUMBER(J125)),J125-I125+1,"")</f>
        <v>2</v>
      </c>
      <c r="P125" s="13"/>
      <c r="Q125" s="13" t="s">
        <v>140</v>
      </c>
      <c r="R125" s="13"/>
      <c r="S125" s="13"/>
      <c r="T125" s="13"/>
      <c r="U125" s="13"/>
      <c r="V125" s="13"/>
      <c r="W125" s="13" t="s">
        <v>140</v>
      </c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4" t="str">
        <f>IF(AND(ISNUMBER($I125),OR($K125="Milestone",$K125="Deadline"),$I125&gt;=AO$4,$I125&lt;AO$4+7),IF($K125="Deadline","◇","◆"),"")</f>
        <v/>
      </c>
      <c r="AP125" s="14" t="str">
        <f>IF(AND(ISNUMBER($I125),OR($K125="Milestone",$K125="Deadline"),$I125&gt;=AP$4,$I125&lt;AP$4+7),IF($K125="Deadline","◇","◆"),"")</f>
        <v/>
      </c>
      <c r="AQ125" s="14" t="str">
        <f>IF(AND(ISNUMBER($I125),OR($K125="Milestone",$K125="Deadline"),$I125&gt;=AQ$4,$I125&lt;AQ$4+7),IF($K125="Deadline","◇","◆"),"")</f>
        <v/>
      </c>
      <c r="AR125" s="14" t="str">
        <f>IF(AND(ISNUMBER($I125),OR($K125="Milestone",$K125="Deadline"),$I125&gt;=AR$4,$I125&lt;AR$4+7),IF($K125="Deadline","◇","◆"),"")</f>
        <v/>
      </c>
      <c r="AS125" s="14" t="str">
        <f>IF(AND(ISNUMBER($I125),OR($K125="Milestone",$K125="Deadline"),$I125&gt;=AS$4,$I125&lt;AS$4+7),IF($K125="Deadline","◇","◆"),"")</f>
        <v/>
      </c>
      <c r="AT125" s="14" t="str">
        <f>IF(AND(ISNUMBER($I125),OR($K125="Milestone",$K125="Deadline"),$I125&gt;=AT$4,$I125&lt;AT$4+7),IF($K125="Deadline","◇","◆"),"")</f>
        <v/>
      </c>
      <c r="AU125" s="14" t="str">
        <f>IF(AND(ISNUMBER($I125),OR($K125="Milestone",$K125="Deadline"),$I125&gt;=AU$4,$I125&lt;AU$4+7),IF($K125="Deadline","◇","◆"),"")</f>
        <v/>
      </c>
      <c r="AV125" s="14" t="str">
        <f>IF(AND(ISNUMBER($I125),OR($K125="Milestone",$K125="Deadline"),$I125&gt;=AV$4,$I125&lt;AV$4+7),IF($K125="Deadline","◇","◆"),"")</f>
        <v/>
      </c>
      <c r="AW125" s="14" t="str">
        <f>IF(AND(ISNUMBER($I125),OR($K125="Milestone",$K125="Deadline"),$I125&gt;=AW$4,$I125&lt;AW$4+7),IF($K125="Deadline","◇","◆"),"")</f>
        <v/>
      </c>
      <c r="AX125" s="14" t="str">
        <f>IF(AND(ISNUMBER($I125),OR($K125="Milestone",$K125="Deadline"),$I125&gt;=AX$4,$I125&lt;AX$4+7),IF($K125="Deadline","◇","◆"),"")</f>
        <v/>
      </c>
      <c r="AY125" s="14" t="str">
        <f>IF(AND(ISNUMBER($I125),OR($K125="Milestone",$K125="Deadline"),$I125&gt;=AY$4,$I125&lt;AY$4+7),IF($K125="Deadline","◇","◆"),"")</f>
        <v/>
      </c>
      <c r="AZ125" s="14" t="str">
        <f>IF(AND(ISNUMBER($I125),OR($K125="Milestone",$K125="Deadline"),$I125&gt;=AZ$4,$I125&lt;AZ$4+7),IF($K125="Deadline","◇","◆"),"")</f>
        <v/>
      </c>
      <c r="BA125" s="14" t="str">
        <f>IF(AND(ISNUMBER($I125),OR($K125="Milestone",$K125="Deadline"),$I125&gt;=BA$4,$I125&lt;BA$4+7),IF($K125="Deadline","◇","◆"),"")</f>
        <v/>
      </c>
      <c r="BB125" s="14" t="str">
        <f>IF(AND(ISNUMBER($I125),OR($K125="Milestone",$K125="Deadline"),$I125&gt;=BB$4,$I125&lt;BB$4+7),IF($K125="Deadline","◇","◆"),"")</f>
        <v/>
      </c>
      <c r="BC125" s="14" t="str">
        <f>IF(AND(ISNUMBER($I125),OR($K125="Milestone",$K125="Deadline"),$I125&gt;=BC$4,$I125&lt;BC$4+7),IF($K125="Deadline","◇","◆"),"")</f>
        <v/>
      </c>
      <c r="BD125" s="14" t="str">
        <f>IF(AND(ISNUMBER($I125),OR($K125="Milestone",$K125="Deadline"),$I125&gt;=BD$4,$I125&lt;BD$4+7),IF($K125="Deadline","◇","◆"),"")</f>
        <v/>
      </c>
      <c r="BE125" s="14" t="str">
        <f>IF(AND(ISNUMBER($I125),OR($K125="Milestone",$K125="Deadline"),$I125&gt;=BE$4,$I125&lt;BE$4+7),IF($K125="Deadline","◇","◆"),"")</f>
        <v/>
      </c>
      <c r="BF125" s="14" t="str">
        <f>IF(AND(ISNUMBER($I125),OR($K125="Milestone",$K125="Deadline"),$I125&gt;=BF$4,$I125&lt;BF$4+7),IF($K125="Deadline","◇","◆"),"")</f>
        <v/>
      </c>
      <c r="BG125" s="14" t="str">
        <f>IF(AND(ISNUMBER($I125),OR($K125="Milestone",$K125="Deadline"),$I125&gt;=BG$4,$I125&lt;BG$4+7),IF($K125="Deadline","◇","◆"),"")</f>
        <v/>
      </c>
      <c r="BH125" s="14" t="str">
        <f>IF(AND(ISNUMBER($I125),OR($K125="Milestone",$K125="Deadline"),$I125&gt;=BH$4,$I125&lt;BH$4+7),IF($K125="Deadline","◇","◆"),"")</f>
        <v/>
      </c>
      <c r="BI125" s="14" t="str">
        <f>IF(AND(ISNUMBER($I125),OR($K125="Milestone",$K125="Deadline"),$I125&gt;=BI$4,$I125&lt;BI$4+7),IF($K125="Deadline","◇","◆"),"")</f>
        <v/>
      </c>
      <c r="BJ125" s="14" t="str">
        <f>IF(AND(ISNUMBER($I125),OR($K125="Milestone",$K125="Deadline"),$I125&gt;=BJ$4,$I125&lt;BJ$4+7),IF($K125="Deadline","◇","◆"),"")</f>
        <v/>
      </c>
      <c r="BK125" s="14" t="str">
        <f>IF(AND(ISNUMBER($I125),OR($K125="Milestone",$K125="Deadline"),$I125&gt;=BK$4,$I125&lt;BK$4+7),IF($K125="Deadline","◇","◆"),"")</f>
        <v/>
      </c>
      <c r="BL125" s="14" t="str">
        <f>IF(AND(ISNUMBER($I125),OR($K125="Milestone",$K125="Deadline"),$I125&gt;=BL$4,$I125&lt;BL$4+7),IF($K125="Deadline","◇","◆"),"")</f>
        <v/>
      </c>
      <c r="BM125" s="14" t="str">
        <f>IF(AND(ISNUMBER($I125),OR($K125="Milestone",$K125="Deadline"),$I125&gt;=BM$4,$I125&lt;BM$4+7),IF($K125="Deadline","◇","◆"),"")</f>
        <v/>
      </c>
      <c r="BN125" s="14" t="str">
        <f>IF(AND(ISNUMBER($I125),OR($K125="Milestone",$K125="Deadline"),$I125&gt;=BN$4,$I125&lt;BN$4+7),IF($K125="Deadline","◇","◆"),"")</f>
        <v/>
      </c>
      <c r="BO125" s="14" t="str">
        <f>IF(AND(ISNUMBER($I125),OR($K125="Milestone",$K125="Deadline"),$I125&gt;=BO$4,$I125&lt;BO$4+7),IF($K125="Deadline","◇","◆"),"")</f>
        <v/>
      </c>
      <c r="BP125" s="14" t="str">
        <f>IF(AND(ISNUMBER($I125),OR($K125="Milestone",$K125="Deadline"),$I125&gt;=BP$4,$I125&lt;BP$4+7),IF($K125="Deadline","◇","◆"),"")</f>
        <v/>
      </c>
      <c r="BQ125" s="14" t="str">
        <f>IF(AND(ISNUMBER($I125),OR($K125="Milestone",$K125="Deadline"),$I125&gt;=BQ$4,$I125&lt;BQ$4+7),IF($K125="Deadline","◇","◆"),"")</f>
        <v/>
      </c>
      <c r="BR125" s="14" t="str">
        <f>IF(AND(ISNUMBER($I125),OR($K125="Milestone",$K125="Deadline"),$I125&gt;=BR$4,$I125&lt;BR$4+7),IF($K125="Deadline","◇","◆"),"")</f>
        <v/>
      </c>
      <c r="BS125" s="14" t="str">
        <f>IF(AND(ISNUMBER($I125),OR($K125="Milestone",$K125="Deadline"),$I125&gt;=BS$4,$I125&lt;BS$4+7),IF($K125="Deadline","◇","◆"),"")</f>
        <v/>
      </c>
      <c r="BT125" s="14" t="str">
        <f>IF(AND(ISNUMBER($I125),OR($K125="Milestone",$K125="Deadline"),$I125&gt;=BT$4,$I125&lt;BT$4+7),IF($K125="Deadline","◇","◆"),"")</f>
        <v/>
      </c>
      <c r="BU125" s="14" t="str">
        <f>IF(AND(ISNUMBER($I125),OR($K125="Milestone",$K125="Deadline"),$I125&gt;=BU$4,$I125&lt;BU$4+7),IF($K125="Deadline","◇","◆"),"")</f>
        <v/>
      </c>
      <c r="BV125" s="14" t="str">
        <f>IF(AND(ISNUMBER($I125),OR($K125="Milestone",$K125="Deadline"),$I125&gt;=BV$4,$I125&lt;BV$4+7),IF($K125="Deadline","◇","◆"),"")</f>
        <v/>
      </c>
      <c r="BW125" s="14" t="str">
        <f>IF(AND(ISNUMBER($I125),OR($K125="Milestone",$K125="Deadline"),$I125&gt;=BW$4,$I125&lt;BW$4+7),IF($K125="Deadline","◇","◆"),"")</f>
        <v/>
      </c>
      <c r="BX125" s="14" t="str">
        <f>IF(AND(ISNUMBER($I125),OR($K125="Milestone",$K125="Deadline"),$I125&gt;=BX$4,$I125&lt;BX$4+7),IF($K125="Deadline","◇","◆"),"")</f>
        <v/>
      </c>
      <c r="BY125" s="14" t="str">
        <f>IF(AND(ISNUMBER($I125),OR($K125="Milestone",$K125="Deadline"),$I125&gt;=BY$4,$I125&lt;BY$4+7),IF($K125="Deadline","◇","◆"),"")</f>
        <v/>
      </c>
      <c r="BZ125" s="14" t="str">
        <f>IF(AND(ISNUMBER($I125),OR($K125="Milestone",$K125="Deadline"),$I125&gt;=BZ$4,$I125&lt;BZ$4+7),IF($K125="Deadline","◇","◆"),"")</f>
        <v/>
      </c>
      <c r="CA125" s="14" t="str">
        <f>IF(AND(ISNUMBER($I125),OR($K125="Milestone",$K125="Deadline"),$I125&gt;=CA$4,$I125&lt;CA$4+7),IF($K125="Deadline","◇","◆"),"")</f>
        <v/>
      </c>
      <c r="CB125" s="14" t="str">
        <f>IF(AND(ISNUMBER($I125),OR($K125="Milestone",$K125="Deadline"),$I125&gt;=CB$4,$I125&lt;CB$4+7),IF($K125="Deadline","◇","◆"),"")</f>
        <v/>
      </c>
      <c r="CC125" s="14" t="str">
        <f>IF(AND(ISNUMBER($I125),OR($K125="Milestone",$K125="Deadline"),$I125&gt;=CC$4,$I125&lt;CC$4+7),IF($K125="Deadline","◇","◆"),"")</f>
        <v/>
      </c>
      <c r="CD125" s="14" t="str">
        <f>IF(AND(ISNUMBER($I125),OR($K125="Milestone",$K125="Deadline"),$I125&gt;=CD$4,$I125&lt;CD$4+7),IF($K125="Deadline","◇","◆"),"")</f>
        <v/>
      </c>
      <c r="CE125" s="14" t="str">
        <f>IF(AND(ISNUMBER($I125),OR($K125="Milestone",$K125="Deadline"),$I125&gt;=CE$4,$I125&lt;CE$4+7),IF($K125="Deadline","◇","◆"),"")</f>
        <v/>
      </c>
      <c r="CF125" s="14" t="str">
        <f>IF(AND(ISNUMBER($I125),OR($K125="Milestone",$K125="Deadline"),$I125&gt;=CF$4,$I125&lt;CF$4+7),IF($K125="Deadline","◇","◆"),"")</f>
        <v/>
      </c>
      <c r="CG125" s="14" t="str">
        <f>IF(AND(ISNUMBER($I125),OR($K125="Milestone",$K125="Deadline"),$I125&gt;=CG$4,$I125&lt;CG$4+7),IF($K125="Deadline","◇","◆"),"")</f>
        <v/>
      </c>
      <c r="CH125" s="14" t="str">
        <f>IF(AND(ISNUMBER($I125),OR($K125="Milestone",$K125="Deadline"),$I125&gt;=CH$4,$I125&lt;CH$4+7),IF($K125="Deadline","◇","◆"),"")</f>
        <v/>
      </c>
      <c r="CI125" s="14" t="str">
        <f>IF(AND(ISNUMBER($I125),OR($K125="Milestone",$K125="Deadline"),$I125&gt;=CI$4,$I125&lt;CI$4+7),IF($K125="Deadline","◇","◆"),"")</f>
        <v/>
      </c>
      <c r="CJ125" s="14" t="str">
        <f>IF(AND(ISNUMBER($I125),OR($K125="Milestone",$K125="Deadline"),$I125&gt;=CJ$4,$I125&lt;CJ$4+7),IF($K125="Deadline","◇","◆"),"")</f>
        <v/>
      </c>
      <c r="CK125" s="14" t="str">
        <f>IF(AND(ISNUMBER($I125),OR($K125="Milestone",$K125="Deadline"),$I125&gt;=CK$4,$I125&lt;CK$4+7),IF($K125="Deadline","◇","◆"),"")</f>
        <v/>
      </c>
      <c r="CL125" s="14" t="str">
        <f>IF(AND(ISNUMBER($I125),OR($K125="Milestone",$K125="Deadline"),$I125&gt;=CL$4,$I125&lt;CL$4+7),IF($K125="Deadline","◇","◆"),"")</f>
        <v/>
      </c>
      <c r="CM125" s="14" t="str">
        <f>IF(AND(ISNUMBER($I125),OR($K125="Milestone",$K125="Deadline"),$I125&gt;=CM$4,$I125&lt;CM$4+7),IF($K125="Deadline","◇","◆"),"")</f>
        <v/>
      </c>
    </row>
    <row r="126" spans="1:91" ht="15" hidden="1" customHeight="1">
      <c r="A126" s="15" t="s">
        <v>335</v>
      </c>
      <c r="B126" s="15" t="s">
        <v>320</v>
      </c>
      <c r="C126" s="15" t="s">
        <v>63</v>
      </c>
      <c r="D126" s="15" t="s">
        <v>195</v>
      </c>
      <c r="E126" s="15" t="s">
        <v>281</v>
      </c>
      <c r="F126" s="15" t="s">
        <v>204</v>
      </c>
      <c r="G126" s="15" t="s">
        <v>173</v>
      </c>
      <c r="H126" s="15">
        <v>7</v>
      </c>
      <c r="I126" s="16">
        <v>46364</v>
      </c>
      <c r="J126" s="17">
        <f>IF(AND(ISNUMBER(I126),ISNUMBER(H126)),I126+H126-1,"")</f>
        <v>46370</v>
      </c>
      <c r="K126" s="15" t="s">
        <v>27</v>
      </c>
      <c r="L126" s="15"/>
      <c r="M126" s="18"/>
      <c r="N126" s="15"/>
      <c r="O126" s="18">
        <f>IF(AND(ISNUMBER(I126),ISNUMBER(J126)),J126-I126+1,"")</f>
        <v>7</v>
      </c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 t="s">
        <v>140</v>
      </c>
      <c r="AM126" s="13"/>
      <c r="AN126" s="13"/>
      <c r="AO126" s="14" t="str">
        <f>IF(AND(ISNUMBER($I126),OR($K126="Milestone",$K126="Deadline"),$I126&gt;=AO$4,$I126&lt;AO$4+7),IF($K126="Deadline","◇","◆"),"")</f>
        <v/>
      </c>
      <c r="AP126" s="14" t="str">
        <f>IF(AND(ISNUMBER($I126),OR($K126="Milestone",$K126="Deadline"),$I126&gt;=AP$4,$I126&lt;AP$4+7),IF($K126="Deadline","◇","◆"),"")</f>
        <v/>
      </c>
      <c r="AQ126" s="14" t="str">
        <f>IF(AND(ISNUMBER($I126),OR($K126="Milestone",$K126="Deadline"),$I126&gt;=AQ$4,$I126&lt;AQ$4+7),IF($K126="Deadline","◇","◆"),"")</f>
        <v/>
      </c>
      <c r="AR126" s="14" t="str">
        <f>IF(AND(ISNUMBER($I126),OR($K126="Milestone",$K126="Deadline"),$I126&gt;=AR$4,$I126&lt;AR$4+7),IF($K126="Deadline","◇","◆"),"")</f>
        <v/>
      </c>
      <c r="AS126" s="14" t="str">
        <f>IF(AND(ISNUMBER($I126),OR($K126="Milestone",$K126="Deadline"),$I126&gt;=AS$4,$I126&lt;AS$4+7),IF($K126="Deadline","◇","◆"),"")</f>
        <v/>
      </c>
      <c r="AT126" s="14" t="str">
        <f>IF(AND(ISNUMBER($I126),OR($K126="Milestone",$K126="Deadline"),$I126&gt;=AT$4,$I126&lt;AT$4+7),IF($K126="Deadline","◇","◆"),"")</f>
        <v/>
      </c>
      <c r="AU126" s="14" t="str">
        <f>IF(AND(ISNUMBER($I126),OR($K126="Milestone",$K126="Deadline"),$I126&gt;=AU$4,$I126&lt;AU$4+7),IF($K126="Deadline","◇","◆"),"")</f>
        <v/>
      </c>
      <c r="AV126" s="14" t="str">
        <f>IF(AND(ISNUMBER($I126),OR($K126="Milestone",$K126="Deadline"),$I126&gt;=AV$4,$I126&lt;AV$4+7),IF($K126="Deadline","◇","◆"),"")</f>
        <v/>
      </c>
      <c r="AW126" s="14" t="str">
        <f>IF(AND(ISNUMBER($I126),OR($K126="Milestone",$K126="Deadline"),$I126&gt;=AW$4,$I126&lt;AW$4+7),IF($K126="Deadline","◇","◆"),"")</f>
        <v/>
      </c>
      <c r="AX126" s="14" t="str">
        <f>IF(AND(ISNUMBER($I126),OR($K126="Milestone",$K126="Deadline"),$I126&gt;=AX$4,$I126&lt;AX$4+7),IF($K126="Deadline","◇","◆"),"")</f>
        <v/>
      </c>
      <c r="AY126" s="14" t="str">
        <f>IF(AND(ISNUMBER($I126),OR($K126="Milestone",$K126="Deadline"),$I126&gt;=AY$4,$I126&lt;AY$4+7),IF($K126="Deadline","◇","◆"),"")</f>
        <v/>
      </c>
      <c r="AZ126" s="14" t="str">
        <f>IF(AND(ISNUMBER($I126),OR($K126="Milestone",$K126="Deadline"),$I126&gt;=AZ$4,$I126&lt;AZ$4+7),IF($K126="Deadline","◇","◆"),"")</f>
        <v/>
      </c>
      <c r="BA126" s="14" t="str">
        <f>IF(AND(ISNUMBER($I126),OR($K126="Milestone",$K126="Deadline"),$I126&gt;=BA$4,$I126&lt;BA$4+7),IF($K126="Deadline","◇","◆"),"")</f>
        <v/>
      </c>
      <c r="BB126" s="14" t="str">
        <f>IF(AND(ISNUMBER($I126),OR($K126="Milestone",$K126="Deadline"),$I126&gt;=BB$4,$I126&lt;BB$4+7),IF($K126="Deadline","◇","◆"),"")</f>
        <v/>
      </c>
      <c r="BC126" s="14" t="str">
        <f>IF(AND(ISNUMBER($I126),OR($K126="Milestone",$K126="Deadline"),$I126&gt;=BC$4,$I126&lt;BC$4+7),IF($K126="Deadline","◇","◆"),"")</f>
        <v/>
      </c>
      <c r="BD126" s="14" t="str">
        <f>IF(AND(ISNUMBER($I126),OR($K126="Milestone",$K126="Deadline"),$I126&gt;=BD$4,$I126&lt;BD$4+7),IF($K126="Deadline","◇","◆"),"")</f>
        <v/>
      </c>
      <c r="BE126" s="14" t="str">
        <f>IF(AND(ISNUMBER($I126),OR($K126="Milestone",$K126="Deadline"),$I126&gt;=BE$4,$I126&lt;BE$4+7),IF($K126="Deadline","◇","◆"),"")</f>
        <v/>
      </c>
      <c r="BF126" s="14" t="str">
        <f>IF(AND(ISNUMBER($I126),OR($K126="Milestone",$K126="Deadline"),$I126&gt;=BF$4,$I126&lt;BF$4+7),IF($K126="Deadline","◇","◆"),"")</f>
        <v/>
      </c>
      <c r="BG126" s="14" t="str">
        <f>IF(AND(ISNUMBER($I126),OR($K126="Milestone",$K126="Deadline"),$I126&gt;=BG$4,$I126&lt;BG$4+7),IF($K126="Deadline","◇","◆"),"")</f>
        <v/>
      </c>
      <c r="BH126" s="14" t="str">
        <f>IF(AND(ISNUMBER($I126),OR($K126="Milestone",$K126="Deadline"),$I126&gt;=BH$4,$I126&lt;BH$4+7),IF($K126="Deadline","◇","◆"),"")</f>
        <v/>
      </c>
      <c r="BI126" s="14" t="str">
        <f>IF(AND(ISNUMBER($I126),OR($K126="Milestone",$K126="Deadline"),$I126&gt;=BI$4,$I126&lt;BI$4+7),IF($K126="Deadline","◇","◆"),"")</f>
        <v/>
      </c>
      <c r="BJ126" s="14" t="str">
        <f>IF(AND(ISNUMBER($I126),OR($K126="Milestone",$K126="Deadline"),$I126&gt;=BJ$4,$I126&lt;BJ$4+7),IF($K126="Deadline","◇","◆"),"")</f>
        <v/>
      </c>
      <c r="BK126" s="14" t="str">
        <f>IF(AND(ISNUMBER($I126),OR($K126="Milestone",$K126="Deadline"),$I126&gt;=BK$4,$I126&lt;BK$4+7),IF($K126="Deadline","◇","◆"),"")</f>
        <v/>
      </c>
      <c r="BL126" s="14" t="str">
        <f>IF(AND(ISNUMBER($I126),OR($K126="Milestone",$K126="Deadline"),$I126&gt;=BL$4,$I126&lt;BL$4+7),IF($K126="Deadline","◇","◆"),"")</f>
        <v/>
      </c>
      <c r="BM126" s="14" t="str">
        <f>IF(AND(ISNUMBER($I126),OR($K126="Milestone",$K126="Deadline"),$I126&gt;=BM$4,$I126&lt;BM$4+7),IF($K126="Deadline","◇","◆"),"")</f>
        <v/>
      </c>
      <c r="BN126" s="14" t="str">
        <f>IF(AND(ISNUMBER($I126),OR($K126="Milestone",$K126="Deadline"),$I126&gt;=BN$4,$I126&lt;BN$4+7),IF($K126="Deadline","◇","◆"),"")</f>
        <v/>
      </c>
      <c r="BO126" s="14" t="str">
        <f>IF(AND(ISNUMBER($I126),OR($K126="Milestone",$K126="Deadline"),$I126&gt;=BO$4,$I126&lt;BO$4+7),IF($K126="Deadline","◇","◆"),"")</f>
        <v/>
      </c>
      <c r="BP126" s="14" t="str">
        <f>IF(AND(ISNUMBER($I126),OR($K126="Milestone",$K126="Deadline"),$I126&gt;=BP$4,$I126&lt;BP$4+7),IF($K126="Deadline","◇","◆"),"")</f>
        <v/>
      </c>
      <c r="BQ126" s="14" t="str">
        <f>IF(AND(ISNUMBER($I126),OR($K126="Milestone",$K126="Deadline"),$I126&gt;=BQ$4,$I126&lt;BQ$4+7),IF($K126="Deadline","◇","◆"),"")</f>
        <v/>
      </c>
      <c r="BR126" s="14" t="str">
        <f>IF(AND(ISNUMBER($I126),OR($K126="Milestone",$K126="Deadline"),$I126&gt;=BR$4,$I126&lt;BR$4+7),IF($K126="Deadline","◇","◆"),"")</f>
        <v/>
      </c>
      <c r="BS126" s="14" t="str">
        <f>IF(AND(ISNUMBER($I126),OR($K126="Milestone",$K126="Deadline"),$I126&gt;=BS$4,$I126&lt;BS$4+7),IF($K126="Deadline","◇","◆"),"")</f>
        <v/>
      </c>
      <c r="BT126" s="14" t="str">
        <f>IF(AND(ISNUMBER($I126),OR($K126="Milestone",$K126="Deadline"),$I126&gt;=BT$4,$I126&lt;BT$4+7),IF($K126="Deadline","◇","◆"),"")</f>
        <v/>
      </c>
      <c r="BU126" s="14" t="str">
        <f>IF(AND(ISNUMBER($I126),OR($K126="Milestone",$K126="Deadline"),$I126&gt;=BU$4,$I126&lt;BU$4+7),IF($K126="Deadline","◇","◆"),"")</f>
        <v/>
      </c>
      <c r="BV126" s="14" t="str">
        <f>IF(AND(ISNUMBER($I126),OR($K126="Milestone",$K126="Deadline"),$I126&gt;=BV$4,$I126&lt;BV$4+7),IF($K126="Deadline","◇","◆"),"")</f>
        <v/>
      </c>
      <c r="BW126" s="14" t="str">
        <f>IF(AND(ISNUMBER($I126),OR($K126="Milestone",$K126="Deadline"),$I126&gt;=BW$4,$I126&lt;BW$4+7),IF($K126="Deadline","◇","◆"),"")</f>
        <v/>
      </c>
      <c r="BX126" s="14" t="str">
        <f>IF(AND(ISNUMBER($I126),OR($K126="Milestone",$K126="Deadline"),$I126&gt;=BX$4,$I126&lt;BX$4+7),IF($K126="Deadline","◇","◆"),"")</f>
        <v/>
      </c>
      <c r="BY126" s="14" t="str">
        <f>IF(AND(ISNUMBER($I126),OR($K126="Milestone",$K126="Deadline"),$I126&gt;=BY$4,$I126&lt;BY$4+7),IF($K126="Deadline","◇","◆"),"")</f>
        <v/>
      </c>
      <c r="BZ126" s="14" t="str">
        <f>IF(AND(ISNUMBER($I126),OR($K126="Milestone",$K126="Deadline"),$I126&gt;=BZ$4,$I126&lt;BZ$4+7),IF($K126="Deadline","◇","◆"),"")</f>
        <v/>
      </c>
      <c r="CA126" s="14" t="str">
        <f>IF(AND(ISNUMBER($I126),OR($K126="Milestone",$K126="Deadline"),$I126&gt;=CA$4,$I126&lt;CA$4+7),IF($K126="Deadline","◇","◆"),"")</f>
        <v/>
      </c>
      <c r="CB126" s="14" t="str">
        <f>IF(AND(ISNUMBER($I126),OR($K126="Milestone",$K126="Deadline"),$I126&gt;=CB$4,$I126&lt;CB$4+7),IF($K126="Deadline","◇","◆"),"")</f>
        <v/>
      </c>
      <c r="CC126" s="14" t="str">
        <f>IF(AND(ISNUMBER($I126),OR($K126="Milestone",$K126="Deadline"),$I126&gt;=CC$4,$I126&lt;CC$4+7),IF($K126="Deadline","◇","◆"),"")</f>
        <v/>
      </c>
      <c r="CD126" s="14" t="str">
        <f>IF(AND(ISNUMBER($I126),OR($K126="Milestone",$K126="Deadline"),$I126&gt;=CD$4,$I126&lt;CD$4+7),IF($K126="Deadline","◇","◆"),"")</f>
        <v/>
      </c>
      <c r="CE126" s="14" t="str">
        <f>IF(AND(ISNUMBER($I126),OR($K126="Milestone",$K126="Deadline"),$I126&gt;=CE$4,$I126&lt;CE$4+7),IF($K126="Deadline","◇","◆"),"")</f>
        <v/>
      </c>
      <c r="CF126" s="14" t="str">
        <f>IF(AND(ISNUMBER($I126),OR($K126="Milestone",$K126="Deadline"),$I126&gt;=CF$4,$I126&lt;CF$4+7),IF($K126="Deadline","◇","◆"),"")</f>
        <v/>
      </c>
      <c r="CG126" s="14" t="str">
        <f>IF(AND(ISNUMBER($I126),OR($K126="Milestone",$K126="Deadline"),$I126&gt;=CG$4,$I126&lt;CG$4+7),IF($K126="Deadline","◇","◆"),"")</f>
        <v/>
      </c>
      <c r="CH126" s="14" t="str">
        <f>IF(AND(ISNUMBER($I126),OR($K126="Milestone",$K126="Deadline"),$I126&gt;=CH$4,$I126&lt;CH$4+7),IF($K126="Deadline","◇","◆"),"")</f>
        <v/>
      </c>
      <c r="CI126" s="14" t="str">
        <f>IF(AND(ISNUMBER($I126),OR($K126="Milestone",$K126="Deadline"),$I126&gt;=CI$4,$I126&lt;CI$4+7),IF($K126="Deadline","◇","◆"),"")</f>
        <v/>
      </c>
      <c r="CJ126" s="14" t="str">
        <f>IF(AND(ISNUMBER($I126),OR($K126="Milestone",$K126="Deadline"),$I126&gt;=CJ$4,$I126&lt;CJ$4+7),IF($K126="Deadline","◇","◆"),"")</f>
        <v/>
      </c>
      <c r="CK126" s="14" t="str">
        <f>IF(AND(ISNUMBER($I126),OR($K126="Milestone",$K126="Deadline"),$I126&gt;=CK$4,$I126&lt;CK$4+7),IF($K126="Deadline","◇","◆"),"")</f>
        <v/>
      </c>
      <c r="CL126" s="14" t="str">
        <f>IF(AND(ISNUMBER($I126),OR($K126="Milestone",$K126="Deadline"),$I126&gt;=CL$4,$I126&lt;CL$4+7),IF($K126="Deadline","◇","◆"),"")</f>
        <v/>
      </c>
      <c r="CM126" s="14" t="str">
        <f>IF(AND(ISNUMBER($I126),OR($K126="Milestone",$K126="Deadline"),$I126&gt;=CM$4,$I126&lt;CM$4+7),IF($K126="Deadline","◇","◆"),"")</f>
        <v/>
      </c>
    </row>
    <row r="127" spans="1:91" ht="15" hidden="1" customHeight="1">
      <c r="A127" s="15" t="s">
        <v>324</v>
      </c>
      <c r="B127" s="15" t="s">
        <v>320</v>
      </c>
      <c r="C127" s="15" t="s">
        <v>63</v>
      </c>
      <c r="D127" s="15" t="s">
        <v>168</v>
      </c>
      <c r="E127" s="15" t="s">
        <v>281</v>
      </c>
      <c r="F127" s="15" t="s">
        <v>204</v>
      </c>
      <c r="G127" s="15" t="s">
        <v>176</v>
      </c>
      <c r="H127" s="15">
        <v>2</v>
      </c>
      <c r="I127" s="34">
        <f>MAX($C$2,J125+1,J59+1,J83+1,J124+1)</f>
        <v>46382</v>
      </c>
      <c r="J127" s="17">
        <f>IF(AND(ISNUMBER(I127),ISNUMBER(H127)),I127+H127-1,"")</f>
        <v>46383</v>
      </c>
      <c r="K127" s="15" t="s">
        <v>27</v>
      </c>
      <c r="L127" s="15" t="s">
        <v>336</v>
      </c>
      <c r="M127" s="18" t="s">
        <v>332</v>
      </c>
      <c r="N127" s="15"/>
      <c r="O127" s="18">
        <f>IF(AND(ISNUMBER(I127),ISNUMBER(J127)),J127-I127+1,"")</f>
        <v>2</v>
      </c>
      <c r="P127" s="13"/>
      <c r="Q127" s="13"/>
      <c r="R127" s="13"/>
      <c r="S127" s="13"/>
      <c r="T127" s="13"/>
      <c r="U127" s="13"/>
      <c r="V127" s="13" t="s">
        <v>140</v>
      </c>
      <c r="W127" s="13"/>
      <c r="X127" s="13"/>
      <c r="Y127" s="13"/>
      <c r="Z127" s="13"/>
      <c r="AA127" s="13"/>
      <c r="AB127" s="13"/>
      <c r="AC127" s="13" t="s">
        <v>140</v>
      </c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4" t="str">
        <f>IF(AND(ISNUMBER($I127),OR($K127="Milestone",$K127="Deadline"),$I127&gt;=AO$4,$I127&lt;AO$4+7),IF($K127="Deadline","◇","◆"),"")</f>
        <v/>
      </c>
      <c r="AP127" s="14" t="str">
        <f>IF(AND(ISNUMBER($I127),OR($K127="Milestone",$K127="Deadline"),$I127&gt;=AP$4,$I127&lt;AP$4+7),IF($K127="Deadline","◇","◆"),"")</f>
        <v/>
      </c>
      <c r="AQ127" s="14" t="str">
        <f>IF(AND(ISNUMBER($I127),OR($K127="Milestone",$K127="Deadline"),$I127&gt;=AQ$4,$I127&lt;AQ$4+7),IF($K127="Deadline","◇","◆"),"")</f>
        <v/>
      </c>
      <c r="AR127" s="14" t="str">
        <f>IF(AND(ISNUMBER($I127),OR($K127="Milestone",$K127="Deadline"),$I127&gt;=AR$4,$I127&lt;AR$4+7),IF($K127="Deadline","◇","◆"),"")</f>
        <v/>
      </c>
      <c r="AS127" s="14" t="str">
        <f>IF(AND(ISNUMBER($I127),OR($K127="Milestone",$K127="Deadline"),$I127&gt;=AS$4,$I127&lt;AS$4+7),IF($K127="Deadline","◇","◆"),"")</f>
        <v/>
      </c>
      <c r="AT127" s="14" t="str">
        <f>IF(AND(ISNUMBER($I127),OR($K127="Milestone",$K127="Deadline"),$I127&gt;=AT$4,$I127&lt;AT$4+7),IF($K127="Deadline","◇","◆"),"")</f>
        <v/>
      </c>
      <c r="AU127" s="14" t="str">
        <f>IF(AND(ISNUMBER($I127),OR($K127="Milestone",$K127="Deadline"),$I127&gt;=AU$4,$I127&lt;AU$4+7),IF($K127="Deadline","◇","◆"),"")</f>
        <v/>
      </c>
      <c r="AV127" s="14" t="str">
        <f>IF(AND(ISNUMBER($I127),OR($K127="Milestone",$K127="Deadline"),$I127&gt;=AV$4,$I127&lt;AV$4+7),IF($K127="Deadline","◇","◆"),"")</f>
        <v/>
      </c>
      <c r="AW127" s="14" t="str">
        <f>IF(AND(ISNUMBER($I127),OR($K127="Milestone",$K127="Deadline"),$I127&gt;=AW$4,$I127&lt;AW$4+7),IF($K127="Deadline","◇","◆"),"")</f>
        <v/>
      </c>
      <c r="AX127" s="14" t="str">
        <f>IF(AND(ISNUMBER($I127),OR($K127="Milestone",$K127="Deadline"),$I127&gt;=AX$4,$I127&lt;AX$4+7),IF($K127="Deadline","◇","◆"),"")</f>
        <v/>
      </c>
      <c r="AY127" s="14" t="str">
        <f>IF(AND(ISNUMBER($I127),OR($K127="Milestone",$K127="Deadline"),$I127&gt;=AY$4,$I127&lt;AY$4+7),IF($K127="Deadline","◇","◆"),"")</f>
        <v/>
      </c>
      <c r="AZ127" s="14" t="str">
        <f>IF(AND(ISNUMBER($I127),OR($K127="Milestone",$K127="Deadline"),$I127&gt;=AZ$4,$I127&lt;AZ$4+7),IF($K127="Deadline","◇","◆"),"")</f>
        <v/>
      </c>
      <c r="BA127" s="14" t="str">
        <f>IF(AND(ISNUMBER($I127),OR($K127="Milestone",$K127="Deadline"),$I127&gt;=BA$4,$I127&lt;BA$4+7),IF($K127="Deadline","◇","◆"),"")</f>
        <v/>
      </c>
      <c r="BB127" s="14" t="str">
        <f>IF(AND(ISNUMBER($I127),OR($K127="Milestone",$K127="Deadline"),$I127&gt;=BB$4,$I127&lt;BB$4+7),IF($K127="Deadline","◇","◆"),"")</f>
        <v/>
      </c>
      <c r="BC127" s="14" t="str">
        <f>IF(AND(ISNUMBER($I127),OR($K127="Milestone",$K127="Deadline"),$I127&gt;=BC$4,$I127&lt;BC$4+7),IF($K127="Deadline","◇","◆"),"")</f>
        <v/>
      </c>
      <c r="BD127" s="14" t="str">
        <f>IF(AND(ISNUMBER($I127),OR($K127="Milestone",$K127="Deadline"),$I127&gt;=BD$4,$I127&lt;BD$4+7),IF($K127="Deadline","◇","◆"),"")</f>
        <v/>
      </c>
      <c r="BE127" s="14" t="str">
        <f>IF(AND(ISNUMBER($I127),OR($K127="Milestone",$K127="Deadline"),$I127&gt;=BE$4,$I127&lt;BE$4+7),IF($K127="Deadline","◇","◆"),"")</f>
        <v/>
      </c>
      <c r="BF127" s="14" t="str">
        <f>IF(AND(ISNUMBER($I127),OR($K127="Milestone",$K127="Deadline"),$I127&gt;=BF$4,$I127&lt;BF$4+7),IF($K127="Deadline","◇","◆"),"")</f>
        <v/>
      </c>
      <c r="BG127" s="14" t="str">
        <f>IF(AND(ISNUMBER($I127),OR($K127="Milestone",$K127="Deadline"),$I127&gt;=BG$4,$I127&lt;BG$4+7),IF($K127="Deadline","◇","◆"),"")</f>
        <v/>
      </c>
      <c r="BH127" s="14" t="str">
        <f>IF(AND(ISNUMBER($I127),OR($K127="Milestone",$K127="Deadline"),$I127&gt;=BH$4,$I127&lt;BH$4+7),IF($K127="Deadline","◇","◆"),"")</f>
        <v/>
      </c>
      <c r="BI127" s="14" t="str">
        <f>IF(AND(ISNUMBER($I127),OR($K127="Milestone",$K127="Deadline"),$I127&gt;=BI$4,$I127&lt;BI$4+7),IF($K127="Deadline","◇","◆"),"")</f>
        <v/>
      </c>
      <c r="BJ127" s="14" t="str">
        <f>IF(AND(ISNUMBER($I127),OR($K127="Milestone",$K127="Deadline"),$I127&gt;=BJ$4,$I127&lt;BJ$4+7),IF($K127="Deadline","◇","◆"),"")</f>
        <v/>
      </c>
      <c r="BK127" s="14" t="str">
        <f>IF(AND(ISNUMBER($I127),OR($K127="Milestone",$K127="Deadline"),$I127&gt;=BK$4,$I127&lt;BK$4+7),IF($K127="Deadline","◇","◆"),"")</f>
        <v/>
      </c>
      <c r="BL127" s="14" t="str">
        <f>IF(AND(ISNUMBER($I127),OR($K127="Milestone",$K127="Deadline"),$I127&gt;=BL$4,$I127&lt;BL$4+7),IF($K127="Deadline","◇","◆"),"")</f>
        <v/>
      </c>
      <c r="BM127" s="14" t="str">
        <f>IF(AND(ISNUMBER($I127),OR($K127="Milestone",$K127="Deadline"),$I127&gt;=BM$4,$I127&lt;BM$4+7),IF($K127="Deadline","◇","◆"),"")</f>
        <v/>
      </c>
      <c r="BN127" s="14" t="str">
        <f>IF(AND(ISNUMBER($I127),OR($K127="Milestone",$K127="Deadline"),$I127&gt;=BN$4,$I127&lt;BN$4+7),IF($K127="Deadline","◇","◆"),"")</f>
        <v/>
      </c>
      <c r="BO127" s="14" t="str">
        <f>IF(AND(ISNUMBER($I127),OR($K127="Milestone",$K127="Deadline"),$I127&gt;=BO$4,$I127&lt;BO$4+7),IF($K127="Deadline","◇","◆"),"")</f>
        <v/>
      </c>
      <c r="BP127" s="14" t="str">
        <f>IF(AND(ISNUMBER($I127),OR($K127="Milestone",$K127="Deadline"),$I127&gt;=BP$4,$I127&lt;BP$4+7),IF($K127="Deadline","◇","◆"),"")</f>
        <v/>
      </c>
      <c r="BQ127" s="14" t="str">
        <f>IF(AND(ISNUMBER($I127),OR($K127="Milestone",$K127="Deadline"),$I127&gt;=BQ$4,$I127&lt;BQ$4+7),IF($K127="Deadline","◇","◆"),"")</f>
        <v/>
      </c>
      <c r="BR127" s="14" t="str">
        <f>IF(AND(ISNUMBER($I127),OR($K127="Milestone",$K127="Deadline"),$I127&gt;=BR$4,$I127&lt;BR$4+7),IF($K127="Deadline","◇","◆"),"")</f>
        <v/>
      </c>
      <c r="BS127" s="14" t="str">
        <f>IF(AND(ISNUMBER($I127),OR($K127="Milestone",$K127="Deadline"),$I127&gt;=BS$4,$I127&lt;BS$4+7),IF($K127="Deadline","◇","◆"),"")</f>
        <v/>
      </c>
      <c r="BT127" s="14" t="str">
        <f>IF(AND(ISNUMBER($I127),OR($K127="Milestone",$K127="Deadline"),$I127&gt;=BT$4,$I127&lt;BT$4+7),IF($K127="Deadline","◇","◆"),"")</f>
        <v/>
      </c>
      <c r="BU127" s="14" t="str">
        <f>IF(AND(ISNUMBER($I127),OR($K127="Milestone",$K127="Deadline"),$I127&gt;=BU$4,$I127&lt;BU$4+7),IF($K127="Deadline","◇","◆"),"")</f>
        <v/>
      </c>
      <c r="BV127" s="14" t="str">
        <f>IF(AND(ISNUMBER($I127),OR($K127="Milestone",$K127="Deadline"),$I127&gt;=BV$4,$I127&lt;BV$4+7),IF($K127="Deadline","◇","◆"),"")</f>
        <v/>
      </c>
      <c r="BW127" s="14" t="str">
        <f>IF(AND(ISNUMBER($I127),OR($K127="Milestone",$K127="Deadline"),$I127&gt;=BW$4,$I127&lt;BW$4+7),IF($K127="Deadline","◇","◆"),"")</f>
        <v/>
      </c>
      <c r="BX127" s="14" t="str">
        <f>IF(AND(ISNUMBER($I127),OR($K127="Milestone",$K127="Deadline"),$I127&gt;=BX$4,$I127&lt;BX$4+7),IF($K127="Deadline","◇","◆"),"")</f>
        <v/>
      </c>
      <c r="BY127" s="14" t="str">
        <f>IF(AND(ISNUMBER($I127),OR($K127="Milestone",$K127="Deadline"),$I127&gt;=BY$4,$I127&lt;BY$4+7),IF($K127="Deadline","◇","◆"),"")</f>
        <v/>
      </c>
      <c r="BZ127" s="14" t="str">
        <f>IF(AND(ISNUMBER($I127),OR($K127="Milestone",$K127="Deadline"),$I127&gt;=BZ$4,$I127&lt;BZ$4+7),IF($K127="Deadline","◇","◆"),"")</f>
        <v/>
      </c>
      <c r="CA127" s="14" t="str">
        <f>IF(AND(ISNUMBER($I127),OR($K127="Milestone",$K127="Deadline"),$I127&gt;=CA$4,$I127&lt;CA$4+7),IF($K127="Deadline","◇","◆"),"")</f>
        <v/>
      </c>
      <c r="CB127" s="14" t="str">
        <f>IF(AND(ISNUMBER($I127),OR($K127="Milestone",$K127="Deadline"),$I127&gt;=CB$4,$I127&lt;CB$4+7),IF($K127="Deadline","◇","◆"),"")</f>
        <v/>
      </c>
      <c r="CC127" s="14" t="str">
        <f>IF(AND(ISNUMBER($I127),OR($K127="Milestone",$K127="Deadline"),$I127&gt;=CC$4,$I127&lt;CC$4+7),IF($K127="Deadline","◇","◆"),"")</f>
        <v/>
      </c>
      <c r="CD127" s="14" t="str">
        <f>IF(AND(ISNUMBER($I127),OR($K127="Milestone",$K127="Deadline"),$I127&gt;=CD$4,$I127&lt;CD$4+7),IF($K127="Deadline","◇","◆"),"")</f>
        <v/>
      </c>
      <c r="CE127" s="14" t="str">
        <f>IF(AND(ISNUMBER($I127),OR($K127="Milestone",$K127="Deadline"),$I127&gt;=CE$4,$I127&lt;CE$4+7),IF($K127="Deadline","◇","◆"),"")</f>
        <v/>
      </c>
      <c r="CF127" s="14" t="str">
        <f>IF(AND(ISNUMBER($I127),OR($K127="Milestone",$K127="Deadline"),$I127&gt;=CF$4,$I127&lt;CF$4+7),IF($K127="Deadline","◇","◆"),"")</f>
        <v/>
      </c>
      <c r="CG127" s="14" t="str">
        <f>IF(AND(ISNUMBER($I127),OR($K127="Milestone",$K127="Deadline"),$I127&gt;=CG$4,$I127&lt;CG$4+7),IF($K127="Deadline","◇","◆"),"")</f>
        <v/>
      </c>
      <c r="CH127" s="14" t="str">
        <f>IF(AND(ISNUMBER($I127),OR($K127="Milestone",$K127="Deadline"),$I127&gt;=CH$4,$I127&lt;CH$4+7),IF($K127="Deadline","◇","◆"),"")</f>
        <v/>
      </c>
      <c r="CI127" s="14" t="str">
        <f>IF(AND(ISNUMBER($I127),OR($K127="Milestone",$K127="Deadline"),$I127&gt;=CI$4,$I127&lt;CI$4+7),IF($K127="Deadline","◇","◆"),"")</f>
        <v/>
      </c>
      <c r="CJ127" s="14" t="str">
        <f>IF(AND(ISNUMBER($I127),OR($K127="Milestone",$K127="Deadline"),$I127&gt;=CJ$4,$I127&lt;CJ$4+7),IF($K127="Deadline","◇","◆"),"")</f>
        <v/>
      </c>
      <c r="CK127" s="14" t="str">
        <f>IF(AND(ISNUMBER($I127),OR($K127="Milestone",$K127="Deadline"),$I127&gt;=CK$4,$I127&lt;CK$4+7),IF($K127="Deadline","◇","◆"),"")</f>
        <v/>
      </c>
      <c r="CL127" s="14" t="str">
        <f>IF(AND(ISNUMBER($I127),OR($K127="Milestone",$K127="Deadline"),$I127&gt;=CL$4,$I127&lt;CL$4+7),IF($K127="Deadline","◇","◆"),"")</f>
        <v/>
      </c>
      <c r="CM127" s="14" t="str">
        <f>IF(AND(ISNUMBER($I127),OR($K127="Milestone",$K127="Deadline"),$I127&gt;=CM$4,$I127&lt;CM$4+7),IF($K127="Deadline","◇","◆"),"")</f>
        <v/>
      </c>
    </row>
    <row r="128" spans="1:91" ht="15" hidden="1" customHeight="1">
      <c r="A128" s="15" t="s">
        <v>290</v>
      </c>
      <c r="B128" s="15" t="s">
        <v>320</v>
      </c>
      <c r="C128" s="15" t="s">
        <v>63</v>
      </c>
      <c r="D128" s="15" t="s">
        <v>168</v>
      </c>
      <c r="E128" s="15" t="s">
        <v>281</v>
      </c>
      <c r="F128" s="15" t="s">
        <v>208</v>
      </c>
      <c r="G128" s="15" t="s">
        <v>184</v>
      </c>
      <c r="H128" s="15">
        <v>7</v>
      </c>
      <c r="I128" s="34">
        <f>MAX($C$2,J124+1,J127+1,J11+1,J195+1)</f>
        <v>46384</v>
      </c>
      <c r="J128" s="17">
        <f>IF(AND(ISNUMBER(I128),ISNUMBER(H128)),I128+H128-1,"")</f>
        <v>46390</v>
      </c>
      <c r="K128" s="15" t="s">
        <v>27</v>
      </c>
      <c r="L128" s="15" t="s">
        <v>337</v>
      </c>
      <c r="M128" s="18" t="s">
        <v>338</v>
      </c>
      <c r="N128" s="15"/>
      <c r="O128" s="18">
        <f>IF(AND(ISNUMBER(I128),ISNUMBER(J128)),J128-I128+1,"")</f>
        <v>7</v>
      </c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 t="s">
        <v>140</v>
      </c>
      <c r="AI128" s="13"/>
      <c r="AJ128" s="13"/>
      <c r="AK128" s="13"/>
      <c r="AL128" s="13"/>
      <c r="AM128" s="13"/>
      <c r="AN128" s="13"/>
      <c r="AO128" s="14" t="str">
        <f>IF(AND(ISNUMBER($I128),OR($K128="Milestone",$K128="Deadline"),$I128&gt;=AO$4,$I128&lt;AO$4+7),IF($K128="Deadline","◇","◆"),"")</f>
        <v/>
      </c>
      <c r="AP128" s="14" t="str">
        <f>IF(AND(ISNUMBER($I128),OR($K128="Milestone",$K128="Deadline"),$I128&gt;=AP$4,$I128&lt;AP$4+7),IF($K128="Deadline","◇","◆"),"")</f>
        <v/>
      </c>
      <c r="AQ128" s="14" t="str">
        <f>IF(AND(ISNUMBER($I128),OR($K128="Milestone",$K128="Deadline"),$I128&gt;=AQ$4,$I128&lt;AQ$4+7),IF($K128="Deadline","◇","◆"),"")</f>
        <v/>
      </c>
      <c r="AR128" s="14" t="str">
        <f>IF(AND(ISNUMBER($I128),OR($K128="Milestone",$K128="Deadline"),$I128&gt;=AR$4,$I128&lt;AR$4+7),IF($K128="Deadline","◇","◆"),"")</f>
        <v/>
      </c>
      <c r="AS128" s="14" t="str">
        <f>IF(AND(ISNUMBER($I128),OR($K128="Milestone",$K128="Deadline"),$I128&gt;=AS$4,$I128&lt;AS$4+7),IF($K128="Deadline","◇","◆"),"")</f>
        <v/>
      </c>
      <c r="AT128" s="14" t="str">
        <f>IF(AND(ISNUMBER($I128),OR($K128="Milestone",$K128="Deadline"),$I128&gt;=AT$4,$I128&lt;AT$4+7),IF($K128="Deadline","◇","◆"),"")</f>
        <v/>
      </c>
      <c r="AU128" s="14" t="str">
        <f>IF(AND(ISNUMBER($I128),OR($K128="Milestone",$K128="Deadline"),$I128&gt;=AU$4,$I128&lt;AU$4+7),IF($K128="Deadline","◇","◆"),"")</f>
        <v/>
      </c>
      <c r="AV128" s="14" t="str">
        <f>IF(AND(ISNUMBER($I128),OR($K128="Milestone",$K128="Deadline"),$I128&gt;=AV$4,$I128&lt;AV$4+7),IF($K128="Deadline","◇","◆"),"")</f>
        <v/>
      </c>
      <c r="AW128" s="14" t="str">
        <f>IF(AND(ISNUMBER($I128),OR($K128="Milestone",$K128="Deadline"),$I128&gt;=AW$4,$I128&lt;AW$4+7),IF($K128="Deadline","◇","◆"),"")</f>
        <v/>
      </c>
      <c r="AX128" s="14" t="str">
        <f>IF(AND(ISNUMBER($I128),OR($K128="Milestone",$K128="Deadline"),$I128&gt;=AX$4,$I128&lt;AX$4+7),IF($K128="Deadline","◇","◆"),"")</f>
        <v/>
      </c>
      <c r="AY128" s="14" t="str">
        <f>IF(AND(ISNUMBER($I128),OR($K128="Milestone",$K128="Deadline"),$I128&gt;=AY$4,$I128&lt;AY$4+7),IF($K128="Deadline","◇","◆"),"")</f>
        <v/>
      </c>
      <c r="AZ128" s="14" t="str">
        <f>IF(AND(ISNUMBER($I128),OR($K128="Milestone",$K128="Deadline"),$I128&gt;=AZ$4,$I128&lt;AZ$4+7),IF($K128="Deadline","◇","◆"),"")</f>
        <v/>
      </c>
      <c r="BA128" s="14" t="str">
        <f>IF(AND(ISNUMBER($I128),OR($K128="Milestone",$K128="Deadline"),$I128&gt;=BA$4,$I128&lt;BA$4+7),IF($K128="Deadline","◇","◆"),"")</f>
        <v/>
      </c>
      <c r="BB128" s="14" t="str">
        <f>IF(AND(ISNUMBER($I128),OR($K128="Milestone",$K128="Deadline"),$I128&gt;=BB$4,$I128&lt;BB$4+7),IF($K128="Deadline","◇","◆"),"")</f>
        <v/>
      </c>
      <c r="BC128" s="14" t="str">
        <f>IF(AND(ISNUMBER($I128),OR($K128="Milestone",$K128="Deadline"),$I128&gt;=BC$4,$I128&lt;BC$4+7),IF($K128="Deadline","◇","◆"),"")</f>
        <v/>
      </c>
      <c r="BD128" s="14" t="str">
        <f>IF(AND(ISNUMBER($I128),OR($K128="Milestone",$K128="Deadline"),$I128&gt;=BD$4,$I128&lt;BD$4+7),IF($K128="Deadline","◇","◆"),"")</f>
        <v/>
      </c>
      <c r="BE128" s="14" t="str">
        <f>IF(AND(ISNUMBER($I128),OR($K128="Milestone",$K128="Deadline"),$I128&gt;=BE$4,$I128&lt;BE$4+7),IF($K128="Deadline","◇","◆"),"")</f>
        <v/>
      </c>
      <c r="BF128" s="14" t="str">
        <f>IF(AND(ISNUMBER($I128),OR($K128="Milestone",$K128="Deadline"),$I128&gt;=BF$4,$I128&lt;BF$4+7),IF($K128="Deadline","◇","◆"),"")</f>
        <v/>
      </c>
      <c r="BG128" s="14" t="str">
        <f>IF(AND(ISNUMBER($I128),OR($K128="Milestone",$K128="Deadline"),$I128&gt;=BG$4,$I128&lt;BG$4+7),IF($K128="Deadline","◇","◆"),"")</f>
        <v/>
      </c>
      <c r="BH128" s="14" t="str">
        <f>IF(AND(ISNUMBER($I128),OR($K128="Milestone",$K128="Deadline"),$I128&gt;=BH$4,$I128&lt;BH$4+7),IF($K128="Deadline","◇","◆"),"")</f>
        <v/>
      </c>
      <c r="BI128" s="14" t="str">
        <f>IF(AND(ISNUMBER($I128),OR($K128="Milestone",$K128="Deadline"),$I128&gt;=BI$4,$I128&lt;BI$4+7),IF($K128="Deadline","◇","◆"),"")</f>
        <v/>
      </c>
      <c r="BJ128" s="14" t="str">
        <f>IF(AND(ISNUMBER($I128),OR($K128="Milestone",$K128="Deadline"),$I128&gt;=BJ$4,$I128&lt;BJ$4+7),IF($K128="Deadline","◇","◆"),"")</f>
        <v/>
      </c>
      <c r="BK128" s="14" t="str">
        <f>IF(AND(ISNUMBER($I128),OR($K128="Milestone",$K128="Deadline"),$I128&gt;=BK$4,$I128&lt;BK$4+7),IF($K128="Deadline","◇","◆"),"")</f>
        <v/>
      </c>
      <c r="BL128" s="14" t="str">
        <f>IF(AND(ISNUMBER($I128),OR($K128="Milestone",$K128="Deadline"),$I128&gt;=BL$4,$I128&lt;BL$4+7),IF($K128="Deadline","◇","◆"),"")</f>
        <v/>
      </c>
      <c r="BM128" s="14" t="str">
        <f>IF(AND(ISNUMBER($I128),OR($K128="Milestone",$K128="Deadline"),$I128&gt;=BM$4,$I128&lt;BM$4+7),IF($K128="Deadline","◇","◆"),"")</f>
        <v/>
      </c>
      <c r="BN128" s="14" t="str">
        <f>IF(AND(ISNUMBER($I128),OR($K128="Milestone",$K128="Deadline"),$I128&gt;=BN$4,$I128&lt;BN$4+7),IF($K128="Deadline","◇","◆"),"")</f>
        <v/>
      </c>
      <c r="BO128" s="14" t="str">
        <f>IF(AND(ISNUMBER($I128),OR($K128="Milestone",$K128="Deadline"),$I128&gt;=BO$4,$I128&lt;BO$4+7),IF($K128="Deadline","◇","◆"),"")</f>
        <v/>
      </c>
      <c r="BP128" s="14" t="str">
        <f>IF(AND(ISNUMBER($I128),OR($K128="Milestone",$K128="Deadline"),$I128&gt;=BP$4,$I128&lt;BP$4+7),IF($K128="Deadline","◇","◆"),"")</f>
        <v/>
      </c>
      <c r="BQ128" s="14" t="str">
        <f>IF(AND(ISNUMBER($I128),OR($K128="Milestone",$K128="Deadline"),$I128&gt;=BQ$4,$I128&lt;BQ$4+7),IF($K128="Deadline","◇","◆"),"")</f>
        <v/>
      </c>
      <c r="BR128" s="14" t="str">
        <f>IF(AND(ISNUMBER($I128),OR($K128="Milestone",$K128="Deadline"),$I128&gt;=BR$4,$I128&lt;BR$4+7),IF($K128="Deadline","◇","◆"),"")</f>
        <v/>
      </c>
      <c r="BS128" s="14" t="str">
        <f>IF(AND(ISNUMBER($I128),OR($K128="Milestone",$K128="Deadline"),$I128&gt;=BS$4,$I128&lt;BS$4+7),IF($K128="Deadline","◇","◆"),"")</f>
        <v/>
      </c>
      <c r="BT128" s="14" t="str">
        <f>IF(AND(ISNUMBER($I128),OR($K128="Milestone",$K128="Deadline"),$I128&gt;=BT$4,$I128&lt;BT$4+7),IF($K128="Deadline","◇","◆"),"")</f>
        <v/>
      </c>
      <c r="BU128" s="14" t="str">
        <f>IF(AND(ISNUMBER($I128),OR($K128="Milestone",$K128="Deadline"),$I128&gt;=BU$4,$I128&lt;BU$4+7),IF($K128="Deadline","◇","◆"),"")</f>
        <v/>
      </c>
      <c r="BV128" s="14" t="str">
        <f>IF(AND(ISNUMBER($I128),OR($K128="Milestone",$K128="Deadline"),$I128&gt;=BV$4,$I128&lt;BV$4+7),IF($K128="Deadline","◇","◆"),"")</f>
        <v/>
      </c>
      <c r="BW128" s="14" t="str">
        <f>IF(AND(ISNUMBER($I128),OR($K128="Milestone",$K128="Deadline"),$I128&gt;=BW$4,$I128&lt;BW$4+7),IF($K128="Deadline","◇","◆"),"")</f>
        <v/>
      </c>
      <c r="BX128" s="14" t="str">
        <f>IF(AND(ISNUMBER($I128),OR($K128="Milestone",$K128="Deadline"),$I128&gt;=BX$4,$I128&lt;BX$4+7),IF($K128="Deadline","◇","◆"),"")</f>
        <v/>
      </c>
      <c r="BY128" s="14" t="str">
        <f>IF(AND(ISNUMBER($I128),OR($K128="Milestone",$K128="Deadline"),$I128&gt;=BY$4,$I128&lt;BY$4+7),IF($K128="Deadline","◇","◆"),"")</f>
        <v/>
      </c>
      <c r="BZ128" s="14" t="str">
        <f>IF(AND(ISNUMBER($I128),OR($K128="Milestone",$K128="Deadline"),$I128&gt;=BZ$4,$I128&lt;BZ$4+7),IF($K128="Deadline","◇","◆"),"")</f>
        <v/>
      </c>
      <c r="CA128" s="14" t="str">
        <f>IF(AND(ISNUMBER($I128),OR($K128="Milestone",$K128="Deadline"),$I128&gt;=CA$4,$I128&lt;CA$4+7),IF($K128="Deadline","◇","◆"),"")</f>
        <v/>
      </c>
      <c r="CB128" s="14" t="str">
        <f>IF(AND(ISNUMBER($I128),OR($K128="Milestone",$K128="Deadline"),$I128&gt;=CB$4,$I128&lt;CB$4+7),IF($K128="Deadline","◇","◆"),"")</f>
        <v/>
      </c>
      <c r="CC128" s="14" t="str">
        <f>IF(AND(ISNUMBER($I128),OR($K128="Milestone",$K128="Deadline"),$I128&gt;=CC$4,$I128&lt;CC$4+7),IF($K128="Deadline","◇","◆"),"")</f>
        <v/>
      </c>
      <c r="CD128" s="14" t="str">
        <f>IF(AND(ISNUMBER($I128),OR($K128="Milestone",$K128="Deadline"),$I128&gt;=CD$4,$I128&lt;CD$4+7),IF($K128="Deadline","◇","◆"),"")</f>
        <v/>
      </c>
      <c r="CE128" s="14" t="str">
        <f>IF(AND(ISNUMBER($I128),OR($K128="Milestone",$K128="Deadline"),$I128&gt;=CE$4,$I128&lt;CE$4+7),IF($K128="Deadline","◇","◆"),"")</f>
        <v/>
      </c>
      <c r="CF128" s="14" t="str">
        <f>IF(AND(ISNUMBER($I128),OR($K128="Milestone",$K128="Deadline"),$I128&gt;=CF$4,$I128&lt;CF$4+7),IF($K128="Deadline","◇","◆"),"")</f>
        <v/>
      </c>
      <c r="CG128" s="14" t="str">
        <f>IF(AND(ISNUMBER($I128),OR($K128="Milestone",$K128="Deadline"),$I128&gt;=CG$4,$I128&lt;CG$4+7),IF($K128="Deadline","◇","◆"),"")</f>
        <v/>
      </c>
      <c r="CH128" s="14" t="str">
        <f>IF(AND(ISNUMBER($I128),OR($K128="Milestone",$K128="Deadline"),$I128&gt;=CH$4,$I128&lt;CH$4+7),IF($K128="Deadline","◇","◆"),"")</f>
        <v/>
      </c>
      <c r="CI128" s="14" t="str">
        <f>IF(AND(ISNUMBER($I128),OR($K128="Milestone",$K128="Deadline"),$I128&gt;=CI$4,$I128&lt;CI$4+7),IF($K128="Deadline","◇","◆"),"")</f>
        <v/>
      </c>
      <c r="CJ128" s="14" t="str">
        <f>IF(AND(ISNUMBER($I128),OR($K128="Milestone",$K128="Deadline"),$I128&gt;=CJ$4,$I128&lt;CJ$4+7),IF($K128="Deadline","◇","◆"),"")</f>
        <v/>
      </c>
      <c r="CK128" s="14" t="str">
        <f>IF(AND(ISNUMBER($I128),OR($K128="Milestone",$K128="Deadline"),$I128&gt;=CK$4,$I128&lt;CK$4+7),IF($K128="Deadline","◇","◆"),"")</f>
        <v/>
      </c>
      <c r="CL128" s="14" t="str">
        <f>IF(AND(ISNUMBER($I128),OR($K128="Milestone",$K128="Deadline"),$I128&gt;=CL$4,$I128&lt;CL$4+7),IF($K128="Deadline","◇","◆"),"")</f>
        <v/>
      </c>
      <c r="CM128" s="14" t="str">
        <f>IF(AND(ISNUMBER($I128),OR($K128="Milestone",$K128="Deadline"),$I128&gt;=CM$4,$I128&lt;CM$4+7),IF($K128="Deadline","◇","◆"),"")</f>
        <v/>
      </c>
    </row>
    <row r="129" spans="1:91" ht="15" hidden="1" customHeight="1">
      <c r="A129" s="15" t="s">
        <v>327</v>
      </c>
      <c r="B129" s="15" t="s">
        <v>320</v>
      </c>
      <c r="C129" s="15" t="s">
        <v>63</v>
      </c>
      <c r="D129" s="15" t="s">
        <v>168</v>
      </c>
      <c r="E129" s="15" t="s">
        <v>281</v>
      </c>
      <c r="F129" s="15" t="s">
        <v>208</v>
      </c>
      <c r="G129" s="15" t="s">
        <v>188</v>
      </c>
      <c r="H129" s="15">
        <v>8</v>
      </c>
      <c r="I129" s="34">
        <f>MAX($C$2,J128+1,J49+1)</f>
        <v>46392</v>
      </c>
      <c r="J129" s="17">
        <f>IF(AND(ISNUMBER(I129),ISNUMBER(H129)),I129+H129-1,"")</f>
        <v>46399</v>
      </c>
      <c r="K129" s="15" t="s">
        <v>27</v>
      </c>
      <c r="L129" s="15" t="s">
        <v>290</v>
      </c>
      <c r="M129" s="18" t="s">
        <v>182</v>
      </c>
      <c r="N129" s="15"/>
      <c r="O129" s="18">
        <f>IF(AND(ISNUMBER(I129),ISNUMBER(J129)),J129-I129+1,"")</f>
        <v>8</v>
      </c>
      <c r="P129" s="13"/>
      <c r="Q129" s="13"/>
      <c r="R129" s="13"/>
      <c r="S129" s="13"/>
      <c r="T129" s="13"/>
      <c r="U129" s="13"/>
      <c r="V129" s="13" t="s">
        <v>140</v>
      </c>
      <c r="W129" s="13"/>
      <c r="X129" s="13"/>
      <c r="Y129" s="13"/>
      <c r="Z129" s="13"/>
      <c r="AA129" s="13"/>
      <c r="AB129" s="13"/>
      <c r="AC129" s="13"/>
      <c r="AD129" s="13"/>
      <c r="AE129" s="13"/>
      <c r="AF129" s="13" t="s">
        <v>140</v>
      </c>
      <c r="AG129" s="13"/>
      <c r="AH129" s="13"/>
      <c r="AI129" s="13"/>
      <c r="AJ129" s="13"/>
      <c r="AK129" s="13"/>
      <c r="AL129" s="13"/>
      <c r="AM129" s="13"/>
      <c r="AN129" s="13"/>
      <c r="AO129" s="14" t="str">
        <f>IF(AND(ISNUMBER($I129),OR($K129="Milestone",$K129="Deadline"),$I129&gt;=AO$4,$I129&lt;AO$4+7),IF($K129="Deadline","◇","◆"),"")</f>
        <v/>
      </c>
      <c r="AP129" s="14" t="str">
        <f>IF(AND(ISNUMBER($I129),OR($K129="Milestone",$K129="Deadline"),$I129&gt;=AP$4,$I129&lt;AP$4+7),IF($K129="Deadline","◇","◆"),"")</f>
        <v/>
      </c>
      <c r="AQ129" s="14" t="str">
        <f>IF(AND(ISNUMBER($I129),OR($K129="Milestone",$K129="Deadline"),$I129&gt;=AQ$4,$I129&lt;AQ$4+7),IF($K129="Deadline","◇","◆"),"")</f>
        <v/>
      </c>
      <c r="AR129" s="14" t="str">
        <f>IF(AND(ISNUMBER($I129),OR($K129="Milestone",$K129="Deadline"),$I129&gt;=AR$4,$I129&lt;AR$4+7),IF($K129="Deadline","◇","◆"),"")</f>
        <v/>
      </c>
      <c r="AS129" s="14" t="str">
        <f>IF(AND(ISNUMBER($I129),OR($K129="Milestone",$K129="Deadline"),$I129&gt;=AS$4,$I129&lt;AS$4+7),IF($K129="Deadline","◇","◆"),"")</f>
        <v/>
      </c>
      <c r="AT129" s="14" t="str">
        <f>IF(AND(ISNUMBER($I129),OR($K129="Milestone",$K129="Deadline"),$I129&gt;=AT$4,$I129&lt;AT$4+7),IF($K129="Deadline","◇","◆"),"")</f>
        <v/>
      </c>
      <c r="AU129" s="14" t="str">
        <f>IF(AND(ISNUMBER($I129),OR($K129="Milestone",$K129="Deadline"),$I129&gt;=AU$4,$I129&lt;AU$4+7),IF($K129="Deadline","◇","◆"),"")</f>
        <v/>
      </c>
      <c r="AV129" s="14" t="str">
        <f>IF(AND(ISNUMBER($I129),OR($K129="Milestone",$K129="Deadline"),$I129&gt;=AV$4,$I129&lt;AV$4+7),IF($K129="Deadline","◇","◆"),"")</f>
        <v/>
      </c>
      <c r="AW129" s="14" t="str">
        <f>IF(AND(ISNUMBER($I129),OR($K129="Milestone",$K129="Deadline"),$I129&gt;=AW$4,$I129&lt;AW$4+7),IF($K129="Deadline","◇","◆"),"")</f>
        <v/>
      </c>
      <c r="AX129" s="14" t="str">
        <f>IF(AND(ISNUMBER($I129),OR($K129="Milestone",$K129="Deadline"),$I129&gt;=AX$4,$I129&lt;AX$4+7),IF($K129="Deadline","◇","◆"),"")</f>
        <v/>
      </c>
      <c r="AY129" s="14" t="str">
        <f>IF(AND(ISNUMBER($I129),OR($K129="Milestone",$K129="Deadline"),$I129&gt;=AY$4,$I129&lt;AY$4+7),IF($K129="Deadline","◇","◆"),"")</f>
        <v/>
      </c>
      <c r="AZ129" s="14" t="str">
        <f>IF(AND(ISNUMBER($I129),OR($K129="Milestone",$K129="Deadline"),$I129&gt;=AZ$4,$I129&lt;AZ$4+7),IF($K129="Deadline","◇","◆"),"")</f>
        <v/>
      </c>
      <c r="BA129" s="14" t="str">
        <f>IF(AND(ISNUMBER($I129),OR($K129="Milestone",$K129="Deadline"),$I129&gt;=BA$4,$I129&lt;BA$4+7),IF($K129="Deadline","◇","◆"),"")</f>
        <v/>
      </c>
      <c r="BB129" s="14" t="str">
        <f>IF(AND(ISNUMBER($I129),OR($K129="Milestone",$K129="Deadline"),$I129&gt;=BB$4,$I129&lt;BB$4+7),IF($K129="Deadline","◇","◆"),"")</f>
        <v/>
      </c>
      <c r="BC129" s="14" t="str">
        <f>IF(AND(ISNUMBER($I129),OR($K129="Milestone",$K129="Deadline"),$I129&gt;=BC$4,$I129&lt;BC$4+7),IF($K129="Deadline","◇","◆"),"")</f>
        <v/>
      </c>
      <c r="BD129" s="14" t="str">
        <f>IF(AND(ISNUMBER($I129),OR($K129="Milestone",$K129="Deadline"),$I129&gt;=BD$4,$I129&lt;BD$4+7),IF($K129="Deadline","◇","◆"),"")</f>
        <v/>
      </c>
      <c r="BE129" s="14" t="str">
        <f>IF(AND(ISNUMBER($I129),OR($K129="Milestone",$K129="Deadline"),$I129&gt;=BE$4,$I129&lt;BE$4+7),IF($K129="Deadline","◇","◆"),"")</f>
        <v/>
      </c>
      <c r="BF129" s="14" t="str">
        <f>IF(AND(ISNUMBER($I129),OR($K129="Milestone",$K129="Deadline"),$I129&gt;=BF$4,$I129&lt;BF$4+7),IF($K129="Deadline","◇","◆"),"")</f>
        <v/>
      </c>
      <c r="BG129" s="14" t="str">
        <f>IF(AND(ISNUMBER($I129),OR($K129="Milestone",$K129="Deadline"),$I129&gt;=BG$4,$I129&lt;BG$4+7),IF($K129="Deadline","◇","◆"),"")</f>
        <v/>
      </c>
      <c r="BH129" s="14" t="str">
        <f>IF(AND(ISNUMBER($I129),OR($K129="Milestone",$K129="Deadline"),$I129&gt;=BH$4,$I129&lt;BH$4+7),IF($K129="Deadline","◇","◆"),"")</f>
        <v/>
      </c>
      <c r="BI129" s="14" t="str">
        <f>IF(AND(ISNUMBER($I129),OR($K129="Milestone",$K129="Deadline"),$I129&gt;=BI$4,$I129&lt;BI$4+7),IF($K129="Deadline","◇","◆"),"")</f>
        <v/>
      </c>
      <c r="BJ129" s="14" t="str">
        <f>IF(AND(ISNUMBER($I129),OR($K129="Milestone",$K129="Deadline"),$I129&gt;=BJ$4,$I129&lt;BJ$4+7),IF($K129="Deadline","◇","◆"),"")</f>
        <v/>
      </c>
      <c r="BK129" s="14" t="str">
        <f>IF(AND(ISNUMBER($I129),OR($K129="Milestone",$K129="Deadline"),$I129&gt;=BK$4,$I129&lt;BK$4+7),IF($K129="Deadline","◇","◆"),"")</f>
        <v/>
      </c>
      <c r="BL129" s="14" t="str">
        <f>IF(AND(ISNUMBER($I129),OR($K129="Milestone",$K129="Deadline"),$I129&gt;=BL$4,$I129&lt;BL$4+7),IF($K129="Deadline","◇","◆"),"")</f>
        <v/>
      </c>
      <c r="BM129" s="14" t="str">
        <f>IF(AND(ISNUMBER($I129),OR($K129="Milestone",$K129="Deadline"),$I129&gt;=BM$4,$I129&lt;BM$4+7),IF($K129="Deadline","◇","◆"),"")</f>
        <v/>
      </c>
      <c r="BN129" s="14" t="str">
        <f>IF(AND(ISNUMBER($I129),OR($K129="Milestone",$K129="Deadline"),$I129&gt;=BN$4,$I129&lt;BN$4+7),IF($K129="Deadline","◇","◆"),"")</f>
        <v/>
      </c>
      <c r="BO129" s="14" t="str">
        <f>IF(AND(ISNUMBER($I129),OR($K129="Milestone",$K129="Deadline"),$I129&gt;=BO$4,$I129&lt;BO$4+7),IF($K129="Deadline","◇","◆"),"")</f>
        <v/>
      </c>
      <c r="BP129" s="14" t="str">
        <f>IF(AND(ISNUMBER($I129),OR($K129="Milestone",$K129="Deadline"),$I129&gt;=BP$4,$I129&lt;BP$4+7),IF($K129="Deadline","◇","◆"),"")</f>
        <v/>
      </c>
      <c r="BQ129" s="14" t="str">
        <f>IF(AND(ISNUMBER($I129),OR($K129="Milestone",$K129="Deadline"),$I129&gt;=BQ$4,$I129&lt;BQ$4+7),IF($K129="Deadline","◇","◆"),"")</f>
        <v/>
      </c>
      <c r="BR129" s="14" t="str">
        <f>IF(AND(ISNUMBER($I129),OR($K129="Milestone",$K129="Deadline"),$I129&gt;=BR$4,$I129&lt;BR$4+7),IF($K129="Deadline","◇","◆"),"")</f>
        <v/>
      </c>
      <c r="BS129" s="14" t="str">
        <f>IF(AND(ISNUMBER($I129),OR($K129="Milestone",$K129="Deadline"),$I129&gt;=BS$4,$I129&lt;BS$4+7),IF($K129="Deadline","◇","◆"),"")</f>
        <v/>
      </c>
      <c r="BT129" s="14" t="str">
        <f>IF(AND(ISNUMBER($I129),OR($K129="Milestone",$K129="Deadline"),$I129&gt;=BT$4,$I129&lt;BT$4+7),IF($K129="Deadline","◇","◆"),"")</f>
        <v/>
      </c>
      <c r="BU129" s="14" t="str">
        <f>IF(AND(ISNUMBER($I129),OR($K129="Milestone",$K129="Deadline"),$I129&gt;=BU$4,$I129&lt;BU$4+7),IF($K129="Deadline","◇","◆"),"")</f>
        <v/>
      </c>
      <c r="BV129" s="14" t="str">
        <f>IF(AND(ISNUMBER($I129),OR($K129="Milestone",$K129="Deadline"),$I129&gt;=BV$4,$I129&lt;BV$4+7),IF($K129="Deadline","◇","◆"),"")</f>
        <v/>
      </c>
      <c r="BW129" s="14" t="str">
        <f>IF(AND(ISNUMBER($I129),OR($K129="Milestone",$K129="Deadline"),$I129&gt;=BW$4,$I129&lt;BW$4+7),IF($K129="Deadline","◇","◆"),"")</f>
        <v/>
      </c>
      <c r="BX129" s="14" t="str">
        <f>IF(AND(ISNUMBER($I129),OR($K129="Milestone",$K129="Deadline"),$I129&gt;=BX$4,$I129&lt;BX$4+7),IF($K129="Deadline","◇","◆"),"")</f>
        <v/>
      </c>
      <c r="BY129" s="14" t="str">
        <f>IF(AND(ISNUMBER($I129),OR($K129="Milestone",$K129="Deadline"),$I129&gt;=BY$4,$I129&lt;BY$4+7),IF($K129="Deadline","◇","◆"),"")</f>
        <v/>
      </c>
      <c r="BZ129" s="14" t="str">
        <f>IF(AND(ISNUMBER($I129),OR($K129="Milestone",$K129="Deadline"),$I129&gt;=BZ$4,$I129&lt;BZ$4+7),IF($K129="Deadline","◇","◆"),"")</f>
        <v/>
      </c>
      <c r="CA129" s="14" t="str">
        <f>IF(AND(ISNUMBER($I129),OR($K129="Milestone",$K129="Deadline"),$I129&gt;=CA$4,$I129&lt;CA$4+7),IF($K129="Deadline","◇","◆"),"")</f>
        <v/>
      </c>
      <c r="CB129" s="14" t="str">
        <f>IF(AND(ISNUMBER($I129),OR($K129="Milestone",$K129="Deadline"),$I129&gt;=CB$4,$I129&lt;CB$4+7),IF($K129="Deadline","◇","◆"),"")</f>
        <v/>
      </c>
      <c r="CC129" s="14" t="str">
        <f>IF(AND(ISNUMBER($I129),OR($K129="Milestone",$K129="Deadline"),$I129&gt;=CC$4,$I129&lt;CC$4+7),IF($K129="Deadline","◇","◆"),"")</f>
        <v/>
      </c>
      <c r="CD129" s="14" t="str">
        <f>IF(AND(ISNUMBER($I129),OR($K129="Milestone",$K129="Deadline"),$I129&gt;=CD$4,$I129&lt;CD$4+7),IF($K129="Deadline","◇","◆"),"")</f>
        <v/>
      </c>
      <c r="CE129" s="14" t="str">
        <f>IF(AND(ISNUMBER($I129),OR($K129="Milestone",$K129="Deadline"),$I129&gt;=CE$4,$I129&lt;CE$4+7),IF($K129="Deadline","◇","◆"),"")</f>
        <v/>
      </c>
      <c r="CF129" s="14" t="str">
        <f>IF(AND(ISNUMBER($I129),OR($K129="Milestone",$K129="Deadline"),$I129&gt;=CF$4,$I129&lt;CF$4+7),IF($K129="Deadline","◇","◆"),"")</f>
        <v/>
      </c>
      <c r="CG129" s="14" t="str">
        <f>IF(AND(ISNUMBER($I129),OR($K129="Milestone",$K129="Deadline"),$I129&gt;=CG$4,$I129&lt;CG$4+7),IF($K129="Deadline","◇","◆"),"")</f>
        <v/>
      </c>
      <c r="CH129" s="14" t="str">
        <f>IF(AND(ISNUMBER($I129),OR($K129="Milestone",$K129="Deadline"),$I129&gt;=CH$4,$I129&lt;CH$4+7),IF($K129="Deadline","◇","◆"),"")</f>
        <v/>
      </c>
      <c r="CI129" s="14" t="str">
        <f>IF(AND(ISNUMBER($I129),OR($K129="Milestone",$K129="Deadline"),$I129&gt;=CI$4,$I129&lt;CI$4+7),IF($K129="Deadline","◇","◆"),"")</f>
        <v/>
      </c>
      <c r="CJ129" s="14" t="str">
        <f>IF(AND(ISNUMBER($I129),OR($K129="Milestone",$K129="Deadline"),$I129&gt;=CJ$4,$I129&lt;CJ$4+7),IF($K129="Deadline","◇","◆"),"")</f>
        <v/>
      </c>
      <c r="CK129" s="14" t="str">
        <f>IF(AND(ISNUMBER($I129),OR($K129="Milestone",$K129="Deadline"),$I129&gt;=CK$4,$I129&lt;CK$4+7),IF($K129="Deadline","◇","◆"),"")</f>
        <v/>
      </c>
      <c r="CL129" s="14" t="str">
        <f>IF(AND(ISNUMBER($I129),OR($K129="Milestone",$K129="Deadline"),$I129&gt;=CL$4,$I129&lt;CL$4+7),IF($K129="Deadline","◇","◆"),"")</f>
        <v/>
      </c>
      <c r="CM129" s="14" t="str">
        <f>IF(AND(ISNUMBER($I129),OR($K129="Milestone",$K129="Deadline"),$I129&gt;=CM$4,$I129&lt;CM$4+7),IF($K129="Deadline","◇","◆"),"")</f>
        <v/>
      </c>
    </row>
    <row r="130" spans="1:91" ht="15" hidden="1" customHeight="1">
      <c r="A130" s="15" t="s">
        <v>339</v>
      </c>
      <c r="B130" s="15" t="s">
        <v>320</v>
      </c>
      <c r="C130" s="15" t="s">
        <v>191</v>
      </c>
      <c r="D130" s="15" t="s">
        <v>168</v>
      </c>
      <c r="E130" s="15" t="s">
        <v>281</v>
      </c>
      <c r="F130" s="15" t="s">
        <v>208</v>
      </c>
      <c r="G130" s="15" t="s">
        <v>192</v>
      </c>
      <c r="H130" s="15">
        <v>6</v>
      </c>
      <c r="I130" s="34">
        <f>MAX(DATE(2027,3,1),J129+1,J257+1)</f>
        <v>46447</v>
      </c>
      <c r="J130" s="17">
        <f>IF(AND(ISNUMBER(I130),ISNUMBER(H130)),I130+H130-1,"")</f>
        <v>46452</v>
      </c>
      <c r="K130" s="15" t="s">
        <v>27</v>
      </c>
      <c r="L130" s="15" t="s">
        <v>327</v>
      </c>
      <c r="M130" s="18" t="s">
        <v>340</v>
      </c>
      <c r="N130" s="15"/>
      <c r="O130" s="18">
        <f>IF(AND(ISNUMBER(I130),ISNUMBER(J130)),J130-I130+1,"")</f>
        <v>6</v>
      </c>
      <c r="P130" s="13"/>
      <c r="Q130" s="13"/>
      <c r="R130" s="13"/>
      <c r="S130" s="13"/>
      <c r="T130" s="13"/>
      <c r="U130" s="13"/>
      <c r="V130" s="13" t="s">
        <v>140</v>
      </c>
      <c r="W130" s="13"/>
      <c r="X130" s="13"/>
      <c r="Y130" s="13"/>
      <c r="Z130" s="13"/>
      <c r="AA130" s="13"/>
      <c r="AB130" s="13" t="s">
        <v>140</v>
      </c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4" t="str">
        <f>IF(AND(ISNUMBER($I130),OR($K130="Milestone",$K130="Deadline"),$I130&gt;=AO$4,$I130&lt;AO$4+7),IF($K130="Deadline","◇","◆"),"")</f>
        <v/>
      </c>
      <c r="AP130" s="14" t="str">
        <f>IF(AND(ISNUMBER($I130),OR($K130="Milestone",$K130="Deadline"),$I130&gt;=AP$4,$I130&lt;AP$4+7),IF($K130="Deadline","◇","◆"),"")</f>
        <v/>
      </c>
      <c r="AQ130" s="14" t="str">
        <f>IF(AND(ISNUMBER($I130),OR($K130="Milestone",$K130="Deadline"),$I130&gt;=AQ$4,$I130&lt;AQ$4+7),IF($K130="Deadline","◇","◆"),"")</f>
        <v/>
      </c>
      <c r="AR130" s="14" t="str">
        <f>IF(AND(ISNUMBER($I130),OR($K130="Milestone",$K130="Deadline"),$I130&gt;=AR$4,$I130&lt;AR$4+7),IF($K130="Deadline","◇","◆"),"")</f>
        <v/>
      </c>
      <c r="AS130" s="14" t="str">
        <f>IF(AND(ISNUMBER($I130),OR($K130="Milestone",$K130="Deadline"),$I130&gt;=AS$4,$I130&lt;AS$4+7),IF($K130="Deadline","◇","◆"),"")</f>
        <v/>
      </c>
      <c r="AT130" s="14" t="str">
        <f>IF(AND(ISNUMBER($I130),OR($K130="Milestone",$K130="Deadline"),$I130&gt;=AT$4,$I130&lt;AT$4+7),IF($K130="Deadline","◇","◆"),"")</f>
        <v/>
      </c>
      <c r="AU130" s="14" t="str">
        <f>IF(AND(ISNUMBER($I130),OR($K130="Milestone",$K130="Deadline"),$I130&gt;=AU$4,$I130&lt;AU$4+7),IF($K130="Deadline","◇","◆"),"")</f>
        <v/>
      </c>
      <c r="AV130" s="14" t="str">
        <f>IF(AND(ISNUMBER($I130),OR($K130="Milestone",$K130="Deadline"),$I130&gt;=AV$4,$I130&lt;AV$4+7),IF($K130="Deadline","◇","◆"),"")</f>
        <v/>
      </c>
      <c r="AW130" s="14" t="str">
        <f>IF(AND(ISNUMBER($I130),OR($K130="Milestone",$K130="Deadline"),$I130&gt;=AW$4,$I130&lt;AW$4+7),IF($K130="Deadline","◇","◆"),"")</f>
        <v/>
      </c>
      <c r="AX130" s="14" t="str">
        <f>IF(AND(ISNUMBER($I130),OR($K130="Milestone",$K130="Deadline"),$I130&gt;=AX$4,$I130&lt;AX$4+7),IF($K130="Deadline","◇","◆"),"")</f>
        <v/>
      </c>
      <c r="AY130" s="14" t="str">
        <f>IF(AND(ISNUMBER($I130),OR($K130="Milestone",$K130="Deadline"),$I130&gt;=AY$4,$I130&lt;AY$4+7),IF($K130="Deadline","◇","◆"),"")</f>
        <v/>
      </c>
      <c r="AZ130" s="14" t="str">
        <f>IF(AND(ISNUMBER($I130),OR($K130="Milestone",$K130="Deadline"),$I130&gt;=AZ$4,$I130&lt;AZ$4+7),IF($K130="Deadline","◇","◆"),"")</f>
        <v/>
      </c>
      <c r="BA130" s="14" t="str">
        <f>IF(AND(ISNUMBER($I130),OR($K130="Milestone",$K130="Deadline"),$I130&gt;=BA$4,$I130&lt;BA$4+7),IF($K130="Deadline","◇","◆"),"")</f>
        <v/>
      </c>
      <c r="BB130" s="14" t="str">
        <f>IF(AND(ISNUMBER($I130),OR($K130="Milestone",$K130="Deadline"),$I130&gt;=BB$4,$I130&lt;BB$4+7),IF($K130="Deadline","◇","◆"),"")</f>
        <v/>
      </c>
      <c r="BC130" s="14" t="str">
        <f>IF(AND(ISNUMBER($I130),OR($K130="Milestone",$K130="Deadline"),$I130&gt;=BC$4,$I130&lt;BC$4+7),IF($K130="Deadline","◇","◆"),"")</f>
        <v/>
      </c>
      <c r="BD130" s="14" t="str">
        <f>IF(AND(ISNUMBER($I130),OR($K130="Milestone",$K130="Deadline"),$I130&gt;=BD$4,$I130&lt;BD$4+7),IF($K130="Deadline","◇","◆"),"")</f>
        <v/>
      </c>
      <c r="BE130" s="14" t="str">
        <f>IF(AND(ISNUMBER($I130),OR($K130="Milestone",$K130="Deadline"),$I130&gt;=BE$4,$I130&lt;BE$4+7),IF($K130="Deadline","◇","◆"),"")</f>
        <v/>
      </c>
      <c r="BF130" s="14" t="str">
        <f>IF(AND(ISNUMBER($I130),OR($K130="Milestone",$K130="Deadline"),$I130&gt;=BF$4,$I130&lt;BF$4+7),IF($K130="Deadline","◇","◆"),"")</f>
        <v/>
      </c>
      <c r="BG130" s="14" t="str">
        <f>IF(AND(ISNUMBER($I130),OR($K130="Milestone",$K130="Deadline"),$I130&gt;=BG$4,$I130&lt;BG$4+7),IF($K130="Deadline","◇","◆"),"")</f>
        <v/>
      </c>
      <c r="BH130" s="14" t="str">
        <f>IF(AND(ISNUMBER($I130),OR($K130="Milestone",$K130="Deadline"),$I130&gt;=BH$4,$I130&lt;BH$4+7),IF($K130="Deadline","◇","◆"),"")</f>
        <v/>
      </c>
      <c r="BI130" s="14" t="str">
        <f>IF(AND(ISNUMBER($I130),OR($K130="Milestone",$K130="Deadline"),$I130&gt;=BI$4,$I130&lt;BI$4+7),IF($K130="Deadline","◇","◆"),"")</f>
        <v/>
      </c>
      <c r="BJ130" s="14" t="str">
        <f>IF(AND(ISNUMBER($I130),OR($K130="Milestone",$K130="Deadline"),$I130&gt;=BJ$4,$I130&lt;BJ$4+7),IF($K130="Deadline","◇","◆"),"")</f>
        <v/>
      </c>
      <c r="BK130" s="14" t="str">
        <f>IF(AND(ISNUMBER($I130),OR($K130="Milestone",$K130="Deadline"),$I130&gt;=BK$4,$I130&lt;BK$4+7),IF($K130="Deadline","◇","◆"),"")</f>
        <v/>
      </c>
      <c r="BL130" s="14" t="str">
        <f>IF(AND(ISNUMBER($I130),OR($K130="Milestone",$K130="Deadline"),$I130&gt;=BL$4,$I130&lt;BL$4+7),IF($K130="Deadline","◇","◆"),"")</f>
        <v/>
      </c>
      <c r="BM130" s="14" t="str">
        <f>IF(AND(ISNUMBER($I130),OR($K130="Milestone",$K130="Deadline"),$I130&gt;=BM$4,$I130&lt;BM$4+7),IF($K130="Deadline","◇","◆"),"")</f>
        <v/>
      </c>
      <c r="BN130" s="14" t="str">
        <f>IF(AND(ISNUMBER($I130),OR($K130="Milestone",$K130="Deadline"),$I130&gt;=BN$4,$I130&lt;BN$4+7),IF($K130="Deadline","◇","◆"),"")</f>
        <v/>
      </c>
      <c r="BO130" s="14" t="str">
        <f>IF(AND(ISNUMBER($I130),OR($K130="Milestone",$K130="Deadline"),$I130&gt;=BO$4,$I130&lt;BO$4+7),IF($K130="Deadline","◇","◆"),"")</f>
        <v/>
      </c>
      <c r="BP130" s="14" t="str">
        <f>IF(AND(ISNUMBER($I130),OR($K130="Milestone",$K130="Deadline"),$I130&gt;=BP$4,$I130&lt;BP$4+7),IF($K130="Deadline","◇","◆"),"")</f>
        <v/>
      </c>
      <c r="BQ130" s="14" t="str">
        <f>IF(AND(ISNUMBER($I130),OR($K130="Milestone",$K130="Deadline"),$I130&gt;=BQ$4,$I130&lt;BQ$4+7),IF($K130="Deadline","◇","◆"),"")</f>
        <v/>
      </c>
      <c r="BR130" s="14" t="str">
        <f>IF(AND(ISNUMBER($I130),OR($K130="Milestone",$K130="Deadline"),$I130&gt;=BR$4,$I130&lt;BR$4+7),IF($K130="Deadline","◇","◆"),"")</f>
        <v/>
      </c>
      <c r="BS130" s="14" t="str">
        <f>IF(AND(ISNUMBER($I130),OR($K130="Milestone",$K130="Deadline"),$I130&gt;=BS$4,$I130&lt;BS$4+7),IF($K130="Deadline","◇","◆"),"")</f>
        <v/>
      </c>
      <c r="BT130" s="14" t="str">
        <f>IF(AND(ISNUMBER($I130),OR($K130="Milestone",$K130="Deadline"),$I130&gt;=BT$4,$I130&lt;BT$4+7),IF($K130="Deadline","◇","◆"),"")</f>
        <v/>
      </c>
      <c r="BU130" s="14" t="str">
        <f>IF(AND(ISNUMBER($I130),OR($K130="Milestone",$K130="Deadline"),$I130&gt;=BU$4,$I130&lt;BU$4+7),IF($K130="Deadline","◇","◆"),"")</f>
        <v/>
      </c>
      <c r="BV130" s="14" t="str">
        <f>IF(AND(ISNUMBER($I130),OR($K130="Milestone",$K130="Deadline"),$I130&gt;=BV$4,$I130&lt;BV$4+7),IF($K130="Deadline","◇","◆"),"")</f>
        <v/>
      </c>
      <c r="BW130" s="14" t="str">
        <f>IF(AND(ISNUMBER($I130),OR($K130="Milestone",$K130="Deadline"),$I130&gt;=BW$4,$I130&lt;BW$4+7),IF($K130="Deadline","◇","◆"),"")</f>
        <v/>
      </c>
      <c r="BX130" s="14" t="str">
        <f>IF(AND(ISNUMBER($I130),OR($K130="Milestone",$K130="Deadline"),$I130&gt;=BX$4,$I130&lt;BX$4+7),IF($K130="Deadline","◇","◆"),"")</f>
        <v/>
      </c>
      <c r="BY130" s="14" t="str">
        <f>IF(AND(ISNUMBER($I130),OR($K130="Milestone",$K130="Deadline"),$I130&gt;=BY$4,$I130&lt;BY$4+7),IF($K130="Deadline","◇","◆"),"")</f>
        <v/>
      </c>
      <c r="BZ130" s="14" t="str">
        <f>IF(AND(ISNUMBER($I130),OR($K130="Milestone",$K130="Deadline"),$I130&gt;=BZ$4,$I130&lt;BZ$4+7),IF($K130="Deadline","◇","◆"),"")</f>
        <v/>
      </c>
      <c r="CA130" s="14" t="str">
        <f>IF(AND(ISNUMBER($I130),OR($K130="Milestone",$K130="Deadline"),$I130&gt;=CA$4,$I130&lt;CA$4+7),IF($K130="Deadline","◇","◆"),"")</f>
        <v/>
      </c>
      <c r="CB130" s="14" t="str">
        <f>IF(AND(ISNUMBER($I130),OR($K130="Milestone",$K130="Deadline"),$I130&gt;=CB$4,$I130&lt;CB$4+7),IF($K130="Deadline","◇","◆"),"")</f>
        <v/>
      </c>
      <c r="CC130" s="14" t="str">
        <f>IF(AND(ISNUMBER($I130),OR($K130="Milestone",$K130="Deadline"),$I130&gt;=CC$4,$I130&lt;CC$4+7),IF($K130="Deadline","◇","◆"),"")</f>
        <v/>
      </c>
      <c r="CD130" s="14" t="str">
        <f>IF(AND(ISNUMBER($I130),OR($K130="Milestone",$K130="Deadline"),$I130&gt;=CD$4,$I130&lt;CD$4+7),IF($K130="Deadline","◇","◆"),"")</f>
        <v/>
      </c>
      <c r="CE130" s="14" t="str">
        <f>IF(AND(ISNUMBER($I130),OR($K130="Milestone",$K130="Deadline"),$I130&gt;=CE$4,$I130&lt;CE$4+7),IF($K130="Deadline","◇","◆"),"")</f>
        <v/>
      </c>
      <c r="CF130" s="14" t="str">
        <f>IF(AND(ISNUMBER($I130),OR($K130="Milestone",$K130="Deadline"),$I130&gt;=CF$4,$I130&lt;CF$4+7),IF($K130="Deadline","◇","◆"),"")</f>
        <v/>
      </c>
      <c r="CG130" s="14" t="str">
        <f>IF(AND(ISNUMBER($I130),OR($K130="Milestone",$K130="Deadline"),$I130&gt;=CG$4,$I130&lt;CG$4+7),IF($K130="Deadline","◇","◆"),"")</f>
        <v/>
      </c>
      <c r="CH130" s="14" t="str">
        <f>IF(AND(ISNUMBER($I130),OR($K130="Milestone",$K130="Deadline"),$I130&gt;=CH$4,$I130&lt;CH$4+7),IF($K130="Deadline","◇","◆"),"")</f>
        <v/>
      </c>
      <c r="CI130" s="14" t="str">
        <f>IF(AND(ISNUMBER($I130),OR($K130="Milestone",$K130="Deadline"),$I130&gt;=CI$4,$I130&lt;CI$4+7),IF($K130="Deadline","◇","◆"),"")</f>
        <v/>
      </c>
      <c r="CJ130" s="14" t="str">
        <f>IF(AND(ISNUMBER($I130),OR($K130="Milestone",$K130="Deadline"),$I130&gt;=CJ$4,$I130&lt;CJ$4+7),IF($K130="Deadline","◇","◆"),"")</f>
        <v/>
      </c>
      <c r="CK130" s="14" t="str">
        <f>IF(AND(ISNUMBER($I130),OR($K130="Milestone",$K130="Deadline"),$I130&gt;=CK$4,$I130&lt;CK$4+7),IF($K130="Deadline","◇","◆"),"")</f>
        <v/>
      </c>
      <c r="CL130" s="14" t="str">
        <f>IF(AND(ISNUMBER($I130),OR($K130="Milestone",$K130="Deadline"),$I130&gt;=CL$4,$I130&lt;CL$4+7),IF($K130="Deadline","◇","◆"),"")</f>
        <v/>
      </c>
      <c r="CM130" s="14" t="str">
        <f>IF(AND(ISNUMBER($I130),OR($K130="Milestone",$K130="Deadline"),$I130&gt;=CM$4,$I130&lt;CM$4+7),IF($K130="Deadline","◇","◆"),"")</f>
        <v/>
      </c>
    </row>
    <row r="131" spans="1:91" ht="15" hidden="1" customHeight="1">
      <c r="A131" s="15" t="s">
        <v>263</v>
      </c>
      <c r="B131" s="15" t="s">
        <v>320</v>
      </c>
      <c r="C131" s="15" t="s">
        <v>191</v>
      </c>
      <c r="D131" s="15" t="s">
        <v>168</v>
      </c>
      <c r="E131" s="15"/>
      <c r="F131" s="15" t="s">
        <v>216</v>
      </c>
      <c r="G131" s="15" t="s">
        <v>217</v>
      </c>
      <c r="H131" s="15">
        <v>14</v>
      </c>
      <c r="I131" s="34">
        <f>MAX($C$2,J122+1,J125+1,J63+1)</f>
        <v>46401</v>
      </c>
      <c r="J131" s="17">
        <f>IF(AND(ISNUMBER(I131),ISNUMBER(H131)),I131+H131-1,"")</f>
        <v>46414</v>
      </c>
      <c r="K131" s="15" t="s">
        <v>27</v>
      </c>
      <c r="L131" s="15" t="s">
        <v>341</v>
      </c>
      <c r="M131" s="18" t="s">
        <v>215</v>
      </c>
      <c r="N131" s="15"/>
      <c r="O131" s="18">
        <f>IF(AND(ISNUMBER(I131),ISNUMBER(J131)),J131-I131+1,"")</f>
        <v>14</v>
      </c>
      <c r="P131" s="13"/>
      <c r="Q131" s="13"/>
      <c r="R131" s="13"/>
      <c r="S131" s="13"/>
      <c r="T131" s="13" t="s">
        <v>140</v>
      </c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4" t="str">
        <f>IF(AND(ISNUMBER($I131),OR($K131="Milestone",$K131="Deadline"),$I131&gt;=AO$4,$I131&lt;AO$4+7),IF($K131="Deadline","◇","◆"),"")</f>
        <v/>
      </c>
      <c r="AP131" s="14" t="str">
        <f>IF(AND(ISNUMBER($I131),OR($K131="Milestone",$K131="Deadline"),$I131&gt;=AP$4,$I131&lt;AP$4+7),IF($K131="Deadline","◇","◆"),"")</f>
        <v/>
      </c>
      <c r="AQ131" s="14" t="str">
        <f>IF(AND(ISNUMBER($I131),OR($K131="Milestone",$K131="Deadline"),$I131&gt;=AQ$4,$I131&lt;AQ$4+7),IF($K131="Deadline","◇","◆"),"")</f>
        <v/>
      </c>
      <c r="AR131" s="14" t="str">
        <f>IF(AND(ISNUMBER($I131),OR($K131="Milestone",$K131="Deadline"),$I131&gt;=AR$4,$I131&lt;AR$4+7),IF($K131="Deadline","◇","◆"),"")</f>
        <v/>
      </c>
      <c r="AS131" s="14" t="str">
        <f>IF(AND(ISNUMBER($I131),OR($K131="Milestone",$K131="Deadline"),$I131&gt;=AS$4,$I131&lt;AS$4+7),IF($K131="Deadline","◇","◆"),"")</f>
        <v/>
      </c>
      <c r="AT131" s="14" t="str">
        <f>IF(AND(ISNUMBER($I131),OR($K131="Milestone",$K131="Deadline"),$I131&gt;=AT$4,$I131&lt;AT$4+7),IF($K131="Deadline","◇","◆"),"")</f>
        <v/>
      </c>
      <c r="AU131" s="14" t="str">
        <f>IF(AND(ISNUMBER($I131),OR($K131="Milestone",$K131="Deadline"),$I131&gt;=AU$4,$I131&lt;AU$4+7),IF($K131="Deadline","◇","◆"),"")</f>
        <v/>
      </c>
      <c r="AV131" s="14" t="str">
        <f>IF(AND(ISNUMBER($I131),OR($K131="Milestone",$K131="Deadline"),$I131&gt;=AV$4,$I131&lt;AV$4+7),IF($K131="Deadline","◇","◆"),"")</f>
        <v/>
      </c>
      <c r="AW131" s="14" t="str">
        <f>IF(AND(ISNUMBER($I131),OR($K131="Milestone",$K131="Deadline"),$I131&gt;=AW$4,$I131&lt;AW$4+7),IF($K131="Deadline","◇","◆"),"")</f>
        <v/>
      </c>
      <c r="AX131" s="14" t="str">
        <f>IF(AND(ISNUMBER($I131),OR($K131="Milestone",$K131="Deadline"),$I131&gt;=AX$4,$I131&lt;AX$4+7),IF($K131="Deadline","◇","◆"),"")</f>
        <v/>
      </c>
      <c r="AY131" s="14" t="str">
        <f>IF(AND(ISNUMBER($I131),OR($K131="Milestone",$K131="Deadline"),$I131&gt;=AY$4,$I131&lt;AY$4+7),IF($K131="Deadline","◇","◆"),"")</f>
        <v/>
      </c>
      <c r="AZ131" s="14" t="str">
        <f>IF(AND(ISNUMBER($I131),OR($K131="Milestone",$K131="Deadline"),$I131&gt;=AZ$4,$I131&lt;AZ$4+7),IF($K131="Deadline","◇","◆"),"")</f>
        <v/>
      </c>
      <c r="BA131" s="14" t="str">
        <f>IF(AND(ISNUMBER($I131),OR($K131="Milestone",$K131="Deadline"),$I131&gt;=BA$4,$I131&lt;BA$4+7),IF($K131="Deadline","◇","◆"),"")</f>
        <v/>
      </c>
      <c r="BB131" s="14" t="str">
        <f>IF(AND(ISNUMBER($I131),OR($K131="Milestone",$K131="Deadline"),$I131&gt;=BB$4,$I131&lt;BB$4+7),IF($K131="Deadline","◇","◆"),"")</f>
        <v/>
      </c>
      <c r="BC131" s="14" t="str">
        <f>IF(AND(ISNUMBER($I131),OR($K131="Milestone",$K131="Deadline"),$I131&gt;=BC$4,$I131&lt;BC$4+7),IF($K131="Deadline","◇","◆"),"")</f>
        <v/>
      </c>
      <c r="BD131" s="14" t="str">
        <f>IF(AND(ISNUMBER($I131),OR($K131="Milestone",$K131="Deadline"),$I131&gt;=BD$4,$I131&lt;BD$4+7),IF($K131="Deadline","◇","◆"),"")</f>
        <v/>
      </c>
      <c r="BE131" s="14" t="str">
        <f>IF(AND(ISNUMBER($I131),OR($K131="Milestone",$K131="Deadline"),$I131&gt;=BE$4,$I131&lt;BE$4+7),IF($K131="Deadline","◇","◆"),"")</f>
        <v/>
      </c>
      <c r="BF131" s="14" t="str">
        <f>IF(AND(ISNUMBER($I131),OR($K131="Milestone",$K131="Deadline"),$I131&gt;=BF$4,$I131&lt;BF$4+7),IF($K131="Deadline","◇","◆"),"")</f>
        <v/>
      </c>
      <c r="BG131" s="14" t="str">
        <f>IF(AND(ISNUMBER($I131),OR($K131="Milestone",$K131="Deadline"),$I131&gt;=BG$4,$I131&lt;BG$4+7),IF($K131="Deadline","◇","◆"),"")</f>
        <v/>
      </c>
      <c r="BH131" s="14" t="str">
        <f>IF(AND(ISNUMBER($I131),OR($K131="Milestone",$K131="Deadline"),$I131&gt;=BH$4,$I131&lt;BH$4+7),IF($K131="Deadline","◇","◆"),"")</f>
        <v/>
      </c>
      <c r="BI131" s="14" t="str">
        <f>IF(AND(ISNUMBER($I131),OR($K131="Milestone",$K131="Deadline"),$I131&gt;=BI$4,$I131&lt;BI$4+7),IF($K131="Deadline","◇","◆"),"")</f>
        <v/>
      </c>
      <c r="BJ131" s="14" t="str">
        <f>IF(AND(ISNUMBER($I131),OR($K131="Milestone",$K131="Deadline"),$I131&gt;=BJ$4,$I131&lt;BJ$4+7),IF($K131="Deadline","◇","◆"),"")</f>
        <v/>
      </c>
      <c r="BK131" s="14" t="str">
        <f>IF(AND(ISNUMBER($I131),OR($K131="Milestone",$K131="Deadline"),$I131&gt;=BK$4,$I131&lt;BK$4+7),IF($K131="Deadline","◇","◆"),"")</f>
        <v/>
      </c>
      <c r="BL131" s="14" t="str">
        <f>IF(AND(ISNUMBER($I131),OR($K131="Milestone",$K131="Deadline"),$I131&gt;=BL$4,$I131&lt;BL$4+7),IF($K131="Deadline","◇","◆"),"")</f>
        <v/>
      </c>
      <c r="BM131" s="14" t="str">
        <f>IF(AND(ISNUMBER($I131),OR($K131="Milestone",$K131="Deadline"),$I131&gt;=BM$4,$I131&lt;BM$4+7),IF($K131="Deadline","◇","◆"),"")</f>
        <v/>
      </c>
      <c r="BN131" s="14" t="str">
        <f>IF(AND(ISNUMBER($I131),OR($K131="Milestone",$K131="Deadline"),$I131&gt;=BN$4,$I131&lt;BN$4+7),IF($K131="Deadline","◇","◆"),"")</f>
        <v/>
      </c>
      <c r="BO131" s="14" t="str">
        <f>IF(AND(ISNUMBER($I131),OR($K131="Milestone",$K131="Deadline"),$I131&gt;=BO$4,$I131&lt;BO$4+7),IF($K131="Deadline","◇","◆"),"")</f>
        <v/>
      </c>
      <c r="BP131" s="14" t="str">
        <f>IF(AND(ISNUMBER($I131),OR($K131="Milestone",$K131="Deadline"),$I131&gt;=BP$4,$I131&lt;BP$4+7),IF($K131="Deadline","◇","◆"),"")</f>
        <v/>
      </c>
      <c r="BQ131" s="14" t="str">
        <f>IF(AND(ISNUMBER($I131),OR($K131="Milestone",$K131="Deadline"),$I131&gt;=BQ$4,$I131&lt;BQ$4+7),IF($K131="Deadline","◇","◆"),"")</f>
        <v/>
      </c>
      <c r="BR131" s="14" t="str">
        <f>IF(AND(ISNUMBER($I131),OR($K131="Milestone",$K131="Deadline"),$I131&gt;=BR$4,$I131&lt;BR$4+7),IF($K131="Deadline","◇","◆"),"")</f>
        <v/>
      </c>
      <c r="BS131" s="14" t="str">
        <f>IF(AND(ISNUMBER($I131),OR($K131="Milestone",$K131="Deadline"),$I131&gt;=BS$4,$I131&lt;BS$4+7),IF($K131="Deadline","◇","◆"),"")</f>
        <v/>
      </c>
      <c r="BT131" s="14" t="str">
        <f>IF(AND(ISNUMBER($I131),OR($K131="Milestone",$K131="Deadline"),$I131&gt;=BT$4,$I131&lt;BT$4+7),IF($K131="Deadline","◇","◆"),"")</f>
        <v/>
      </c>
      <c r="BU131" s="14" t="str">
        <f>IF(AND(ISNUMBER($I131),OR($K131="Milestone",$K131="Deadline"),$I131&gt;=BU$4,$I131&lt;BU$4+7),IF($K131="Deadline","◇","◆"),"")</f>
        <v/>
      </c>
      <c r="BV131" s="14" t="str">
        <f>IF(AND(ISNUMBER($I131),OR($K131="Milestone",$K131="Deadline"),$I131&gt;=BV$4,$I131&lt;BV$4+7),IF($K131="Deadline","◇","◆"),"")</f>
        <v/>
      </c>
      <c r="BW131" s="14" t="str">
        <f>IF(AND(ISNUMBER($I131),OR($K131="Milestone",$K131="Deadline"),$I131&gt;=BW$4,$I131&lt;BW$4+7),IF($K131="Deadline","◇","◆"),"")</f>
        <v/>
      </c>
      <c r="BX131" s="14" t="str">
        <f>IF(AND(ISNUMBER($I131),OR($K131="Milestone",$K131="Deadline"),$I131&gt;=BX$4,$I131&lt;BX$4+7),IF($K131="Deadline","◇","◆"),"")</f>
        <v/>
      </c>
      <c r="BY131" s="14" t="str">
        <f>IF(AND(ISNUMBER($I131),OR($K131="Milestone",$K131="Deadline"),$I131&gt;=BY$4,$I131&lt;BY$4+7),IF($K131="Deadline","◇","◆"),"")</f>
        <v/>
      </c>
      <c r="BZ131" s="14" t="str">
        <f>IF(AND(ISNUMBER($I131),OR($K131="Milestone",$K131="Deadline"),$I131&gt;=BZ$4,$I131&lt;BZ$4+7),IF($K131="Deadline","◇","◆"),"")</f>
        <v/>
      </c>
      <c r="CA131" s="14" t="str">
        <f>IF(AND(ISNUMBER($I131),OR($K131="Milestone",$K131="Deadline"),$I131&gt;=CA$4,$I131&lt;CA$4+7),IF($K131="Deadline","◇","◆"),"")</f>
        <v/>
      </c>
      <c r="CB131" s="14" t="str">
        <f>IF(AND(ISNUMBER($I131),OR($K131="Milestone",$K131="Deadline"),$I131&gt;=CB$4,$I131&lt;CB$4+7),IF($K131="Deadline","◇","◆"),"")</f>
        <v/>
      </c>
      <c r="CC131" s="14" t="str">
        <f>IF(AND(ISNUMBER($I131),OR($K131="Milestone",$K131="Deadline"),$I131&gt;=CC$4,$I131&lt;CC$4+7),IF($K131="Deadline","◇","◆"),"")</f>
        <v/>
      </c>
      <c r="CD131" s="14" t="str">
        <f>IF(AND(ISNUMBER($I131),OR($K131="Milestone",$K131="Deadline"),$I131&gt;=CD$4,$I131&lt;CD$4+7),IF($K131="Deadline","◇","◆"),"")</f>
        <v/>
      </c>
      <c r="CE131" s="14" t="str">
        <f>IF(AND(ISNUMBER($I131),OR($K131="Milestone",$K131="Deadline"),$I131&gt;=CE$4,$I131&lt;CE$4+7),IF($K131="Deadline","◇","◆"),"")</f>
        <v/>
      </c>
      <c r="CF131" s="14" t="str">
        <f>IF(AND(ISNUMBER($I131),OR($K131="Milestone",$K131="Deadline"),$I131&gt;=CF$4,$I131&lt;CF$4+7),IF($K131="Deadline","◇","◆"),"")</f>
        <v/>
      </c>
      <c r="CG131" s="14" t="str">
        <f>IF(AND(ISNUMBER($I131),OR($K131="Milestone",$K131="Deadline"),$I131&gt;=CG$4,$I131&lt;CG$4+7),IF($K131="Deadline","◇","◆"),"")</f>
        <v/>
      </c>
      <c r="CH131" s="14" t="str">
        <f>IF(AND(ISNUMBER($I131),OR($K131="Milestone",$K131="Deadline"),$I131&gt;=CH$4,$I131&lt;CH$4+7),IF($K131="Deadline","◇","◆"),"")</f>
        <v/>
      </c>
      <c r="CI131" s="14" t="str">
        <f>IF(AND(ISNUMBER($I131),OR($K131="Milestone",$K131="Deadline"),$I131&gt;=CI$4,$I131&lt;CI$4+7),IF($K131="Deadline","◇","◆"),"")</f>
        <v/>
      </c>
      <c r="CJ131" s="14" t="str">
        <f>IF(AND(ISNUMBER($I131),OR($K131="Milestone",$K131="Deadline"),$I131&gt;=CJ$4,$I131&lt;CJ$4+7),IF($K131="Deadline","◇","◆"),"")</f>
        <v/>
      </c>
      <c r="CK131" s="14" t="str">
        <f>IF(AND(ISNUMBER($I131),OR($K131="Milestone",$K131="Deadline"),$I131&gt;=CK$4,$I131&lt;CK$4+7),IF($K131="Deadline","◇","◆"),"")</f>
        <v/>
      </c>
      <c r="CL131" s="14" t="str">
        <f>IF(AND(ISNUMBER($I131),OR($K131="Milestone",$K131="Deadline"),$I131&gt;=CL$4,$I131&lt;CL$4+7),IF($K131="Deadline","◇","◆"),"")</f>
        <v/>
      </c>
      <c r="CM131" s="14" t="str">
        <f>IF(AND(ISNUMBER($I131),OR($K131="Milestone",$K131="Deadline"),$I131&gt;=CM$4,$I131&lt;CM$4+7),IF($K131="Deadline","◇","◆"),"")</f>
        <v/>
      </c>
    </row>
    <row r="132" spans="1:91" ht="15" hidden="1" customHeight="1">
      <c r="A132" s="15" t="s">
        <v>342</v>
      </c>
      <c r="B132" s="15" t="s">
        <v>320</v>
      </c>
      <c r="C132" s="15" t="s">
        <v>221</v>
      </c>
      <c r="D132" s="15" t="s">
        <v>168</v>
      </c>
      <c r="E132" s="15"/>
      <c r="F132" s="15" t="s">
        <v>216</v>
      </c>
      <c r="G132" s="15" t="s">
        <v>222</v>
      </c>
      <c r="H132" s="15">
        <v>7</v>
      </c>
      <c r="I132" s="34">
        <f>MAX($C$2,J120+1,J129+1,J154+1,J296+1)</f>
        <v>46538</v>
      </c>
      <c r="J132" s="17">
        <f>IF(AND(ISNUMBER(I132),ISNUMBER(H132)),I132+H132-1,"")</f>
        <v>46544</v>
      </c>
      <c r="K132" s="15" t="s">
        <v>27</v>
      </c>
      <c r="L132" s="15" t="s">
        <v>343</v>
      </c>
      <c r="M132" s="18" t="s">
        <v>344</v>
      </c>
      <c r="N132" s="15"/>
      <c r="O132" s="18">
        <f>IF(AND(ISNUMBER(I132),ISNUMBER(J132)),J132-I132+1,"")</f>
        <v>7</v>
      </c>
      <c r="P132" s="13"/>
      <c r="Q132" s="13"/>
      <c r="R132" s="13"/>
      <c r="S132" s="13" t="s">
        <v>140</v>
      </c>
      <c r="T132" s="13"/>
      <c r="U132" s="13"/>
      <c r="V132" s="13"/>
      <c r="W132" s="13"/>
      <c r="X132" s="13"/>
      <c r="Y132" s="13"/>
      <c r="Z132" s="13" t="s">
        <v>140</v>
      </c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4" t="str">
        <f>IF(AND(ISNUMBER($I132),OR($K132="Milestone",$K132="Deadline"),$I132&gt;=AO$4,$I132&lt;AO$4+7),IF($K132="Deadline","◇","◆"),"")</f>
        <v/>
      </c>
      <c r="AP132" s="14" t="str">
        <f>IF(AND(ISNUMBER($I132),OR($K132="Milestone",$K132="Deadline"),$I132&gt;=AP$4,$I132&lt;AP$4+7),IF($K132="Deadline","◇","◆"),"")</f>
        <v/>
      </c>
      <c r="AQ132" s="14" t="str">
        <f>IF(AND(ISNUMBER($I132),OR($K132="Milestone",$K132="Deadline"),$I132&gt;=AQ$4,$I132&lt;AQ$4+7),IF($K132="Deadline","◇","◆"),"")</f>
        <v/>
      </c>
      <c r="AR132" s="14" t="str">
        <f>IF(AND(ISNUMBER($I132),OR($K132="Milestone",$K132="Deadline"),$I132&gt;=AR$4,$I132&lt;AR$4+7),IF($K132="Deadline","◇","◆"),"")</f>
        <v/>
      </c>
      <c r="AS132" s="14" t="str">
        <f>IF(AND(ISNUMBER($I132),OR($K132="Milestone",$K132="Deadline"),$I132&gt;=AS$4,$I132&lt;AS$4+7),IF($K132="Deadline","◇","◆"),"")</f>
        <v/>
      </c>
      <c r="AT132" s="14" t="str">
        <f>IF(AND(ISNUMBER($I132),OR($K132="Milestone",$K132="Deadline"),$I132&gt;=AT$4,$I132&lt;AT$4+7),IF($K132="Deadline","◇","◆"),"")</f>
        <v/>
      </c>
      <c r="AU132" s="14" t="str">
        <f>IF(AND(ISNUMBER($I132),OR($K132="Milestone",$K132="Deadline"),$I132&gt;=AU$4,$I132&lt;AU$4+7),IF($K132="Deadline","◇","◆"),"")</f>
        <v/>
      </c>
      <c r="AV132" s="14" t="str">
        <f>IF(AND(ISNUMBER($I132),OR($K132="Milestone",$K132="Deadline"),$I132&gt;=AV$4,$I132&lt;AV$4+7),IF($K132="Deadline","◇","◆"),"")</f>
        <v/>
      </c>
      <c r="AW132" s="14" t="str">
        <f>IF(AND(ISNUMBER($I132),OR($K132="Milestone",$K132="Deadline"),$I132&gt;=AW$4,$I132&lt;AW$4+7),IF($K132="Deadline","◇","◆"),"")</f>
        <v/>
      </c>
      <c r="AX132" s="14" t="str">
        <f>IF(AND(ISNUMBER($I132),OR($K132="Milestone",$K132="Deadline"),$I132&gt;=AX$4,$I132&lt;AX$4+7),IF($K132="Deadline","◇","◆"),"")</f>
        <v/>
      </c>
      <c r="AY132" s="14" t="str">
        <f>IF(AND(ISNUMBER($I132),OR($K132="Milestone",$K132="Deadline"),$I132&gt;=AY$4,$I132&lt;AY$4+7),IF($K132="Deadline","◇","◆"),"")</f>
        <v/>
      </c>
      <c r="AZ132" s="14" t="str">
        <f>IF(AND(ISNUMBER($I132),OR($K132="Milestone",$K132="Deadline"),$I132&gt;=AZ$4,$I132&lt;AZ$4+7),IF($K132="Deadline","◇","◆"),"")</f>
        <v/>
      </c>
      <c r="BA132" s="14" t="str">
        <f>IF(AND(ISNUMBER($I132),OR($K132="Milestone",$K132="Deadline"),$I132&gt;=BA$4,$I132&lt;BA$4+7),IF($K132="Deadline","◇","◆"),"")</f>
        <v/>
      </c>
      <c r="BB132" s="14" t="str">
        <f>IF(AND(ISNUMBER($I132),OR($K132="Milestone",$K132="Deadline"),$I132&gt;=BB$4,$I132&lt;BB$4+7),IF($K132="Deadline","◇","◆"),"")</f>
        <v/>
      </c>
      <c r="BC132" s="14" t="str">
        <f>IF(AND(ISNUMBER($I132),OR($K132="Milestone",$K132="Deadline"),$I132&gt;=BC$4,$I132&lt;BC$4+7),IF($K132="Deadline","◇","◆"),"")</f>
        <v/>
      </c>
      <c r="BD132" s="14" t="str">
        <f>IF(AND(ISNUMBER($I132),OR($K132="Milestone",$K132="Deadline"),$I132&gt;=BD$4,$I132&lt;BD$4+7),IF($K132="Deadline","◇","◆"),"")</f>
        <v/>
      </c>
      <c r="BE132" s="14" t="str">
        <f>IF(AND(ISNUMBER($I132),OR($K132="Milestone",$K132="Deadline"),$I132&gt;=BE$4,$I132&lt;BE$4+7),IF($K132="Deadline","◇","◆"),"")</f>
        <v/>
      </c>
      <c r="BF132" s="14" t="str">
        <f>IF(AND(ISNUMBER($I132),OR($K132="Milestone",$K132="Deadline"),$I132&gt;=BF$4,$I132&lt;BF$4+7),IF($K132="Deadline","◇","◆"),"")</f>
        <v/>
      </c>
      <c r="BG132" s="14" t="str">
        <f>IF(AND(ISNUMBER($I132),OR($K132="Milestone",$K132="Deadline"),$I132&gt;=BG$4,$I132&lt;BG$4+7),IF($K132="Deadline","◇","◆"),"")</f>
        <v/>
      </c>
      <c r="BH132" s="14" t="str">
        <f>IF(AND(ISNUMBER($I132),OR($K132="Milestone",$K132="Deadline"),$I132&gt;=BH$4,$I132&lt;BH$4+7),IF($K132="Deadline","◇","◆"),"")</f>
        <v/>
      </c>
      <c r="BI132" s="14" t="str">
        <f>IF(AND(ISNUMBER($I132),OR($K132="Milestone",$K132="Deadline"),$I132&gt;=BI$4,$I132&lt;BI$4+7),IF($K132="Deadline","◇","◆"),"")</f>
        <v/>
      </c>
      <c r="BJ132" s="14" t="str">
        <f>IF(AND(ISNUMBER($I132),OR($K132="Milestone",$K132="Deadline"),$I132&gt;=BJ$4,$I132&lt;BJ$4+7),IF($K132="Deadline","◇","◆"),"")</f>
        <v/>
      </c>
      <c r="BK132" s="14" t="str">
        <f>IF(AND(ISNUMBER($I132),OR($K132="Milestone",$K132="Deadline"),$I132&gt;=BK$4,$I132&lt;BK$4+7),IF($K132="Deadline","◇","◆"),"")</f>
        <v/>
      </c>
      <c r="BL132" s="14" t="str">
        <f>IF(AND(ISNUMBER($I132),OR($K132="Milestone",$K132="Deadline"),$I132&gt;=BL$4,$I132&lt;BL$4+7),IF($K132="Deadline","◇","◆"),"")</f>
        <v/>
      </c>
      <c r="BM132" s="14" t="str">
        <f>IF(AND(ISNUMBER($I132),OR($K132="Milestone",$K132="Deadline"),$I132&gt;=BM$4,$I132&lt;BM$4+7),IF($K132="Deadline","◇","◆"),"")</f>
        <v/>
      </c>
      <c r="BN132" s="14" t="str">
        <f>IF(AND(ISNUMBER($I132),OR($K132="Milestone",$K132="Deadline"),$I132&gt;=BN$4,$I132&lt;BN$4+7),IF($K132="Deadline","◇","◆"),"")</f>
        <v/>
      </c>
      <c r="BO132" s="14" t="str">
        <f>IF(AND(ISNUMBER($I132),OR($K132="Milestone",$K132="Deadline"),$I132&gt;=BO$4,$I132&lt;BO$4+7),IF($K132="Deadline","◇","◆"),"")</f>
        <v/>
      </c>
      <c r="BP132" s="14" t="str">
        <f>IF(AND(ISNUMBER($I132),OR($K132="Milestone",$K132="Deadline"),$I132&gt;=BP$4,$I132&lt;BP$4+7),IF($K132="Deadline","◇","◆"),"")</f>
        <v/>
      </c>
      <c r="BQ132" s="14" t="str">
        <f>IF(AND(ISNUMBER($I132),OR($K132="Milestone",$K132="Deadline"),$I132&gt;=BQ$4,$I132&lt;BQ$4+7),IF($K132="Deadline","◇","◆"),"")</f>
        <v/>
      </c>
      <c r="BR132" s="14" t="str">
        <f>IF(AND(ISNUMBER($I132),OR($K132="Milestone",$K132="Deadline"),$I132&gt;=BR$4,$I132&lt;BR$4+7),IF($K132="Deadline","◇","◆"),"")</f>
        <v/>
      </c>
      <c r="BS132" s="14" t="str">
        <f>IF(AND(ISNUMBER($I132),OR($K132="Milestone",$K132="Deadline"),$I132&gt;=BS$4,$I132&lt;BS$4+7),IF($K132="Deadline","◇","◆"),"")</f>
        <v/>
      </c>
      <c r="BT132" s="14" t="str">
        <f>IF(AND(ISNUMBER($I132),OR($K132="Milestone",$K132="Deadline"),$I132&gt;=BT$4,$I132&lt;BT$4+7),IF($K132="Deadline","◇","◆"),"")</f>
        <v/>
      </c>
      <c r="BU132" s="14" t="str">
        <f>IF(AND(ISNUMBER($I132),OR($K132="Milestone",$K132="Deadline"),$I132&gt;=BU$4,$I132&lt;BU$4+7),IF($K132="Deadline","◇","◆"),"")</f>
        <v/>
      </c>
      <c r="BV132" s="14" t="str">
        <f>IF(AND(ISNUMBER($I132),OR($K132="Milestone",$K132="Deadline"),$I132&gt;=BV$4,$I132&lt;BV$4+7),IF($K132="Deadline","◇","◆"),"")</f>
        <v/>
      </c>
      <c r="BW132" s="14" t="str">
        <f>IF(AND(ISNUMBER($I132),OR($K132="Milestone",$K132="Deadline"),$I132&gt;=BW$4,$I132&lt;BW$4+7),IF($K132="Deadline","◇","◆"),"")</f>
        <v/>
      </c>
      <c r="BX132" s="14" t="str">
        <f>IF(AND(ISNUMBER($I132),OR($K132="Milestone",$K132="Deadline"),$I132&gt;=BX$4,$I132&lt;BX$4+7),IF($K132="Deadline","◇","◆"),"")</f>
        <v/>
      </c>
      <c r="BY132" s="14" t="str">
        <f>IF(AND(ISNUMBER($I132),OR($K132="Milestone",$K132="Deadline"),$I132&gt;=BY$4,$I132&lt;BY$4+7),IF($K132="Deadline","◇","◆"),"")</f>
        <v/>
      </c>
      <c r="BZ132" s="14" t="str">
        <f>IF(AND(ISNUMBER($I132),OR($K132="Milestone",$K132="Deadline"),$I132&gt;=BZ$4,$I132&lt;BZ$4+7),IF($K132="Deadline","◇","◆"),"")</f>
        <v/>
      </c>
      <c r="CA132" s="14" t="str">
        <f>IF(AND(ISNUMBER($I132),OR($K132="Milestone",$K132="Deadline"),$I132&gt;=CA$4,$I132&lt;CA$4+7),IF($K132="Deadline","◇","◆"),"")</f>
        <v/>
      </c>
      <c r="CB132" s="14" t="str">
        <f>IF(AND(ISNUMBER($I132),OR($K132="Milestone",$K132="Deadline"),$I132&gt;=CB$4,$I132&lt;CB$4+7),IF($K132="Deadline","◇","◆"),"")</f>
        <v/>
      </c>
      <c r="CC132" s="14" t="str">
        <f>IF(AND(ISNUMBER($I132),OR($K132="Milestone",$K132="Deadline"),$I132&gt;=CC$4,$I132&lt;CC$4+7),IF($K132="Deadline","◇","◆"),"")</f>
        <v/>
      </c>
      <c r="CD132" s="14" t="str">
        <f>IF(AND(ISNUMBER($I132),OR($K132="Milestone",$K132="Deadline"),$I132&gt;=CD$4,$I132&lt;CD$4+7),IF($K132="Deadline","◇","◆"),"")</f>
        <v/>
      </c>
      <c r="CE132" s="14" t="str">
        <f>IF(AND(ISNUMBER($I132),OR($K132="Milestone",$K132="Deadline"),$I132&gt;=CE$4,$I132&lt;CE$4+7),IF($K132="Deadline","◇","◆"),"")</f>
        <v/>
      </c>
      <c r="CF132" s="14" t="str">
        <f>IF(AND(ISNUMBER($I132),OR($K132="Milestone",$K132="Deadline"),$I132&gt;=CF$4,$I132&lt;CF$4+7),IF($K132="Deadline","◇","◆"),"")</f>
        <v/>
      </c>
      <c r="CG132" s="14" t="str">
        <f>IF(AND(ISNUMBER($I132),OR($K132="Milestone",$K132="Deadline"),$I132&gt;=CG$4,$I132&lt;CG$4+7),IF($K132="Deadline","◇","◆"),"")</f>
        <v/>
      </c>
      <c r="CH132" s="14" t="str">
        <f>IF(AND(ISNUMBER($I132),OR($K132="Milestone",$K132="Deadline"),$I132&gt;=CH$4,$I132&lt;CH$4+7),IF($K132="Deadline","◇","◆"),"")</f>
        <v/>
      </c>
      <c r="CI132" s="14" t="str">
        <f>IF(AND(ISNUMBER($I132),OR($K132="Milestone",$K132="Deadline"),$I132&gt;=CI$4,$I132&lt;CI$4+7),IF($K132="Deadline","◇","◆"),"")</f>
        <v/>
      </c>
      <c r="CJ132" s="14" t="str">
        <f>IF(AND(ISNUMBER($I132),OR($K132="Milestone",$K132="Deadline"),$I132&gt;=CJ$4,$I132&lt;CJ$4+7),IF($K132="Deadline","◇","◆"),"")</f>
        <v/>
      </c>
      <c r="CK132" s="14" t="str">
        <f>IF(AND(ISNUMBER($I132),OR($K132="Milestone",$K132="Deadline"),$I132&gt;=CK$4,$I132&lt;CK$4+7),IF($K132="Deadline","◇","◆"),"")</f>
        <v/>
      </c>
      <c r="CL132" s="14" t="str">
        <f>IF(AND(ISNUMBER($I132),OR($K132="Milestone",$K132="Deadline"),$I132&gt;=CL$4,$I132&lt;CL$4+7),IF($K132="Deadline","◇","◆"),"")</f>
        <v/>
      </c>
      <c r="CM132" s="14" t="str">
        <f>IF(AND(ISNUMBER($I132),OR($K132="Milestone",$K132="Deadline"),$I132&gt;=CM$4,$I132&lt;CM$4+7),IF($K132="Deadline","◇","◆"),"")</f>
        <v/>
      </c>
    </row>
    <row r="133" spans="1:91" ht="15" hidden="1" customHeight="1">
      <c r="A133" s="15" t="s">
        <v>317</v>
      </c>
      <c r="B133" s="15" t="s">
        <v>320</v>
      </c>
      <c r="C133" s="15" t="s">
        <v>226</v>
      </c>
      <c r="D133" s="15" t="s">
        <v>168</v>
      </c>
      <c r="E133" s="15"/>
      <c r="F133" s="15" t="s">
        <v>216</v>
      </c>
      <c r="G133" s="15" t="s">
        <v>227</v>
      </c>
      <c r="H133" s="15">
        <v>7</v>
      </c>
      <c r="I133" s="34">
        <f>MAX($C$2,J105+1)</f>
        <v>46434</v>
      </c>
      <c r="J133" s="17">
        <f>IF(AND(ISNUMBER(I133),ISNUMBER(H133)),I133+H133-1,"")</f>
        <v>46440</v>
      </c>
      <c r="K133" s="15" t="s">
        <v>27</v>
      </c>
      <c r="L133" s="15"/>
      <c r="M133" s="18" t="s">
        <v>297</v>
      </c>
      <c r="N133" s="15"/>
      <c r="O133" s="18">
        <f>IF(AND(ISNUMBER(I133),ISNUMBER(J133)),J133-I133+1,"")</f>
        <v>7</v>
      </c>
      <c r="P133" s="13" t="s">
        <v>140</v>
      </c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4" t="str">
        <f>IF(AND(ISNUMBER($I133),OR($K133="Milestone",$K133="Deadline"),$I133&gt;=AO$4,$I133&lt;AO$4+7),IF($K133="Deadline","◇","◆"),"")</f>
        <v/>
      </c>
      <c r="AP133" s="14" t="str">
        <f>IF(AND(ISNUMBER($I133),OR($K133="Milestone",$K133="Deadline"),$I133&gt;=AP$4,$I133&lt;AP$4+7),IF($K133="Deadline","◇","◆"),"")</f>
        <v/>
      </c>
      <c r="AQ133" s="14" t="str">
        <f>IF(AND(ISNUMBER($I133),OR($K133="Milestone",$K133="Deadline"),$I133&gt;=AQ$4,$I133&lt;AQ$4+7),IF($K133="Deadline","◇","◆"),"")</f>
        <v/>
      </c>
      <c r="AR133" s="14" t="str">
        <f>IF(AND(ISNUMBER($I133),OR($K133="Milestone",$K133="Deadline"),$I133&gt;=AR$4,$I133&lt;AR$4+7),IF($K133="Deadline","◇","◆"),"")</f>
        <v/>
      </c>
      <c r="AS133" s="14" t="str">
        <f>IF(AND(ISNUMBER($I133),OR($K133="Milestone",$K133="Deadline"),$I133&gt;=AS$4,$I133&lt;AS$4+7),IF($K133="Deadline","◇","◆"),"")</f>
        <v/>
      </c>
      <c r="AT133" s="14" t="str">
        <f>IF(AND(ISNUMBER($I133),OR($K133="Milestone",$K133="Deadline"),$I133&gt;=AT$4,$I133&lt;AT$4+7),IF($K133="Deadline","◇","◆"),"")</f>
        <v/>
      </c>
      <c r="AU133" s="14" t="str">
        <f>IF(AND(ISNUMBER($I133),OR($K133="Milestone",$K133="Deadline"),$I133&gt;=AU$4,$I133&lt;AU$4+7),IF($K133="Deadline","◇","◆"),"")</f>
        <v/>
      </c>
      <c r="AV133" s="14" t="str">
        <f>IF(AND(ISNUMBER($I133),OR($K133="Milestone",$K133="Deadline"),$I133&gt;=AV$4,$I133&lt;AV$4+7),IF($K133="Deadline","◇","◆"),"")</f>
        <v/>
      </c>
      <c r="AW133" s="14" t="str">
        <f>IF(AND(ISNUMBER($I133),OR($K133="Milestone",$K133="Deadline"),$I133&gt;=AW$4,$I133&lt;AW$4+7),IF($K133="Deadline","◇","◆"),"")</f>
        <v/>
      </c>
      <c r="AX133" s="14" t="str">
        <f>IF(AND(ISNUMBER($I133),OR($K133="Milestone",$K133="Deadline"),$I133&gt;=AX$4,$I133&lt;AX$4+7),IF($K133="Deadline","◇","◆"),"")</f>
        <v/>
      </c>
      <c r="AY133" s="14" t="str">
        <f>IF(AND(ISNUMBER($I133),OR($K133="Milestone",$K133="Deadline"),$I133&gt;=AY$4,$I133&lt;AY$4+7),IF($K133="Deadline","◇","◆"),"")</f>
        <v/>
      </c>
      <c r="AZ133" s="14" t="str">
        <f>IF(AND(ISNUMBER($I133),OR($K133="Milestone",$K133="Deadline"),$I133&gt;=AZ$4,$I133&lt;AZ$4+7),IF($K133="Deadline","◇","◆"),"")</f>
        <v/>
      </c>
      <c r="BA133" s="14" t="str">
        <f>IF(AND(ISNUMBER($I133),OR($K133="Milestone",$K133="Deadline"),$I133&gt;=BA$4,$I133&lt;BA$4+7),IF($K133="Deadline","◇","◆"),"")</f>
        <v/>
      </c>
      <c r="BB133" s="14" t="str">
        <f>IF(AND(ISNUMBER($I133),OR($K133="Milestone",$K133="Deadline"),$I133&gt;=BB$4,$I133&lt;BB$4+7),IF($K133="Deadline","◇","◆"),"")</f>
        <v/>
      </c>
      <c r="BC133" s="14" t="str">
        <f>IF(AND(ISNUMBER($I133),OR($K133="Milestone",$K133="Deadline"),$I133&gt;=BC$4,$I133&lt;BC$4+7),IF($K133="Deadline","◇","◆"),"")</f>
        <v/>
      </c>
      <c r="BD133" s="14" t="str">
        <f>IF(AND(ISNUMBER($I133),OR($K133="Milestone",$K133="Deadline"),$I133&gt;=BD$4,$I133&lt;BD$4+7),IF($K133="Deadline","◇","◆"),"")</f>
        <v/>
      </c>
      <c r="BE133" s="14" t="str">
        <f>IF(AND(ISNUMBER($I133),OR($K133="Milestone",$K133="Deadline"),$I133&gt;=BE$4,$I133&lt;BE$4+7),IF($K133="Deadline","◇","◆"),"")</f>
        <v/>
      </c>
      <c r="BF133" s="14" t="str">
        <f>IF(AND(ISNUMBER($I133),OR($K133="Milestone",$K133="Deadline"),$I133&gt;=BF$4,$I133&lt;BF$4+7),IF($K133="Deadline","◇","◆"),"")</f>
        <v/>
      </c>
      <c r="BG133" s="14" t="str">
        <f>IF(AND(ISNUMBER($I133),OR($K133="Milestone",$K133="Deadline"),$I133&gt;=BG$4,$I133&lt;BG$4+7),IF($K133="Deadline","◇","◆"),"")</f>
        <v/>
      </c>
      <c r="BH133" s="14" t="str">
        <f>IF(AND(ISNUMBER($I133),OR($K133="Milestone",$K133="Deadline"),$I133&gt;=BH$4,$I133&lt;BH$4+7),IF($K133="Deadline","◇","◆"),"")</f>
        <v/>
      </c>
      <c r="BI133" s="14" t="str">
        <f>IF(AND(ISNUMBER($I133),OR($K133="Milestone",$K133="Deadline"),$I133&gt;=BI$4,$I133&lt;BI$4+7),IF($K133="Deadline","◇","◆"),"")</f>
        <v/>
      </c>
      <c r="BJ133" s="14" t="str">
        <f>IF(AND(ISNUMBER($I133),OR($K133="Milestone",$K133="Deadline"),$I133&gt;=BJ$4,$I133&lt;BJ$4+7),IF($K133="Deadline","◇","◆"),"")</f>
        <v/>
      </c>
      <c r="BK133" s="14" t="str">
        <f>IF(AND(ISNUMBER($I133),OR($K133="Milestone",$K133="Deadline"),$I133&gt;=BK$4,$I133&lt;BK$4+7),IF($K133="Deadline","◇","◆"),"")</f>
        <v/>
      </c>
      <c r="BL133" s="14" t="str">
        <f>IF(AND(ISNUMBER($I133),OR($K133="Milestone",$K133="Deadline"),$I133&gt;=BL$4,$I133&lt;BL$4+7),IF($K133="Deadline","◇","◆"),"")</f>
        <v/>
      </c>
      <c r="BM133" s="14" t="str">
        <f>IF(AND(ISNUMBER($I133),OR($K133="Milestone",$K133="Deadline"),$I133&gt;=BM$4,$I133&lt;BM$4+7),IF($K133="Deadline","◇","◆"),"")</f>
        <v/>
      </c>
      <c r="BN133" s="14" t="str">
        <f>IF(AND(ISNUMBER($I133),OR($K133="Milestone",$K133="Deadline"),$I133&gt;=BN$4,$I133&lt;BN$4+7),IF($K133="Deadline","◇","◆"),"")</f>
        <v/>
      </c>
      <c r="BO133" s="14" t="str">
        <f>IF(AND(ISNUMBER($I133),OR($K133="Milestone",$K133="Deadline"),$I133&gt;=BO$4,$I133&lt;BO$4+7),IF($K133="Deadline","◇","◆"),"")</f>
        <v/>
      </c>
      <c r="BP133" s="14" t="str">
        <f>IF(AND(ISNUMBER($I133),OR($K133="Milestone",$K133="Deadline"),$I133&gt;=BP$4,$I133&lt;BP$4+7),IF($K133="Deadline","◇","◆"),"")</f>
        <v/>
      </c>
      <c r="BQ133" s="14" t="str">
        <f>IF(AND(ISNUMBER($I133),OR($K133="Milestone",$K133="Deadline"),$I133&gt;=BQ$4,$I133&lt;BQ$4+7),IF($K133="Deadline","◇","◆"),"")</f>
        <v/>
      </c>
      <c r="BR133" s="14" t="str">
        <f>IF(AND(ISNUMBER($I133),OR($K133="Milestone",$K133="Deadline"),$I133&gt;=BR$4,$I133&lt;BR$4+7),IF($K133="Deadline","◇","◆"),"")</f>
        <v/>
      </c>
      <c r="BS133" s="14" t="str">
        <f>IF(AND(ISNUMBER($I133),OR($K133="Milestone",$K133="Deadline"),$I133&gt;=BS$4,$I133&lt;BS$4+7),IF($K133="Deadline","◇","◆"),"")</f>
        <v/>
      </c>
      <c r="BT133" s="14" t="str">
        <f>IF(AND(ISNUMBER($I133),OR($K133="Milestone",$K133="Deadline"),$I133&gt;=BT$4,$I133&lt;BT$4+7),IF($K133="Deadline","◇","◆"),"")</f>
        <v/>
      </c>
      <c r="BU133" s="14" t="str">
        <f>IF(AND(ISNUMBER($I133),OR($K133="Milestone",$K133="Deadline"),$I133&gt;=BU$4,$I133&lt;BU$4+7),IF($K133="Deadline","◇","◆"),"")</f>
        <v/>
      </c>
      <c r="BV133" s="14" t="str">
        <f>IF(AND(ISNUMBER($I133),OR($K133="Milestone",$K133="Deadline"),$I133&gt;=BV$4,$I133&lt;BV$4+7),IF($K133="Deadline","◇","◆"),"")</f>
        <v/>
      </c>
      <c r="BW133" s="14" t="str">
        <f>IF(AND(ISNUMBER($I133),OR($K133="Milestone",$K133="Deadline"),$I133&gt;=BW$4,$I133&lt;BW$4+7),IF($K133="Deadline","◇","◆"),"")</f>
        <v/>
      </c>
      <c r="BX133" s="14" t="str">
        <f>IF(AND(ISNUMBER($I133),OR($K133="Milestone",$K133="Deadline"),$I133&gt;=BX$4,$I133&lt;BX$4+7),IF($K133="Deadline","◇","◆"),"")</f>
        <v/>
      </c>
      <c r="BY133" s="14" t="str">
        <f>IF(AND(ISNUMBER($I133),OR($K133="Milestone",$K133="Deadline"),$I133&gt;=BY$4,$I133&lt;BY$4+7),IF($K133="Deadline","◇","◆"),"")</f>
        <v/>
      </c>
      <c r="BZ133" s="14" t="str">
        <f>IF(AND(ISNUMBER($I133),OR($K133="Milestone",$K133="Deadline"),$I133&gt;=BZ$4,$I133&lt;BZ$4+7),IF($K133="Deadline","◇","◆"),"")</f>
        <v/>
      </c>
      <c r="CA133" s="14" t="str">
        <f>IF(AND(ISNUMBER($I133),OR($K133="Milestone",$K133="Deadline"),$I133&gt;=CA$4,$I133&lt;CA$4+7),IF($K133="Deadline","◇","◆"),"")</f>
        <v/>
      </c>
      <c r="CB133" s="14" t="str">
        <f>IF(AND(ISNUMBER($I133),OR($K133="Milestone",$K133="Deadline"),$I133&gt;=CB$4,$I133&lt;CB$4+7),IF($K133="Deadline","◇","◆"),"")</f>
        <v/>
      </c>
      <c r="CC133" s="14" t="str">
        <f>IF(AND(ISNUMBER($I133),OR($K133="Milestone",$K133="Deadline"),$I133&gt;=CC$4,$I133&lt;CC$4+7),IF($K133="Deadline","◇","◆"),"")</f>
        <v/>
      </c>
      <c r="CD133" s="14" t="str">
        <f>IF(AND(ISNUMBER($I133),OR($K133="Milestone",$K133="Deadline"),$I133&gt;=CD$4,$I133&lt;CD$4+7),IF($K133="Deadline","◇","◆"),"")</f>
        <v/>
      </c>
      <c r="CE133" s="14" t="str">
        <f>IF(AND(ISNUMBER($I133),OR($K133="Milestone",$K133="Deadline"),$I133&gt;=CE$4,$I133&lt;CE$4+7),IF($K133="Deadline","◇","◆"),"")</f>
        <v/>
      </c>
      <c r="CF133" s="14" t="str">
        <f>IF(AND(ISNUMBER($I133),OR($K133="Milestone",$K133="Deadline"),$I133&gt;=CF$4,$I133&lt;CF$4+7),IF($K133="Deadline","◇","◆"),"")</f>
        <v/>
      </c>
      <c r="CG133" s="14" t="str">
        <f>IF(AND(ISNUMBER($I133),OR($K133="Milestone",$K133="Deadline"),$I133&gt;=CG$4,$I133&lt;CG$4+7),IF($K133="Deadline","◇","◆"),"")</f>
        <v/>
      </c>
      <c r="CH133" s="14" t="str">
        <f>IF(AND(ISNUMBER($I133),OR($K133="Milestone",$K133="Deadline"),$I133&gt;=CH$4,$I133&lt;CH$4+7),IF($K133="Deadline","◇","◆"),"")</f>
        <v/>
      </c>
      <c r="CI133" s="14" t="str">
        <f>IF(AND(ISNUMBER($I133),OR($K133="Milestone",$K133="Deadline"),$I133&gt;=CI$4,$I133&lt;CI$4+7),IF($K133="Deadline","◇","◆"),"")</f>
        <v/>
      </c>
      <c r="CJ133" s="14" t="str">
        <f>IF(AND(ISNUMBER($I133),OR($K133="Milestone",$K133="Deadline"),$I133&gt;=CJ$4,$I133&lt;CJ$4+7),IF($K133="Deadline","◇","◆"),"")</f>
        <v/>
      </c>
      <c r="CK133" s="14" t="str">
        <f>IF(AND(ISNUMBER($I133),OR($K133="Milestone",$K133="Deadline"),$I133&gt;=CK$4,$I133&lt;CK$4+7),IF($K133="Deadline","◇","◆"),"")</f>
        <v/>
      </c>
      <c r="CL133" s="14" t="str">
        <f>IF(AND(ISNUMBER($I133),OR($K133="Milestone",$K133="Deadline"),$I133&gt;=CL$4,$I133&lt;CL$4+7),IF($K133="Deadline","◇","◆"),"")</f>
        <v/>
      </c>
      <c r="CM133" s="14" t="str">
        <f>IF(AND(ISNUMBER($I133),OR($K133="Milestone",$K133="Deadline"),$I133&gt;=CM$4,$I133&lt;CM$4+7),IF($K133="Deadline","◇","◆"),"")</f>
        <v/>
      </c>
    </row>
    <row r="134" spans="1:91" ht="15" hidden="1" customHeight="1">
      <c r="A134" s="15" t="s">
        <v>345</v>
      </c>
      <c r="B134" s="15" t="s">
        <v>320</v>
      </c>
      <c r="C134" s="15" t="s">
        <v>230</v>
      </c>
      <c r="D134" s="15" t="s">
        <v>168</v>
      </c>
      <c r="E134" s="15"/>
      <c r="F134" s="15" t="s">
        <v>216</v>
      </c>
      <c r="G134" s="15" t="s">
        <v>231</v>
      </c>
      <c r="H134" s="15">
        <v>14</v>
      </c>
      <c r="I134" s="34">
        <f>MAX(DATE(2027,3,8),J106+1)</f>
        <v>46468</v>
      </c>
      <c r="J134" s="17">
        <f>IF(AND(ISNUMBER(I134),ISNUMBER(H134)),I134+H134-1,"")</f>
        <v>46481</v>
      </c>
      <c r="K134" s="15" t="s">
        <v>27</v>
      </c>
      <c r="L134" s="15"/>
      <c r="M134" s="18" t="s">
        <v>298</v>
      </c>
      <c r="N134" s="15"/>
      <c r="O134" s="18">
        <f>IF(AND(ISNUMBER(I134),ISNUMBER(J134)),J134-I134+1,"")</f>
        <v>14</v>
      </c>
      <c r="P134" s="13"/>
      <c r="Q134" s="13"/>
      <c r="R134" s="13"/>
      <c r="S134" s="13" t="s">
        <v>140</v>
      </c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4" t="str">
        <f>IF(AND(ISNUMBER($I134),OR($K134="Milestone",$K134="Deadline"),$I134&gt;=AO$4,$I134&lt;AO$4+7),IF($K134="Deadline","◇","◆"),"")</f>
        <v/>
      </c>
      <c r="AP134" s="14" t="str">
        <f>IF(AND(ISNUMBER($I134),OR($K134="Milestone",$K134="Deadline"),$I134&gt;=AP$4,$I134&lt;AP$4+7),IF($K134="Deadline","◇","◆"),"")</f>
        <v/>
      </c>
      <c r="AQ134" s="14" t="str">
        <f>IF(AND(ISNUMBER($I134),OR($K134="Milestone",$K134="Deadline"),$I134&gt;=AQ$4,$I134&lt;AQ$4+7),IF($K134="Deadline","◇","◆"),"")</f>
        <v/>
      </c>
      <c r="AR134" s="14" t="str">
        <f>IF(AND(ISNUMBER($I134),OR($K134="Milestone",$K134="Deadline"),$I134&gt;=AR$4,$I134&lt;AR$4+7),IF($K134="Deadline","◇","◆"),"")</f>
        <v/>
      </c>
      <c r="AS134" s="14" t="str">
        <f>IF(AND(ISNUMBER($I134),OR($K134="Milestone",$K134="Deadline"),$I134&gt;=AS$4,$I134&lt;AS$4+7),IF($K134="Deadline","◇","◆"),"")</f>
        <v/>
      </c>
      <c r="AT134" s="14" t="str">
        <f>IF(AND(ISNUMBER($I134),OR($K134="Milestone",$K134="Deadline"),$I134&gt;=AT$4,$I134&lt;AT$4+7),IF($K134="Deadline","◇","◆"),"")</f>
        <v/>
      </c>
      <c r="AU134" s="14" t="str">
        <f>IF(AND(ISNUMBER($I134),OR($K134="Milestone",$K134="Deadline"),$I134&gt;=AU$4,$I134&lt;AU$4+7),IF($K134="Deadline","◇","◆"),"")</f>
        <v/>
      </c>
      <c r="AV134" s="14" t="str">
        <f>IF(AND(ISNUMBER($I134),OR($K134="Milestone",$K134="Deadline"),$I134&gt;=AV$4,$I134&lt;AV$4+7),IF($K134="Deadline","◇","◆"),"")</f>
        <v/>
      </c>
      <c r="AW134" s="14" t="str">
        <f>IF(AND(ISNUMBER($I134),OR($K134="Milestone",$K134="Deadline"),$I134&gt;=AW$4,$I134&lt;AW$4+7),IF($K134="Deadline","◇","◆"),"")</f>
        <v/>
      </c>
      <c r="AX134" s="14" t="str">
        <f>IF(AND(ISNUMBER($I134),OR($K134="Milestone",$K134="Deadline"),$I134&gt;=AX$4,$I134&lt;AX$4+7),IF($K134="Deadline","◇","◆"),"")</f>
        <v/>
      </c>
      <c r="AY134" s="14" t="str">
        <f>IF(AND(ISNUMBER($I134),OR($K134="Milestone",$K134="Deadline"),$I134&gt;=AY$4,$I134&lt;AY$4+7),IF($K134="Deadline","◇","◆"),"")</f>
        <v/>
      </c>
      <c r="AZ134" s="14" t="str">
        <f>IF(AND(ISNUMBER($I134),OR($K134="Milestone",$K134="Deadline"),$I134&gt;=AZ$4,$I134&lt;AZ$4+7),IF($K134="Deadline","◇","◆"),"")</f>
        <v/>
      </c>
      <c r="BA134" s="14" t="str">
        <f>IF(AND(ISNUMBER($I134),OR($K134="Milestone",$K134="Deadline"),$I134&gt;=BA$4,$I134&lt;BA$4+7),IF($K134="Deadline","◇","◆"),"")</f>
        <v/>
      </c>
      <c r="BB134" s="14" t="str">
        <f>IF(AND(ISNUMBER($I134),OR($K134="Milestone",$K134="Deadline"),$I134&gt;=BB$4,$I134&lt;BB$4+7),IF($K134="Deadline","◇","◆"),"")</f>
        <v/>
      </c>
      <c r="BC134" s="14" t="str">
        <f>IF(AND(ISNUMBER($I134),OR($K134="Milestone",$K134="Deadline"),$I134&gt;=BC$4,$I134&lt;BC$4+7),IF($K134="Deadline","◇","◆"),"")</f>
        <v/>
      </c>
      <c r="BD134" s="14" t="str">
        <f>IF(AND(ISNUMBER($I134),OR($K134="Milestone",$K134="Deadline"),$I134&gt;=BD$4,$I134&lt;BD$4+7),IF($K134="Deadline","◇","◆"),"")</f>
        <v/>
      </c>
      <c r="BE134" s="14" t="str">
        <f>IF(AND(ISNUMBER($I134),OR($K134="Milestone",$K134="Deadline"),$I134&gt;=BE$4,$I134&lt;BE$4+7),IF($K134="Deadline","◇","◆"),"")</f>
        <v/>
      </c>
      <c r="BF134" s="14" t="str">
        <f>IF(AND(ISNUMBER($I134),OR($K134="Milestone",$K134="Deadline"),$I134&gt;=BF$4,$I134&lt;BF$4+7),IF($K134="Deadline","◇","◆"),"")</f>
        <v/>
      </c>
      <c r="BG134" s="14" t="str">
        <f>IF(AND(ISNUMBER($I134),OR($K134="Milestone",$K134="Deadline"),$I134&gt;=BG$4,$I134&lt;BG$4+7),IF($K134="Deadline","◇","◆"),"")</f>
        <v/>
      </c>
      <c r="BH134" s="14" t="str">
        <f>IF(AND(ISNUMBER($I134),OR($K134="Milestone",$K134="Deadline"),$I134&gt;=BH$4,$I134&lt;BH$4+7),IF($K134="Deadline","◇","◆"),"")</f>
        <v/>
      </c>
      <c r="BI134" s="14" t="str">
        <f>IF(AND(ISNUMBER($I134),OR($K134="Milestone",$K134="Deadline"),$I134&gt;=BI$4,$I134&lt;BI$4+7),IF($K134="Deadline","◇","◆"),"")</f>
        <v/>
      </c>
      <c r="BJ134" s="14" t="str">
        <f>IF(AND(ISNUMBER($I134),OR($K134="Milestone",$K134="Deadline"),$I134&gt;=BJ$4,$I134&lt;BJ$4+7),IF($K134="Deadline","◇","◆"),"")</f>
        <v/>
      </c>
      <c r="BK134" s="14" t="str">
        <f>IF(AND(ISNUMBER($I134),OR($K134="Milestone",$K134="Deadline"),$I134&gt;=BK$4,$I134&lt;BK$4+7),IF($K134="Deadline","◇","◆"),"")</f>
        <v/>
      </c>
      <c r="BL134" s="14" t="str">
        <f>IF(AND(ISNUMBER($I134),OR($K134="Milestone",$K134="Deadline"),$I134&gt;=BL$4,$I134&lt;BL$4+7),IF($K134="Deadline","◇","◆"),"")</f>
        <v/>
      </c>
      <c r="BM134" s="14" t="str">
        <f>IF(AND(ISNUMBER($I134),OR($K134="Milestone",$K134="Deadline"),$I134&gt;=BM$4,$I134&lt;BM$4+7),IF($K134="Deadline","◇","◆"),"")</f>
        <v/>
      </c>
      <c r="BN134" s="14" t="str">
        <f>IF(AND(ISNUMBER($I134),OR($K134="Milestone",$K134="Deadline"),$I134&gt;=BN$4,$I134&lt;BN$4+7),IF($K134="Deadline","◇","◆"),"")</f>
        <v/>
      </c>
      <c r="BO134" s="14" t="str">
        <f>IF(AND(ISNUMBER($I134),OR($K134="Milestone",$K134="Deadline"),$I134&gt;=BO$4,$I134&lt;BO$4+7),IF($K134="Deadline","◇","◆"),"")</f>
        <v/>
      </c>
      <c r="BP134" s="14" t="str">
        <f>IF(AND(ISNUMBER($I134),OR($K134="Milestone",$K134="Deadline"),$I134&gt;=BP$4,$I134&lt;BP$4+7),IF($K134="Deadline","◇","◆"),"")</f>
        <v/>
      </c>
      <c r="BQ134" s="14" t="str">
        <f>IF(AND(ISNUMBER($I134),OR($K134="Milestone",$K134="Deadline"),$I134&gt;=BQ$4,$I134&lt;BQ$4+7),IF($K134="Deadline","◇","◆"),"")</f>
        <v/>
      </c>
      <c r="BR134" s="14" t="str">
        <f>IF(AND(ISNUMBER($I134),OR($K134="Milestone",$K134="Deadline"),$I134&gt;=BR$4,$I134&lt;BR$4+7),IF($K134="Deadline","◇","◆"),"")</f>
        <v/>
      </c>
      <c r="BS134" s="14" t="str">
        <f>IF(AND(ISNUMBER($I134),OR($K134="Milestone",$K134="Deadline"),$I134&gt;=BS$4,$I134&lt;BS$4+7),IF($K134="Deadline","◇","◆"),"")</f>
        <v/>
      </c>
      <c r="BT134" s="14" t="str">
        <f>IF(AND(ISNUMBER($I134),OR($K134="Milestone",$K134="Deadline"),$I134&gt;=BT$4,$I134&lt;BT$4+7),IF($K134="Deadline","◇","◆"),"")</f>
        <v/>
      </c>
      <c r="BU134" s="14" t="str">
        <f>IF(AND(ISNUMBER($I134),OR($K134="Milestone",$K134="Deadline"),$I134&gt;=BU$4,$I134&lt;BU$4+7),IF($K134="Deadline","◇","◆"),"")</f>
        <v/>
      </c>
      <c r="BV134" s="14" t="str">
        <f>IF(AND(ISNUMBER($I134),OR($K134="Milestone",$K134="Deadline"),$I134&gt;=BV$4,$I134&lt;BV$4+7),IF($K134="Deadline","◇","◆"),"")</f>
        <v/>
      </c>
      <c r="BW134" s="14" t="str">
        <f>IF(AND(ISNUMBER($I134),OR($K134="Milestone",$K134="Deadline"),$I134&gt;=BW$4,$I134&lt;BW$4+7),IF($K134="Deadline","◇","◆"),"")</f>
        <v/>
      </c>
      <c r="BX134" s="14" t="str">
        <f>IF(AND(ISNUMBER($I134),OR($K134="Milestone",$K134="Deadline"),$I134&gt;=BX$4,$I134&lt;BX$4+7),IF($K134="Deadline","◇","◆"),"")</f>
        <v/>
      </c>
      <c r="BY134" s="14" t="str">
        <f>IF(AND(ISNUMBER($I134),OR($K134="Milestone",$K134="Deadline"),$I134&gt;=BY$4,$I134&lt;BY$4+7),IF($K134="Deadline","◇","◆"),"")</f>
        <v/>
      </c>
      <c r="BZ134" s="14" t="str">
        <f>IF(AND(ISNUMBER($I134),OR($K134="Milestone",$K134="Deadline"),$I134&gt;=BZ$4,$I134&lt;BZ$4+7),IF($K134="Deadline","◇","◆"),"")</f>
        <v/>
      </c>
      <c r="CA134" s="14" t="str">
        <f>IF(AND(ISNUMBER($I134),OR($K134="Milestone",$K134="Deadline"),$I134&gt;=CA$4,$I134&lt;CA$4+7),IF($K134="Deadline","◇","◆"),"")</f>
        <v/>
      </c>
      <c r="CB134" s="14" t="str">
        <f>IF(AND(ISNUMBER($I134),OR($K134="Milestone",$K134="Deadline"),$I134&gt;=CB$4,$I134&lt;CB$4+7),IF($K134="Deadline","◇","◆"),"")</f>
        <v/>
      </c>
      <c r="CC134" s="14" t="str">
        <f>IF(AND(ISNUMBER($I134),OR($K134="Milestone",$K134="Deadline"),$I134&gt;=CC$4,$I134&lt;CC$4+7),IF($K134="Deadline","◇","◆"),"")</f>
        <v/>
      </c>
      <c r="CD134" s="14" t="str">
        <f>IF(AND(ISNUMBER($I134),OR($K134="Milestone",$K134="Deadline"),$I134&gt;=CD$4,$I134&lt;CD$4+7),IF($K134="Deadline","◇","◆"),"")</f>
        <v/>
      </c>
      <c r="CE134" s="14" t="str">
        <f>IF(AND(ISNUMBER($I134),OR($K134="Milestone",$K134="Deadline"),$I134&gt;=CE$4,$I134&lt;CE$4+7),IF($K134="Deadline","◇","◆"),"")</f>
        <v/>
      </c>
      <c r="CF134" s="14" t="str">
        <f>IF(AND(ISNUMBER($I134),OR($K134="Milestone",$K134="Deadline"),$I134&gt;=CF$4,$I134&lt;CF$4+7),IF($K134="Deadline","◇","◆"),"")</f>
        <v/>
      </c>
      <c r="CG134" s="14" t="str">
        <f>IF(AND(ISNUMBER($I134),OR($K134="Milestone",$K134="Deadline"),$I134&gt;=CG$4,$I134&lt;CG$4+7),IF($K134="Deadline","◇","◆"),"")</f>
        <v/>
      </c>
      <c r="CH134" s="14" t="str">
        <f>IF(AND(ISNUMBER($I134),OR($K134="Milestone",$K134="Deadline"),$I134&gt;=CH$4,$I134&lt;CH$4+7),IF($K134="Deadline","◇","◆"),"")</f>
        <v/>
      </c>
      <c r="CI134" s="14" t="str">
        <f>IF(AND(ISNUMBER($I134),OR($K134="Milestone",$K134="Deadline"),$I134&gt;=CI$4,$I134&lt;CI$4+7),IF($K134="Deadline","◇","◆"),"")</f>
        <v/>
      </c>
      <c r="CJ134" s="14" t="str">
        <f>IF(AND(ISNUMBER($I134),OR($K134="Milestone",$K134="Deadline"),$I134&gt;=CJ$4,$I134&lt;CJ$4+7),IF($K134="Deadline","◇","◆"),"")</f>
        <v/>
      </c>
      <c r="CK134" s="14" t="str">
        <f>IF(AND(ISNUMBER($I134),OR($K134="Milestone",$K134="Deadline"),$I134&gt;=CK$4,$I134&lt;CK$4+7),IF($K134="Deadline","◇","◆"),"")</f>
        <v/>
      </c>
      <c r="CL134" s="14" t="str">
        <f>IF(AND(ISNUMBER($I134),OR($K134="Milestone",$K134="Deadline"),$I134&gt;=CL$4,$I134&lt;CL$4+7),IF($K134="Deadline","◇","◆"),"")</f>
        <v/>
      </c>
      <c r="CM134" s="14" t="str">
        <f>IF(AND(ISNUMBER($I134),OR($K134="Milestone",$K134="Deadline"),$I134&gt;=CM$4,$I134&lt;CM$4+7),IF($K134="Deadline","◇","◆"),"")</f>
        <v/>
      </c>
    </row>
    <row r="135" spans="1:91" ht="15" customHeight="1">
      <c r="A135" s="35" t="s">
        <v>346</v>
      </c>
      <c r="B135" s="35" t="s">
        <v>347</v>
      </c>
      <c r="C135" s="35" t="s">
        <v>93</v>
      </c>
      <c r="D135" s="35" t="s">
        <v>348</v>
      </c>
      <c r="E135" s="35" t="s">
        <v>281</v>
      </c>
      <c r="F135" s="35" t="s">
        <v>170</v>
      </c>
      <c r="G135" s="35" t="s">
        <v>198</v>
      </c>
      <c r="H135" s="35">
        <v>2</v>
      </c>
      <c r="I135" s="36">
        <f>MAX($C$2)</f>
        <v>46335</v>
      </c>
      <c r="J135" s="37">
        <f>IF(AND(ISNUMBER(I135),ISNUMBER(H135)),I135+H135-1,"")</f>
        <v>46336</v>
      </c>
      <c r="K135" s="35" t="s">
        <v>27</v>
      </c>
      <c r="L135" s="35"/>
      <c r="M135" s="38"/>
      <c r="N135" s="35"/>
      <c r="O135" s="38">
        <f>IF(AND(ISNUMBER(I135),ISNUMBER(J135)),J135-I135+1,"")</f>
        <v>2</v>
      </c>
      <c r="P135" s="13"/>
      <c r="Q135" s="13"/>
      <c r="R135" s="13"/>
      <c r="S135" s="13" t="s">
        <v>140</v>
      </c>
      <c r="T135" s="13"/>
      <c r="U135" s="13" t="s">
        <v>140</v>
      </c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4" t="str">
        <f>IF(AND(ISNUMBER($I135),OR($K135="Milestone",$K135="Deadline"),$I135&gt;=AO$4,$I135&lt;AO$4+7),IF($K135="Deadline","◇","◆"),"")</f>
        <v/>
      </c>
      <c r="AP135" s="14" t="str">
        <f>IF(AND(ISNUMBER($I135),OR($K135="Milestone",$K135="Deadline"),$I135&gt;=AP$4,$I135&lt;AP$4+7),IF($K135="Deadline","◇","◆"),"")</f>
        <v/>
      </c>
      <c r="AQ135" s="14" t="str">
        <f>IF(AND(ISNUMBER($I135),OR($K135="Milestone",$K135="Deadline"),$I135&gt;=AQ$4,$I135&lt;AQ$4+7),IF($K135="Deadline","◇","◆"),"")</f>
        <v/>
      </c>
      <c r="AR135" s="14" t="str">
        <f>IF(AND(ISNUMBER($I135),OR($K135="Milestone",$K135="Deadline"),$I135&gt;=AR$4,$I135&lt;AR$4+7),IF($K135="Deadline","◇","◆"),"")</f>
        <v/>
      </c>
      <c r="AS135" s="14" t="str">
        <f>IF(AND(ISNUMBER($I135),OR($K135="Milestone",$K135="Deadline"),$I135&gt;=AS$4,$I135&lt;AS$4+7),IF($K135="Deadline","◇","◆"),"")</f>
        <v/>
      </c>
      <c r="AT135" s="14" t="str">
        <f>IF(AND(ISNUMBER($I135),OR($K135="Milestone",$K135="Deadline"),$I135&gt;=AT$4,$I135&lt;AT$4+7),IF($K135="Deadline","◇","◆"),"")</f>
        <v/>
      </c>
      <c r="AU135" s="14" t="str">
        <f>IF(AND(ISNUMBER($I135),OR($K135="Milestone",$K135="Deadline"),$I135&gt;=AU$4,$I135&lt;AU$4+7),IF($K135="Deadline","◇","◆"),"")</f>
        <v/>
      </c>
      <c r="AV135" s="14" t="str">
        <f>IF(AND(ISNUMBER($I135),OR($K135="Milestone",$K135="Deadline"),$I135&gt;=AV$4,$I135&lt;AV$4+7),IF($K135="Deadline","◇","◆"),"")</f>
        <v/>
      </c>
      <c r="AW135" s="14" t="str">
        <f>IF(AND(ISNUMBER($I135),OR($K135="Milestone",$K135="Deadline"),$I135&gt;=AW$4,$I135&lt;AW$4+7),IF($K135="Deadline","◇","◆"),"")</f>
        <v/>
      </c>
      <c r="AX135" s="14" t="str">
        <f>IF(AND(ISNUMBER($I135),OR($K135="Milestone",$K135="Deadline"),$I135&gt;=AX$4,$I135&lt;AX$4+7),IF($K135="Deadline","◇","◆"),"")</f>
        <v/>
      </c>
      <c r="AY135" s="14" t="str">
        <f>IF(AND(ISNUMBER($I135),OR($K135="Milestone",$K135="Deadline"),$I135&gt;=AY$4,$I135&lt;AY$4+7),IF($K135="Deadline","◇","◆"),"")</f>
        <v/>
      </c>
      <c r="AZ135" s="14" t="str">
        <f>IF(AND(ISNUMBER($I135),OR($K135="Milestone",$K135="Deadline"),$I135&gt;=AZ$4,$I135&lt;AZ$4+7),IF($K135="Deadline","◇","◆"),"")</f>
        <v/>
      </c>
      <c r="BA135" s="14" t="str">
        <f>IF(AND(ISNUMBER($I135),OR($K135="Milestone",$K135="Deadline"),$I135&gt;=BA$4,$I135&lt;BA$4+7),IF($K135="Deadline","◇","◆"),"")</f>
        <v/>
      </c>
      <c r="BB135" s="14" t="str">
        <f>IF(AND(ISNUMBER($I135),OR($K135="Milestone",$K135="Deadline"),$I135&gt;=BB$4,$I135&lt;BB$4+7),IF($K135="Deadline","◇","◆"),"")</f>
        <v/>
      </c>
      <c r="BC135" s="14" t="str">
        <f>IF(AND(ISNUMBER($I135),OR($K135="Milestone",$K135="Deadline"),$I135&gt;=BC$4,$I135&lt;BC$4+7),IF($K135="Deadline","◇","◆"),"")</f>
        <v/>
      </c>
      <c r="BD135" s="14" t="str">
        <f>IF(AND(ISNUMBER($I135),OR($K135="Milestone",$K135="Deadline"),$I135&gt;=BD$4,$I135&lt;BD$4+7),IF($K135="Deadline","◇","◆"),"")</f>
        <v/>
      </c>
      <c r="BE135" s="14" t="str">
        <f>IF(AND(ISNUMBER($I135),OR($K135="Milestone",$K135="Deadline"),$I135&gt;=BE$4,$I135&lt;BE$4+7),IF($K135="Deadline","◇","◆"),"")</f>
        <v/>
      </c>
      <c r="BF135" s="14" t="str">
        <f>IF(AND(ISNUMBER($I135),OR($K135="Milestone",$K135="Deadline"),$I135&gt;=BF$4,$I135&lt;BF$4+7),IF($K135="Deadline","◇","◆"),"")</f>
        <v/>
      </c>
      <c r="BG135" s="14" t="str">
        <f>IF(AND(ISNUMBER($I135),OR($K135="Milestone",$K135="Deadline"),$I135&gt;=BG$4,$I135&lt;BG$4+7),IF($K135="Deadline","◇","◆"),"")</f>
        <v/>
      </c>
      <c r="BH135" s="14" t="str">
        <f>IF(AND(ISNUMBER($I135),OR($K135="Milestone",$K135="Deadline"),$I135&gt;=BH$4,$I135&lt;BH$4+7),IF($K135="Deadline","◇","◆"),"")</f>
        <v/>
      </c>
      <c r="BI135" s="14" t="str">
        <f>IF(AND(ISNUMBER($I135),OR($K135="Milestone",$K135="Deadline"),$I135&gt;=BI$4,$I135&lt;BI$4+7),IF($K135="Deadline","◇","◆"),"")</f>
        <v/>
      </c>
      <c r="BJ135" s="14" t="str">
        <f>IF(AND(ISNUMBER($I135),OR($K135="Milestone",$K135="Deadline"),$I135&gt;=BJ$4,$I135&lt;BJ$4+7),IF($K135="Deadline","◇","◆"),"")</f>
        <v/>
      </c>
      <c r="BK135" s="14" t="str">
        <f>IF(AND(ISNUMBER($I135),OR($K135="Milestone",$K135="Deadline"),$I135&gt;=BK$4,$I135&lt;BK$4+7),IF($K135="Deadline","◇","◆"),"")</f>
        <v/>
      </c>
      <c r="BL135" s="14" t="str">
        <f>IF(AND(ISNUMBER($I135),OR($K135="Milestone",$K135="Deadline"),$I135&gt;=BL$4,$I135&lt;BL$4+7),IF($K135="Deadline","◇","◆"),"")</f>
        <v/>
      </c>
      <c r="BM135" s="14" t="str">
        <f>IF(AND(ISNUMBER($I135),OR($K135="Milestone",$K135="Deadline"),$I135&gt;=BM$4,$I135&lt;BM$4+7),IF($K135="Deadline","◇","◆"),"")</f>
        <v/>
      </c>
      <c r="BN135" s="14" t="str">
        <f>IF(AND(ISNUMBER($I135),OR($K135="Milestone",$K135="Deadline"),$I135&gt;=BN$4,$I135&lt;BN$4+7),IF($K135="Deadline","◇","◆"),"")</f>
        <v/>
      </c>
      <c r="BO135" s="14" t="str">
        <f>IF(AND(ISNUMBER($I135),OR($K135="Milestone",$K135="Deadline"),$I135&gt;=BO$4,$I135&lt;BO$4+7),IF($K135="Deadline","◇","◆"),"")</f>
        <v/>
      </c>
      <c r="BP135" s="14" t="str">
        <f>IF(AND(ISNUMBER($I135),OR($K135="Milestone",$K135="Deadline"),$I135&gt;=BP$4,$I135&lt;BP$4+7),IF($K135="Deadline","◇","◆"),"")</f>
        <v/>
      </c>
      <c r="BQ135" s="14" t="str">
        <f>IF(AND(ISNUMBER($I135),OR($K135="Milestone",$K135="Deadline"),$I135&gt;=BQ$4,$I135&lt;BQ$4+7),IF($K135="Deadline","◇","◆"),"")</f>
        <v/>
      </c>
      <c r="BR135" s="14" t="str">
        <f>IF(AND(ISNUMBER($I135),OR($K135="Milestone",$K135="Deadline"),$I135&gt;=BR$4,$I135&lt;BR$4+7),IF($K135="Deadline","◇","◆"),"")</f>
        <v/>
      </c>
      <c r="BS135" s="14" t="str">
        <f>IF(AND(ISNUMBER($I135),OR($K135="Milestone",$K135="Deadline"),$I135&gt;=BS$4,$I135&lt;BS$4+7),IF($K135="Deadline","◇","◆"),"")</f>
        <v/>
      </c>
      <c r="BT135" s="14" t="str">
        <f>IF(AND(ISNUMBER($I135),OR($K135="Milestone",$K135="Deadline"),$I135&gt;=BT$4,$I135&lt;BT$4+7),IF($K135="Deadline","◇","◆"),"")</f>
        <v/>
      </c>
      <c r="BU135" s="14" t="str">
        <f>IF(AND(ISNUMBER($I135),OR($K135="Milestone",$K135="Deadline"),$I135&gt;=BU$4,$I135&lt;BU$4+7),IF($K135="Deadline","◇","◆"),"")</f>
        <v/>
      </c>
      <c r="BV135" s="14" t="str">
        <f>IF(AND(ISNUMBER($I135),OR($K135="Milestone",$K135="Deadline"),$I135&gt;=BV$4,$I135&lt;BV$4+7),IF($K135="Deadline","◇","◆"),"")</f>
        <v/>
      </c>
      <c r="BW135" s="14" t="str">
        <f>IF(AND(ISNUMBER($I135),OR($K135="Milestone",$K135="Deadline"),$I135&gt;=BW$4,$I135&lt;BW$4+7),IF($K135="Deadline","◇","◆"),"")</f>
        <v/>
      </c>
      <c r="BX135" s="14" t="str">
        <f>IF(AND(ISNUMBER($I135),OR($K135="Milestone",$K135="Deadline"),$I135&gt;=BX$4,$I135&lt;BX$4+7),IF($K135="Deadline","◇","◆"),"")</f>
        <v/>
      </c>
      <c r="BY135" s="14" t="str">
        <f>IF(AND(ISNUMBER($I135),OR($K135="Milestone",$K135="Deadline"),$I135&gt;=BY$4,$I135&lt;BY$4+7),IF($K135="Deadline","◇","◆"),"")</f>
        <v/>
      </c>
      <c r="BZ135" s="14" t="str">
        <f>IF(AND(ISNUMBER($I135),OR($K135="Milestone",$K135="Deadline"),$I135&gt;=BZ$4,$I135&lt;BZ$4+7),IF($K135="Deadline","◇","◆"),"")</f>
        <v/>
      </c>
      <c r="CA135" s="14" t="str">
        <f>IF(AND(ISNUMBER($I135),OR($K135="Milestone",$K135="Deadline"),$I135&gt;=CA$4,$I135&lt;CA$4+7),IF($K135="Deadline","◇","◆"),"")</f>
        <v/>
      </c>
      <c r="CB135" s="14" t="str">
        <f>IF(AND(ISNUMBER($I135),OR($K135="Milestone",$K135="Deadline"),$I135&gt;=CB$4,$I135&lt;CB$4+7),IF($K135="Deadline","◇","◆"),"")</f>
        <v/>
      </c>
      <c r="CC135" s="14" t="str">
        <f>IF(AND(ISNUMBER($I135),OR($K135="Milestone",$K135="Deadline"),$I135&gt;=CC$4,$I135&lt;CC$4+7),IF($K135="Deadline","◇","◆"),"")</f>
        <v/>
      </c>
      <c r="CD135" s="14" t="str">
        <f>IF(AND(ISNUMBER($I135),OR($K135="Milestone",$K135="Deadline"),$I135&gt;=CD$4,$I135&lt;CD$4+7),IF($K135="Deadline","◇","◆"),"")</f>
        <v/>
      </c>
      <c r="CE135" s="14" t="str">
        <f>IF(AND(ISNUMBER($I135),OR($K135="Milestone",$K135="Deadline"),$I135&gt;=CE$4,$I135&lt;CE$4+7),IF($K135="Deadline","◇","◆"),"")</f>
        <v/>
      </c>
      <c r="CF135" s="14" t="str">
        <f>IF(AND(ISNUMBER($I135),OR($K135="Milestone",$K135="Deadline"),$I135&gt;=CF$4,$I135&lt;CF$4+7),IF($K135="Deadline","◇","◆"),"")</f>
        <v/>
      </c>
      <c r="CG135" s="14" t="str">
        <f>IF(AND(ISNUMBER($I135),OR($K135="Milestone",$K135="Deadline"),$I135&gt;=CG$4,$I135&lt;CG$4+7),IF($K135="Deadline","◇","◆"),"")</f>
        <v/>
      </c>
      <c r="CH135" s="14" t="str">
        <f>IF(AND(ISNUMBER($I135),OR($K135="Milestone",$K135="Deadline"),$I135&gt;=CH$4,$I135&lt;CH$4+7),IF($K135="Deadline","◇","◆"),"")</f>
        <v/>
      </c>
      <c r="CI135" s="14" t="str">
        <f>IF(AND(ISNUMBER($I135),OR($K135="Milestone",$K135="Deadline"),$I135&gt;=CI$4,$I135&lt;CI$4+7),IF($K135="Deadline","◇","◆"),"")</f>
        <v/>
      </c>
      <c r="CJ135" s="14" t="str">
        <f>IF(AND(ISNUMBER($I135),OR($K135="Milestone",$K135="Deadline"),$I135&gt;=CJ$4,$I135&lt;CJ$4+7),IF($K135="Deadline","◇","◆"),"")</f>
        <v/>
      </c>
      <c r="CK135" s="14" t="str">
        <f>IF(AND(ISNUMBER($I135),OR($K135="Milestone",$K135="Deadline"),$I135&gt;=CK$4,$I135&lt;CK$4+7),IF($K135="Deadline","◇","◆"),"")</f>
        <v/>
      </c>
      <c r="CL135" s="14" t="str">
        <f>IF(AND(ISNUMBER($I135),OR($K135="Milestone",$K135="Deadline"),$I135&gt;=CL$4,$I135&lt;CL$4+7),IF($K135="Deadline","◇","◆"),"")</f>
        <v/>
      </c>
      <c r="CM135" s="14" t="str">
        <f>IF(AND(ISNUMBER($I135),OR($K135="Milestone",$K135="Deadline"),$I135&gt;=CM$4,$I135&lt;CM$4+7),IF($K135="Deadline","◇","◆"),"")</f>
        <v/>
      </c>
    </row>
    <row r="136" spans="1:91" ht="15" hidden="1" customHeight="1">
      <c r="A136" s="35" t="s">
        <v>349</v>
      </c>
      <c r="B136" s="35" t="s">
        <v>347</v>
      </c>
      <c r="C136" s="35" t="s">
        <v>93</v>
      </c>
      <c r="D136" s="35" t="s">
        <v>348</v>
      </c>
      <c r="E136" s="35" t="s">
        <v>281</v>
      </c>
      <c r="F136" s="35" t="s">
        <v>170</v>
      </c>
      <c r="G136" s="35" t="s">
        <v>173</v>
      </c>
      <c r="H136" s="35">
        <v>7</v>
      </c>
      <c r="I136" s="36">
        <f>MAX($C$2,I135)</f>
        <v>46335</v>
      </c>
      <c r="J136" s="37">
        <f>IF(AND(ISNUMBER(I136),ISNUMBER(H136)),I136+H136-1,"")</f>
        <v>46341</v>
      </c>
      <c r="K136" s="35" t="s">
        <v>27</v>
      </c>
      <c r="L136" s="35" t="s">
        <v>350</v>
      </c>
      <c r="M136" s="38"/>
      <c r="N136" s="35"/>
      <c r="O136" s="38">
        <f>IF(AND(ISNUMBER(I136),ISNUMBER(J136)),J136-I136+1,"")</f>
        <v>7</v>
      </c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4" t="str">
        <f>IF(AND(ISNUMBER($I136),OR($K136="Milestone",$K136="Deadline"),$I136&gt;=AO$4,$I136&lt;AO$4+7),IF($K136="Deadline","◇","◆"),"")</f>
        <v/>
      </c>
      <c r="AP136" s="14" t="str">
        <f>IF(AND(ISNUMBER($I136),OR($K136="Milestone",$K136="Deadline"),$I136&gt;=AP$4,$I136&lt;AP$4+7),IF($K136="Deadline","◇","◆"),"")</f>
        <v/>
      </c>
      <c r="AQ136" s="14" t="str">
        <f>IF(AND(ISNUMBER($I136),OR($K136="Milestone",$K136="Deadline"),$I136&gt;=AQ$4,$I136&lt;AQ$4+7),IF($K136="Deadline","◇","◆"),"")</f>
        <v/>
      </c>
      <c r="AR136" s="14" t="str">
        <f>IF(AND(ISNUMBER($I136),OR($K136="Milestone",$K136="Deadline"),$I136&gt;=AR$4,$I136&lt;AR$4+7),IF($K136="Deadline","◇","◆"),"")</f>
        <v/>
      </c>
      <c r="AS136" s="14" t="str">
        <f>IF(AND(ISNUMBER($I136),OR($K136="Milestone",$K136="Deadline"),$I136&gt;=AS$4,$I136&lt;AS$4+7),IF($K136="Deadline","◇","◆"),"")</f>
        <v/>
      </c>
      <c r="AT136" s="14" t="str">
        <f>IF(AND(ISNUMBER($I136),OR($K136="Milestone",$K136="Deadline"),$I136&gt;=AT$4,$I136&lt;AT$4+7),IF($K136="Deadline","◇","◆"),"")</f>
        <v/>
      </c>
      <c r="AU136" s="14" t="str">
        <f>IF(AND(ISNUMBER($I136),OR($K136="Milestone",$K136="Deadline"),$I136&gt;=AU$4,$I136&lt;AU$4+7),IF($K136="Deadline","◇","◆"),"")</f>
        <v/>
      </c>
      <c r="AV136" s="14" t="str">
        <f>IF(AND(ISNUMBER($I136),OR($K136="Milestone",$K136="Deadline"),$I136&gt;=AV$4,$I136&lt;AV$4+7),IF($K136="Deadline","◇","◆"),"")</f>
        <v/>
      </c>
      <c r="AW136" s="14" t="str">
        <f>IF(AND(ISNUMBER($I136),OR($K136="Milestone",$K136="Deadline"),$I136&gt;=AW$4,$I136&lt;AW$4+7),IF($K136="Deadline","◇","◆"),"")</f>
        <v/>
      </c>
      <c r="AX136" s="14" t="str">
        <f>IF(AND(ISNUMBER($I136),OR($K136="Milestone",$K136="Deadline"),$I136&gt;=AX$4,$I136&lt;AX$4+7),IF($K136="Deadline","◇","◆"),"")</f>
        <v/>
      </c>
      <c r="AY136" s="14" t="str">
        <f>IF(AND(ISNUMBER($I136),OR($K136="Milestone",$K136="Deadline"),$I136&gt;=AY$4,$I136&lt;AY$4+7),IF($K136="Deadline","◇","◆"),"")</f>
        <v/>
      </c>
      <c r="AZ136" s="14" t="str">
        <f>IF(AND(ISNUMBER($I136),OR($K136="Milestone",$K136="Deadline"),$I136&gt;=AZ$4,$I136&lt;AZ$4+7),IF($K136="Deadline","◇","◆"),"")</f>
        <v/>
      </c>
      <c r="BA136" s="14" t="str">
        <f>IF(AND(ISNUMBER($I136),OR($K136="Milestone",$K136="Deadline"),$I136&gt;=BA$4,$I136&lt;BA$4+7),IF($K136="Deadline","◇","◆"),"")</f>
        <v/>
      </c>
      <c r="BB136" s="14" t="str">
        <f>IF(AND(ISNUMBER($I136),OR($K136="Milestone",$K136="Deadline"),$I136&gt;=BB$4,$I136&lt;BB$4+7),IF($K136="Deadline","◇","◆"),"")</f>
        <v/>
      </c>
      <c r="BC136" s="14" t="str">
        <f>IF(AND(ISNUMBER($I136),OR($K136="Milestone",$K136="Deadline"),$I136&gt;=BC$4,$I136&lt;BC$4+7),IF($K136="Deadline","◇","◆"),"")</f>
        <v/>
      </c>
      <c r="BD136" s="14" t="str">
        <f>IF(AND(ISNUMBER($I136),OR($K136="Milestone",$K136="Deadline"),$I136&gt;=BD$4,$I136&lt;BD$4+7),IF($K136="Deadline","◇","◆"),"")</f>
        <v/>
      </c>
      <c r="BE136" s="14" t="str">
        <f>IF(AND(ISNUMBER($I136),OR($K136="Milestone",$K136="Deadline"),$I136&gt;=BE$4,$I136&lt;BE$4+7),IF($K136="Deadline","◇","◆"),"")</f>
        <v/>
      </c>
      <c r="BF136" s="14" t="str">
        <f>IF(AND(ISNUMBER($I136),OR($K136="Milestone",$K136="Deadline"),$I136&gt;=BF$4,$I136&lt;BF$4+7),IF($K136="Deadline","◇","◆"),"")</f>
        <v/>
      </c>
      <c r="BG136" s="14" t="str">
        <f>IF(AND(ISNUMBER($I136),OR($K136="Milestone",$K136="Deadline"),$I136&gt;=BG$4,$I136&lt;BG$4+7),IF($K136="Deadline","◇","◆"),"")</f>
        <v/>
      </c>
      <c r="BH136" s="14" t="str">
        <f>IF(AND(ISNUMBER($I136),OR($K136="Milestone",$K136="Deadline"),$I136&gt;=BH$4,$I136&lt;BH$4+7),IF($K136="Deadline","◇","◆"),"")</f>
        <v/>
      </c>
      <c r="BI136" s="14" t="str">
        <f>IF(AND(ISNUMBER($I136),OR($K136="Milestone",$K136="Deadline"),$I136&gt;=BI$4,$I136&lt;BI$4+7),IF($K136="Deadline","◇","◆"),"")</f>
        <v/>
      </c>
      <c r="BJ136" s="14" t="str">
        <f>IF(AND(ISNUMBER($I136),OR($K136="Milestone",$K136="Deadline"),$I136&gt;=BJ$4,$I136&lt;BJ$4+7),IF($K136="Deadline","◇","◆"),"")</f>
        <v/>
      </c>
      <c r="BK136" s="14" t="str">
        <f>IF(AND(ISNUMBER($I136),OR($K136="Milestone",$K136="Deadline"),$I136&gt;=BK$4,$I136&lt;BK$4+7),IF($K136="Deadline","◇","◆"),"")</f>
        <v/>
      </c>
      <c r="BL136" s="14" t="str">
        <f>IF(AND(ISNUMBER($I136),OR($K136="Milestone",$K136="Deadline"),$I136&gt;=BL$4,$I136&lt;BL$4+7),IF($K136="Deadline","◇","◆"),"")</f>
        <v/>
      </c>
      <c r="BM136" s="14" t="str">
        <f>IF(AND(ISNUMBER($I136),OR($K136="Milestone",$K136="Deadline"),$I136&gt;=BM$4,$I136&lt;BM$4+7),IF($K136="Deadline","◇","◆"),"")</f>
        <v/>
      </c>
      <c r="BN136" s="14" t="str">
        <f>IF(AND(ISNUMBER($I136),OR($K136="Milestone",$K136="Deadline"),$I136&gt;=BN$4,$I136&lt;BN$4+7),IF($K136="Deadline","◇","◆"),"")</f>
        <v/>
      </c>
      <c r="BO136" s="14" t="str">
        <f>IF(AND(ISNUMBER($I136),OR($K136="Milestone",$K136="Deadline"),$I136&gt;=BO$4,$I136&lt;BO$4+7),IF($K136="Deadline","◇","◆"),"")</f>
        <v/>
      </c>
      <c r="BP136" s="14" t="str">
        <f>IF(AND(ISNUMBER($I136),OR($K136="Milestone",$K136="Deadline"),$I136&gt;=BP$4,$I136&lt;BP$4+7),IF($K136="Deadline","◇","◆"),"")</f>
        <v/>
      </c>
      <c r="BQ136" s="14" t="str">
        <f>IF(AND(ISNUMBER($I136),OR($K136="Milestone",$K136="Deadline"),$I136&gt;=BQ$4,$I136&lt;BQ$4+7),IF($K136="Deadline","◇","◆"),"")</f>
        <v/>
      </c>
      <c r="BR136" s="14" t="str">
        <f>IF(AND(ISNUMBER($I136),OR($K136="Milestone",$K136="Deadline"),$I136&gt;=BR$4,$I136&lt;BR$4+7),IF($K136="Deadline","◇","◆"),"")</f>
        <v/>
      </c>
      <c r="BS136" s="14" t="str">
        <f>IF(AND(ISNUMBER($I136),OR($K136="Milestone",$K136="Deadline"),$I136&gt;=BS$4,$I136&lt;BS$4+7),IF($K136="Deadline","◇","◆"),"")</f>
        <v/>
      </c>
      <c r="BT136" s="14" t="str">
        <f>IF(AND(ISNUMBER($I136),OR($K136="Milestone",$K136="Deadline"),$I136&gt;=BT$4,$I136&lt;BT$4+7),IF($K136="Deadline","◇","◆"),"")</f>
        <v/>
      </c>
      <c r="BU136" s="14" t="str">
        <f>IF(AND(ISNUMBER($I136),OR($K136="Milestone",$K136="Deadline"),$I136&gt;=BU$4,$I136&lt;BU$4+7),IF($K136="Deadline","◇","◆"),"")</f>
        <v/>
      </c>
      <c r="BV136" s="14" t="str">
        <f>IF(AND(ISNUMBER($I136),OR($K136="Milestone",$K136="Deadline"),$I136&gt;=BV$4,$I136&lt;BV$4+7),IF($K136="Deadline","◇","◆"),"")</f>
        <v/>
      </c>
      <c r="BW136" s="14" t="str">
        <f>IF(AND(ISNUMBER($I136),OR($K136="Milestone",$K136="Deadline"),$I136&gt;=BW$4,$I136&lt;BW$4+7),IF($K136="Deadline","◇","◆"),"")</f>
        <v/>
      </c>
      <c r="BX136" s="14" t="str">
        <f>IF(AND(ISNUMBER($I136),OR($K136="Milestone",$K136="Deadline"),$I136&gt;=BX$4,$I136&lt;BX$4+7),IF($K136="Deadline","◇","◆"),"")</f>
        <v/>
      </c>
      <c r="BY136" s="14" t="str">
        <f>IF(AND(ISNUMBER($I136),OR($K136="Milestone",$K136="Deadline"),$I136&gt;=BY$4,$I136&lt;BY$4+7),IF($K136="Deadline","◇","◆"),"")</f>
        <v/>
      </c>
      <c r="BZ136" s="14" t="str">
        <f>IF(AND(ISNUMBER($I136),OR($K136="Milestone",$K136="Deadline"),$I136&gt;=BZ$4,$I136&lt;BZ$4+7),IF($K136="Deadline","◇","◆"),"")</f>
        <v/>
      </c>
      <c r="CA136" s="14" t="str">
        <f>IF(AND(ISNUMBER($I136),OR($K136="Milestone",$K136="Deadline"),$I136&gt;=CA$4,$I136&lt;CA$4+7),IF($K136="Deadline","◇","◆"),"")</f>
        <v/>
      </c>
      <c r="CB136" s="14" t="str">
        <f>IF(AND(ISNUMBER($I136),OR($K136="Milestone",$K136="Deadline"),$I136&gt;=CB$4,$I136&lt;CB$4+7),IF($K136="Deadline","◇","◆"),"")</f>
        <v/>
      </c>
      <c r="CC136" s="14" t="str">
        <f>IF(AND(ISNUMBER($I136),OR($K136="Milestone",$K136="Deadline"),$I136&gt;=CC$4,$I136&lt;CC$4+7),IF($K136="Deadline","◇","◆"),"")</f>
        <v/>
      </c>
      <c r="CD136" s="14" t="str">
        <f>IF(AND(ISNUMBER($I136),OR($K136="Milestone",$K136="Deadline"),$I136&gt;=CD$4,$I136&lt;CD$4+7),IF($K136="Deadline","◇","◆"),"")</f>
        <v/>
      </c>
      <c r="CE136" s="14" t="str">
        <f>IF(AND(ISNUMBER($I136),OR($K136="Milestone",$K136="Deadline"),$I136&gt;=CE$4,$I136&lt;CE$4+7),IF($K136="Deadline","◇","◆"),"")</f>
        <v/>
      </c>
      <c r="CF136" s="14" t="str">
        <f>IF(AND(ISNUMBER($I136),OR($K136="Milestone",$K136="Deadline"),$I136&gt;=CF$4,$I136&lt;CF$4+7),IF($K136="Deadline","◇","◆"),"")</f>
        <v/>
      </c>
      <c r="CG136" s="14" t="str">
        <f>IF(AND(ISNUMBER($I136),OR($K136="Milestone",$K136="Deadline"),$I136&gt;=CG$4,$I136&lt;CG$4+7),IF($K136="Deadline","◇","◆"),"")</f>
        <v/>
      </c>
      <c r="CH136" s="14" t="str">
        <f>IF(AND(ISNUMBER($I136),OR($K136="Milestone",$K136="Deadline"),$I136&gt;=CH$4,$I136&lt;CH$4+7),IF($K136="Deadline","◇","◆"),"")</f>
        <v/>
      </c>
      <c r="CI136" s="14" t="str">
        <f>IF(AND(ISNUMBER($I136),OR($K136="Milestone",$K136="Deadline"),$I136&gt;=CI$4,$I136&lt;CI$4+7),IF($K136="Deadline","◇","◆"),"")</f>
        <v/>
      </c>
      <c r="CJ136" s="14" t="str">
        <f>IF(AND(ISNUMBER($I136),OR($K136="Milestone",$K136="Deadline"),$I136&gt;=CJ$4,$I136&lt;CJ$4+7),IF($K136="Deadline","◇","◆"),"")</f>
        <v/>
      </c>
      <c r="CK136" s="14" t="str">
        <f>IF(AND(ISNUMBER($I136),OR($K136="Milestone",$K136="Deadline"),$I136&gt;=CK$4,$I136&lt;CK$4+7),IF($K136="Deadline","◇","◆"),"")</f>
        <v/>
      </c>
      <c r="CL136" s="14" t="str">
        <f>IF(AND(ISNUMBER($I136),OR($K136="Milestone",$K136="Deadline"),$I136&gt;=CL$4,$I136&lt;CL$4+7),IF($K136="Deadline","◇","◆"),"")</f>
        <v/>
      </c>
      <c r="CM136" s="14" t="str">
        <f>IF(AND(ISNUMBER($I136),OR($K136="Milestone",$K136="Deadline"),$I136&gt;=CM$4,$I136&lt;CM$4+7),IF($K136="Deadline","◇","◆"),"")</f>
        <v/>
      </c>
    </row>
    <row r="137" spans="1:91" ht="15" hidden="1" customHeight="1">
      <c r="A137" s="35" t="s">
        <v>351</v>
      </c>
      <c r="B137" s="35" t="s">
        <v>347</v>
      </c>
      <c r="C137" s="35" t="s">
        <v>93</v>
      </c>
      <c r="D137" s="35" t="s">
        <v>348</v>
      </c>
      <c r="E137" s="35" t="s">
        <v>281</v>
      </c>
      <c r="F137" s="35" t="s">
        <v>170</v>
      </c>
      <c r="G137" s="35" t="s">
        <v>176</v>
      </c>
      <c r="H137" s="35">
        <v>7</v>
      </c>
      <c r="I137" s="36">
        <f>MAX($C$2,J135+1)</f>
        <v>46337</v>
      </c>
      <c r="J137" s="37">
        <f>IF(AND(ISNUMBER(I137),ISNUMBER(H137)),I137+H137-1,"")</f>
        <v>46343</v>
      </c>
      <c r="K137" s="35" t="s">
        <v>27</v>
      </c>
      <c r="L137" s="35" t="s">
        <v>346</v>
      </c>
      <c r="M137" s="38"/>
      <c r="N137" s="35"/>
      <c r="O137" s="38">
        <f>IF(AND(ISNUMBER(I137),ISNUMBER(J137)),J137-I137+1,"")</f>
        <v>7</v>
      </c>
      <c r="P137" s="13"/>
      <c r="Q137" s="13"/>
      <c r="R137" s="13"/>
      <c r="S137" s="13"/>
      <c r="T137" s="13"/>
      <c r="U137" s="13"/>
      <c r="V137" s="13"/>
      <c r="W137" s="13" t="s">
        <v>140</v>
      </c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4" t="str">
        <f>IF(AND(ISNUMBER($I137),OR($K137="Milestone",$K137="Deadline"),$I137&gt;=AO$4,$I137&lt;AO$4+7),IF($K137="Deadline","◇","◆"),"")</f>
        <v/>
      </c>
      <c r="AP137" s="14" t="str">
        <f>IF(AND(ISNUMBER($I137),OR($K137="Milestone",$K137="Deadline"),$I137&gt;=AP$4,$I137&lt;AP$4+7),IF($K137="Deadline","◇","◆"),"")</f>
        <v/>
      </c>
      <c r="AQ137" s="14" t="str">
        <f>IF(AND(ISNUMBER($I137),OR($K137="Milestone",$K137="Deadline"),$I137&gt;=AQ$4,$I137&lt;AQ$4+7),IF($K137="Deadline","◇","◆"),"")</f>
        <v/>
      </c>
      <c r="AR137" s="14" t="str">
        <f>IF(AND(ISNUMBER($I137),OR($K137="Milestone",$K137="Deadline"),$I137&gt;=AR$4,$I137&lt;AR$4+7),IF($K137="Deadline","◇","◆"),"")</f>
        <v/>
      </c>
      <c r="AS137" s="14" t="str">
        <f>IF(AND(ISNUMBER($I137),OR($K137="Milestone",$K137="Deadline"),$I137&gt;=AS$4,$I137&lt;AS$4+7),IF($K137="Deadline","◇","◆"),"")</f>
        <v/>
      </c>
      <c r="AT137" s="14" t="str">
        <f>IF(AND(ISNUMBER($I137),OR($K137="Milestone",$K137="Deadline"),$I137&gt;=AT$4,$I137&lt;AT$4+7),IF($K137="Deadline","◇","◆"),"")</f>
        <v/>
      </c>
      <c r="AU137" s="14" t="str">
        <f>IF(AND(ISNUMBER($I137),OR($K137="Milestone",$K137="Deadline"),$I137&gt;=AU$4,$I137&lt;AU$4+7),IF($K137="Deadline","◇","◆"),"")</f>
        <v/>
      </c>
      <c r="AV137" s="14" t="str">
        <f>IF(AND(ISNUMBER($I137),OR($K137="Milestone",$K137="Deadline"),$I137&gt;=AV$4,$I137&lt;AV$4+7),IF($K137="Deadline","◇","◆"),"")</f>
        <v/>
      </c>
      <c r="AW137" s="14" t="str">
        <f>IF(AND(ISNUMBER($I137),OR($K137="Milestone",$K137="Deadline"),$I137&gt;=AW$4,$I137&lt;AW$4+7),IF($K137="Deadline","◇","◆"),"")</f>
        <v/>
      </c>
      <c r="AX137" s="14" t="str">
        <f>IF(AND(ISNUMBER($I137),OR($K137="Milestone",$K137="Deadline"),$I137&gt;=AX$4,$I137&lt;AX$4+7),IF($K137="Deadline","◇","◆"),"")</f>
        <v/>
      </c>
      <c r="AY137" s="14" t="str">
        <f>IF(AND(ISNUMBER($I137),OR($K137="Milestone",$K137="Deadline"),$I137&gt;=AY$4,$I137&lt;AY$4+7),IF($K137="Deadline","◇","◆"),"")</f>
        <v/>
      </c>
      <c r="AZ137" s="14" t="str">
        <f>IF(AND(ISNUMBER($I137),OR($K137="Milestone",$K137="Deadline"),$I137&gt;=AZ$4,$I137&lt;AZ$4+7),IF($K137="Deadline","◇","◆"),"")</f>
        <v/>
      </c>
      <c r="BA137" s="14" t="str">
        <f>IF(AND(ISNUMBER($I137),OR($K137="Milestone",$K137="Deadline"),$I137&gt;=BA$4,$I137&lt;BA$4+7),IF($K137="Deadline","◇","◆"),"")</f>
        <v/>
      </c>
      <c r="BB137" s="14" t="str">
        <f>IF(AND(ISNUMBER($I137),OR($K137="Milestone",$K137="Deadline"),$I137&gt;=BB$4,$I137&lt;BB$4+7),IF($K137="Deadline","◇","◆"),"")</f>
        <v/>
      </c>
      <c r="BC137" s="14" t="str">
        <f>IF(AND(ISNUMBER($I137),OR($K137="Milestone",$K137="Deadline"),$I137&gt;=BC$4,$I137&lt;BC$4+7),IF($K137="Deadline","◇","◆"),"")</f>
        <v/>
      </c>
      <c r="BD137" s="14" t="str">
        <f>IF(AND(ISNUMBER($I137),OR($K137="Milestone",$K137="Deadline"),$I137&gt;=BD$4,$I137&lt;BD$4+7),IF($K137="Deadline","◇","◆"),"")</f>
        <v/>
      </c>
      <c r="BE137" s="14" t="str">
        <f>IF(AND(ISNUMBER($I137),OR($K137="Milestone",$K137="Deadline"),$I137&gt;=BE$4,$I137&lt;BE$4+7),IF($K137="Deadline","◇","◆"),"")</f>
        <v/>
      </c>
      <c r="BF137" s="14" t="str">
        <f>IF(AND(ISNUMBER($I137),OR($K137="Milestone",$K137="Deadline"),$I137&gt;=BF$4,$I137&lt;BF$4+7),IF($K137="Deadline","◇","◆"),"")</f>
        <v/>
      </c>
      <c r="BG137" s="14" t="str">
        <f>IF(AND(ISNUMBER($I137),OR($K137="Milestone",$K137="Deadline"),$I137&gt;=BG$4,$I137&lt;BG$4+7),IF($K137="Deadline","◇","◆"),"")</f>
        <v/>
      </c>
      <c r="BH137" s="14" t="str">
        <f>IF(AND(ISNUMBER($I137),OR($K137="Milestone",$K137="Deadline"),$I137&gt;=BH$4,$I137&lt;BH$4+7),IF($K137="Deadline","◇","◆"),"")</f>
        <v/>
      </c>
      <c r="BI137" s="14" t="str">
        <f>IF(AND(ISNUMBER($I137),OR($K137="Milestone",$K137="Deadline"),$I137&gt;=BI$4,$I137&lt;BI$4+7),IF($K137="Deadline","◇","◆"),"")</f>
        <v/>
      </c>
      <c r="BJ137" s="14" t="str">
        <f>IF(AND(ISNUMBER($I137),OR($K137="Milestone",$K137="Deadline"),$I137&gt;=BJ$4,$I137&lt;BJ$4+7),IF($K137="Deadline","◇","◆"),"")</f>
        <v/>
      </c>
      <c r="BK137" s="14" t="str">
        <f>IF(AND(ISNUMBER($I137),OR($K137="Milestone",$K137="Deadline"),$I137&gt;=BK$4,$I137&lt;BK$4+7),IF($K137="Deadline","◇","◆"),"")</f>
        <v/>
      </c>
      <c r="BL137" s="14" t="str">
        <f>IF(AND(ISNUMBER($I137),OR($K137="Milestone",$K137="Deadline"),$I137&gt;=BL$4,$I137&lt;BL$4+7),IF($K137="Deadline","◇","◆"),"")</f>
        <v/>
      </c>
      <c r="BM137" s="14" t="str">
        <f>IF(AND(ISNUMBER($I137),OR($K137="Milestone",$K137="Deadline"),$I137&gt;=BM$4,$I137&lt;BM$4+7),IF($K137="Deadline","◇","◆"),"")</f>
        <v/>
      </c>
      <c r="BN137" s="14" t="str">
        <f>IF(AND(ISNUMBER($I137),OR($K137="Milestone",$K137="Deadline"),$I137&gt;=BN$4,$I137&lt;BN$4+7),IF($K137="Deadline","◇","◆"),"")</f>
        <v/>
      </c>
      <c r="BO137" s="14" t="str">
        <f>IF(AND(ISNUMBER($I137),OR($K137="Milestone",$K137="Deadline"),$I137&gt;=BO$4,$I137&lt;BO$4+7),IF($K137="Deadline","◇","◆"),"")</f>
        <v/>
      </c>
      <c r="BP137" s="14" t="str">
        <f>IF(AND(ISNUMBER($I137),OR($K137="Milestone",$K137="Deadline"),$I137&gt;=BP$4,$I137&lt;BP$4+7),IF($K137="Deadline","◇","◆"),"")</f>
        <v/>
      </c>
      <c r="BQ137" s="14" t="str">
        <f>IF(AND(ISNUMBER($I137),OR($K137="Milestone",$K137="Deadline"),$I137&gt;=BQ$4,$I137&lt;BQ$4+7),IF($K137="Deadline","◇","◆"),"")</f>
        <v/>
      </c>
      <c r="BR137" s="14" t="str">
        <f>IF(AND(ISNUMBER($I137),OR($K137="Milestone",$K137="Deadline"),$I137&gt;=BR$4,$I137&lt;BR$4+7),IF($K137="Deadline","◇","◆"),"")</f>
        <v/>
      </c>
      <c r="BS137" s="14" t="str">
        <f>IF(AND(ISNUMBER($I137),OR($K137="Milestone",$K137="Deadline"),$I137&gt;=BS$4,$I137&lt;BS$4+7),IF($K137="Deadline","◇","◆"),"")</f>
        <v/>
      </c>
      <c r="BT137" s="14" t="str">
        <f>IF(AND(ISNUMBER($I137),OR($K137="Milestone",$K137="Deadline"),$I137&gt;=BT$4,$I137&lt;BT$4+7),IF($K137="Deadline","◇","◆"),"")</f>
        <v/>
      </c>
      <c r="BU137" s="14" t="str">
        <f>IF(AND(ISNUMBER($I137),OR($K137="Milestone",$K137="Deadline"),$I137&gt;=BU$4,$I137&lt;BU$4+7),IF($K137="Deadline","◇","◆"),"")</f>
        <v/>
      </c>
      <c r="BV137" s="14" t="str">
        <f>IF(AND(ISNUMBER($I137),OR($K137="Milestone",$K137="Deadline"),$I137&gt;=BV$4,$I137&lt;BV$4+7),IF($K137="Deadline","◇","◆"),"")</f>
        <v/>
      </c>
      <c r="BW137" s="14" t="str">
        <f>IF(AND(ISNUMBER($I137),OR($K137="Milestone",$K137="Deadline"),$I137&gt;=BW$4,$I137&lt;BW$4+7),IF($K137="Deadline","◇","◆"),"")</f>
        <v/>
      </c>
      <c r="BX137" s="14" t="str">
        <f>IF(AND(ISNUMBER($I137),OR($K137="Milestone",$K137="Deadline"),$I137&gt;=BX$4,$I137&lt;BX$4+7),IF($K137="Deadline","◇","◆"),"")</f>
        <v/>
      </c>
      <c r="BY137" s="14" t="str">
        <f>IF(AND(ISNUMBER($I137),OR($K137="Milestone",$K137="Deadline"),$I137&gt;=BY$4,$I137&lt;BY$4+7),IF($K137="Deadline","◇","◆"),"")</f>
        <v/>
      </c>
      <c r="BZ137" s="14" t="str">
        <f>IF(AND(ISNUMBER($I137),OR($K137="Milestone",$K137="Deadline"),$I137&gt;=BZ$4,$I137&lt;BZ$4+7),IF($K137="Deadline","◇","◆"),"")</f>
        <v/>
      </c>
      <c r="CA137" s="14" t="str">
        <f>IF(AND(ISNUMBER($I137),OR($K137="Milestone",$K137="Deadline"),$I137&gt;=CA$4,$I137&lt;CA$4+7),IF($K137="Deadline","◇","◆"),"")</f>
        <v/>
      </c>
      <c r="CB137" s="14" t="str">
        <f>IF(AND(ISNUMBER($I137),OR($K137="Milestone",$K137="Deadline"),$I137&gt;=CB$4,$I137&lt;CB$4+7),IF($K137="Deadline","◇","◆"),"")</f>
        <v/>
      </c>
      <c r="CC137" s="14" t="str">
        <f>IF(AND(ISNUMBER($I137),OR($K137="Milestone",$K137="Deadline"),$I137&gt;=CC$4,$I137&lt;CC$4+7),IF($K137="Deadline","◇","◆"),"")</f>
        <v/>
      </c>
      <c r="CD137" s="14" t="str">
        <f>IF(AND(ISNUMBER($I137),OR($K137="Milestone",$K137="Deadline"),$I137&gt;=CD$4,$I137&lt;CD$4+7),IF($K137="Deadline","◇","◆"),"")</f>
        <v/>
      </c>
      <c r="CE137" s="14" t="str">
        <f>IF(AND(ISNUMBER($I137),OR($K137="Milestone",$K137="Deadline"),$I137&gt;=CE$4,$I137&lt;CE$4+7),IF($K137="Deadline","◇","◆"),"")</f>
        <v/>
      </c>
      <c r="CF137" s="14" t="str">
        <f>IF(AND(ISNUMBER($I137),OR($K137="Milestone",$K137="Deadline"),$I137&gt;=CF$4,$I137&lt;CF$4+7),IF($K137="Deadline","◇","◆"),"")</f>
        <v/>
      </c>
      <c r="CG137" s="14" t="str">
        <f>IF(AND(ISNUMBER($I137),OR($K137="Milestone",$K137="Deadline"),$I137&gt;=CG$4,$I137&lt;CG$4+7),IF($K137="Deadline","◇","◆"),"")</f>
        <v/>
      </c>
      <c r="CH137" s="14" t="str">
        <f>IF(AND(ISNUMBER($I137),OR($K137="Milestone",$K137="Deadline"),$I137&gt;=CH$4,$I137&lt;CH$4+7),IF($K137="Deadline","◇","◆"),"")</f>
        <v/>
      </c>
      <c r="CI137" s="14" t="str">
        <f>IF(AND(ISNUMBER($I137),OR($K137="Milestone",$K137="Deadline"),$I137&gt;=CI$4,$I137&lt;CI$4+7),IF($K137="Deadline","◇","◆"),"")</f>
        <v/>
      </c>
      <c r="CJ137" s="14" t="str">
        <f>IF(AND(ISNUMBER($I137),OR($K137="Milestone",$K137="Deadline"),$I137&gt;=CJ$4,$I137&lt;CJ$4+7),IF($K137="Deadline","◇","◆"),"")</f>
        <v/>
      </c>
      <c r="CK137" s="14" t="str">
        <f>IF(AND(ISNUMBER($I137),OR($K137="Milestone",$K137="Deadline"),$I137&gt;=CK$4,$I137&lt;CK$4+7),IF($K137="Deadline","◇","◆"),"")</f>
        <v/>
      </c>
      <c r="CL137" s="14" t="str">
        <f>IF(AND(ISNUMBER($I137),OR($K137="Milestone",$K137="Deadline"),$I137&gt;=CL$4,$I137&lt;CL$4+7),IF($K137="Deadline","◇","◆"),"")</f>
        <v/>
      </c>
      <c r="CM137" s="14" t="str">
        <f>IF(AND(ISNUMBER($I137),OR($K137="Milestone",$K137="Deadline"),$I137&gt;=CM$4,$I137&lt;CM$4+7),IF($K137="Deadline","◇","◆"),"")</f>
        <v/>
      </c>
    </row>
    <row r="138" spans="1:91" ht="15" hidden="1" customHeight="1">
      <c r="A138" s="35" t="s">
        <v>352</v>
      </c>
      <c r="B138" s="35" t="s">
        <v>347</v>
      </c>
      <c r="C138" s="35" t="s">
        <v>93</v>
      </c>
      <c r="D138" s="35" t="s">
        <v>348</v>
      </c>
      <c r="E138" s="35" t="s">
        <v>281</v>
      </c>
      <c r="F138" s="35" t="s">
        <v>170</v>
      </c>
      <c r="G138" s="35" t="s">
        <v>184</v>
      </c>
      <c r="H138" s="35">
        <v>7</v>
      </c>
      <c r="I138" s="36">
        <f>MAX($C$2,J137+1,J285+1)</f>
        <v>46386</v>
      </c>
      <c r="J138" s="37">
        <f>IF(AND(ISNUMBER(I138),ISNUMBER(H138)),I138+H138-1,"")</f>
        <v>46392</v>
      </c>
      <c r="K138" s="35" t="s">
        <v>27</v>
      </c>
      <c r="L138" s="35" t="s">
        <v>351</v>
      </c>
      <c r="M138" s="38" t="s">
        <v>353</v>
      </c>
      <c r="N138" s="35"/>
      <c r="O138" s="38">
        <f>IF(AND(ISNUMBER(I138),ISNUMBER(J138)),J138-I138+1,"")</f>
        <v>7</v>
      </c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 t="s">
        <v>140</v>
      </c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4" t="str">
        <f>IF(AND(ISNUMBER($I138),OR($K138="Milestone",$K138="Deadline"),$I138&gt;=AO$4,$I138&lt;AO$4+7),IF($K138="Deadline","◇","◆"),"")</f>
        <v/>
      </c>
      <c r="AP138" s="14" t="str">
        <f>IF(AND(ISNUMBER($I138),OR($K138="Milestone",$K138="Deadline"),$I138&gt;=AP$4,$I138&lt;AP$4+7),IF($K138="Deadline","◇","◆"),"")</f>
        <v/>
      </c>
      <c r="AQ138" s="14" t="str">
        <f>IF(AND(ISNUMBER($I138),OR($K138="Milestone",$K138="Deadline"),$I138&gt;=AQ$4,$I138&lt;AQ$4+7),IF($K138="Deadline","◇","◆"),"")</f>
        <v/>
      </c>
      <c r="AR138" s="14" t="str">
        <f>IF(AND(ISNUMBER($I138),OR($K138="Milestone",$K138="Deadline"),$I138&gt;=AR$4,$I138&lt;AR$4+7),IF($K138="Deadline","◇","◆"),"")</f>
        <v/>
      </c>
      <c r="AS138" s="14" t="str">
        <f>IF(AND(ISNUMBER($I138),OR($K138="Milestone",$K138="Deadline"),$I138&gt;=AS$4,$I138&lt;AS$4+7),IF($K138="Deadline","◇","◆"),"")</f>
        <v/>
      </c>
      <c r="AT138" s="14" t="str">
        <f>IF(AND(ISNUMBER($I138),OR($K138="Milestone",$K138="Deadline"),$I138&gt;=AT$4,$I138&lt;AT$4+7),IF($K138="Deadline","◇","◆"),"")</f>
        <v/>
      </c>
      <c r="AU138" s="14" t="str">
        <f>IF(AND(ISNUMBER($I138),OR($K138="Milestone",$K138="Deadline"),$I138&gt;=AU$4,$I138&lt;AU$4+7),IF($K138="Deadline","◇","◆"),"")</f>
        <v/>
      </c>
      <c r="AV138" s="14" t="str">
        <f>IF(AND(ISNUMBER($I138),OR($K138="Milestone",$K138="Deadline"),$I138&gt;=AV$4,$I138&lt;AV$4+7),IF($K138="Deadline","◇","◆"),"")</f>
        <v/>
      </c>
      <c r="AW138" s="14" t="str">
        <f>IF(AND(ISNUMBER($I138),OR($K138="Milestone",$K138="Deadline"),$I138&gt;=AW$4,$I138&lt;AW$4+7),IF($K138="Deadline","◇","◆"),"")</f>
        <v/>
      </c>
      <c r="AX138" s="14" t="str">
        <f>IF(AND(ISNUMBER($I138),OR($K138="Milestone",$K138="Deadline"),$I138&gt;=AX$4,$I138&lt;AX$4+7),IF($K138="Deadline","◇","◆"),"")</f>
        <v/>
      </c>
      <c r="AY138" s="14" t="str">
        <f>IF(AND(ISNUMBER($I138),OR($K138="Milestone",$K138="Deadline"),$I138&gt;=AY$4,$I138&lt;AY$4+7),IF($K138="Deadline","◇","◆"),"")</f>
        <v/>
      </c>
      <c r="AZ138" s="14" t="str">
        <f>IF(AND(ISNUMBER($I138),OR($K138="Milestone",$K138="Deadline"),$I138&gt;=AZ$4,$I138&lt;AZ$4+7),IF($K138="Deadline","◇","◆"),"")</f>
        <v/>
      </c>
      <c r="BA138" s="14" t="str">
        <f>IF(AND(ISNUMBER($I138),OR($K138="Milestone",$K138="Deadline"),$I138&gt;=BA$4,$I138&lt;BA$4+7),IF($K138="Deadline","◇","◆"),"")</f>
        <v/>
      </c>
      <c r="BB138" s="14" t="str">
        <f>IF(AND(ISNUMBER($I138),OR($K138="Milestone",$K138="Deadline"),$I138&gt;=BB$4,$I138&lt;BB$4+7),IF($K138="Deadline","◇","◆"),"")</f>
        <v/>
      </c>
      <c r="BC138" s="14" t="str">
        <f>IF(AND(ISNUMBER($I138),OR($K138="Milestone",$K138="Deadline"),$I138&gt;=BC$4,$I138&lt;BC$4+7),IF($K138="Deadline","◇","◆"),"")</f>
        <v/>
      </c>
      <c r="BD138" s="14" t="str">
        <f>IF(AND(ISNUMBER($I138),OR($K138="Milestone",$K138="Deadline"),$I138&gt;=BD$4,$I138&lt;BD$4+7),IF($K138="Deadline","◇","◆"),"")</f>
        <v/>
      </c>
      <c r="BE138" s="14" t="str">
        <f>IF(AND(ISNUMBER($I138),OR($K138="Milestone",$K138="Deadline"),$I138&gt;=BE$4,$I138&lt;BE$4+7),IF($K138="Deadline","◇","◆"),"")</f>
        <v/>
      </c>
      <c r="BF138" s="14" t="str">
        <f>IF(AND(ISNUMBER($I138),OR($K138="Milestone",$K138="Deadline"),$I138&gt;=BF$4,$I138&lt;BF$4+7),IF($K138="Deadline","◇","◆"),"")</f>
        <v/>
      </c>
      <c r="BG138" s="14" t="str">
        <f>IF(AND(ISNUMBER($I138),OR($K138="Milestone",$K138="Deadline"),$I138&gt;=BG$4,$I138&lt;BG$4+7),IF($K138="Deadline","◇","◆"),"")</f>
        <v/>
      </c>
      <c r="BH138" s="14" t="str">
        <f>IF(AND(ISNUMBER($I138),OR($K138="Milestone",$K138="Deadline"),$I138&gt;=BH$4,$I138&lt;BH$4+7),IF($K138="Deadline","◇","◆"),"")</f>
        <v/>
      </c>
      <c r="BI138" s="14" t="str">
        <f>IF(AND(ISNUMBER($I138),OR($K138="Milestone",$K138="Deadline"),$I138&gt;=BI$4,$I138&lt;BI$4+7),IF($K138="Deadline","◇","◆"),"")</f>
        <v/>
      </c>
      <c r="BJ138" s="14" t="str">
        <f>IF(AND(ISNUMBER($I138),OR($K138="Milestone",$K138="Deadline"),$I138&gt;=BJ$4,$I138&lt;BJ$4+7),IF($K138="Deadline","◇","◆"),"")</f>
        <v/>
      </c>
      <c r="BK138" s="14" t="str">
        <f>IF(AND(ISNUMBER($I138),OR($K138="Milestone",$K138="Deadline"),$I138&gt;=BK$4,$I138&lt;BK$4+7),IF($K138="Deadline","◇","◆"),"")</f>
        <v/>
      </c>
      <c r="BL138" s="14" t="str">
        <f>IF(AND(ISNUMBER($I138),OR($K138="Milestone",$K138="Deadline"),$I138&gt;=BL$4,$I138&lt;BL$4+7),IF($K138="Deadline","◇","◆"),"")</f>
        <v/>
      </c>
      <c r="BM138" s="14" t="str">
        <f>IF(AND(ISNUMBER($I138),OR($K138="Milestone",$K138="Deadline"),$I138&gt;=BM$4,$I138&lt;BM$4+7),IF($K138="Deadline","◇","◆"),"")</f>
        <v/>
      </c>
      <c r="BN138" s="14" t="str">
        <f>IF(AND(ISNUMBER($I138),OR($K138="Milestone",$K138="Deadline"),$I138&gt;=BN$4,$I138&lt;BN$4+7),IF($K138="Deadline","◇","◆"),"")</f>
        <v/>
      </c>
      <c r="BO138" s="14" t="str">
        <f>IF(AND(ISNUMBER($I138),OR($K138="Milestone",$K138="Deadline"),$I138&gt;=BO$4,$I138&lt;BO$4+7),IF($K138="Deadline","◇","◆"),"")</f>
        <v/>
      </c>
      <c r="BP138" s="14" t="str">
        <f>IF(AND(ISNUMBER($I138),OR($K138="Milestone",$K138="Deadline"),$I138&gt;=BP$4,$I138&lt;BP$4+7),IF($K138="Deadline","◇","◆"),"")</f>
        <v/>
      </c>
      <c r="BQ138" s="14" t="str">
        <f>IF(AND(ISNUMBER($I138),OR($K138="Milestone",$K138="Deadline"),$I138&gt;=BQ$4,$I138&lt;BQ$4+7),IF($K138="Deadline","◇","◆"),"")</f>
        <v/>
      </c>
      <c r="BR138" s="14" t="str">
        <f>IF(AND(ISNUMBER($I138),OR($K138="Milestone",$K138="Deadline"),$I138&gt;=BR$4,$I138&lt;BR$4+7),IF($K138="Deadline","◇","◆"),"")</f>
        <v/>
      </c>
      <c r="BS138" s="14" t="str">
        <f>IF(AND(ISNUMBER($I138),OR($K138="Milestone",$K138="Deadline"),$I138&gt;=BS$4,$I138&lt;BS$4+7),IF($K138="Deadline","◇","◆"),"")</f>
        <v/>
      </c>
      <c r="BT138" s="14" t="str">
        <f>IF(AND(ISNUMBER($I138),OR($K138="Milestone",$K138="Deadline"),$I138&gt;=BT$4,$I138&lt;BT$4+7),IF($K138="Deadline","◇","◆"),"")</f>
        <v/>
      </c>
      <c r="BU138" s="14" t="str">
        <f>IF(AND(ISNUMBER($I138),OR($K138="Milestone",$K138="Deadline"),$I138&gt;=BU$4,$I138&lt;BU$4+7),IF($K138="Deadline","◇","◆"),"")</f>
        <v/>
      </c>
      <c r="BV138" s="14" t="str">
        <f>IF(AND(ISNUMBER($I138),OR($K138="Milestone",$K138="Deadline"),$I138&gt;=BV$4,$I138&lt;BV$4+7),IF($K138="Deadline","◇","◆"),"")</f>
        <v/>
      </c>
      <c r="BW138" s="14" t="str">
        <f>IF(AND(ISNUMBER($I138),OR($K138="Milestone",$K138="Deadline"),$I138&gt;=BW$4,$I138&lt;BW$4+7),IF($K138="Deadline","◇","◆"),"")</f>
        <v/>
      </c>
      <c r="BX138" s="14" t="str">
        <f>IF(AND(ISNUMBER($I138),OR($K138="Milestone",$K138="Deadline"),$I138&gt;=BX$4,$I138&lt;BX$4+7),IF($K138="Deadline","◇","◆"),"")</f>
        <v/>
      </c>
      <c r="BY138" s="14" t="str">
        <f>IF(AND(ISNUMBER($I138),OR($K138="Milestone",$K138="Deadline"),$I138&gt;=BY$4,$I138&lt;BY$4+7),IF($K138="Deadline","◇","◆"),"")</f>
        <v/>
      </c>
      <c r="BZ138" s="14" t="str">
        <f>IF(AND(ISNUMBER($I138),OR($K138="Milestone",$K138="Deadline"),$I138&gt;=BZ$4,$I138&lt;BZ$4+7),IF($K138="Deadline","◇","◆"),"")</f>
        <v/>
      </c>
      <c r="CA138" s="14" t="str">
        <f>IF(AND(ISNUMBER($I138),OR($K138="Milestone",$K138="Deadline"),$I138&gt;=CA$4,$I138&lt;CA$4+7),IF($K138="Deadline","◇","◆"),"")</f>
        <v/>
      </c>
      <c r="CB138" s="14" t="str">
        <f>IF(AND(ISNUMBER($I138),OR($K138="Milestone",$K138="Deadline"),$I138&gt;=CB$4,$I138&lt;CB$4+7),IF($K138="Deadline","◇","◆"),"")</f>
        <v/>
      </c>
      <c r="CC138" s="14" t="str">
        <f>IF(AND(ISNUMBER($I138),OR($K138="Milestone",$K138="Deadline"),$I138&gt;=CC$4,$I138&lt;CC$4+7),IF($K138="Deadline","◇","◆"),"")</f>
        <v/>
      </c>
      <c r="CD138" s="14" t="str">
        <f>IF(AND(ISNUMBER($I138),OR($K138="Milestone",$K138="Deadline"),$I138&gt;=CD$4,$I138&lt;CD$4+7),IF($K138="Deadline","◇","◆"),"")</f>
        <v/>
      </c>
      <c r="CE138" s="14" t="str">
        <f>IF(AND(ISNUMBER($I138),OR($K138="Milestone",$K138="Deadline"),$I138&gt;=CE$4,$I138&lt;CE$4+7),IF($K138="Deadline","◇","◆"),"")</f>
        <v/>
      </c>
      <c r="CF138" s="14" t="str">
        <f>IF(AND(ISNUMBER($I138),OR($K138="Milestone",$K138="Deadline"),$I138&gt;=CF$4,$I138&lt;CF$4+7),IF($K138="Deadline","◇","◆"),"")</f>
        <v/>
      </c>
      <c r="CG138" s="14" t="str">
        <f>IF(AND(ISNUMBER($I138),OR($K138="Milestone",$K138="Deadline"),$I138&gt;=CG$4,$I138&lt;CG$4+7),IF($K138="Deadline","◇","◆"),"")</f>
        <v/>
      </c>
      <c r="CH138" s="14" t="str">
        <f>IF(AND(ISNUMBER($I138),OR($K138="Milestone",$K138="Deadline"),$I138&gt;=CH$4,$I138&lt;CH$4+7),IF($K138="Deadline","◇","◆"),"")</f>
        <v/>
      </c>
      <c r="CI138" s="14" t="str">
        <f>IF(AND(ISNUMBER($I138),OR($K138="Milestone",$K138="Deadline"),$I138&gt;=CI$4,$I138&lt;CI$4+7),IF($K138="Deadline","◇","◆"),"")</f>
        <v/>
      </c>
      <c r="CJ138" s="14" t="str">
        <f>IF(AND(ISNUMBER($I138),OR($K138="Milestone",$K138="Deadline"),$I138&gt;=CJ$4,$I138&lt;CJ$4+7),IF($K138="Deadline","◇","◆"),"")</f>
        <v/>
      </c>
      <c r="CK138" s="14" t="str">
        <f>IF(AND(ISNUMBER($I138),OR($K138="Milestone",$K138="Deadline"),$I138&gt;=CK$4,$I138&lt;CK$4+7),IF($K138="Deadline","◇","◆"),"")</f>
        <v/>
      </c>
      <c r="CL138" s="14" t="str">
        <f>IF(AND(ISNUMBER($I138),OR($K138="Milestone",$K138="Deadline"),$I138&gt;=CL$4,$I138&lt;CL$4+7),IF($K138="Deadline","◇","◆"),"")</f>
        <v/>
      </c>
      <c r="CM138" s="14" t="str">
        <f>IF(AND(ISNUMBER($I138),OR($K138="Milestone",$K138="Deadline"),$I138&gt;=CM$4,$I138&lt;CM$4+7),IF($K138="Deadline","◇","◆"),"")</f>
        <v/>
      </c>
    </row>
    <row r="139" spans="1:91" ht="15" hidden="1" customHeight="1">
      <c r="A139" s="35" t="s">
        <v>354</v>
      </c>
      <c r="B139" s="35" t="s">
        <v>347</v>
      </c>
      <c r="C139" s="35" t="s">
        <v>93</v>
      </c>
      <c r="D139" s="35" t="s">
        <v>348</v>
      </c>
      <c r="E139" s="35" t="s">
        <v>281</v>
      </c>
      <c r="F139" s="35" t="s">
        <v>170</v>
      </c>
      <c r="G139" s="35" t="s">
        <v>275</v>
      </c>
      <c r="H139" s="35">
        <v>8</v>
      </c>
      <c r="I139" s="36">
        <f>MAX($C$2,J138+1,J83+1)</f>
        <v>46393</v>
      </c>
      <c r="J139" s="37">
        <f>IF(AND(ISNUMBER(I139),ISNUMBER(H139)),I139+H139-1,"")</f>
        <v>46400</v>
      </c>
      <c r="K139" s="35" t="s">
        <v>27</v>
      </c>
      <c r="L139" s="35" t="s">
        <v>352</v>
      </c>
      <c r="M139" s="38" t="s">
        <v>253</v>
      </c>
      <c r="N139" s="35"/>
      <c r="O139" s="38">
        <f>IF(AND(ISNUMBER(I139),ISNUMBER(J139)),J139-I139+1,"")</f>
        <v>8</v>
      </c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 t="s">
        <v>140</v>
      </c>
      <c r="AH139" s="13"/>
      <c r="AI139" s="13"/>
      <c r="AJ139" s="13"/>
      <c r="AK139" s="13"/>
      <c r="AL139" s="13"/>
      <c r="AM139" s="13"/>
      <c r="AN139" s="13"/>
      <c r="AO139" s="14" t="str">
        <f>IF(AND(ISNUMBER($I139),OR($K139="Milestone",$K139="Deadline"),$I139&gt;=AO$4,$I139&lt;AO$4+7),IF($K139="Deadline","◇","◆"),"")</f>
        <v/>
      </c>
      <c r="AP139" s="14" t="str">
        <f>IF(AND(ISNUMBER($I139),OR($K139="Milestone",$K139="Deadline"),$I139&gt;=AP$4,$I139&lt;AP$4+7),IF($K139="Deadline","◇","◆"),"")</f>
        <v/>
      </c>
      <c r="AQ139" s="14" t="str">
        <f>IF(AND(ISNUMBER($I139),OR($K139="Milestone",$K139="Deadline"),$I139&gt;=AQ$4,$I139&lt;AQ$4+7),IF($K139="Deadline","◇","◆"),"")</f>
        <v/>
      </c>
      <c r="AR139" s="14" t="str">
        <f>IF(AND(ISNUMBER($I139),OR($K139="Milestone",$K139="Deadline"),$I139&gt;=AR$4,$I139&lt;AR$4+7),IF($K139="Deadline","◇","◆"),"")</f>
        <v/>
      </c>
      <c r="AS139" s="14" t="str">
        <f>IF(AND(ISNUMBER($I139),OR($K139="Milestone",$K139="Deadline"),$I139&gt;=AS$4,$I139&lt;AS$4+7),IF($K139="Deadline","◇","◆"),"")</f>
        <v/>
      </c>
      <c r="AT139" s="14" t="str">
        <f>IF(AND(ISNUMBER($I139),OR($K139="Milestone",$K139="Deadline"),$I139&gt;=AT$4,$I139&lt;AT$4+7),IF($K139="Deadline","◇","◆"),"")</f>
        <v/>
      </c>
      <c r="AU139" s="14" t="str">
        <f>IF(AND(ISNUMBER($I139),OR($K139="Milestone",$K139="Deadline"),$I139&gt;=AU$4,$I139&lt;AU$4+7),IF($K139="Deadline","◇","◆"),"")</f>
        <v/>
      </c>
      <c r="AV139" s="14" t="str">
        <f>IF(AND(ISNUMBER($I139),OR($K139="Milestone",$K139="Deadline"),$I139&gt;=AV$4,$I139&lt;AV$4+7),IF($K139="Deadline","◇","◆"),"")</f>
        <v/>
      </c>
      <c r="AW139" s="14" t="str">
        <f>IF(AND(ISNUMBER($I139),OR($K139="Milestone",$K139="Deadline"),$I139&gt;=AW$4,$I139&lt;AW$4+7),IF($K139="Deadline","◇","◆"),"")</f>
        <v/>
      </c>
      <c r="AX139" s="14" t="str">
        <f>IF(AND(ISNUMBER($I139),OR($K139="Milestone",$K139="Deadline"),$I139&gt;=AX$4,$I139&lt;AX$4+7),IF($K139="Deadline","◇","◆"),"")</f>
        <v/>
      </c>
      <c r="AY139" s="14" t="str">
        <f>IF(AND(ISNUMBER($I139),OR($K139="Milestone",$K139="Deadline"),$I139&gt;=AY$4,$I139&lt;AY$4+7),IF($K139="Deadline","◇","◆"),"")</f>
        <v/>
      </c>
      <c r="AZ139" s="14" t="str">
        <f>IF(AND(ISNUMBER($I139),OR($K139="Milestone",$K139="Deadline"),$I139&gt;=AZ$4,$I139&lt;AZ$4+7),IF($K139="Deadline","◇","◆"),"")</f>
        <v/>
      </c>
      <c r="BA139" s="14" t="str">
        <f>IF(AND(ISNUMBER($I139),OR($K139="Milestone",$K139="Deadline"),$I139&gt;=BA$4,$I139&lt;BA$4+7),IF($K139="Deadline","◇","◆"),"")</f>
        <v/>
      </c>
      <c r="BB139" s="14" t="str">
        <f>IF(AND(ISNUMBER($I139),OR($K139="Milestone",$K139="Deadline"),$I139&gt;=BB$4,$I139&lt;BB$4+7),IF($K139="Deadline","◇","◆"),"")</f>
        <v/>
      </c>
      <c r="BC139" s="14" t="str">
        <f>IF(AND(ISNUMBER($I139),OR($K139="Milestone",$K139="Deadline"),$I139&gt;=BC$4,$I139&lt;BC$4+7),IF($K139="Deadline","◇","◆"),"")</f>
        <v/>
      </c>
      <c r="BD139" s="14" t="str">
        <f>IF(AND(ISNUMBER($I139),OR($K139="Milestone",$K139="Deadline"),$I139&gt;=BD$4,$I139&lt;BD$4+7),IF($K139="Deadline","◇","◆"),"")</f>
        <v/>
      </c>
      <c r="BE139" s="14" t="str">
        <f>IF(AND(ISNUMBER($I139),OR($K139="Milestone",$K139="Deadline"),$I139&gt;=BE$4,$I139&lt;BE$4+7),IF($K139="Deadline","◇","◆"),"")</f>
        <v/>
      </c>
      <c r="BF139" s="14" t="str">
        <f>IF(AND(ISNUMBER($I139),OR($K139="Milestone",$K139="Deadline"),$I139&gt;=BF$4,$I139&lt;BF$4+7),IF($K139="Deadline","◇","◆"),"")</f>
        <v/>
      </c>
      <c r="BG139" s="14" t="str">
        <f>IF(AND(ISNUMBER($I139),OR($K139="Milestone",$K139="Deadline"),$I139&gt;=BG$4,$I139&lt;BG$4+7),IF($K139="Deadline","◇","◆"),"")</f>
        <v/>
      </c>
      <c r="BH139" s="14" t="str">
        <f>IF(AND(ISNUMBER($I139),OR($K139="Milestone",$K139="Deadline"),$I139&gt;=BH$4,$I139&lt;BH$4+7),IF($K139="Deadline","◇","◆"),"")</f>
        <v/>
      </c>
      <c r="BI139" s="14" t="str">
        <f>IF(AND(ISNUMBER($I139),OR($K139="Milestone",$K139="Deadline"),$I139&gt;=BI$4,$I139&lt;BI$4+7),IF($K139="Deadline","◇","◆"),"")</f>
        <v/>
      </c>
      <c r="BJ139" s="14" t="str">
        <f>IF(AND(ISNUMBER($I139),OR($K139="Milestone",$K139="Deadline"),$I139&gt;=BJ$4,$I139&lt;BJ$4+7),IF($K139="Deadline","◇","◆"),"")</f>
        <v/>
      </c>
      <c r="BK139" s="14" t="str">
        <f>IF(AND(ISNUMBER($I139),OR($K139="Milestone",$K139="Deadline"),$I139&gt;=BK$4,$I139&lt;BK$4+7),IF($K139="Deadline","◇","◆"),"")</f>
        <v/>
      </c>
      <c r="BL139" s="14" t="str">
        <f>IF(AND(ISNUMBER($I139),OR($K139="Milestone",$K139="Deadline"),$I139&gt;=BL$4,$I139&lt;BL$4+7),IF($K139="Deadline","◇","◆"),"")</f>
        <v/>
      </c>
      <c r="BM139" s="14" t="str">
        <f>IF(AND(ISNUMBER($I139),OR($K139="Milestone",$K139="Deadline"),$I139&gt;=BM$4,$I139&lt;BM$4+7),IF($K139="Deadline","◇","◆"),"")</f>
        <v/>
      </c>
      <c r="BN139" s="14" t="str">
        <f>IF(AND(ISNUMBER($I139),OR($K139="Milestone",$K139="Deadline"),$I139&gt;=BN$4,$I139&lt;BN$4+7),IF($K139="Deadline","◇","◆"),"")</f>
        <v/>
      </c>
      <c r="BO139" s="14" t="str">
        <f>IF(AND(ISNUMBER($I139),OR($K139="Milestone",$K139="Deadline"),$I139&gt;=BO$4,$I139&lt;BO$4+7),IF($K139="Deadline","◇","◆"),"")</f>
        <v/>
      </c>
      <c r="BP139" s="14" t="str">
        <f>IF(AND(ISNUMBER($I139),OR($K139="Milestone",$K139="Deadline"),$I139&gt;=BP$4,$I139&lt;BP$4+7),IF($K139="Deadline","◇","◆"),"")</f>
        <v/>
      </c>
      <c r="BQ139" s="14" t="str">
        <f>IF(AND(ISNUMBER($I139),OR($K139="Milestone",$K139="Deadline"),$I139&gt;=BQ$4,$I139&lt;BQ$4+7),IF($K139="Deadline","◇","◆"),"")</f>
        <v/>
      </c>
      <c r="BR139" s="14" t="str">
        <f>IF(AND(ISNUMBER($I139),OR($K139="Milestone",$K139="Deadline"),$I139&gt;=BR$4,$I139&lt;BR$4+7),IF($K139="Deadline","◇","◆"),"")</f>
        <v/>
      </c>
      <c r="BS139" s="14" t="str">
        <f>IF(AND(ISNUMBER($I139),OR($K139="Milestone",$K139="Deadline"),$I139&gt;=BS$4,$I139&lt;BS$4+7),IF($K139="Deadline","◇","◆"),"")</f>
        <v/>
      </c>
      <c r="BT139" s="14" t="str">
        <f>IF(AND(ISNUMBER($I139),OR($K139="Milestone",$K139="Deadline"),$I139&gt;=BT$4,$I139&lt;BT$4+7),IF($K139="Deadline","◇","◆"),"")</f>
        <v/>
      </c>
      <c r="BU139" s="14" t="str">
        <f>IF(AND(ISNUMBER($I139),OR($K139="Milestone",$K139="Deadline"),$I139&gt;=BU$4,$I139&lt;BU$4+7),IF($K139="Deadline","◇","◆"),"")</f>
        <v/>
      </c>
      <c r="BV139" s="14" t="str">
        <f>IF(AND(ISNUMBER($I139),OR($K139="Milestone",$K139="Deadline"),$I139&gt;=BV$4,$I139&lt;BV$4+7),IF($K139="Deadline","◇","◆"),"")</f>
        <v/>
      </c>
      <c r="BW139" s="14" t="str">
        <f>IF(AND(ISNUMBER($I139),OR($K139="Milestone",$K139="Deadline"),$I139&gt;=BW$4,$I139&lt;BW$4+7),IF($K139="Deadline","◇","◆"),"")</f>
        <v/>
      </c>
      <c r="BX139" s="14" t="str">
        <f>IF(AND(ISNUMBER($I139),OR($K139="Milestone",$K139="Deadline"),$I139&gt;=BX$4,$I139&lt;BX$4+7),IF($K139="Deadline","◇","◆"),"")</f>
        <v/>
      </c>
      <c r="BY139" s="14" t="str">
        <f>IF(AND(ISNUMBER($I139),OR($K139="Milestone",$K139="Deadline"),$I139&gt;=BY$4,$I139&lt;BY$4+7),IF($K139="Deadline","◇","◆"),"")</f>
        <v/>
      </c>
      <c r="BZ139" s="14" t="str">
        <f>IF(AND(ISNUMBER($I139),OR($K139="Milestone",$K139="Deadline"),$I139&gt;=BZ$4,$I139&lt;BZ$4+7),IF($K139="Deadline","◇","◆"),"")</f>
        <v/>
      </c>
      <c r="CA139" s="14" t="str">
        <f>IF(AND(ISNUMBER($I139),OR($K139="Milestone",$K139="Deadline"),$I139&gt;=CA$4,$I139&lt;CA$4+7),IF($K139="Deadline","◇","◆"),"")</f>
        <v/>
      </c>
      <c r="CB139" s="14" t="str">
        <f>IF(AND(ISNUMBER($I139),OR($K139="Milestone",$K139="Deadline"),$I139&gt;=CB$4,$I139&lt;CB$4+7),IF($K139="Deadline","◇","◆"),"")</f>
        <v/>
      </c>
      <c r="CC139" s="14" t="str">
        <f>IF(AND(ISNUMBER($I139),OR($K139="Milestone",$K139="Deadline"),$I139&gt;=CC$4,$I139&lt;CC$4+7),IF($K139="Deadline","◇","◆"),"")</f>
        <v/>
      </c>
      <c r="CD139" s="14" t="str">
        <f>IF(AND(ISNUMBER($I139),OR($K139="Milestone",$K139="Deadline"),$I139&gt;=CD$4,$I139&lt;CD$4+7),IF($K139="Deadline","◇","◆"),"")</f>
        <v/>
      </c>
      <c r="CE139" s="14" t="str">
        <f>IF(AND(ISNUMBER($I139),OR($K139="Milestone",$K139="Deadline"),$I139&gt;=CE$4,$I139&lt;CE$4+7),IF($K139="Deadline","◇","◆"),"")</f>
        <v/>
      </c>
      <c r="CF139" s="14" t="str">
        <f>IF(AND(ISNUMBER($I139),OR($K139="Milestone",$K139="Deadline"),$I139&gt;=CF$4,$I139&lt;CF$4+7),IF($K139="Deadline","◇","◆"),"")</f>
        <v/>
      </c>
      <c r="CG139" s="14" t="str">
        <f>IF(AND(ISNUMBER($I139),OR($K139="Milestone",$K139="Deadline"),$I139&gt;=CG$4,$I139&lt;CG$4+7),IF($K139="Deadline","◇","◆"),"")</f>
        <v/>
      </c>
      <c r="CH139" s="14" t="str">
        <f>IF(AND(ISNUMBER($I139),OR($K139="Milestone",$K139="Deadline"),$I139&gt;=CH$4,$I139&lt;CH$4+7),IF($K139="Deadline","◇","◆"),"")</f>
        <v/>
      </c>
      <c r="CI139" s="14" t="str">
        <f>IF(AND(ISNUMBER($I139),OR($K139="Milestone",$K139="Deadline"),$I139&gt;=CI$4,$I139&lt;CI$4+7),IF($K139="Deadline","◇","◆"),"")</f>
        <v/>
      </c>
      <c r="CJ139" s="14" t="str">
        <f>IF(AND(ISNUMBER($I139),OR($K139="Milestone",$K139="Deadline"),$I139&gt;=CJ$4,$I139&lt;CJ$4+7),IF($K139="Deadline","◇","◆"),"")</f>
        <v/>
      </c>
      <c r="CK139" s="14" t="str">
        <f>IF(AND(ISNUMBER($I139),OR($K139="Milestone",$K139="Deadline"),$I139&gt;=CK$4,$I139&lt;CK$4+7),IF($K139="Deadline","◇","◆"),"")</f>
        <v/>
      </c>
      <c r="CL139" s="14" t="str">
        <f>IF(AND(ISNUMBER($I139),OR($K139="Milestone",$K139="Deadline"),$I139&gt;=CL$4,$I139&lt;CL$4+7),IF($K139="Deadline","◇","◆"),"")</f>
        <v/>
      </c>
      <c r="CM139" s="14" t="str">
        <f>IF(AND(ISNUMBER($I139),OR($K139="Milestone",$K139="Deadline"),$I139&gt;=CM$4,$I139&lt;CM$4+7),IF($K139="Deadline","◇","◆"),"")</f>
        <v/>
      </c>
    </row>
    <row r="140" spans="1:91" ht="15" hidden="1" customHeight="1">
      <c r="A140" s="35" t="s">
        <v>355</v>
      </c>
      <c r="B140" s="35" t="s">
        <v>347</v>
      </c>
      <c r="C140" s="35" t="s">
        <v>191</v>
      </c>
      <c r="D140" s="35" t="s">
        <v>348</v>
      </c>
      <c r="E140" s="35" t="s">
        <v>281</v>
      </c>
      <c r="F140" s="35" t="s">
        <v>170</v>
      </c>
      <c r="G140" s="35" t="s">
        <v>278</v>
      </c>
      <c r="H140" s="35">
        <v>6</v>
      </c>
      <c r="I140" s="36">
        <f>MAX(DATE(2027,3,1),J139+1,J62+1)</f>
        <v>46465</v>
      </c>
      <c r="J140" s="37">
        <f>IF(AND(ISNUMBER(I140),ISNUMBER(H140)),I140+H140-1,"")</f>
        <v>46470</v>
      </c>
      <c r="K140" s="35" t="s">
        <v>27</v>
      </c>
      <c r="L140" s="35" t="s">
        <v>354</v>
      </c>
      <c r="M140" s="38" t="s">
        <v>213</v>
      </c>
      <c r="N140" s="35"/>
      <c r="O140" s="38">
        <f>IF(AND(ISNUMBER(I140),ISNUMBER(J140)),J140-I140+1,"")</f>
        <v>6</v>
      </c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 t="s">
        <v>140</v>
      </c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4" t="str">
        <f>IF(AND(ISNUMBER($I140),OR($K140="Milestone",$K140="Deadline"),$I140&gt;=AO$4,$I140&lt;AO$4+7),IF($K140="Deadline","◇","◆"),"")</f>
        <v/>
      </c>
      <c r="AP140" s="14" t="str">
        <f>IF(AND(ISNUMBER($I140),OR($K140="Milestone",$K140="Deadline"),$I140&gt;=AP$4,$I140&lt;AP$4+7),IF($K140="Deadline","◇","◆"),"")</f>
        <v/>
      </c>
      <c r="AQ140" s="14" t="str">
        <f>IF(AND(ISNUMBER($I140),OR($K140="Milestone",$K140="Deadline"),$I140&gt;=AQ$4,$I140&lt;AQ$4+7),IF($K140="Deadline","◇","◆"),"")</f>
        <v/>
      </c>
      <c r="AR140" s="14" t="str">
        <f>IF(AND(ISNUMBER($I140),OR($K140="Milestone",$K140="Deadline"),$I140&gt;=AR$4,$I140&lt;AR$4+7),IF($K140="Deadline","◇","◆"),"")</f>
        <v/>
      </c>
      <c r="AS140" s="14" t="str">
        <f>IF(AND(ISNUMBER($I140),OR($K140="Milestone",$K140="Deadline"),$I140&gt;=AS$4,$I140&lt;AS$4+7),IF($K140="Deadline","◇","◆"),"")</f>
        <v/>
      </c>
      <c r="AT140" s="14" t="str">
        <f>IF(AND(ISNUMBER($I140),OR($K140="Milestone",$K140="Deadline"),$I140&gt;=AT$4,$I140&lt;AT$4+7),IF($K140="Deadline","◇","◆"),"")</f>
        <v/>
      </c>
      <c r="AU140" s="14" t="str">
        <f>IF(AND(ISNUMBER($I140),OR($K140="Milestone",$K140="Deadline"),$I140&gt;=AU$4,$I140&lt;AU$4+7),IF($K140="Deadline","◇","◆"),"")</f>
        <v/>
      </c>
      <c r="AV140" s="14" t="str">
        <f>IF(AND(ISNUMBER($I140),OR($K140="Milestone",$K140="Deadline"),$I140&gt;=AV$4,$I140&lt;AV$4+7),IF($K140="Deadline","◇","◆"),"")</f>
        <v/>
      </c>
      <c r="AW140" s="14" t="str">
        <f>IF(AND(ISNUMBER($I140),OR($K140="Milestone",$K140="Deadline"),$I140&gt;=AW$4,$I140&lt;AW$4+7),IF($K140="Deadline","◇","◆"),"")</f>
        <v/>
      </c>
      <c r="AX140" s="14" t="str">
        <f>IF(AND(ISNUMBER($I140),OR($K140="Milestone",$K140="Deadline"),$I140&gt;=AX$4,$I140&lt;AX$4+7),IF($K140="Deadline","◇","◆"),"")</f>
        <v/>
      </c>
      <c r="AY140" s="14" t="str">
        <f>IF(AND(ISNUMBER($I140),OR($K140="Milestone",$K140="Deadline"),$I140&gt;=AY$4,$I140&lt;AY$4+7),IF($K140="Deadline","◇","◆"),"")</f>
        <v/>
      </c>
      <c r="AZ140" s="14" t="str">
        <f>IF(AND(ISNUMBER($I140),OR($K140="Milestone",$K140="Deadline"),$I140&gt;=AZ$4,$I140&lt;AZ$4+7),IF($K140="Deadline","◇","◆"),"")</f>
        <v/>
      </c>
      <c r="BA140" s="14" t="str">
        <f>IF(AND(ISNUMBER($I140),OR($K140="Milestone",$K140="Deadline"),$I140&gt;=BA$4,$I140&lt;BA$4+7),IF($K140="Deadline","◇","◆"),"")</f>
        <v/>
      </c>
      <c r="BB140" s="14" t="str">
        <f>IF(AND(ISNUMBER($I140),OR($K140="Milestone",$K140="Deadline"),$I140&gt;=BB$4,$I140&lt;BB$4+7),IF($K140="Deadline","◇","◆"),"")</f>
        <v/>
      </c>
      <c r="BC140" s="14" t="str">
        <f>IF(AND(ISNUMBER($I140),OR($K140="Milestone",$K140="Deadline"),$I140&gt;=BC$4,$I140&lt;BC$4+7),IF($K140="Deadline","◇","◆"),"")</f>
        <v/>
      </c>
      <c r="BD140" s="14" t="str">
        <f>IF(AND(ISNUMBER($I140),OR($K140="Milestone",$K140="Deadline"),$I140&gt;=BD$4,$I140&lt;BD$4+7),IF($K140="Deadline","◇","◆"),"")</f>
        <v/>
      </c>
      <c r="BE140" s="14" t="str">
        <f>IF(AND(ISNUMBER($I140),OR($K140="Milestone",$K140="Deadline"),$I140&gt;=BE$4,$I140&lt;BE$4+7),IF($K140="Deadline","◇","◆"),"")</f>
        <v/>
      </c>
      <c r="BF140" s="14" t="str">
        <f>IF(AND(ISNUMBER($I140),OR($K140="Milestone",$K140="Deadline"),$I140&gt;=BF$4,$I140&lt;BF$4+7),IF($K140="Deadline","◇","◆"),"")</f>
        <v/>
      </c>
      <c r="BG140" s="14" t="str">
        <f>IF(AND(ISNUMBER($I140),OR($K140="Milestone",$K140="Deadline"),$I140&gt;=BG$4,$I140&lt;BG$4+7),IF($K140="Deadline","◇","◆"),"")</f>
        <v/>
      </c>
      <c r="BH140" s="14" t="str">
        <f>IF(AND(ISNUMBER($I140),OR($K140="Milestone",$K140="Deadline"),$I140&gt;=BH$4,$I140&lt;BH$4+7),IF($K140="Deadline","◇","◆"),"")</f>
        <v/>
      </c>
      <c r="BI140" s="14" t="str">
        <f>IF(AND(ISNUMBER($I140),OR($K140="Milestone",$K140="Deadline"),$I140&gt;=BI$4,$I140&lt;BI$4+7),IF($K140="Deadline","◇","◆"),"")</f>
        <v/>
      </c>
      <c r="BJ140" s="14" t="str">
        <f>IF(AND(ISNUMBER($I140),OR($K140="Milestone",$K140="Deadline"),$I140&gt;=BJ$4,$I140&lt;BJ$4+7),IF($K140="Deadline","◇","◆"),"")</f>
        <v/>
      </c>
      <c r="BK140" s="14" t="str">
        <f>IF(AND(ISNUMBER($I140),OR($K140="Milestone",$K140="Deadline"),$I140&gt;=BK$4,$I140&lt;BK$4+7),IF($K140="Deadline","◇","◆"),"")</f>
        <v/>
      </c>
      <c r="BL140" s="14" t="str">
        <f>IF(AND(ISNUMBER($I140),OR($K140="Milestone",$K140="Deadline"),$I140&gt;=BL$4,$I140&lt;BL$4+7),IF($K140="Deadline","◇","◆"),"")</f>
        <v/>
      </c>
      <c r="BM140" s="14" t="str">
        <f>IF(AND(ISNUMBER($I140),OR($K140="Milestone",$K140="Deadline"),$I140&gt;=BM$4,$I140&lt;BM$4+7),IF($K140="Deadline","◇","◆"),"")</f>
        <v/>
      </c>
      <c r="BN140" s="14" t="str">
        <f>IF(AND(ISNUMBER($I140),OR($K140="Milestone",$K140="Deadline"),$I140&gt;=BN$4,$I140&lt;BN$4+7),IF($K140="Deadline","◇","◆"),"")</f>
        <v/>
      </c>
      <c r="BO140" s="14" t="str">
        <f>IF(AND(ISNUMBER($I140),OR($K140="Milestone",$K140="Deadline"),$I140&gt;=BO$4,$I140&lt;BO$4+7),IF($K140="Deadline","◇","◆"),"")</f>
        <v/>
      </c>
      <c r="BP140" s="14" t="str">
        <f>IF(AND(ISNUMBER($I140),OR($K140="Milestone",$K140="Deadline"),$I140&gt;=BP$4,$I140&lt;BP$4+7),IF($K140="Deadline","◇","◆"),"")</f>
        <v/>
      </c>
      <c r="BQ140" s="14" t="str">
        <f>IF(AND(ISNUMBER($I140),OR($K140="Milestone",$K140="Deadline"),$I140&gt;=BQ$4,$I140&lt;BQ$4+7),IF($K140="Deadline","◇","◆"),"")</f>
        <v/>
      </c>
      <c r="BR140" s="14" t="str">
        <f>IF(AND(ISNUMBER($I140),OR($K140="Milestone",$K140="Deadline"),$I140&gt;=BR$4,$I140&lt;BR$4+7),IF($K140="Deadline","◇","◆"),"")</f>
        <v/>
      </c>
      <c r="BS140" s="14" t="str">
        <f>IF(AND(ISNUMBER($I140),OR($K140="Milestone",$K140="Deadline"),$I140&gt;=BS$4,$I140&lt;BS$4+7),IF($K140="Deadline","◇","◆"),"")</f>
        <v/>
      </c>
      <c r="BT140" s="14" t="str">
        <f>IF(AND(ISNUMBER($I140),OR($K140="Milestone",$K140="Deadline"),$I140&gt;=BT$4,$I140&lt;BT$4+7),IF($K140="Deadline","◇","◆"),"")</f>
        <v/>
      </c>
      <c r="BU140" s="14" t="str">
        <f>IF(AND(ISNUMBER($I140),OR($K140="Milestone",$K140="Deadline"),$I140&gt;=BU$4,$I140&lt;BU$4+7),IF($K140="Deadline","◇","◆"),"")</f>
        <v/>
      </c>
      <c r="BV140" s="14" t="str">
        <f>IF(AND(ISNUMBER($I140),OR($K140="Milestone",$K140="Deadline"),$I140&gt;=BV$4,$I140&lt;BV$4+7),IF($K140="Deadline","◇","◆"),"")</f>
        <v/>
      </c>
      <c r="BW140" s="14" t="str">
        <f>IF(AND(ISNUMBER($I140),OR($K140="Milestone",$K140="Deadline"),$I140&gt;=BW$4,$I140&lt;BW$4+7),IF($K140="Deadline","◇","◆"),"")</f>
        <v/>
      </c>
      <c r="BX140" s="14" t="str">
        <f>IF(AND(ISNUMBER($I140),OR($K140="Milestone",$K140="Deadline"),$I140&gt;=BX$4,$I140&lt;BX$4+7),IF($K140="Deadline","◇","◆"),"")</f>
        <v/>
      </c>
      <c r="BY140" s="14" t="str">
        <f>IF(AND(ISNUMBER($I140),OR($K140="Milestone",$K140="Deadline"),$I140&gt;=BY$4,$I140&lt;BY$4+7),IF($K140="Deadline","◇","◆"),"")</f>
        <v/>
      </c>
      <c r="BZ140" s="14" t="str">
        <f>IF(AND(ISNUMBER($I140),OR($K140="Milestone",$K140="Deadline"),$I140&gt;=BZ$4,$I140&lt;BZ$4+7),IF($K140="Deadline","◇","◆"),"")</f>
        <v/>
      </c>
      <c r="CA140" s="14" t="str">
        <f>IF(AND(ISNUMBER($I140),OR($K140="Milestone",$K140="Deadline"),$I140&gt;=CA$4,$I140&lt;CA$4+7),IF($K140="Deadline","◇","◆"),"")</f>
        <v/>
      </c>
      <c r="CB140" s="14" t="str">
        <f>IF(AND(ISNUMBER($I140),OR($K140="Milestone",$K140="Deadline"),$I140&gt;=CB$4,$I140&lt;CB$4+7),IF($K140="Deadline","◇","◆"),"")</f>
        <v/>
      </c>
      <c r="CC140" s="14" t="str">
        <f>IF(AND(ISNUMBER($I140),OR($K140="Milestone",$K140="Deadline"),$I140&gt;=CC$4,$I140&lt;CC$4+7),IF($K140="Deadline","◇","◆"),"")</f>
        <v/>
      </c>
      <c r="CD140" s="14" t="str">
        <f>IF(AND(ISNUMBER($I140),OR($K140="Milestone",$K140="Deadline"),$I140&gt;=CD$4,$I140&lt;CD$4+7),IF($K140="Deadline","◇","◆"),"")</f>
        <v/>
      </c>
      <c r="CE140" s="14" t="str">
        <f>IF(AND(ISNUMBER($I140),OR($K140="Milestone",$K140="Deadline"),$I140&gt;=CE$4,$I140&lt;CE$4+7),IF($K140="Deadline","◇","◆"),"")</f>
        <v/>
      </c>
      <c r="CF140" s="14" t="str">
        <f>IF(AND(ISNUMBER($I140),OR($K140="Milestone",$K140="Deadline"),$I140&gt;=CF$4,$I140&lt;CF$4+7),IF($K140="Deadline","◇","◆"),"")</f>
        <v/>
      </c>
      <c r="CG140" s="14" t="str">
        <f>IF(AND(ISNUMBER($I140),OR($K140="Milestone",$K140="Deadline"),$I140&gt;=CG$4,$I140&lt;CG$4+7),IF($K140="Deadline","◇","◆"),"")</f>
        <v/>
      </c>
      <c r="CH140" s="14" t="str">
        <f>IF(AND(ISNUMBER($I140),OR($K140="Milestone",$K140="Deadline"),$I140&gt;=CH$4,$I140&lt;CH$4+7),IF($K140="Deadline","◇","◆"),"")</f>
        <v/>
      </c>
      <c r="CI140" s="14" t="str">
        <f>IF(AND(ISNUMBER($I140),OR($K140="Milestone",$K140="Deadline"),$I140&gt;=CI$4,$I140&lt;CI$4+7),IF($K140="Deadline","◇","◆"),"")</f>
        <v/>
      </c>
      <c r="CJ140" s="14" t="str">
        <f>IF(AND(ISNUMBER($I140),OR($K140="Milestone",$K140="Deadline"),$I140&gt;=CJ$4,$I140&lt;CJ$4+7),IF($K140="Deadline","◇","◆"),"")</f>
        <v/>
      </c>
      <c r="CK140" s="14" t="str">
        <f>IF(AND(ISNUMBER($I140),OR($K140="Milestone",$K140="Deadline"),$I140&gt;=CK$4,$I140&lt;CK$4+7),IF($K140="Deadline","◇","◆"),"")</f>
        <v/>
      </c>
      <c r="CL140" s="14" t="str">
        <f>IF(AND(ISNUMBER($I140),OR($K140="Milestone",$K140="Deadline"),$I140&gt;=CL$4,$I140&lt;CL$4+7),IF($K140="Deadline","◇","◆"),"")</f>
        <v/>
      </c>
      <c r="CM140" s="14" t="str">
        <f>IF(AND(ISNUMBER($I140),OR($K140="Milestone",$K140="Deadline"),$I140&gt;=CM$4,$I140&lt;CM$4+7),IF($K140="Deadline","◇","◆"),"")</f>
        <v/>
      </c>
    </row>
    <row r="141" spans="1:91" ht="15" customHeight="1">
      <c r="A141" s="35" t="s">
        <v>356</v>
      </c>
      <c r="B141" s="35" t="s">
        <v>347</v>
      </c>
      <c r="C141" s="35" t="s">
        <v>93</v>
      </c>
      <c r="D141" s="35" t="s">
        <v>348</v>
      </c>
      <c r="E141" s="35" t="s">
        <v>281</v>
      </c>
      <c r="F141" s="35" t="s">
        <v>179</v>
      </c>
      <c r="G141" s="35" t="s">
        <v>198</v>
      </c>
      <c r="H141" s="35">
        <v>7</v>
      </c>
      <c r="I141" s="36">
        <f>MAX($C$2,J135+1,J158+1)</f>
        <v>46344</v>
      </c>
      <c r="J141" s="37">
        <f>IF(AND(ISNUMBER(I141),ISNUMBER(H141)),I141+H141-1,"")</f>
        <v>46350</v>
      </c>
      <c r="K141" s="35" t="s">
        <v>27</v>
      </c>
      <c r="L141" s="35" t="s">
        <v>346</v>
      </c>
      <c r="M141" s="38" t="s">
        <v>357</v>
      </c>
      <c r="N141" s="35"/>
      <c r="O141" s="38">
        <f>IF(AND(ISNUMBER(I141),ISNUMBER(J141)),J141-I141+1,"")</f>
        <v>7</v>
      </c>
      <c r="P141" s="13"/>
      <c r="Q141" s="13"/>
      <c r="R141" s="13"/>
      <c r="S141" s="13" t="s">
        <v>140</v>
      </c>
      <c r="T141" s="13"/>
      <c r="U141" s="13" t="s">
        <v>140</v>
      </c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4" t="str">
        <f>IF(AND(ISNUMBER($I141),OR($K141="Milestone",$K141="Deadline"),$I141&gt;=AO$4,$I141&lt;AO$4+7),IF($K141="Deadline","◇","◆"),"")</f>
        <v/>
      </c>
      <c r="AP141" s="14" t="str">
        <f>IF(AND(ISNUMBER($I141),OR($K141="Milestone",$K141="Deadline"),$I141&gt;=AP$4,$I141&lt;AP$4+7),IF($K141="Deadline","◇","◆"),"")</f>
        <v/>
      </c>
      <c r="AQ141" s="14" t="str">
        <f>IF(AND(ISNUMBER($I141),OR($K141="Milestone",$K141="Deadline"),$I141&gt;=AQ$4,$I141&lt;AQ$4+7),IF($K141="Deadline","◇","◆"),"")</f>
        <v/>
      </c>
      <c r="AR141" s="14" t="str">
        <f>IF(AND(ISNUMBER($I141),OR($K141="Milestone",$K141="Deadline"),$I141&gt;=AR$4,$I141&lt;AR$4+7),IF($K141="Deadline","◇","◆"),"")</f>
        <v/>
      </c>
      <c r="AS141" s="14" t="str">
        <f>IF(AND(ISNUMBER($I141),OR($K141="Milestone",$K141="Deadline"),$I141&gt;=AS$4,$I141&lt;AS$4+7),IF($K141="Deadline","◇","◆"),"")</f>
        <v/>
      </c>
      <c r="AT141" s="14" t="str">
        <f>IF(AND(ISNUMBER($I141),OR($K141="Milestone",$K141="Deadline"),$I141&gt;=AT$4,$I141&lt;AT$4+7),IF($K141="Deadline","◇","◆"),"")</f>
        <v/>
      </c>
      <c r="AU141" s="14" t="str">
        <f>IF(AND(ISNUMBER($I141),OR($K141="Milestone",$K141="Deadline"),$I141&gt;=AU$4,$I141&lt;AU$4+7),IF($K141="Deadline","◇","◆"),"")</f>
        <v/>
      </c>
      <c r="AV141" s="14" t="str">
        <f>IF(AND(ISNUMBER($I141),OR($K141="Milestone",$K141="Deadline"),$I141&gt;=AV$4,$I141&lt;AV$4+7),IF($K141="Deadline","◇","◆"),"")</f>
        <v/>
      </c>
      <c r="AW141" s="14" t="str">
        <f>IF(AND(ISNUMBER($I141),OR($K141="Milestone",$K141="Deadline"),$I141&gt;=AW$4,$I141&lt;AW$4+7),IF($K141="Deadline","◇","◆"),"")</f>
        <v/>
      </c>
      <c r="AX141" s="14" t="str">
        <f>IF(AND(ISNUMBER($I141),OR($K141="Milestone",$K141="Deadline"),$I141&gt;=AX$4,$I141&lt;AX$4+7),IF($K141="Deadline","◇","◆"),"")</f>
        <v/>
      </c>
      <c r="AY141" s="14" t="str">
        <f>IF(AND(ISNUMBER($I141),OR($K141="Milestone",$K141="Deadline"),$I141&gt;=AY$4,$I141&lt;AY$4+7),IF($K141="Deadline","◇","◆"),"")</f>
        <v/>
      </c>
      <c r="AZ141" s="14" t="str">
        <f>IF(AND(ISNUMBER($I141),OR($K141="Milestone",$K141="Deadline"),$I141&gt;=AZ$4,$I141&lt;AZ$4+7),IF($K141="Deadline","◇","◆"),"")</f>
        <v/>
      </c>
      <c r="BA141" s="14" t="str">
        <f>IF(AND(ISNUMBER($I141),OR($K141="Milestone",$K141="Deadline"),$I141&gt;=BA$4,$I141&lt;BA$4+7),IF($K141="Deadline","◇","◆"),"")</f>
        <v/>
      </c>
      <c r="BB141" s="14" t="str">
        <f>IF(AND(ISNUMBER($I141),OR($K141="Milestone",$K141="Deadline"),$I141&gt;=BB$4,$I141&lt;BB$4+7),IF($K141="Deadline","◇","◆"),"")</f>
        <v/>
      </c>
      <c r="BC141" s="14" t="str">
        <f>IF(AND(ISNUMBER($I141),OR($K141="Milestone",$K141="Deadline"),$I141&gt;=BC$4,$I141&lt;BC$4+7),IF($K141="Deadline","◇","◆"),"")</f>
        <v/>
      </c>
      <c r="BD141" s="14" t="str">
        <f>IF(AND(ISNUMBER($I141),OR($K141="Milestone",$K141="Deadline"),$I141&gt;=BD$4,$I141&lt;BD$4+7),IF($K141="Deadline","◇","◆"),"")</f>
        <v/>
      </c>
      <c r="BE141" s="14" t="str">
        <f>IF(AND(ISNUMBER($I141),OR($K141="Milestone",$K141="Deadline"),$I141&gt;=BE$4,$I141&lt;BE$4+7),IF($K141="Deadline","◇","◆"),"")</f>
        <v/>
      </c>
      <c r="BF141" s="14" t="str">
        <f>IF(AND(ISNUMBER($I141),OR($K141="Milestone",$K141="Deadline"),$I141&gt;=BF$4,$I141&lt;BF$4+7),IF($K141="Deadline","◇","◆"),"")</f>
        <v/>
      </c>
      <c r="BG141" s="14" t="str">
        <f>IF(AND(ISNUMBER($I141),OR($K141="Milestone",$K141="Deadline"),$I141&gt;=BG$4,$I141&lt;BG$4+7),IF($K141="Deadline","◇","◆"),"")</f>
        <v/>
      </c>
      <c r="BH141" s="14" t="str">
        <f>IF(AND(ISNUMBER($I141),OR($K141="Milestone",$K141="Deadline"),$I141&gt;=BH$4,$I141&lt;BH$4+7),IF($K141="Deadline","◇","◆"),"")</f>
        <v/>
      </c>
      <c r="BI141" s="14" t="str">
        <f>IF(AND(ISNUMBER($I141),OR($K141="Milestone",$K141="Deadline"),$I141&gt;=BI$4,$I141&lt;BI$4+7),IF($K141="Deadline","◇","◆"),"")</f>
        <v/>
      </c>
      <c r="BJ141" s="14" t="str">
        <f>IF(AND(ISNUMBER($I141),OR($K141="Milestone",$K141="Deadline"),$I141&gt;=BJ$4,$I141&lt;BJ$4+7),IF($K141="Deadline","◇","◆"),"")</f>
        <v/>
      </c>
      <c r="BK141" s="14" t="str">
        <f>IF(AND(ISNUMBER($I141),OR($K141="Milestone",$K141="Deadline"),$I141&gt;=BK$4,$I141&lt;BK$4+7),IF($K141="Deadline","◇","◆"),"")</f>
        <v/>
      </c>
      <c r="BL141" s="14" t="str">
        <f>IF(AND(ISNUMBER($I141),OR($K141="Milestone",$K141="Deadline"),$I141&gt;=BL$4,$I141&lt;BL$4+7),IF($K141="Deadline","◇","◆"),"")</f>
        <v/>
      </c>
      <c r="BM141" s="14" t="str">
        <f>IF(AND(ISNUMBER($I141),OR($K141="Milestone",$K141="Deadline"),$I141&gt;=BM$4,$I141&lt;BM$4+7),IF($K141="Deadline","◇","◆"),"")</f>
        <v/>
      </c>
      <c r="BN141" s="14" t="str">
        <f>IF(AND(ISNUMBER($I141),OR($K141="Milestone",$K141="Deadline"),$I141&gt;=BN$4,$I141&lt;BN$4+7),IF($K141="Deadline","◇","◆"),"")</f>
        <v/>
      </c>
      <c r="BO141" s="14" t="str">
        <f>IF(AND(ISNUMBER($I141),OR($K141="Milestone",$K141="Deadline"),$I141&gt;=BO$4,$I141&lt;BO$4+7),IF($K141="Deadline","◇","◆"),"")</f>
        <v/>
      </c>
      <c r="BP141" s="14" t="str">
        <f>IF(AND(ISNUMBER($I141),OR($K141="Milestone",$K141="Deadline"),$I141&gt;=BP$4,$I141&lt;BP$4+7),IF($K141="Deadline","◇","◆"),"")</f>
        <v/>
      </c>
      <c r="BQ141" s="14" t="str">
        <f>IF(AND(ISNUMBER($I141),OR($K141="Milestone",$K141="Deadline"),$I141&gt;=BQ$4,$I141&lt;BQ$4+7),IF($K141="Deadline","◇","◆"),"")</f>
        <v/>
      </c>
      <c r="BR141" s="14" t="str">
        <f>IF(AND(ISNUMBER($I141),OR($K141="Milestone",$K141="Deadline"),$I141&gt;=BR$4,$I141&lt;BR$4+7),IF($K141="Deadline","◇","◆"),"")</f>
        <v/>
      </c>
      <c r="BS141" s="14" t="str">
        <f>IF(AND(ISNUMBER($I141),OR($K141="Milestone",$K141="Deadline"),$I141&gt;=BS$4,$I141&lt;BS$4+7),IF($K141="Deadline","◇","◆"),"")</f>
        <v/>
      </c>
      <c r="BT141" s="14" t="str">
        <f>IF(AND(ISNUMBER($I141),OR($K141="Milestone",$K141="Deadline"),$I141&gt;=BT$4,$I141&lt;BT$4+7),IF($K141="Deadline","◇","◆"),"")</f>
        <v/>
      </c>
      <c r="BU141" s="14" t="str">
        <f>IF(AND(ISNUMBER($I141),OR($K141="Milestone",$K141="Deadline"),$I141&gt;=BU$4,$I141&lt;BU$4+7),IF($K141="Deadline","◇","◆"),"")</f>
        <v/>
      </c>
      <c r="BV141" s="14" t="str">
        <f>IF(AND(ISNUMBER($I141),OR($K141="Milestone",$K141="Deadline"),$I141&gt;=BV$4,$I141&lt;BV$4+7),IF($K141="Deadline","◇","◆"),"")</f>
        <v/>
      </c>
      <c r="BW141" s="14" t="str">
        <f>IF(AND(ISNUMBER($I141),OR($K141="Milestone",$K141="Deadline"),$I141&gt;=BW$4,$I141&lt;BW$4+7),IF($K141="Deadline","◇","◆"),"")</f>
        <v/>
      </c>
      <c r="BX141" s="14" t="str">
        <f>IF(AND(ISNUMBER($I141),OR($K141="Milestone",$K141="Deadline"),$I141&gt;=BX$4,$I141&lt;BX$4+7),IF($K141="Deadline","◇","◆"),"")</f>
        <v/>
      </c>
      <c r="BY141" s="14" t="str">
        <f>IF(AND(ISNUMBER($I141),OR($K141="Milestone",$K141="Deadline"),$I141&gt;=BY$4,$I141&lt;BY$4+7),IF($K141="Deadline","◇","◆"),"")</f>
        <v/>
      </c>
      <c r="BZ141" s="14" t="str">
        <f>IF(AND(ISNUMBER($I141),OR($K141="Milestone",$K141="Deadline"),$I141&gt;=BZ$4,$I141&lt;BZ$4+7),IF($K141="Deadline","◇","◆"),"")</f>
        <v/>
      </c>
      <c r="CA141" s="14" t="str">
        <f>IF(AND(ISNUMBER($I141),OR($K141="Milestone",$K141="Deadline"),$I141&gt;=CA$4,$I141&lt;CA$4+7),IF($K141="Deadline","◇","◆"),"")</f>
        <v/>
      </c>
      <c r="CB141" s="14" t="str">
        <f>IF(AND(ISNUMBER($I141),OR($K141="Milestone",$K141="Deadline"),$I141&gt;=CB$4,$I141&lt;CB$4+7),IF($K141="Deadline","◇","◆"),"")</f>
        <v/>
      </c>
      <c r="CC141" s="14" t="str">
        <f>IF(AND(ISNUMBER($I141),OR($K141="Milestone",$K141="Deadline"),$I141&gt;=CC$4,$I141&lt;CC$4+7),IF($K141="Deadline","◇","◆"),"")</f>
        <v/>
      </c>
      <c r="CD141" s="14" t="str">
        <f>IF(AND(ISNUMBER($I141),OR($K141="Milestone",$K141="Deadline"),$I141&gt;=CD$4,$I141&lt;CD$4+7),IF($K141="Deadline","◇","◆"),"")</f>
        <v/>
      </c>
      <c r="CE141" s="14" t="str">
        <f>IF(AND(ISNUMBER($I141),OR($K141="Milestone",$K141="Deadline"),$I141&gt;=CE$4,$I141&lt;CE$4+7),IF($K141="Deadline","◇","◆"),"")</f>
        <v/>
      </c>
      <c r="CF141" s="14" t="str">
        <f>IF(AND(ISNUMBER($I141),OR($K141="Milestone",$K141="Deadline"),$I141&gt;=CF$4,$I141&lt;CF$4+7),IF($K141="Deadline","◇","◆"),"")</f>
        <v/>
      </c>
      <c r="CG141" s="14" t="str">
        <f>IF(AND(ISNUMBER($I141),OR($K141="Milestone",$K141="Deadline"),$I141&gt;=CG$4,$I141&lt;CG$4+7),IF($K141="Deadline","◇","◆"),"")</f>
        <v/>
      </c>
      <c r="CH141" s="14" t="str">
        <f>IF(AND(ISNUMBER($I141),OR($K141="Milestone",$K141="Deadline"),$I141&gt;=CH$4,$I141&lt;CH$4+7),IF($K141="Deadline","◇","◆"),"")</f>
        <v/>
      </c>
      <c r="CI141" s="14" t="str">
        <f>IF(AND(ISNUMBER($I141),OR($K141="Milestone",$K141="Deadline"),$I141&gt;=CI$4,$I141&lt;CI$4+7),IF($K141="Deadline","◇","◆"),"")</f>
        <v/>
      </c>
      <c r="CJ141" s="14" t="str">
        <f>IF(AND(ISNUMBER($I141),OR($K141="Milestone",$K141="Deadline"),$I141&gt;=CJ$4,$I141&lt;CJ$4+7),IF($K141="Deadline","◇","◆"),"")</f>
        <v/>
      </c>
      <c r="CK141" s="14" t="str">
        <f>IF(AND(ISNUMBER($I141),OR($K141="Milestone",$K141="Deadline"),$I141&gt;=CK$4,$I141&lt;CK$4+7),IF($K141="Deadline","◇","◆"),"")</f>
        <v/>
      </c>
      <c r="CL141" s="14" t="str">
        <f>IF(AND(ISNUMBER($I141),OR($K141="Milestone",$K141="Deadline"),$I141&gt;=CL$4,$I141&lt;CL$4+7),IF($K141="Deadline","◇","◆"),"")</f>
        <v/>
      </c>
      <c r="CM141" s="14" t="str">
        <f>IF(AND(ISNUMBER($I141),OR($K141="Milestone",$K141="Deadline"),$I141&gt;=CM$4,$I141&lt;CM$4+7),IF($K141="Deadline","◇","◆"),"")</f>
        <v/>
      </c>
    </row>
    <row r="142" spans="1:91" ht="15" hidden="1" customHeight="1">
      <c r="A142" s="35" t="s">
        <v>358</v>
      </c>
      <c r="B142" s="35" t="s">
        <v>347</v>
      </c>
      <c r="C142" s="35" t="s">
        <v>93</v>
      </c>
      <c r="D142" s="35" t="s">
        <v>348</v>
      </c>
      <c r="E142" s="35" t="s">
        <v>281</v>
      </c>
      <c r="F142" s="35" t="s">
        <v>179</v>
      </c>
      <c r="G142" s="35" t="s">
        <v>173</v>
      </c>
      <c r="H142" s="35">
        <v>7</v>
      </c>
      <c r="I142" s="36">
        <f>MAX($C$2,I141)</f>
        <v>46344</v>
      </c>
      <c r="J142" s="37">
        <f>IF(AND(ISNUMBER(I142),ISNUMBER(H142)),I142+H142-1,"")</f>
        <v>46350</v>
      </c>
      <c r="K142" s="35" t="s">
        <v>27</v>
      </c>
      <c r="L142" s="35" t="s">
        <v>359</v>
      </c>
      <c r="M142" s="38"/>
      <c r="N142" s="35"/>
      <c r="O142" s="38">
        <f>IF(AND(ISNUMBER(I142),ISNUMBER(J142)),J142-I142+1,"")</f>
        <v>7</v>
      </c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4" t="str">
        <f>IF(AND(ISNUMBER($I142),OR($K142="Milestone",$K142="Deadline"),$I142&gt;=AO$4,$I142&lt;AO$4+7),IF($K142="Deadline","◇","◆"),"")</f>
        <v/>
      </c>
      <c r="AP142" s="14" t="str">
        <f>IF(AND(ISNUMBER($I142),OR($K142="Milestone",$K142="Deadline"),$I142&gt;=AP$4,$I142&lt;AP$4+7),IF($K142="Deadline","◇","◆"),"")</f>
        <v/>
      </c>
      <c r="AQ142" s="14" t="str">
        <f>IF(AND(ISNUMBER($I142),OR($K142="Milestone",$K142="Deadline"),$I142&gt;=AQ$4,$I142&lt;AQ$4+7),IF($K142="Deadline","◇","◆"),"")</f>
        <v/>
      </c>
      <c r="AR142" s="14" t="str">
        <f>IF(AND(ISNUMBER($I142),OR($K142="Milestone",$K142="Deadline"),$I142&gt;=AR$4,$I142&lt;AR$4+7),IF($K142="Deadline","◇","◆"),"")</f>
        <v/>
      </c>
      <c r="AS142" s="14" t="str">
        <f>IF(AND(ISNUMBER($I142),OR($K142="Milestone",$K142="Deadline"),$I142&gt;=AS$4,$I142&lt;AS$4+7),IF($K142="Deadline","◇","◆"),"")</f>
        <v/>
      </c>
      <c r="AT142" s="14" t="str">
        <f>IF(AND(ISNUMBER($I142),OR($K142="Milestone",$K142="Deadline"),$I142&gt;=AT$4,$I142&lt;AT$4+7),IF($K142="Deadline","◇","◆"),"")</f>
        <v/>
      </c>
      <c r="AU142" s="14" t="str">
        <f>IF(AND(ISNUMBER($I142),OR($K142="Milestone",$K142="Deadline"),$I142&gt;=AU$4,$I142&lt;AU$4+7),IF($K142="Deadline","◇","◆"),"")</f>
        <v/>
      </c>
      <c r="AV142" s="14" t="str">
        <f>IF(AND(ISNUMBER($I142),OR($K142="Milestone",$K142="Deadline"),$I142&gt;=AV$4,$I142&lt;AV$4+7),IF($K142="Deadline","◇","◆"),"")</f>
        <v/>
      </c>
      <c r="AW142" s="14" t="str">
        <f>IF(AND(ISNUMBER($I142),OR($K142="Milestone",$K142="Deadline"),$I142&gt;=AW$4,$I142&lt;AW$4+7),IF($K142="Deadline","◇","◆"),"")</f>
        <v/>
      </c>
      <c r="AX142" s="14" t="str">
        <f>IF(AND(ISNUMBER($I142),OR($K142="Milestone",$K142="Deadline"),$I142&gt;=AX$4,$I142&lt;AX$4+7),IF($K142="Deadline","◇","◆"),"")</f>
        <v/>
      </c>
      <c r="AY142" s="14" t="str">
        <f>IF(AND(ISNUMBER($I142),OR($K142="Milestone",$K142="Deadline"),$I142&gt;=AY$4,$I142&lt;AY$4+7),IF($K142="Deadline","◇","◆"),"")</f>
        <v/>
      </c>
      <c r="AZ142" s="14" t="str">
        <f>IF(AND(ISNUMBER($I142),OR($K142="Milestone",$K142="Deadline"),$I142&gt;=AZ$4,$I142&lt;AZ$4+7),IF($K142="Deadline","◇","◆"),"")</f>
        <v/>
      </c>
      <c r="BA142" s="14" t="str">
        <f>IF(AND(ISNUMBER($I142),OR($K142="Milestone",$K142="Deadline"),$I142&gt;=BA$4,$I142&lt;BA$4+7),IF($K142="Deadline","◇","◆"),"")</f>
        <v/>
      </c>
      <c r="BB142" s="14" t="str">
        <f>IF(AND(ISNUMBER($I142),OR($K142="Milestone",$K142="Deadline"),$I142&gt;=BB$4,$I142&lt;BB$4+7),IF($K142="Deadline","◇","◆"),"")</f>
        <v/>
      </c>
      <c r="BC142" s="14" t="str">
        <f>IF(AND(ISNUMBER($I142),OR($K142="Milestone",$K142="Deadline"),$I142&gt;=BC$4,$I142&lt;BC$4+7),IF($K142="Deadline","◇","◆"),"")</f>
        <v/>
      </c>
      <c r="BD142" s="14" t="str">
        <f>IF(AND(ISNUMBER($I142),OR($K142="Milestone",$K142="Deadline"),$I142&gt;=BD$4,$I142&lt;BD$4+7),IF($K142="Deadline","◇","◆"),"")</f>
        <v/>
      </c>
      <c r="BE142" s="14" t="str">
        <f>IF(AND(ISNUMBER($I142),OR($K142="Milestone",$K142="Deadline"),$I142&gt;=BE$4,$I142&lt;BE$4+7),IF($K142="Deadline","◇","◆"),"")</f>
        <v/>
      </c>
      <c r="BF142" s="14" t="str">
        <f>IF(AND(ISNUMBER($I142),OR($K142="Milestone",$K142="Deadline"),$I142&gt;=BF$4,$I142&lt;BF$4+7),IF($K142="Deadline","◇","◆"),"")</f>
        <v/>
      </c>
      <c r="BG142" s="14" t="str">
        <f>IF(AND(ISNUMBER($I142),OR($K142="Milestone",$K142="Deadline"),$I142&gt;=BG$4,$I142&lt;BG$4+7),IF($K142="Deadline","◇","◆"),"")</f>
        <v/>
      </c>
      <c r="BH142" s="14" t="str">
        <f>IF(AND(ISNUMBER($I142),OR($K142="Milestone",$K142="Deadline"),$I142&gt;=BH$4,$I142&lt;BH$4+7),IF($K142="Deadline","◇","◆"),"")</f>
        <v/>
      </c>
      <c r="BI142" s="14" t="str">
        <f>IF(AND(ISNUMBER($I142),OR($K142="Milestone",$K142="Deadline"),$I142&gt;=BI$4,$I142&lt;BI$4+7),IF($K142="Deadline","◇","◆"),"")</f>
        <v/>
      </c>
      <c r="BJ142" s="14" t="str">
        <f>IF(AND(ISNUMBER($I142),OR($K142="Milestone",$K142="Deadline"),$I142&gt;=BJ$4,$I142&lt;BJ$4+7),IF($K142="Deadline","◇","◆"),"")</f>
        <v/>
      </c>
      <c r="BK142" s="14" t="str">
        <f>IF(AND(ISNUMBER($I142),OR($K142="Milestone",$K142="Deadline"),$I142&gt;=BK$4,$I142&lt;BK$4+7),IF($K142="Deadline","◇","◆"),"")</f>
        <v/>
      </c>
      <c r="BL142" s="14" t="str">
        <f>IF(AND(ISNUMBER($I142),OR($K142="Milestone",$K142="Deadline"),$I142&gt;=BL$4,$I142&lt;BL$4+7),IF($K142="Deadline","◇","◆"),"")</f>
        <v/>
      </c>
      <c r="BM142" s="14" t="str">
        <f>IF(AND(ISNUMBER($I142),OR($K142="Milestone",$K142="Deadline"),$I142&gt;=BM$4,$I142&lt;BM$4+7),IF($K142="Deadline","◇","◆"),"")</f>
        <v/>
      </c>
      <c r="BN142" s="14" t="str">
        <f>IF(AND(ISNUMBER($I142),OR($K142="Milestone",$K142="Deadline"),$I142&gt;=BN$4,$I142&lt;BN$4+7),IF($K142="Deadline","◇","◆"),"")</f>
        <v/>
      </c>
      <c r="BO142" s="14" t="str">
        <f>IF(AND(ISNUMBER($I142),OR($K142="Milestone",$K142="Deadline"),$I142&gt;=BO$4,$I142&lt;BO$4+7),IF($K142="Deadline","◇","◆"),"")</f>
        <v/>
      </c>
      <c r="BP142" s="14" t="str">
        <f>IF(AND(ISNUMBER($I142),OR($K142="Milestone",$K142="Deadline"),$I142&gt;=BP$4,$I142&lt;BP$4+7),IF($K142="Deadline","◇","◆"),"")</f>
        <v/>
      </c>
      <c r="BQ142" s="14" t="str">
        <f>IF(AND(ISNUMBER($I142),OR($K142="Milestone",$K142="Deadline"),$I142&gt;=BQ$4,$I142&lt;BQ$4+7),IF($K142="Deadline","◇","◆"),"")</f>
        <v/>
      </c>
      <c r="BR142" s="14" t="str">
        <f>IF(AND(ISNUMBER($I142),OR($K142="Milestone",$K142="Deadline"),$I142&gt;=BR$4,$I142&lt;BR$4+7),IF($K142="Deadline","◇","◆"),"")</f>
        <v/>
      </c>
      <c r="BS142" s="14" t="str">
        <f>IF(AND(ISNUMBER($I142),OR($K142="Milestone",$K142="Deadline"),$I142&gt;=BS$4,$I142&lt;BS$4+7),IF($K142="Deadline","◇","◆"),"")</f>
        <v/>
      </c>
      <c r="BT142" s="14" t="str">
        <f>IF(AND(ISNUMBER($I142),OR($K142="Milestone",$K142="Deadline"),$I142&gt;=BT$4,$I142&lt;BT$4+7),IF($K142="Deadline","◇","◆"),"")</f>
        <v/>
      </c>
      <c r="BU142" s="14" t="str">
        <f>IF(AND(ISNUMBER($I142),OR($K142="Milestone",$K142="Deadline"),$I142&gt;=BU$4,$I142&lt;BU$4+7),IF($K142="Deadline","◇","◆"),"")</f>
        <v/>
      </c>
      <c r="BV142" s="14" t="str">
        <f>IF(AND(ISNUMBER($I142),OR($K142="Milestone",$K142="Deadline"),$I142&gt;=BV$4,$I142&lt;BV$4+7),IF($K142="Deadline","◇","◆"),"")</f>
        <v/>
      </c>
      <c r="BW142" s="14" t="str">
        <f>IF(AND(ISNUMBER($I142),OR($K142="Milestone",$K142="Deadline"),$I142&gt;=BW$4,$I142&lt;BW$4+7),IF($K142="Deadline","◇","◆"),"")</f>
        <v/>
      </c>
      <c r="BX142" s="14" t="str">
        <f>IF(AND(ISNUMBER($I142),OR($K142="Milestone",$K142="Deadline"),$I142&gt;=BX$4,$I142&lt;BX$4+7),IF($K142="Deadline","◇","◆"),"")</f>
        <v/>
      </c>
      <c r="BY142" s="14" t="str">
        <f>IF(AND(ISNUMBER($I142),OR($K142="Milestone",$K142="Deadline"),$I142&gt;=BY$4,$I142&lt;BY$4+7),IF($K142="Deadline","◇","◆"),"")</f>
        <v/>
      </c>
      <c r="BZ142" s="14" t="str">
        <f>IF(AND(ISNUMBER($I142),OR($K142="Milestone",$K142="Deadline"),$I142&gt;=BZ$4,$I142&lt;BZ$4+7),IF($K142="Deadline","◇","◆"),"")</f>
        <v/>
      </c>
      <c r="CA142" s="14" t="str">
        <f>IF(AND(ISNUMBER($I142),OR($K142="Milestone",$K142="Deadline"),$I142&gt;=CA$4,$I142&lt;CA$4+7),IF($K142="Deadline","◇","◆"),"")</f>
        <v/>
      </c>
      <c r="CB142" s="14" t="str">
        <f>IF(AND(ISNUMBER($I142),OR($K142="Milestone",$K142="Deadline"),$I142&gt;=CB$4,$I142&lt;CB$4+7),IF($K142="Deadline","◇","◆"),"")</f>
        <v/>
      </c>
      <c r="CC142" s="14" t="str">
        <f>IF(AND(ISNUMBER($I142),OR($K142="Milestone",$K142="Deadline"),$I142&gt;=CC$4,$I142&lt;CC$4+7),IF($K142="Deadline","◇","◆"),"")</f>
        <v/>
      </c>
      <c r="CD142" s="14" t="str">
        <f>IF(AND(ISNUMBER($I142),OR($K142="Milestone",$K142="Deadline"),$I142&gt;=CD$4,$I142&lt;CD$4+7),IF($K142="Deadline","◇","◆"),"")</f>
        <v/>
      </c>
      <c r="CE142" s="14" t="str">
        <f>IF(AND(ISNUMBER($I142),OR($K142="Milestone",$K142="Deadline"),$I142&gt;=CE$4,$I142&lt;CE$4+7),IF($K142="Deadline","◇","◆"),"")</f>
        <v/>
      </c>
      <c r="CF142" s="14" t="str">
        <f>IF(AND(ISNUMBER($I142),OR($K142="Milestone",$K142="Deadline"),$I142&gt;=CF$4,$I142&lt;CF$4+7),IF($K142="Deadline","◇","◆"),"")</f>
        <v/>
      </c>
      <c r="CG142" s="14" t="str">
        <f>IF(AND(ISNUMBER($I142),OR($K142="Milestone",$K142="Deadline"),$I142&gt;=CG$4,$I142&lt;CG$4+7),IF($K142="Deadline","◇","◆"),"")</f>
        <v/>
      </c>
      <c r="CH142" s="14" t="str">
        <f>IF(AND(ISNUMBER($I142),OR($K142="Milestone",$K142="Deadline"),$I142&gt;=CH$4,$I142&lt;CH$4+7),IF($K142="Deadline","◇","◆"),"")</f>
        <v/>
      </c>
      <c r="CI142" s="14" t="str">
        <f>IF(AND(ISNUMBER($I142),OR($K142="Milestone",$K142="Deadline"),$I142&gt;=CI$4,$I142&lt;CI$4+7),IF($K142="Deadline","◇","◆"),"")</f>
        <v/>
      </c>
      <c r="CJ142" s="14" t="str">
        <f>IF(AND(ISNUMBER($I142),OR($K142="Milestone",$K142="Deadline"),$I142&gt;=CJ$4,$I142&lt;CJ$4+7),IF($K142="Deadline","◇","◆"),"")</f>
        <v/>
      </c>
      <c r="CK142" s="14" t="str">
        <f>IF(AND(ISNUMBER($I142),OR($K142="Milestone",$K142="Deadline"),$I142&gt;=CK$4,$I142&lt;CK$4+7),IF($K142="Deadline","◇","◆"),"")</f>
        <v/>
      </c>
      <c r="CL142" s="14" t="str">
        <f>IF(AND(ISNUMBER($I142),OR($K142="Milestone",$K142="Deadline"),$I142&gt;=CL$4,$I142&lt;CL$4+7),IF($K142="Deadline","◇","◆"),"")</f>
        <v/>
      </c>
      <c r="CM142" s="14" t="str">
        <f>IF(AND(ISNUMBER($I142),OR($K142="Milestone",$K142="Deadline"),$I142&gt;=CM$4,$I142&lt;CM$4+7),IF($K142="Deadline","◇","◆"),"")</f>
        <v/>
      </c>
    </row>
    <row r="143" spans="1:91" ht="15" hidden="1" customHeight="1">
      <c r="A143" s="35" t="s">
        <v>360</v>
      </c>
      <c r="B143" s="35" t="s">
        <v>347</v>
      </c>
      <c r="C143" s="35" t="s">
        <v>93</v>
      </c>
      <c r="D143" s="35" t="s">
        <v>348</v>
      </c>
      <c r="E143" s="35" t="s">
        <v>281</v>
      </c>
      <c r="F143" s="35" t="s">
        <v>179</v>
      </c>
      <c r="G143" s="35" t="s">
        <v>176</v>
      </c>
      <c r="H143" s="35">
        <v>7</v>
      </c>
      <c r="I143" s="36">
        <f>MAX($C$2,J141+1)</f>
        <v>46351</v>
      </c>
      <c r="J143" s="37">
        <f>IF(AND(ISNUMBER(I143),ISNUMBER(H143)),I143+H143-1,"")</f>
        <v>46357</v>
      </c>
      <c r="K143" s="35" t="s">
        <v>27</v>
      </c>
      <c r="L143" s="35" t="s">
        <v>356</v>
      </c>
      <c r="M143" s="38"/>
      <c r="N143" s="35"/>
      <c r="O143" s="38">
        <f>IF(AND(ISNUMBER(I143),ISNUMBER(J143)),J143-I143+1,"")</f>
        <v>7</v>
      </c>
      <c r="P143" s="13"/>
      <c r="Q143" s="13"/>
      <c r="R143" s="13"/>
      <c r="S143" s="13"/>
      <c r="T143" s="13"/>
      <c r="U143" s="13"/>
      <c r="V143" s="13"/>
      <c r="W143" s="13" t="s">
        <v>140</v>
      </c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4" t="str">
        <f>IF(AND(ISNUMBER($I143),OR($K143="Milestone",$K143="Deadline"),$I143&gt;=AO$4,$I143&lt;AO$4+7),IF($K143="Deadline","◇","◆"),"")</f>
        <v/>
      </c>
      <c r="AP143" s="14" t="str">
        <f>IF(AND(ISNUMBER($I143),OR($K143="Milestone",$K143="Deadline"),$I143&gt;=AP$4,$I143&lt;AP$4+7),IF($K143="Deadline","◇","◆"),"")</f>
        <v/>
      </c>
      <c r="AQ143" s="14" t="str">
        <f>IF(AND(ISNUMBER($I143),OR($K143="Milestone",$K143="Deadline"),$I143&gt;=AQ$4,$I143&lt;AQ$4+7),IF($K143="Deadline","◇","◆"),"")</f>
        <v/>
      </c>
      <c r="AR143" s="14" t="str">
        <f>IF(AND(ISNUMBER($I143),OR($K143="Milestone",$K143="Deadline"),$I143&gt;=AR$4,$I143&lt;AR$4+7),IF($K143="Deadline","◇","◆"),"")</f>
        <v/>
      </c>
      <c r="AS143" s="14" t="str">
        <f>IF(AND(ISNUMBER($I143),OR($K143="Milestone",$K143="Deadline"),$I143&gt;=AS$4,$I143&lt;AS$4+7),IF($K143="Deadline","◇","◆"),"")</f>
        <v/>
      </c>
      <c r="AT143" s="14" t="str">
        <f>IF(AND(ISNUMBER($I143),OR($K143="Milestone",$K143="Deadline"),$I143&gt;=AT$4,$I143&lt;AT$4+7),IF($K143="Deadline","◇","◆"),"")</f>
        <v/>
      </c>
      <c r="AU143" s="14" t="str">
        <f>IF(AND(ISNUMBER($I143),OR($K143="Milestone",$K143="Deadline"),$I143&gt;=AU$4,$I143&lt;AU$4+7),IF($K143="Deadline","◇","◆"),"")</f>
        <v/>
      </c>
      <c r="AV143" s="14" t="str">
        <f>IF(AND(ISNUMBER($I143),OR($K143="Milestone",$K143="Deadline"),$I143&gt;=AV$4,$I143&lt;AV$4+7),IF($K143="Deadline","◇","◆"),"")</f>
        <v/>
      </c>
      <c r="AW143" s="14" t="str">
        <f>IF(AND(ISNUMBER($I143),OR($K143="Milestone",$K143="Deadline"),$I143&gt;=AW$4,$I143&lt;AW$4+7),IF($K143="Deadline","◇","◆"),"")</f>
        <v/>
      </c>
      <c r="AX143" s="14" t="str">
        <f>IF(AND(ISNUMBER($I143),OR($K143="Milestone",$K143="Deadline"),$I143&gt;=AX$4,$I143&lt;AX$4+7),IF($K143="Deadline","◇","◆"),"")</f>
        <v/>
      </c>
      <c r="AY143" s="14" t="str">
        <f>IF(AND(ISNUMBER($I143),OR($K143="Milestone",$K143="Deadline"),$I143&gt;=AY$4,$I143&lt;AY$4+7),IF($K143="Deadline","◇","◆"),"")</f>
        <v/>
      </c>
      <c r="AZ143" s="14" t="str">
        <f>IF(AND(ISNUMBER($I143),OR($K143="Milestone",$K143="Deadline"),$I143&gt;=AZ$4,$I143&lt;AZ$4+7),IF($K143="Deadline","◇","◆"),"")</f>
        <v/>
      </c>
      <c r="BA143" s="14" t="str">
        <f>IF(AND(ISNUMBER($I143),OR($K143="Milestone",$K143="Deadline"),$I143&gt;=BA$4,$I143&lt;BA$4+7),IF($K143="Deadline","◇","◆"),"")</f>
        <v/>
      </c>
      <c r="BB143" s="14" t="str">
        <f>IF(AND(ISNUMBER($I143),OR($K143="Milestone",$K143="Deadline"),$I143&gt;=BB$4,$I143&lt;BB$4+7),IF($K143="Deadline","◇","◆"),"")</f>
        <v/>
      </c>
      <c r="BC143" s="14" t="str">
        <f>IF(AND(ISNUMBER($I143),OR($K143="Milestone",$K143="Deadline"),$I143&gt;=BC$4,$I143&lt;BC$4+7),IF($K143="Deadline","◇","◆"),"")</f>
        <v/>
      </c>
      <c r="BD143" s="14" t="str">
        <f>IF(AND(ISNUMBER($I143),OR($K143="Milestone",$K143="Deadline"),$I143&gt;=BD$4,$I143&lt;BD$4+7),IF($K143="Deadline","◇","◆"),"")</f>
        <v/>
      </c>
      <c r="BE143" s="14" t="str">
        <f>IF(AND(ISNUMBER($I143),OR($K143="Milestone",$K143="Deadline"),$I143&gt;=BE$4,$I143&lt;BE$4+7),IF($K143="Deadline","◇","◆"),"")</f>
        <v/>
      </c>
      <c r="BF143" s="14" t="str">
        <f>IF(AND(ISNUMBER($I143),OR($K143="Milestone",$K143="Deadline"),$I143&gt;=BF$4,$I143&lt;BF$4+7),IF($K143="Deadline","◇","◆"),"")</f>
        <v/>
      </c>
      <c r="BG143" s="14" t="str">
        <f>IF(AND(ISNUMBER($I143),OR($K143="Milestone",$K143="Deadline"),$I143&gt;=BG$4,$I143&lt;BG$4+7),IF($K143="Deadline","◇","◆"),"")</f>
        <v/>
      </c>
      <c r="BH143" s="14" t="str">
        <f>IF(AND(ISNUMBER($I143),OR($K143="Milestone",$K143="Deadline"),$I143&gt;=BH$4,$I143&lt;BH$4+7),IF($K143="Deadline","◇","◆"),"")</f>
        <v/>
      </c>
      <c r="BI143" s="14" t="str">
        <f>IF(AND(ISNUMBER($I143),OR($K143="Milestone",$K143="Deadline"),$I143&gt;=BI$4,$I143&lt;BI$4+7),IF($K143="Deadline","◇","◆"),"")</f>
        <v/>
      </c>
      <c r="BJ143" s="14" t="str">
        <f>IF(AND(ISNUMBER($I143),OR($K143="Milestone",$K143="Deadline"),$I143&gt;=BJ$4,$I143&lt;BJ$4+7),IF($K143="Deadline","◇","◆"),"")</f>
        <v/>
      </c>
      <c r="BK143" s="14" t="str">
        <f>IF(AND(ISNUMBER($I143),OR($K143="Milestone",$K143="Deadline"),$I143&gt;=BK$4,$I143&lt;BK$4+7),IF($K143="Deadline","◇","◆"),"")</f>
        <v/>
      </c>
      <c r="BL143" s="14" t="str">
        <f>IF(AND(ISNUMBER($I143),OR($K143="Milestone",$K143="Deadline"),$I143&gt;=BL$4,$I143&lt;BL$4+7),IF($K143="Deadline","◇","◆"),"")</f>
        <v/>
      </c>
      <c r="BM143" s="14" t="str">
        <f>IF(AND(ISNUMBER($I143),OR($K143="Milestone",$K143="Deadline"),$I143&gt;=BM$4,$I143&lt;BM$4+7),IF($K143="Deadline","◇","◆"),"")</f>
        <v/>
      </c>
      <c r="BN143" s="14" t="str">
        <f>IF(AND(ISNUMBER($I143),OR($K143="Milestone",$K143="Deadline"),$I143&gt;=BN$4,$I143&lt;BN$4+7),IF($K143="Deadline","◇","◆"),"")</f>
        <v/>
      </c>
      <c r="BO143" s="14" t="str">
        <f>IF(AND(ISNUMBER($I143),OR($K143="Milestone",$K143="Deadline"),$I143&gt;=BO$4,$I143&lt;BO$4+7),IF($K143="Deadline","◇","◆"),"")</f>
        <v/>
      </c>
      <c r="BP143" s="14" t="str">
        <f>IF(AND(ISNUMBER($I143),OR($K143="Milestone",$K143="Deadline"),$I143&gt;=BP$4,$I143&lt;BP$4+7),IF($K143="Deadline","◇","◆"),"")</f>
        <v/>
      </c>
      <c r="BQ143" s="14" t="str">
        <f>IF(AND(ISNUMBER($I143),OR($K143="Milestone",$K143="Deadline"),$I143&gt;=BQ$4,$I143&lt;BQ$4+7),IF($K143="Deadline","◇","◆"),"")</f>
        <v/>
      </c>
      <c r="BR143" s="14" t="str">
        <f>IF(AND(ISNUMBER($I143),OR($K143="Milestone",$K143="Deadline"),$I143&gt;=BR$4,$I143&lt;BR$4+7),IF($K143="Deadline","◇","◆"),"")</f>
        <v/>
      </c>
      <c r="BS143" s="14" t="str">
        <f>IF(AND(ISNUMBER($I143),OR($K143="Milestone",$K143="Deadline"),$I143&gt;=BS$4,$I143&lt;BS$4+7),IF($K143="Deadline","◇","◆"),"")</f>
        <v/>
      </c>
      <c r="BT143" s="14" t="str">
        <f>IF(AND(ISNUMBER($I143),OR($K143="Milestone",$K143="Deadline"),$I143&gt;=BT$4,$I143&lt;BT$4+7),IF($K143="Deadline","◇","◆"),"")</f>
        <v/>
      </c>
      <c r="BU143" s="14" t="str">
        <f>IF(AND(ISNUMBER($I143),OR($K143="Milestone",$K143="Deadline"),$I143&gt;=BU$4,$I143&lt;BU$4+7),IF($K143="Deadline","◇","◆"),"")</f>
        <v/>
      </c>
      <c r="BV143" s="14" t="str">
        <f>IF(AND(ISNUMBER($I143),OR($K143="Milestone",$K143="Deadline"),$I143&gt;=BV$4,$I143&lt;BV$4+7),IF($K143="Deadline","◇","◆"),"")</f>
        <v/>
      </c>
      <c r="BW143" s="14" t="str">
        <f>IF(AND(ISNUMBER($I143),OR($K143="Milestone",$K143="Deadline"),$I143&gt;=BW$4,$I143&lt;BW$4+7),IF($K143="Deadline","◇","◆"),"")</f>
        <v/>
      </c>
      <c r="BX143" s="14" t="str">
        <f>IF(AND(ISNUMBER($I143),OR($K143="Milestone",$K143="Deadline"),$I143&gt;=BX$4,$I143&lt;BX$4+7),IF($K143="Deadline","◇","◆"),"")</f>
        <v/>
      </c>
      <c r="BY143" s="14" t="str">
        <f>IF(AND(ISNUMBER($I143),OR($K143="Milestone",$K143="Deadline"),$I143&gt;=BY$4,$I143&lt;BY$4+7),IF($K143="Deadline","◇","◆"),"")</f>
        <v/>
      </c>
      <c r="BZ143" s="14" t="str">
        <f>IF(AND(ISNUMBER($I143),OR($K143="Milestone",$K143="Deadline"),$I143&gt;=BZ$4,$I143&lt;BZ$4+7),IF($K143="Deadline","◇","◆"),"")</f>
        <v/>
      </c>
      <c r="CA143" s="14" t="str">
        <f>IF(AND(ISNUMBER($I143),OR($K143="Milestone",$K143="Deadline"),$I143&gt;=CA$4,$I143&lt;CA$4+7),IF($K143="Deadline","◇","◆"),"")</f>
        <v/>
      </c>
      <c r="CB143" s="14" t="str">
        <f>IF(AND(ISNUMBER($I143),OR($K143="Milestone",$K143="Deadline"),$I143&gt;=CB$4,$I143&lt;CB$4+7),IF($K143="Deadline","◇","◆"),"")</f>
        <v/>
      </c>
      <c r="CC143" s="14" t="str">
        <f>IF(AND(ISNUMBER($I143),OR($K143="Milestone",$K143="Deadline"),$I143&gt;=CC$4,$I143&lt;CC$4+7),IF($K143="Deadline","◇","◆"),"")</f>
        <v/>
      </c>
      <c r="CD143" s="14" t="str">
        <f>IF(AND(ISNUMBER($I143),OR($K143="Milestone",$K143="Deadline"),$I143&gt;=CD$4,$I143&lt;CD$4+7),IF($K143="Deadline","◇","◆"),"")</f>
        <v/>
      </c>
      <c r="CE143" s="14" t="str">
        <f>IF(AND(ISNUMBER($I143),OR($K143="Milestone",$K143="Deadline"),$I143&gt;=CE$4,$I143&lt;CE$4+7),IF($K143="Deadline","◇","◆"),"")</f>
        <v/>
      </c>
      <c r="CF143" s="14" t="str">
        <f>IF(AND(ISNUMBER($I143),OR($K143="Milestone",$K143="Deadline"),$I143&gt;=CF$4,$I143&lt;CF$4+7),IF($K143="Deadline","◇","◆"),"")</f>
        <v/>
      </c>
      <c r="CG143" s="14" t="str">
        <f>IF(AND(ISNUMBER($I143),OR($K143="Milestone",$K143="Deadline"),$I143&gt;=CG$4,$I143&lt;CG$4+7),IF($K143="Deadline","◇","◆"),"")</f>
        <v/>
      </c>
      <c r="CH143" s="14" t="str">
        <f>IF(AND(ISNUMBER($I143),OR($K143="Milestone",$K143="Deadline"),$I143&gt;=CH$4,$I143&lt;CH$4+7),IF($K143="Deadline","◇","◆"),"")</f>
        <v/>
      </c>
      <c r="CI143" s="14" t="str">
        <f>IF(AND(ISNUMBER($I143),OR($K143="Milestone",$K143="Deadline"),$I143&gt;=CI$4,$I143&lt;CI$4+7),IF($K143="Deadline","◇","◆"),"")</f>
        <v/>
      </c>
      <c r="CJ143" s="14" t="str">
        <f>IF(AND(ISNUMBER($I143),OR($K143="Milestone",$K143="Deadline"),$I143&gt;=CJ$4,$I143&lt;CJ$4+7),IF($K143="Deadline","◇","◆"),"")</f>
        <v/>
      </c>
      <c r="CK143" s="14" t="str">
        <f>IF(AND(ISNUMBER($I143),OR($K143="Milestone",$K143="Deadline"),$I143&gt;=CK$4,$I143&lt;CK$4+7),IF($K143="Deadline","◇","◆"),"")</f>
        <v/>
      </c>
      <c r="CL143" s="14" t="str">
        <f>IF(AND(ISNUMBER($I143),OR($K143="Milestone",$K143="Deadline"),$I143&gt;=CL$4,$I143&lt;CL$4+7),IF($K143="Deadline","◇","◆"),"")</f>
        <v/>
      </c>
      <c r="CM143" s="14" t="str">
        <f>IF(AND(ISNUMBER($I143),OR($K143="Milestone",$K143="Deadline"),$I143&gt;=CM$4,$I143&lt;CM$4+7),IF($K143="Deadline","◇","◆"),"")</f>
        <v/>
      </c>
    </row>
    <row r="144" spans="1:91" ht="15" customHeight="1">
      <c r="A144" s="35" t="s">
        <v>361</v>
      </c>
      <c r="B144" s="35" t="s">
        <v>347</v>
      </c>
      <c r="C144" s="35" t="s">
        <v>93</v>
      </c>
      <c r="D144" s="35" t="s">
        <v>348</v>
      </c>
      <c r="E144" s="35" t="s">
        <v>281</v>
      </c>
      <c r="F144" s="35" t="s">
        <v>197</v>
      </c>
      <c r="G144" s="35" t="s">
        <v>198</v>
      </c>
      <c r="H144" s="35">
        <v>7</v>
      </c>
      <c r="I144" s="36">
        <f>MAX($C$2,J141+1,J164+1)</f>
        <v>46358</v>
      </c>
      <c r="J144" s="37">
        <f>IF(AND(ISNUMBER(I144),ISNUMBER(H144)),I144+H144-1,"")</f>
        <v>46364</v>
      </c>
      <c r="K144" s="35" t="s">
        <v>27</v>
      </c>
      <c r="L144" s="35" t="s">
        <v>356</v>
      </c>
      <c r="M144" s="38" t="s">
        <v>362</v>
      </c>
      <c r="N144" s="35"/>
      <c r="O144" s="38">
        <f>IF(AND(ISNUMBER(I144),ISNUMBER(J144)),J144-I144+1,"")</f>
        <v>7</v>
      </c>
      <c r="P144" s="13"/>
      <c r="Q144" s="13"/>
      <c r="R144" s="13"/>
      <c r="S144" s="13" t="s">
        <v>140</v>
      </c>
      <c r="T144" s="13"/>
      <c r="U144" s="13" t="s">
        <v>140</v>
      </c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4" t="str">
        <f>IF(AND(ISNUMBER($I144),OR($K144="Milestone",$K144="Deadline"),$I144&gt;=AO$4,$I144&lt;AO$4+7),IF($K144="Deadline","◇","◆"),"")</f>
        <v/>
      </c>
      <c r="AP144" s="14" t="str">
        <f>IF(AND(ISNUMBER($I144),OR($K144="Milestone",$K144="Deadline"),$I144&gt;=AP$4,$I144&lt;AP$4+7),IF($K144="Deadline","◇","◆"),"")</f>
        <v/>
      </c>
      <c r="AQ144" s="14" t="str">
        <f>IF(AND(ISNUMBER($I144),OR($K144="Milestone",$K144="Deadline"),$I144&gt;=AQ$4,$I144&lt;AQ$4+7),IF($K144="Deadline","◇","◆"),"")</f>
        <v/>
      </c>
      <c r="AR144" s="14" t="str">
        <f>IF(AND(ISNUMBER($I144),OR($K144="Milestone",$K144="Deadline"),$I144&gt;=AR$4,$I144&lt;AR$4+7),IF($K144="Deadline","◇","◆"),"")</f>
        <v/>
      </c>
      <c r="AS144" s="14" t="str">
        <f>IF(AND(ISNUMBER($I144),OR($K144="Milestone",$K144="Deadline"),$I144&gt;=AS$4,$I144&lt;AS$4+7),IF($K144="Deadline","◇","◆"),"")</f>
        <v/>
      </c>
      <c r="AT144" s="14" t="str">
        <f>IF(AND(ISNUMBER($I144),OR($K144="Milestone",$K144="Deadline"),$I144&gt;=AT$4,$I144&lt;AT$4+7),IF($K144="Deadline","◇","◆"),"")</f>
        <v/>
      </c>
      <c r="AU144" s="14" t="str">
        <f>IF(AND(ISNUMBER($I144),OR($K144="Milestone",$K144="Deadline"),$I144&gt;=AU$4,$I144&lt;AU$4+7),IF($K144="Deadline","◇","◆"),"")</f>
        <v/>
      </c>
      <c r="AV144" s="14" t="str">
        <f>IF(AND(ISNUMBER($I144),OR($K144="Milestone",$K144="Deadline"),$I144&gt;=AV$4,$I144&lt;AV$4+7),IF($K144="Deadline","◇","◆"),"")</f>
        <v/>
      </c>
      <c r="AW144" s="14" t="str">
        <f>IF(AND(ISNUMBER($I144),OR($K144="Milestone",$K144="Deadline"),$I144&gt;=AW$4,$I144&lt;AW$4+7),IF($K144="Deadline","◇","◆"),"")</f>
        <v/>
      </c>
      <c r="AX144" s="14" t="str">
        <f>IF(AND(ISNUMBER($I144),OR($K144="Milestone",$K144="Deadline"),$I144&gt;=AX$4,$I144&lt;AX$4+7),IF($K144="Deadline","◇","◆"),"")</f>
        <v/>
      </c>
      <c r="AY144" s="14" t="str">
        <f>IF(AND(ISNUMBER($I144),OR($K144="Milestone",$K144="Deadline"),$I144&gt;=AY$4,$I144&lt;AY$4+7),IF($K144="Deadline","◇","◆"),"")</f>
        <v/>
      </c>
      <c r="AZ144" s="14" t="str">
        <f>IF(AND(ISNUMBER($I144),OR($K144="Milestone",$K144="Deadline"),$I144&gt;=AZ$4,$I144&lt;AZ$4+7),IF($K144="Deadline","◇","◆"),"")</f>
        <v/>
      </c>
      <c r="BA144" s="14" t="str">
        <f>IF(AND(ISNUMBER($I144),OR($K144="Milestone",$K144="Deadline"),$I144&gt;=BA$4,$I144&lt;BA$4+7),IF($K144="Deadline","◇","◆"),"")</f>
        <v/>
      </c>
      <c r="BB144" s="14" t="str">
        <f>IF(AND(ISNUMBER($I144),OR($K144="Milestone",$K144="Deadline"),$I144&gt;=BB$4,$I144&lt;BB$4+7),IF($K144="Deadline","◇","◆"),"")</f>
        <v/>
      </c>
      <c r="BC144" s="14" t="str">
        <f>IF(AND(ISNUMBER($I144),OR($K144="Milestone",$K144="Deadline"),$I144&gt;=BC$4,$I144&lt;BC$4+7),IF($K144="Deadline","◇","◆"),"")</f>
        <v/>
      </c>
      <c r="BD144" s="14" t="str">
        <f>IF(AND(ISNUMBER($I144),OR($K144="Milestone",$K144="Deadline"),$I144&gt;=BD$4,$I144&lt;BD$4+7),IF($K144="Deadline","◇","◆"),"")</f>
        <v/>
      </c>
      <c r="BE144" s="14" t="str">
        <f>IF(AND(ISNUMBER($I144),OR($K144="Milestone",$K144="Deadline"),$I144&gt;=BE$4,$I144&lt;BE$4+7),IF($K144="Deadline","◇","◆"),"")</f>
        <v/>
      </c>
      <c r="BF144" s="14" t="str">
        <f>IF(AND(ISNUMBER($I144),OR($K144="Milestone",$K144="Deadline"),$I144&gt;=BF$4,$I144&lt;BF$4+7),IF($K144="Deadline","◇","◆"),"")</f>
        <v/>
      </c>
      <c r="BG144" s="14" t="str">
        <f>IF(AND(ISNUMBER($I144),OR($K144="Milestone",$K144="Deadline"),$I144&gt;=BG$4,$I144&lt;BG$4+7),IF($K144="Deadline","◇","◆"),"")</f>
        <v/>
      </c>
      <c r="BH144" s="14" t="str">
        <f>IF(AND(ISNUMBER($I144),OR($K144="Milestone",$K144="Deadline"),$I144&gt;=BH$4,$I144&lt;BH$4+7),IF($K144="Deadline","◇","◆"),"")</f>
        <v/>
      </c>
      <c r="BI144" s="14" t="str">
        <f>IF(AND(ISNUMBER($I144),OR($K144="Milestone",$K144="Deadline"),$I144&gt;=BI$4,$I144&lt;BI$4+7),IF($K144="Deadline","◇","◆"),"")</f>
        <v/>
      </c>
      <c r="BJ144" s="14" t="str">
        <f>IF(AND(ISNUMBER($I144),OR($K144="Milestone",$K144="Deadline"),$I144&gt;=BJ$4,$I144&lt;BJ$4+7),IF($K144="Deadline","◇","◆"),"")</f>
        <v/>
      </c>
      <c r="BK144" s="14" t="str">
        <f>IF(AND(ISNUMBER($I144),OR($K144="Milestone",$K144="Deadline"),$I144&gt;=BK$4,$I144&lt;BK$4+7),IF($K144="Deadline","◇","◆"),"")</f>
        <v/>
      </c>
      <c r="BL144" s="14" t="str">
        <f>IF(AND(ISNUMBER($I144),OR($K144="Milestone",$K144="Deadline"),$I144&gt;=BL$4,$I144&lt;BL$4+7),IF($K144="Deadline","◇","◆"),"")</f>
        <v/>
      </c>
      <c r="BM144" s="14" t="str">
        <f>IF(AND(ISNUMBER($I144),OR($K144="Milestone",$K144="Deadline"),$I144&gt;=BM$4,$I144&lt;BM$4+7),IF($K144="Deadline","◇","◆"),"")</f>
        <v/>
      </c>
      <c r="BN144" s="14" t="str">
        <f>IF(AND(ISNUMBER($I144),OR($K144="Milestone",$K144="Deadline"),$I144&gt;=BN$4,$I144&lt;BN$4+7),IF($K144="Deadline","◇","◆"),"")</f>
        <v/>
      </c>
      <c r="BO144" s="14" t="str">
        <f>IF(AND(ISNUMBER($I144),OR($K144="Milestone",$K144="Deadline"),$I144&gt;=BO$4,$I144&lt;BO$4+7),IF($K144="Deadline","◇","◆"),"")</f>
        <v/>
      </c>
      <c r="BP144" s="14" t="str">
        <f>IF(AND(ISNUMBER($I144),OR($K144="Milestone",$K144="Deadline"),$I144&gt;=BP$4,$I144&lt;BP$4+7),IF($K144="Deadline","◇","◆"),"")</f>
        <v/>
      </c>
      <c r="BQ144" s="14" t="str">
        <f>IF(AND(ISNUMBER($I144),OR($K144="Milestone",$K144="Deadline"),$I144&gt;=BQ$4,$I144&lt;BQ$4+7),IF($K144="Deadline","◇","◆"),"")</f>
        <v/>
      </c>
      <c r="BR144" s="14" t="str">
        <f>IF(AND(ISNUMBER($I144),OR($K144="Milestone",$K144="Deadline"),$I144&gt;=BR$4,$I144&lt;BR$4+7),IF($K144="Deadline","◇","◆"),"")</f>
        <v/>
      </c>
      <c r="BS144" s="14" t="str">
        <f>IF(AND(ISNUMBER($I144),OR($K144="Milestone",$K144="Deadline"),$I144&gt;=BS$4,$I144&lt;BS$4+7),IF($K144="Deadline","◇","◆"),"")</f>
        <v/>
      </c>
      <c r="BT144" s="14" t="str">
        <f>IF(AND(ISNUMBER($I144),OR($K144="Milestone",$K144="Deadline"),$I144&gt;=BT$4,$I144&lt;BT$4+7),IF($K144="Deadline","◇","◆"),"")</f>
        <v/>
      </c>
      <c r="BU144" s="14" t="str">
        <f>IF(AND(ISNUMBER($I144),OR($K144="Milestone",$K144="Deadline"),$I144&gt;=BU$4,$I144&lt;BU$4+7),IF($K144="Deadline","◇","◆"),"")</f>
        <v/>
      </c>
      <c r="BV144" s="14" t="str">
        <f>IF(AND(ISNUMBER($I144),OR($K144="Milestone",$K144="Deadline"),$I144&gt;=BV$4,$I144&lt;BV$4+7),IF($K144="Deadline","◇","◆"),"")</f>
        <v/>
      </c>
      <c r="BW144" s="14" t="str">
        <f>IF(AND(ISNUMBER($I144),OR($K144="Milestone",$K144="Deadline"),$I144&gt;=BW$4,$I144&lt;BW$4+7),IF($K144="Deadline","◇","◆"),"")</f>
        <v/>
      </c>
      <c r="BX144" s="14" t="str">
        <f>IF(AND(ISNUMBER($I144),OR($K144="Milestone",$K144="Deadline"),$I144&gt;=BX$4,$I144&lt;BX$4+7),IF($K144="Deadline","◇","◆"),"")</f>
        <v/>
      </c>
      <c r="BY144" s="14" t="str">
        <f>IF(AND(ISNUMBER($I144),OR($K144="Milestone",$K144="Deadline"),$I144&gt;=BY$4,$I144&lt;BY$4+7),IF($K144="Deadline","◇","◆"),"")</f>
        <v/>
      </c>
      <c r="BZ144" s="14" t="str">
        <f>IF(AND(ISNUMBER($I144),OR($K144="Milestone",$K144="Deadline"),$I144&gt;=BZ$4,$I144&lt;BZ$4+7),IF($K144="Deadline","◇","◆"),"")</f>
        <v/>
      </c>
      <c r="CA144" s="14" t="str">
        <f>IF(AND(ISNUMBER($I144),OR($K144="Milestone",$K144="Deadline"),$I144&gt;=CA$4,$I144&lt;CA$4+7),IF($K144="Deadline","◇","◆"),"")</f>
        <v/>
      </c>
      <c r="CB144" s="14" t="str">
        <f>IF(AND(ISNUMBER($I144),OR($K144="Milestone",$K144="Deadline"),$I144&gt;=CB$4,$I144&lt;CB$4+7),IF($K144="Deadline","◇","◆"),"")</f>
        <v/>
      </c>
      <c r="CC144" s="14" t="str">
        <f>IF(AND(ISNUMBER($I144),OR($K144="Milestone",$K144="Deadline"),$I144&gt;=CC$4,$I144&lt;CC$4+7),IF($K144="Deadline","◇","◆"),"")</f>
        <v/>
      </c>
      <c r="CD144" s="14" t="str">
        <f>IF(AND(ISNUMBER($I144),OR($K144="Milestone",$K144="Deadline"),$I144&gt;=CD$4,$I144&lt;CD$4+7),IF($K144="Deadline","◇","◆"),"")</f>
        <v/>
      </c>
      <c r="CE144" s="14" t="str">
        <f>IF(AND(ISNUMBER($I144),OR($K144="Milestone",$K144="Deadline"),$I144&gt;=CE$4,$I144&lt;CE$4+7),IF($K144="Deadline","◇","◆"),"")</f>
        <v/>
      </c>
      <c r="CF144" s="14" t="str">
        <f>IF(AND(ISNUMBER($I144),OR($K144="Milestone",$K144="Deadline"),$I144&gt;=CF$4,$I144&lt;CF$4+7),IF($K144="Deadline","◇","◆"),"")</f>
        <v/>
      </c>
      <c r="CG144" s="14" t="str">
        <f>IF(AND(ISNUMBER($I144),OR($K144="Milestone",$K144="Deadline"),$I144&gt;=CG$4,$I144&lt;CG$4+7),IF($K144="Deadline","◇","◆"),"")</f>
        <v/>
      </c>
      <c r="CH144" s="14" t="str">
        <f>IF(AND(ISNUMBER($I144),OR($K144="Milestone",$K144="Deadline"),$I144&gt;=CH$4,$I144&lt;CH$4+7),IF($K144="Deadline","◇","◆"),"")</f>
        <v/>
      </c>
      <c r="CI144" s="14" t="str">
        <f>IF(AND(ISNUMBER($I144),OR($K144="Milestone",$K144="Deadline"),$I144&gt;=CI$4,$I144&lt;CI$4+7),IF($K144="Deadline","◇","◆"),"")</f>
        <v/>
      </c>
      <c r="CJ144" s="14" t="str">
        <f>IF(AND(ISNUMBER($I144),OR($K144="Milestone",$K144="Deadline"),$I144&gt;=CJ$4,$I144&lt;CJ$4+7),IF($K144="Deadline","◇","◆"),"")</f>
        <v/>
      </c>
      <c r="CK144" s="14" t="str">
        <f>IF(AND(ISNUMBER($I144),OR($K144="Milestone",$K144="Deadline"),$I144&gt;=CK$4,$I144&lt;CK$4+7),IF($K144="Deadline","◇","◆"),"")</f>
        <v/>
      </c>
      <c r="CL144" s="14" t="str">
        <f>IF(AND(ISNUMBER($I144),OR($K144="Milestone",$K144="Deadline"),$I144&gt;=CL$4,$I144&lt;CL$4+7),IF($K144="Deadline","◇","◆"),"")</f>
        <v/>
      </c>
      <c r="CM144" s="14" t="str">
        <f>IF(AND(ISNUMBER($I144),OR($K144="Milestone",$K144="Deadline"),$I144&gt;=CM$4,$I144&lt;CM$4+7),IF($K144="Deadline","◇","◆"),"")</f>
        <v/>
      </c>
    </row>
    <row r="145" spans="1:91" ht="15" hidden="1" customHeight="1">
      <c r="A145" s="35" t="s">
        <v>363</v>
      </c>
      <c r="B145" s="35" t="s">
        <v>347</v>
      </c>
      <c r="C145" s="35" t="s">
        <v>93</v>
      </c>
      <c r="D145" s="35" t="s">
        <v>348</v>
      </c>
      <c r="E145" s="35" t="s">
        <v>281</v>
      </c>
      <c r="F145" s="35" t="s">
        <v>197</v>
      </c>
      <c r="G145" s="35" t="s">
        <v>173</v>
      </c>
      <c r="H145" s="35">
        <v>14</v>
      </c>
      <c r="I145" s="36">
        <f>MAX($C$2,I144)</f>
        <v>46358</v>
      </c>
      <c r="J145" s="37">
        <f>IF(AND(ISNUMBER(I145),ISNUMBER(H145)),I145+H145-1,"")</f>
        <v>46371</v>
      </c>
      <c r="K145" s="35" t="s">
        <v>27</v>
      </c>
      <c r="L145" s="35" t="s">
        <v>364</v>
      </c>
      <c r="M145" s="38"/>
      <c r="N145" s="35"/>
      <c r="O145" s="38">
        <f>IF(AND(ISNUMBER(I145),ISNUMBER(J145)),J145-I145+1,"")</f>
        <v>14</v>
      </c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4" t="str">
        <f>IF(AND(ISNUMBER($I145),OR($K145="Milestone",$K145="Deadline"),$I145&gt;=AO$4,$I145&lt;AO$4+7),IF($K145="Deadline","◇","◆"),"")</f>
        <v/>
      </c>
      <c r="AP145" s="14" t="str">
        <f>IF(AND(ISNUMBER($I145),OR($K145="Milestone",$K145="Deadline"),$I145&gt;=AP$4,$I145&lt;AP$4+7),IF($K145="Deadline","◇","◆"),"")</f>
        <v/>
      </c>
      <c r="AQ145" s="14" t="str">
        <f>IF(AND(ISNUMBER($I145),OR($K145="Milestone",$K145="Deadline"),$I145&gt;=AQ$4,$I145&lt;AQ$4+7),IF($K145="Deadline","◇","◆"),"")</f>
        <v/>
      </c>
      <c r="AR145" s="14" t="str">
        <f>IF(AND(ISNUMBER($I145),OR($K145="Milestone",$K145="Deadline"),$I145&gt;=AR$4,$I145&lt;AR$4+7),IF($K145="Deadline","◇","◆"),"")</f>
        <v/>
      </c>
      <c r="AS145" s="14" t="str">
        <f>IF(AND(ISNUMBER($I145),OR($K145="Milestone",$K145="Deadline"),$I145&gt;=AS$4,$I145&lt;AS$4+7),IF($K145="Deadline","◇","◆"),"")</f>
        <v/>
      </c>
      <c r="AT145" s="14" t="str">
        <f>IF(AND(ISNUMBER($I145),OR($K145="Milestone",$K145="Deadline"),$I145&gt;=AT$4,$I145&lt;AT$4+7),IF($K145="Deadline","◇","◆"),"")</f>
        <v/>
      </c>
      <c r="AU145" s="14" t="str">
        <f>IF(AND(ISNUMBER($I145),OR($K145="Milestone",$K145="Deadline"),$I145&gt;=AU$4,$I145&lt;AU$4+7),IF($K145="Deadline","◇","◆"),"")</f>
        <v/>
      </c>
      <c r="AV145" s="14" t="str">
        <f>IF(AND(ISNUMBER($I145),OR($K145="Milestone",$K145="Deadline"),$I145&gt;=AV$4,$I145&lt;AV$4+7),IF($K145="Deadline","◇","◆"),"")</f>
        <v/>
      </c>
      <c r="AW145" s="14" t="str">
        <f>IF(AND(ISNUMBER($I145),OR($K145="Milestone",$K145="Deadline"),$I145&gt;=AW$4,$I145&lt;AW$4+7),IF($K145="Deadline","◇","◆"),"")</f>
        <v/>
      </c>
      <c r="AX145" s="14" t="str">
        <f>IF(AND(ISNUMBER($I145),OR($K145="Milestone",$K145="Deadline"),$I145&gt;=AX$4,$I145&lt;AX$4+7),IF($K145="Deadline","◇","◆"),"")</f>
        <v/>
      </c>
      <c r="AY145" s="14" t="str">
        <f>IF(AND(ISNUMBER($I145),OR($K145="Milestone",$K145="Deadline"),$I145&gt;=AY$4,$I145&lt;AY$4+7),IF($K145="Deadline","◇","◆"),"")</f>
        <v/>
      </c>
      <c r="AZ145" s="14" t="str">
        <f>IF(AND(ISNUMBER($I145),OR($K145="Milestone",$K145="Deadline"),$I145&gt;=AZ$4,$I145&lt;AZ$4+7),IF($K145="Deadline","◇","◆"),"")</f>
        <v/>
      </c>
      <c r="BA145" s="14" t="str">
        <f>IF(AND(ISNUMBER($I145),OR($K145="Milestone",$K145="Deadline"),$I145&gt;=BA$4,$I145&lt;BA$4+7),IF($K145="Deadline","◇","◆"),"")</f>
        <v/>
      </c>
      <c r="BB145" s="14" t="str">
        <f>IF(AND(ISNUMBER($I145),OR($K145="Milestone",$K145="Deadline"),$I145&gt;=BB$4,$I145&lt;BB$4+7),IF($K145="Deadline","◇","◆"),"")</f>
        <v/>
      </c>
      <c r="BC145" s="14" t="str">
        <f>IF(AND(ISNUMBER($I145),OR($K145="Milestone",$K145="Deadline"),$I145&gt;=BC$4,$I145&lt;BC$4+7),IF($K145="Deadline","◇","◆"),"")</f>
        <v/>
      </c>
      <c r="BD145" s="14" t="str">
        <f>IF(AND(ISNUMBER($I145),OR($K145="Milestone",$K145="Deadline"),$I145&gt;=BD$4,$I145&lt;BD$4+7),IF($K145="Deadline","◇","◆"),"")</f>
        <v/>
      </c>
      <c r="BE145" s="14" t="str">
        <f>IF(AND(ISNUMBER($I145),OR($K145="Milestone",$K145="Deadline"),$I145&gt;=BE$4,$I145&lt;BE$4+7),IF($K145="Deadline","◇","◆"),"")</f>
        <v/>
      </c>
      <c r="BF145" s="14" t="str">
        <f>IF(AND(ISNUMBER($I145),OR($K145="Milestone",$K145="Deadline"),$I145&gt;=BF$4,$I145&lt;BF$4+7),IF($K145="Deadline","◇","◆"),"")</f>
        <v/>
      </c>
      <c r="BG145" s="14" t="str">
        <f>IF(AND(ISNUMBER($I145),OR($K145="Milestone",$K145="Deadline"),$I145&gt;=BG$4,$I145&lt;BG$4+7),IF($K145="Deadline","◇","◆"),"")</f>
        <v/>
      </c>
      <c r="BH145" s="14" t="str">
        <f>IF(AND(ISNUMBER($I145),OR($K145="Milestone",$K145="Deadline"),$I145&gt;=BH$4,$I145&lt;BH$4+7),IF($K145="Deadline","◇","◆"),"")</f>
        <v/>
      </c>
      <c r="BI145" s="14" t="str">
        <f>IF(AND(ISNUMBER($I145),OR($K145="Milestone",$K145="Deadline"),$I145&gt;=BI$4,$I145&lt;BI$4+7),IF($K145="Deadline","◇","◆"),"")</f>
        <v/>
      </c>
      <c r="BJ145" s="14" t="str">
        <f>IF(AND(ISNUMBER($I145),OR($K145="Milestone",$K145="Deadline"),$I145&gt;=BJ$4,$I145&lt;BJ$4+7),IF($K145="Deadline","◇","◆"),"")</f>
        <v/>
      </c>
      <c r="BK145" s="14" t="str">
        <f>IF(AND(ISNUMBER($I145),OR($K145="Milestone",$K145="Deadline"),$I145&gt;=BK$4,$I145&lt;BK$4+7),IF($K145="Deadline","◇","◆"),"")</f>
        <v/>
      </c>
      <c r="BL145" s="14" t="str">
        <f>IF(AND(ISNUMBER($I145),OR($K145="Milestone",$K145="Deadline"),$I145&gt;=BL$4,$I145&lt;BL$4+7),IF($K145="Deadline","◇","◆"),"")</f>
        <v/>
      </c>
      <c r="BM145" s="14" t="str">
        <f>IF(AND(ISNUMBER($I145),OR($K145="Milestone",$K145="Deadline"),$I145&gt;=BM$4,$I145&lt;BM$4+7),IF($K145="Deadline","◇","◆"),"")</f>
        <v/>
      </c>
      <c r="BN145" s="14" t="str">
        <f>IF(AND(ISNUMBER($I145),OR($K145="Milestone",$K145="Deadline"),$I145&gt;=BN$4,$I145&lt;BN$4+7),IF($K145="Deadline","◇","◆"),"")</f>
        <v/>
      </c>
      <c r="BO145" s="14" t="str">
        <f>IF(AND(ISNUMBER($I145),OR($K145="Milestone",$K145="Deadline"),$I145&gt;=BO$4,$I145&lt;BO$4+7),IF($K145="Deadline","◇","◆"),"")</f>
        <v/>
      </c>
      <c r="BP145" s="14" t="str">
        <f>IF(AND(ISNUMBER($I145),OR($K145="Milestone",$K145="Deadline"),$I145&gt;=BP$4,$I145&lt;BP$4+7),IF($K145="Deadline","◇","◆"),"")</f>
        <v/>
      </c>
      <c r="BQ145" s="14" t="str">
        <f>IF(AND(ISNUMBER($I145),OR($K145="Milestone",$K145="Deadline"),$I145&gt;=BQ$4,$I145&lt;BQ$4+7),IF($K145="Deadline","◇","◆"),"")</f>
        <v/>
      </c>
      <c r="BR145" s="14" t="str">
        <f>IF(AND(ISNUMBER($I145),OR($K145="Milestone",$K145="Deadline"),$I145&gt;=BR$4,$I145&lt;BR$4+7),IF($K145="Deadline","◇","◆"),"")</f>
        <v/>
      </c>
      <c r="BS145" s="14" t="str">
        <f>IF(AND(ISNUMBER($I145),OR($K145="Milestone",$K145="Deadline"),$I145&gt;=BS$4,$I145&lt;BS$4+7),IF($K145="Deadline","◇","◆"),"")</f>
        <v/>
      </c>
      <c r="BT145" s="14" t="str">
        <f>IF(AND(ISNUMBER($I145),OR($K145="Milestone",$K145="Deadline"),$I145&gt;=BT$4,$I145&lt;BT$4+7),IF($K145="Deadline","◇","◆"),"")</f>
        <v/>
      </c>
      <c r="BU145" s="14" t="str">
        <f>IF(AND(ISNUMBER($I145),OR($K145="Milestone",$K145="Deadline"),$I145&gt;=BU$4,$I145&lt;BU$4+7),IF($K145="Deadline","◇","◆"),"")</f>
        <v/>
      </c>
      <c r="BV145" s="14" t="str">
        <f>IF(AND(ISNUMBER($I145),OR($K145="Milestone",$K145="Deadline"),$I145&gt;=BV$4,$I145&lt;BV$4+7),IF($K145="Deadline","◇","◆"),"")</f>
        <v/>
      </c>
      <c r="BW145" s="14" t="str">
        <f>IF(AND(ISNUMBER($I145),OR($K145="Milestone",$K145="Deadline"),$I145&gt;=BW$4,$I145&lt;BW$4+7),IF($K145="Deadline","◇","◆"),"")</f>
        <v/>
      </c>
      <c r="BX145" s="14" t="str">
        <f>IF(AND(ISNUMBER($I145),OR($K145="Milestone",$K145="Deadline"),$I145&gt;=BX$4,$I145&lt;BX$4+7),IF($K145="Deadline","◇","◆"),"")</f>
        <v/>
      </c>
      <c r="BY145" s="14" t="str">
        <f>IF(AND(ISNUMBER($I145),OR($K145="Milestone",$K145="Deadline"),$I145&gt;=BY$4,$I145&lt;BY$4+7),IF($K145="Deadline","◇","◆"),"")</f>
        <v/>
      </c>
      <c r="BZ145" s="14" t="str">
        <f>IF(AND(ISNUMBER($I145),OR($K145="Milestone",$K145="Deadline"),$I145&gt;=BZ$4,$I145&lt;BZ$4+7),IF($K145="Deadline","◇","◆"),"")</f>
        <v/>
      </c>
      <c r="CA145" s="14" t="str">
        <f>IF(AND(ISNUMBER($I145),OR($K145="Milestone",$K145="Deadline"),$I145&gt;=CA$4,$I145&lt;CA$4+7),IF($K145="Deadline","◇","◆"),"")</f>
        <v/>
      </c>
      <c r="CB145" s="14" t="str">
        <f>IF(AND(ISNUMBER($I145),OR($K145="Milestone",$K145="Deadline"),$I145&gt;=CB$4,$I145&lt;CB$4+7),IF($K145="Deadline","◇","◆"),"")</f>
        <v/>
      </c>
      <c r="CC145" s="14" t="str">
        <f>IF(AND(ISNUMBER($I145),OR($K145="Milestone",$K145="Deadline"),$I145&gt;=CC$4,$I145&lt;CC$4+7),IF($K145="Deadline","◇","◆"),"")</f>
        <v/>
      </c>
      <c r="CD145" s="14" t="str">
        <f>IF(AND(ISNUMBER($I145),OR($K145="Milestone",$K145="Deadline"),$I145&gt;=CD$4,$I145&lt;CD$4+7),IF($K145="Deadline","◇","◆"),"")</f>
        <v/>
      </c>
      <c r="CE145" s="14" t="str">
        <f>IF(AND(ISNUMBER($I145),OR($K145="Milestone",$K145="Deadline"),$I145&gt;=CE$4,$I145&lt;CE$4+7),IF($K145="Deadline","◇","◆"),"")</f>
        <v/>
      </c>
      <c r="CF145" s="14" t="str">
        <f>IF(AND(ISNUMBER($I145),OR($K145="Milestone",$K145="Deadline"),$I145&gt;=CF$4,$I145&lt;CF$4+7),IF($K145="Deadline","◇","◆"),"")</f>
        <v/>
      </c>
      <c r="CG145" s="14" t="str">
        <f>IF(AND(ISNUMBER($I145),OR($K145="Milestone",$K145="Deadline"),$I145&gt;=CG$4,$I145&lt;CG$4+7),IF($K145="Deadline","◇","◆"),"")</f>
        <v/>
      </c>
      <c r="CH145" s="14" t="str">
        <f>IF(AND(ISNUMBER($I145),OR($K145="Milestone",$K145="Deadline"),$I145&gt;=CH$4,$I145&lt;CH$4+7),IF($K145="Deadline","◇","◆"),"")</f>
        <v/>
      </c>
      <c r="CI145" s="14" t="str">
        <f>IF(AND(ISNUMBER($I145),OR($K145="Milestone",$K145="Deadline"),$I145&gt;=CI$4,$I145&lt;CI$4+7),IF($K145="Deadline","◇","◆"),"")</f>
        <v/>
      </c>
      <c r="CJ145" s="14" t="str">
        <f>IF(AND(ISNUMBER($I145),OR($K145="Milestone",$K145="Deadline"),$I145&gt;=CJ$4,$I145&lt;CJ$4+7),IF($K145="Deadline","◇","◆"),"")</f>
        <v/>
      </c>
      <c r="CK145" s="14" t="str">
        <f>IF(AND(ISNUMBER($I145),OR($K145="Milestone",$K145="Deadline"),$I145&gt;=CK$4,$I145&lt;CK$4+7),IF($K145="Deadline","◇","◆"),"")</f>
        <v/>
      </c>
      <c r="CL145" s="14" t="str">
        <f>IF(AND(ISNUMBER($I145),OR($K145="Milestone",$K145="Deadline"),$I145&gt;=CL$4,$I145&lt;CL$4+7),IF($K145="Deadline","◇","◆"),"")</f>
        <v/>
      </c>
      <c r="CM145" s="14" t="str">
        <f>IF(AND(ISNUMBER($I145),OR($K145="Milestone",$K145="Deadline"),$I145&gt;=CM$4,$I145&lt;CM$4+7),IF($K145="Deadline","◇","◆"),"")</f>
        <v/>
      </c>
    </row>
    <row r="146" spans="1:91" ht="15" hidden="1" customHeight="1">
      <c r="A146" s="35" t="s">
        <v>365</v>
      </c>
      <c r="B146" s="35" t="s">
        <v>347</v>
      </c>
      <c r="C146" s="35" t="s">
        <v>93</v>
      </c>
      <c r="D146" s="35" t="s">
        <v>348</v>
      </c>
      <c r="E146" s="35" t="s">
        <v>281</v>
      </c>
      <c r="F146" s="35" t="s">
        <v>197</v>
      </c>
      <c r="G146" s="35" t="s">
        <v>176</v>
      </c>
      <c r="H146" s="35">
        <v>7</v>
      </c>
      <c r="I146" s="36">
        <f>MAX($C$2,J144+1)</f>
        <v>46365</v>
      </c>
      <c r="J146" s="37">
        <f>IF(AND(ISNUMBER(I146),ISNUMBER(H146)),I146+H146-1,"")</f>
        <v>46371</v>
      </c>
      <c r="K146" s="35" t="s">
        <v>27</v>
      </c>
      <c r="L146" s="35" t="s">
        <v>361</v>
      </c>
      <c r="M146" s="38"/>
      <c r="N146" s="35"/>
      <c r="O146" s="38">
        <f>IF(AND(ISNUMBER(I146),ISNUMBER(J146)),J146-I146+1,"")</f>
        <v>7</v>
      </c>
      <c r="P146" s="13"/>
      <c r="Q146" s="13"/>
      <c r="R146" s="13"/>
      <c r="S146" s="13"/>
      <c r="T146" s="13"/>
      <c r="U146" s="13"/>
      <c r="V146" s="13"/>
      <c r="W146" s="13" t="s">
        <v>140</v>
      </c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4" t="str">
        <f>IF(AND(ISNUMBER($I146),OR($K146="Milestone",$K146="Deadline"),$I146&gt;=AO$4,$I146&lt;AO$4+7),IF($K146="Deadline","◇","◆"),"")</f>
        <v/>
      </c>
      <c r="AP146" s="14" t="str">
        <f>IF(AND(ISNUMBER($I146),OR($K146="Milestone",$K146="Deadline"),$I146&gt;=AP$4,$I146&lt;AP$4+7),IF($K146="Deadline","◇","◆"),"")</f>
        <v/>
      </c>
      <c r="AQ146" s="14" t="str">
        <f>IF(AND(ISNUMBER($I146),OR($K146="Milestone",$K146="Deadline"),$I146&gt;=AQ$4,$I146&lt;AQ$4+7),IF($K146="Deadline","◇","◆"),"")</f>
        <v/>
      </c>
      <c r="AR146" s="14" t="str">
        <f>IF(AND(ISNUMBER($I146),OR($K146="Milestone",$K146="Deadline"),$I146&gt;=AR$4,$I146&lt;AR$4+7),IF($K146="Deadline","◇","◆"),"")</f>
        <v/>
      </c>
      <c r="AS146" s="14" t="str">
        <f>IF(AND(ISNUMBER($I146),OR($K146="Milestone",$K146="Deadline"),$I146&gt;=AS$4,$I146&lt;AS$4+7),IF($K146="Deadline","◇","◆"),"")</f>
        <v/>
      </c>
      <c r="AT146" s="14" t="str">
        <f>IF(AND(ISNUMBER($I146),OR($K146="Milestone",$K146="Deadline"),$I146&gt;=AT$4,$I146&lt;AT$4+7),IF($K146="Deadline","◇","◆"),"")</f>
        <v/>
      </c>
      <c r="AU146" s="14" t="str">
        <f>IF(AND(ISNUMBER($I146),OR($K146="Milestone",$K146="Deadline"),$I146&gt;=AU$4,$I146&lt;AU$4+7),IF($K146="Deadline","◇","◆"),"")</f>
        <v/>
      </c>
      <c r="AV146" s="14" t="str">
        <f>IF(AND(ISNUMBER($I146),OR($K146="Milestone",$K146="Deadline"),$I146&gt;=AV$4,$I146&lt;AV$4+7),IF($K146="Deadline","◇","◆"),"")</f>
        <v/>
      </c>
      <c r="AW146" s="14" t="str">
        <f>IF(AND(ISNUMBER($I146),OR($K146="Milestone",$K146="Deadline"),$I146&gt;=AW$4,$I146&lt;AW$4+7),IF($K146="Deadline","◇","◆"),"")</f>
        <v/>
      </c>
      <c r="AX146" s="14" t="str">
        <f>IF(AND(ISNUMBER($I146),OR($K146="Milestone",$K146="Deadline"),$I146&gt;=AX$4,$I146&lt;AX$4+7),IF($K146="Deadline","◇","◆"),"")</f>
        <v/>
      </c>
      <c r="AY146" s="14" t="str">
        <f>IF(AND(ISNUMBER($I146),OR($K146="Milestone",$K146="Deadline"),$I146&gt;=AY$4,$I146&lt;AY$4+7),IF($K146="Deadline","◇","◆"),"")</f>
        <v/>
      </c>
      <c r="AZ146" s="14" t="str">
        <f>IF(AND(ISNUMBER($I146),OR($K146="Milestone",$K146="Deadline"),$I146&gt;=AZ$4,$I146&lt;AZ$4+7),IF($K146="Deadline","◇","◆"),"")</f>
        <v/>
      </c>
      <c r="BA146" s="14" t="str">
        <f>IF(AND(ISNUMBER($I146),OR($K146="Milestone",$K146="Deadline"),$I146&gt;=BA$4,$I146&lt;BA$4+7),IF($K146="Deadline","◇","◆"),"")</f>
        <v/>
      </c>
      <c r="BB146" s="14" t="str">
        <f>IF(AND(ISNUMBER($I146),OR($K146="Milestone",$K146="Deadline"),$I146&gt;=BB$4,$I146&lt;BB$4+7),IF($K146="Deadline","◇","◆"),"")</f>
        <v/>
      </c>
      <c r="BC146" s="14" t="str">
        <f>IF(AND(ISNUMBER($I146),OR($K146="Milestone",$K146="Deadline"),$I146&gt;=BC$4,$I146&lt;BC$4+7),IF($K146="Deadline","◇","◆"),"")</f>
        <v/>
      </c>
      <c r="BD146" s="14" t="str">
        <f>IF(AND(ISNUMBER($I146),OR($K146="Milestone",$K146="Deadline"),$I146&gt;=BD$4,$I146&lt;BD$4+7),IF($K146="Deadline","◇","◆"),"")</f>
        <v/>
      </c>
      <c r="BE146" s="14" t="str">
        <f>IF(AND(ISNUMBER($I146),OR($K146="Milestone",$K146="Deadline"),$I146&gt;=BE$4,$I146&lt;BE$4+7),IF($K146="Deadline","◇","◆"),"")</f>
        <v/>
      </c>
      <c r="BF146" s="14" t="str">
        <f>IF(AND(ISNUMBER($I146),OR($K146="Milestone",$K146="Deadline"),$I146&gt;=BF$4,$I146&lt;BF$4+7),IF($K146="Deadline","◇","◆"),"")</f>
        <v/>
      </c>
      <c r="BG146" s="14" t="str">
        <f>IF(AND(ISNUMBER($I146),OR($K146="Milestone",$K146="Deadline"),$I146&gt;=BG$4,$I146&lt;BG$4+7),IF($K146="Deadline","◇","◆"),"")</f>
        <v/>
      </c>
      <c r="BH146" s="14" t="str">
        <f>IF(AND(ISNUMBER($I146),OR($K146="Milestone",$K146="Deadline"),$I146&gt;=BH$4,$I146&lt;BH$4+7),IF($K146="Deadline","◇","◆"),"")</f>
        <v/>
      </c>
      <c r="BI146" s="14" t="str">
        <f>IF(AND(ISNUMBER($I146),OR($K146="Milestone",$K146="Deadline"),$I146&gt;=BI$4,$I146&lt;BI$4+7),IF($K146="Deadline","◇","◆"),"")</f>
        <v/>
      </c>
      <c r="BJ146" s="14" t="str">
        <f>IF(AND(ISNUMBER($I146),OR($K146="Milestone",$K146="Deadline"),$I146&gt;=BJ$4,$I146&lt;BJ$4+7),IF($K146="Deadline","◇","◆"),"")</f>
        <v/>
      </c>
      <c r="BK146" s="14" t="str">
        <f>IF(AND(ISNUMBER($I146),OR($K146="Milestone",$K146="Deadline"),$I146&gt;=BK$4,$I146&lt;BK$4+7),IF($K146="Deadline","◇","◆"),"")</f>
        <v/>
      </c>
      <c r="BL146" s="14" t="str">
        <f>IF(AND(ISNUMBER($I146),OR($K146="Milestone",$K146="Deadline"),$I146&gt;=BL$4,$I146&lt;BL$4+7),IF($K146="Deadline","◇","◆"),"")</f>
        <v/>
      </c>
      <c r="BM146" s="14" t="str">
        <f>IF(AND(ISNUMBER($I146),OR($K146="Milestone",$K146="Deadline"),$I146&gt;=BM$4,$I146&lt;BM$4+7),IF($K146="Deadline","◇","◆"),"")</f>
        <v/>
      </c>
      <c r="BN146" s="14" t="str">
        <f>IF(AND(ISNUMBER($I146),OR($K146="Milestone",$K146="Deadline"),$I146&gt;=BN$4,$I146&lt;BN$4+7),IF($K146="Deadline","◇","◆"),"")</f>
        <v/>
      </c>
      <c r="BO146" s="14" t="str">
        <f>IF(AND(ISNUMBER($I146),OR($K146="Milestone",$K146="Deadline"),$I146&gt;=BO$4,$I146&lt;BO$4+7),IF($K146="Deadline","◇","◆"),"")</f>
        <v/>
      </c>
      <c r="BP146" s="14" t="str">
        <f>IF(AND(ISNUMBER($I146),OR($K146="Milestone",$K146="Deadline"),$I146&gt;=BP$4,$I146&lt;BP$4+7),IF($K146="Deadline","◇","◆"),"")</f>
        <v/>
      </c>
      <c r="BQ146" s="14" t="str">
        <f>IF(AND(ISNUMBER($I146),OR($K146="Milestone",$K146="Deadline"),$I146&gt;=BQ$4,$I146&lt;BQ$4+7),IF($K146="Deadline","◇","◆"),"")</f>
        <v/>
      </c>
      <c r="BR146" s="14" t="str">
        <f>IF(AND(ISNUMBER($I146),OR($K146="Milestone",$K146="Deadline"),$I146&gt;=BR$4,$I146&lt;BR$4+7),IF($K146="Deadline","◇","◆"),"")</f>
        <v/>
      </c>
      <c r="BS146" s="14" t="str">
        <f>IF(AND(ISNUMBER($I146),OR($K146="Milestone",$K146="Deadline"),$I146&gt;=BS$4,$I146&lt;BS$4+7),IF($K146="Deadline","◇","◆"),"")</f>
        <v/>
      </c>
      <c r="BT146" s="14" t="str">
        <f>IF(AND(ISNUMBER($I146),OR($K146="Milestone",$K146="Deadline"),$I146&gt;=BT$4,$I146&lt;BT$4+7),IF($K146="Deadline","◇","◆"),"")</f>
        <v/>
      </c>
      <c r="BU146" s="14" t="str">
        <f>IF(AND(ISNUMBER($I146),OR($K146="Milestone",$K146="Deadline"),$I146&gt;=BU$4,$I146&lt;BU$4+7),IF($K146="Deadline","◇","◆"),"")</f>
        <v/>
      </c>
      <c r="BV146" s="14" t="str">
        <f>IF(AND(ISNUMBER($I146),OR($K146="Milestone",$K146="Deadline"),$I146&gt;=BV$4,$I146&lt;BV$4+7),IF($K146="Deadline","◇","◆"),"")</f>
        <v/>
      </c>
      <c r="BW146" s="14" t="str">
        <f>IF(AND(ISNUMBER($I146),OR($K146="Milestone",$K146="Deadline"),$I146&gt;=BW$4,$I146&lt;BW$4+7),IF($K146="Deadline","◇","◆"),"")</f>
        <v/>
      </c>
      <c r="BX146" s="14" t="str">
        <f>IF(AND(ISNUMBER($I146),OR($K146="Milestone",$K146="Deadline"),$I146&gt;=BX$4,$I146&lt;BX$4+7),IF($K146="Deadline","◇","◆"),"")</f>
        <v/>
      </c>
      <c r="BY146" s="14" t="str">
        <f>IF(AND(ISNUMBER($I146),OR($K146="Milestone",$K146="Deadline"),$I146&gt;=BY$4,$I146&lt;BY$4+7),IF($K146="Deadline","◇","◆"),"")</f>
        <v/>
      </c>
      <c r="BZ146" s="14" t="str">
        <f>IF(AND(ISNUMBER($I146),OR($K146="Milestone",$K146="Deadline"),$I146&gt;=BZ$4,$I146&lt;BZ$4+7),IF($K146="Deadline","◇","◆"),"")</f>
        <v/>
      </c>
      <c r="CA146" s="14" t="str">
        <f>IF(AND(ISNUMBER($I146),OR($K146="Milestone",$K146="Deadline"),$I146&gt;=CA$4,$I146&lt;CA$4+7),IF($K146="Deadline","◇","◆"),"")</f>
        <v/>
      </c>
      <c r="CB146" s="14" t="str">
        <f>IF(AND(ISNUMBER($I146),OR($K146="Milestone",$K146="Deadline"),$I146&gt;=CB$4,$I146&lt;CB$4+7),IF($K146="Deadline","◇","◆"),"")</f>
        <v/>
      </c>
      <c r="CC146" s="14" t="str">
        <f>IF(AND(ISNUMBER($I146),OR($K146="Milestone",$K146="Deadline"),$I146&gt;=CC$4,$I146&lt;CC$4+7),IF($K146="Deadline","◇","◆"),"")</f>
        <v/>
      </c>
      <c r="CD146" s="14" t="str">
        <f>IF(AND(ISNUMBER($I146),OR($K146="Milestone",$K146="Deadline"),$I146&gt;=CD$4,$I146&lt;CD$4+7),IF($K146="Deadline","◇","◆"),"")</f>
        <v/>
      </c>
      <c r="CE146" s="14" t="str">
        <f>IF(AND(ISNUMBER($I146),OR($K146="Milestone",$K146="Deadline"),$I146&gt;=CE$4,$I146&lt;CE$4+7),IF($K146="Deadline","◇","◆"),"")</f>
        <v/>
      </c>
      <c r="CF146" s="14" t="str">
        <f>IF(AND(ISNUMBER($I146),OR($K146="Milestone",$K146="Deadline"),$I146&gt;=CF$4,$I146&lt;CF$4+7),IF($K146="Deadline","◇","◆"),"")</f>
        <v/>
      </c>
      <c r="CG146" s="14" t="str">
        <f>IF(AND(ISNUMBER($I146),OR($K146="Milestone",$K146="Deadline"),$I146&gt;=CG$4,$I146&lt;CG$4+7),IF($K146="Deadline","◇","◆"),"")</f>
        <v/>
      </c>
      <c r="CH146" s="14" t="str">
        <f>IF(AND(ISNUMBER($I146),OR($K146="Milestone",$K146="Deadline"),$I146&gt;=CH$4,$I146&lt;CH$4+7),IF($K146="Deadline","◇","◆"),"")</f>
        <v/>
      </c>
      <c r="CI146" s="14" t="str">
        <f>IF(AND(ISNUMBER($I146),OR($K146="Milestone",$K146="Deadline"),$I146&gt;=CI$4,$I146&lt;CI$4+7),IF($K146="Deadline","◇","◆"),"")</f>
        <v/>
      </c>
      <c r="CJ146" s="14" t="str">
        <f>IF(AND(ISNUMBER($I146),OR($K146="Milestone",$K146="Deadline"),$I146&gt;=CJ$4,$I146&lt;CJ$4+7),IF($K146="Deadline","◇","◆"),"")</f>
        <v/>
      </c>
      <c r="CK146" s="14" t="str">
        <f>IF(AND(ISNUMBER($I146),OR($K146="Milestone",$K146="Deadline"),$I146&gt;=CK$4,$I146&lt;CK$4+7),IF($K146="Deadline","◇","◆"),"")</f>
        <v/>
      </c>
      <c r="CL146" s="14" t="str">
        <f>IF(AND(ISNUMBER($I146),OR($K146="Milestone",$K146="Deadline"),$I146&gt;=CL$4,$I146&lt;CL$4+7),IF($K146="Deadline","◇","◆"),"")</f>
        <v/>
      </c>
      <c r="CM146" s="14" t="str">
        <f>IF(AND(ISNUMBER($I146),OR($K146="Milestone",$K146="Deadline"),$I146&gt;=CM$4,$I146&lt;CM$4+7),IF($K146="Deadline","◇","◆"),"")</f>
        <v/>
      </c>
    </row>
    <row r="147" spans="1:91" ht="15" customHeight="1">
      <c r="A147" s="35" t="s">
        <v>366</v>
      </c>
      <c r="B147" s="35" t="s">
        <v>347</v>
      </c>
      <c r="C147" s="35" t="s">
        <v>93</v>
      </c>
      <c r="D147" s="35" t="s">
        <v>348</v>
      </c>
      <c r="E147" s="35" t="s">
        <v>281</v>
      </c>
      <c r="F147" s="35" t="s">
        <v>204</v>
      </c>
      <c r="G147" s="35" t="s">
        <v>198</v>
      </c>
      <c r="H147" s="35">
        <v>7</v>
      </c>
      <c r="I147" s="36">
        <f>MAX($C$2,J144+1,J167+1)</f>
        <v>46372</v>
      </c>
      <c r="J147" s="37">
        <f>IF(AND(ISNUMBER(I147),ISNUMBER(H147)),I147+H147-1,"")</f>
        <v>46378</v>
      </c>
      <c r="K147" s="35" t="s">
        <v>27</v>
      </c>
      <c r="L147" s="35" t="s">
        <v>361</v>
      </c>
      <c r="M147" s="38" t="s">
        <v>367</v>
      </c>
      <c r="N147" s="35"/>
      <c r="O147" s="38">
        <f>IF(AND(ISNUMBER(I147),ISNUMBER(J147)),J147-I147+1,"")</f>
        <v>7</v>
      </c>
      <c r="P147" s="13"/>
      <c r="Q147" s="13"/>
      <c r="R147" s="13"/>
      <c r="S147" s="13" t="s">
        <v>140</v>
      </c>
      <c r="T147" s="13"/>
      <c r="U147" s="13" t="s">
        <v>140</v>
      </c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4" t="str">
        <f>IF(AND(ISNUMBER($I147),OR($K147="Milestone",$K147="Deadline"),$I147&gt;=AO$4,$I147&lt;AO$4+7),IF($K147="Deadline","◇","◆"),"")</f>
        <v/>
      </c>
      <c r="AP147" s="14" t="str">
        <f>IF(AND(ISNUMBER($I147),OR($K147="Milestone",$K147="Deadline"),$I147&gt;=AP$4,$I147&lt;AP$4+7),IF($K147="Deadline","◇","◆"),"")</f>
        <v/>
      </c>
      <c r="AQ147" s="14" t="str">
        <f>IF(AND(ISNUMBER($I147),OR($K147="Milestone",$K147="Deadline"),$I147&gt;=AQ$4,$I147&lt;AQ$4+7),IF($K147="Deadline","◇","◆"),"")</f>
        <v/>
      </c>
      <c r="AR147" s="14" t="str">
        <f>IF(AND(ISNUMBER($I147),OR($K147="Milestone",$K147="Deadline"),$I147&gt;=AR$4,$I147&lt;AR$4+7),IF($K147="Deadline","◇","◆"),"")</f>
        <v/>
      </c>
      <c r="AS147" s="14" t="str">
        <f>IF(AND(ISNUMBER($I147),OR($K147="Milestone",$K147="Deadline"),$I147&gt;=AS$4,$I147&lt;AS$4+7),IF($K147="Deadline","◇","◆"),"")</f>
        <v/>
      </c>
      <c r="AT147" s="14" t="str">
        <f>IF(AND(ISNUMBER($I147),OR($K147="Milestone",$K147="Deadline"),$I147&gt;=AT$4,$I147&lt;AT$4+7),IF($K147="Deadline","◇","◆"),"")</f>
        <v/>
      </c>
      <c r="AU147" s="14" t="str">
        <f>IF(AND(ISNUMBER($I147),OR($K147="Milestone",$K147="Deadline"),$I147&gt;=AU$4,$I147&lt;AU$4+7),IF($K147="Deadline","◇","◆"),"")</f>
        <v/>
      </c>
      <c r="AV147" s="14" t="str">
        <f>IF(AND(ISNUMBER($I147),OR($K147="Milestone",$K147="Deadline"),$I147&gt;=AV$4,$I147&lt;AV$4+7),IF($K147="Deadline","◇","◆"),"")</f>
        <v/>
      </c>
      <c r="AW147" s="14" t="str">
        <f>IF(AND(ISNUMBER($I147),OR($K147="Milestone",$K147="Deadline"),$I147&gt;=AW$4,$I147&lt;AW$4+7),IF($K147="Deadline","◇","◆"),"")</f>
        <v/>
      </c>
      <c r="AX147" s="14" t="str">
        <f>IF(AND(ISNUMBER($I147),OR($K147="Milestone",$K147="Deadline"),$I147&gt;=AX$4,$I147&lt;AX$4+7),IF($K147="Deadline","◇","◆"),"")</f>
        <v/>
      </c>
      <c r="AY147" s="14" t="str">
        <f>IF(AND(ISNUMBER($I147),OR($K147="Milestone",$K147="Deadline"),$I147&gt;=AY$4,$I147&lt;AY$4+7),IF($K147="Deadline","◇","◆"),"")</f>
        <v/>
      </c>
      <c r="AZ147" s="14" t="str">
        <f>IF(AND(ISNUMBER($I147),OR($K147="Milestone",$K147="Deadline"),$I147&gt;=AZ$4,$I147&lt;AZ$4+7),IF($K147="Deadline","◇","◆"),"")</f>
        <v/>
      </c>
      <c r="BA147" s="14" t="str">
        <f>IF(AND(ISNUMBER($I147),OR($K147="Milestone",$K147="Deadline"),$I147&gt;=BA$4,$I147&lt;BA$4+7),IF($K147="Deadline","◇","◆"),"")</f>
        <v/>
      </c>
      <c r="BB147" s="14" t="str">
        <f>IF(AND(ISNUMBER($I147),OR($K147="Milestone",$K147="Deadline"),$I147&gt;=BB$4,$I147&lt;BB$4+7),IF($K147="Deadline","◇","◆"),"")</f>
        <v/>
      </c>
      <c r="BC147" s="14" t="str">
        <f>IF(AND(ISNUMBER($I147),OR($K147="Milestone",$K147="Deadline"),$I147&gt;=BC$4,$I147&lt;BC$4+7),IF($K147="Deadline","◇","◆"),"")</f>
        <v/>
      </c>
      <c r="BD147" s="14" t="str">
        <f>IF(AND(ISNUMBER($I147),OR($K147="Milestone",$K147="Deadline"),$I147&gt;=BD$4,$I147&lt;BD$4+7),IF($K147="Deadline","◇","◆"),"")</f>
        <v/>
      </c>
      <c r="BE147" s="14" t="str">
        <f>IF(AND(ISNUMBER($I147),OR($K147="Milestone",$K147="Deadline"),$I147&gt;=BE$4,$I147&lt;BE$4+7),IF($K147="Deadline","◇","◆"),"")</f>
        <v/>
      </c>
      <c r="BF147" s="14" t="str">
        <f>IF(AND(ISNUMBER($I147),OR($K147="Milestone",$K147="Deadline"),$I147&gt;=BF$4,$I147&lt;BF$4+7),IF($K147="Deadline","◇","◆"),"")</f>
        <v/>
      </c>
      <c r="BG147" s="14" t="str">
        <f>IF(AND(ISNUMBER($I147),OR($K147="Milestone",$K147="Deadline"),$I147&gt;=BG$4,$I147&lt;BG$4+7),IF($K147="Deadline","◇","◆"),"")</f>
        <v/>
      </c>
      <c r="BH147" s="14" t="str">
        <f>IF(AND(ISNUMBER($I147),OR($K147="Milestone",$K147="Deadline"),$I147&gt;=BH$4,$I147&lt;BH$4+7),IF($K147="Deadline","◇","◆"),"")</f>
        <v/>
      </c>
      <c r="BI147" s="14" t="str">
        <f>IF(AND(ISNUMBER($I147),OR($K147="Milestone",$K147="Deadline"),$I147&gt;=BI$4,$I147&lt;BI$4+7),IF($K147="Deadline","◇","◆"),"")</f>
        <v/>
      </c>
      <c r="BJ147" s="14" t="str">
        <f>IF(AND(ISNUMBER($I147),OR($K147="Milestone",$K147="Deadline"),$I147&gt;=BJ$4,$I147&lt;BJ$4+7),IF($K147="Deadline","◇","◆"),"")</f>
        <v/>
      </c>
      <c r="BK147" s="14" t="str">
        <f>IF(AND(ISNUMBER($I147),OR($K147="Milestone",$K147="Deadline"),$I147&gt;=BK$4,$I147&lt;BK$4+7),IF($K147="Deadline","◇","◆"),"")</f>
        <v/>
      </c>
      <c r="BL147" s="14" t="str">
        <f>IF(AND(ISNUMBER($I147),OR($K147="Milestone",$K147="Deadline"),$I147&gt;=BL$4,$I147&lt;BL$4+7),IF($K147="Deadline","◇","◆"),"")</f>
        <v/>
      </c>
      <c r="BM147" s="14" t="str">
        <f>IF(AND(ISNUMBER($I147),OR($K147="Milestone",$K147="Deadline"),$I147&gt;=BM$4,$I147&lt;BM$4+7),IF($K147="Deadline","◇","◆"),"")</f>
        <v/>
      </c>
      <c r="BN147" s="14" t="str">
        <f>IF(AND(ISNUMBER($I147),OR($K147="Milestone",$K147="Deadline"),$I147&gt;=BN$4,$I147&lt;BN$4+7),IF($K147="Deadline","◇","◆"),"")</f>
        <v/>
      </c>
      <c r="BO147" s="14" t="str">
        <f>IF(AND(ISNUMBER($I147),OR($K147="Milestone",$K147="Deadline"),$I147&gt;=BO$4,$I147&lt;BO$4+7),IF($K147="Deadline","◇","◆"),"")</f>
        <v/>
      </c>
      <c r="BP147" s="14" t="str">
        <f>IF(AND(ISNUMBER($I147),OR($K147="Milestone",$K147="Deadline"),$I147&gt;=BP$4,$I147&lt;BP$4+7),IF($K147="Deadline","◇","◆"),"")</f>
        <v/>
      </c>
      <c r="BQ147" s="14" t="str">
        <f>IF(AND(ISNUMBER($I147),OR($K147="Milestone",$K147="Deadline"),$I147&gt;=BQ$4,$I147&lt;BQ$4+7),IF($K147="Deadline","◇","◆"),"")</f>
        <v/>
      </c>
      <c r="BR147" s="14" t="str">
        <f>IF(AND(ISNUMBER($I147),OR($K147="Milestone",$K147="Deadline"),$I147&gt;=BR$4,$I147&lt;BR$4+7),IF($K147="Deadline","◇","◆"),"")</f>
        <v/>
      </c>
      <c r="BS147" s="14" t="str">
        <f>IF(AND(ISNUMBER($I147),OR($K147="Milestone",$K147="Deadline"),$I147&gt;=BS$4,$I147&lt;BS$4+7),IF($K147="Deadline","◇","◆"),"")</f>
        <v/>
      </c>
      <c r="BT147" s="14" t="str">
        <f>IF(AND(ISNUMBER($I147),OR($K147="Milestone",$K147="Deadline"),$I147&gt;=BT$4,$I147&lt;BT$4+7),IF($K147="Deadline","◇","◆"),"")</f>
        <v/>
      </c>
      <c r="BU147" s="14" t="str">
        <f>IF(AND(ISNUMBER($I147),OR($K147="Milestone",$K147="Deadline"),$I147&gt;=BU$4,$I147&lt;BU$4+7),IF($K147="Deadline","◇","◆"),"")</f>
        <v/>
      </c>
      <c r="BV147" s="14" t="str">
        <f>IF(AND(ISNUMBER($I147),OR($K147="Milestone",$K147="Deadline"),$I147&gt;=BV$4,$I147&lt;BV$4+7),IF($K147="Deadline","◇","◆"),"")</f>
        <v/>
      </c>
      <c r="BW147" s="14" t="str">
        <f>IF(AND(ISNUMBER($I147),OR($K147="Milestone",$K147="Deadline"),$I147&gt;=BW$4,$I147&lt;BW$4+7),IF($K147="Deadline","◇","◆"),"")</f>
        <v/>
      </c>
      <c r="BX147" s="14" t="str">
        <f>IF(AND(ISNUMBER($I147),OR($K147="Milestone",$K147="Deadline"),$I147&gt;=BX$4,$I147&lt;BX$4+7),IF($K147="Deadline","◇","◆"),"")</f>
        <v/>
      </c>
      <c r="BY147" s="14" t="str">
        <f>IF(AND(ISNUMBER($I147),OR($K147="Milestone",$K147="Deadline"),$I147&gt;=BY$4,$I147&lt;BY$4+7),IF($K147="Deadline","◇","◆"),"")</f>
        <v/>
      </c>
      <c r="BZ147" s="14" t="str">
        <f>IF(AND(ISNUMBER($I147),OR($K147="Milestone",$K147="Deadline"),$I147&gt;=BZ$4,$I147&lt;BZ$4+7),IF($K147="Deadline","◇","◆"),"")</f>
        <v/>
      </c>
      <c r="CA147" s="14" t="str">
        <f>IF(AND(ISNUMBER($I147),OR($K147="Milestone",$K147="Deadline"),$I147&gt;=CA$4,$I147&lt;CA$4+7),IF($K147="Deadline","◇","◆"),"")</f>
        <v/>
      </c>
      <c r="CB147" s="14" t="str">
        <f>IF(AND(ISNUMBER($I147),OR($K147="Milestone",$K147="Deadline"),$I147&gt;=CB$4,$I147&lt;CB$4+7),IF($K147="Deadline","◇","◆"),"")</f>
        <v/>
      </c>
      <c r="CC147" s="14" t="str">
        <f>IF(AND(ISNUMBER($I147),OR($K147="Milestone",$K147="Deadline"),$I147&gt;=CC$4,$I147&lt;CC$4+7),IF($K147="Deadline","◇","◆"),"")</f>
        <v/>
      </c>
      <c r="CD147" s="14" t="str">
        <f>IF(AND(ISNUMBER($I147),OR($K147="Milestone",$K147="Deadline"),$I147&gt;=CD$4,$I147&lt;CD$4+7),IF($K147="Deadline","◇","◆"),"")</f>
        <v/>
      </c>
      <c r="CE147" s="14" t="str">
        <f>IF(AND(ISNUMBER($I147),OR($K147="Milestone",$K147="Deadline"),$I147&gt;=CE$4,$I147&lt;CE$4+7),IF($K147="Deadline","◇","◆"),"")</f>
        <v/>
      </c>
      <c r="CF147" s="14" t="str">
        <f>IF(AND(ISNUMBER($I147),OR($K147="Milestone",$K147="Deadline"),$I147&gt;=CF$4,$I147&lt;CF$4+7),IF($K147="Deadline","◇","◆"),"")</f>
        <v/>
      </c>
      <c r="CG147" s="14" t="str">
        <f>IF(AND(ISNUMBER($I147),OR($K147="Milestone",$K147="Deadline"),$I147&gt;=CG$4,$I147&lt;CG$4+7),IF($K147="Deadline","◇","◆"),"")</f>
        <v/>
      </c>
      <c r="CH147" s="14" t="str">
        <f>IF(AND(ISNUMBER($I147),OR($K147="Milestone",$K147="Deadline"),$I147&gt;=CH$4,$I147&lt;CH$4+7),IF($K147="Deadline","◇","◆"),"")</f>
        <v/>
      </c>
      <c r="CI147" s="14" t="str">
        <f>IF(AND(ISNUMBER($I147),OR($K147="Milestone",$K147="Deadline"),$I147&gt;=CI$4,$I147&lt;CI$4+7),IF($K147="Deadline","◇","◆"),"")</f>
        <v/>
      </c>
      <c r="CJ147" s="14" t="str">
        <f>IF(AND(ISNUMBER($I147),OR($K147="Milestone",$K147="Deadline"),$I147&gt;=CJ$4,$I147&lt;CJ$4+7),IF($K147="Deadline","◇","◆"),"")</f>
        <v/>
      </c>
      <c r="CK147" s="14" t="str">
        <f>IF(AND(ISNUMBER($I147),OR($K147="Milestone",$K147="Deadline"),$I147&gt;=CK$4,$I147&lt;CK$4+7),IF($K147="Deadline","◇","◆"),"")</f>
        <v/>
      </c>
      <c r="CL147" s="14" t="str">
        <f>IF(AND(ISNUMBER($I147),OR($K147="Milestone",$K147="Deadline"),$I147&gt;=CL$4,$I147&lt;CL$4+7),IF($K147="Deadline","◇","◆"),"")</f>
        <v/>
      </c>
      <c r="CM147" s="14" t="str">
        <f>IF(AND(ISNUMBER($I147),OR($K147="Milestone",$K147="Deadline"),$I147&gt;=CM$4,$I147&lt;CM$4+7),IF($K147="Deadline","◇","◆"),"")</f>
        <v/>
      </c>
    </row>
    <row r="148" spans="1:91" ht="15" hidden="1" customHeight="1">
      <c r="A148" s="35" t="s">
        <v>368</v>
      </c>
      <c r="B148" s="35" t="s">
        <v>347</v>
      </c>
      <c r="C148" s="35" t="s">
        <v>93</v>
      </c>
      <c r="D148" s="35" t="s">
        <v>348</v>
      </c>
      <c r="E148" s="35" t="s">
        <v>281</v>
      </c>
      <c r="F148" s="35" t="s">
        <v>204</v>
      </c>
      <c r="G148" s="35" t="s">
        <v>173</v>
      </c>
      <c r="H148" s="35">
        <v>14</v>
      </c>
      <c r="I148" s="36">
        <f>MAX($C$2,I147)</f>
        <v>46372</v>
      </c>
      <c r="J148" s="37">
        <f>IF(AND(ISNUMBER(I148),ISNUMBER(H148)),I148+H148-1,"")</f>
        <v>46385</v>
      </c>
      <c r="K148" s="35" t="s">
        <v>27</v>
      </c>
      <c r="L148" s="35" t="s">
        <v>369</v>
      </c>
      <c r="M148" s="38"/>
      <c r="N148" s="35"/>
      <c r="O148" s="38">
        <f>IF(AND(ISNUMBER(I148),ISNUMBER(J148)),J148-I148+1,"")</f>
        <v>14</v>
      </c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4" t="str">
        <f>IF(AND(ISNUMBER($I148),OR($K148="Milestone",$K148="Deadline"),$I148&gt;=AO$4,$I148&lt;AO$4+7),IF($K148="Deadline","◇","◆"),"")</f>
        <v/>
      </c>
      <c r="AP148" s="14" t="str">
        <f>IF(AND(ISNUMBER($I148),OR($K148="Milestone",$K148="Deadline"),$I148&gt;=AP$4,$I148&lt;AP$4+7),IF($K148="Deadline","◇","◆"),"")</f>
        <v/>
      </c>
      <c r="AQ148" s="14" t="str">
        <f>IF(AND(ISNUMBER($I148),OR($K148="Milestone",$K148="Deadline"),$I148&gt;=AQ$4,$I148&lt;AQ$4+7),IF($K148="Deadline","◇","◆"),"")</f>
        <v/>
      </c>
      <c r="AR148" s="14" t="str">
        <f>IF(AND(ISNUMBER($I148),OR($K148="Milestone",$K148="Deadline"),$I148&gt;=AR$4,$I148&lt;AR$4+7),IF($K148="Deadline","◇","◆"),"")</f>
        <v/>
      </c>
      <c r="AS148" s="14" t="str">
        <f>IF(AND(ISNUMBER($I148),OR($K148="Milestone",$K148="Deadline"),$I148&gt;=AS$4,$I148&lt;AS$4+7),IF($K148="Deadline","◇","◆"),"")</f>
        <v/>
      </c>
      <c r="AT148" s="14" t="str">
        <f>IF(AND(ISNUMBER($I148),OR($K148="Milestone",$K148="Deadline"),$I148&gt;=AT$4,$I148&lt;AT$4+7),IF($K148="Deadline","◇","◆"),"")</f>
        <v/>
      </c>
      <c r="AU148" s="14" t="str">
        <f>IF(AND(ISNUMBER($I148),OR($K148="Milestone",$K148="Deadline"),$I148&gt;=AU$4,$I148&lt;AU$4+7),IF($K148="Deadline","◇","◆"),"")</f>
        <v/>
      </c>
      <c r="AV148" s="14" t="str">
        <f>IF(AND(ISNUMBER($I148),OR($K148="Milestone",$K148="Deadline"),$I148&gt;=AV$4,$I148&lt;AV$4+7),IF($K148="Deadline","◇","◆"),"")</f>
        <v/>
      </c>
      <c r="AW148" s="14" t="str">
        <f>IF(AND(ISNUMBER($I148),OR($K148="Milestone",$K148="Deadline"),$I148&gt;=AW$4,$I148&lt;AW$4+7),IF($K148="Deadline","◇","◆"),"")</f>
        <v/>
      </c>
      <c r="AX148" s="14" t="str">
        <f>IF(AND(ISNUMBER($I148),OR($K148="Milestone",$K148="Deadline"),$I148&gt;=AX$4,$I148&lt;AX$4+7),IF($K148="Deadline","◇","◆"),"")</f>
        <v/>
      </c>
      <c r="AY148" s="14" t="str">
        <f>IF(AND(ISNUMBER($I148),OR($K148="Milestone",$K148="Deadline"),$I148&gt;=AY$4,$I148&lt;AY$4+7),IF($K148="Deadline","◇","◆"),"")</f>
        <v/>
      </c>
      <c r="AZ148" s="14" t="str">
        <f>IF(AND(ISNUMBER($I148),OR($K148="Milestone",$K148="Deadline"),$I148&gt;=AZ$4,$I148&lt;AZ$4+7),IF($K148="Deadline","◇","◆"),"")</f>
        <v/>
      </c>
      <c r="BA148" s="14" t="str">
        <f>IF(AND(ISNUMBER($I148),OR($K148="Milestone",$K148="Deadline"),$I148&gt;=BA$4,$I148&lt;BA$4+7),IF($K148="Deadline","◇","◆"),"")</f>
        <v/>
      </c>
      <c r="BB148" s="14" t="str">
        <f>IF(AND(ISNUMBER($I148),OR($K148="Milestone",$K148="Deadline"),$I148&gt;=BB$4,$I148&lt;BB$4+7),IF($K148="Deadline","◇","◆"),"")</f>
        <v/>
      </c>
      <c r="BC148" s="14" t="str">
        <f>IF(AND(ISNUMBER($I148),OR($K148="Milestone",$K148="Deadline"),$I148&gt;=BC$4,$I148&lt;BC$4+7),IF($K148="Deadline","◇","◆"),"")</f>
        <v/>
      </c>
      <c r="BD148" s="14" t="str">
        <f>IF(AND(ISNUMBER($I148),OR($K148="Milestone",$K148="Deadline"),$I148&gt;=BD$4,$I148&lt;BD$4+7),IF($K148="Deadline","◇","◆"),"")</f>
        <v/>
      </c>
      <c r="BE148" s="14" t="str">
        <f>IF(AND(ISNUMBER($I148),OR($K148="Milestone",$K148="Deadline"),$I148&gt;=BE$4,$I148&lt;BE$4+7),IF($K148="Deadline","◇","◆"),"")</f>
        <v/>
      </c>
      <c r="BF148" s="14" t="str">
        <f>IF(AND(ISNUMBER($I148),OR($K148="Milestone",$K148="Deadline"),$I148&gt;=BF$4,$I148&lt;BF$4+7),IF($K148="Deadline","◇","◆"),"")</f>
        <v/>
      </c>
      <c r="BG148" s="14" t="str">
        <f>IF(AND(ISNUMBER($I148),OR($K148="Milestone",$K148="Deadline"),$I148&gt;=BG$4,$I148&lt;BG$4+7),IF($K148="Deadline","◇","◆"),"")</f>
        <v/>
      </c>
      <c r="BH148" s="14" t="str">
        <f>IF(AND(ISNUMBER($I148),OR($K148="Milestone",$K148="Deadline"),$I148&gt;=BH$4,$I148&lt;BH$4+7),IF($K148="Deadline","◇","◆"),"")</f>
        <v/>
      </c>
      <c r="BI148" s="14" t="str">
        <f>IF(AND(ISNUMBER($I148),OR($K148="Milestone",$K148="Deadline"),$I148&gt;=BI$4,$I148&lt;BI$4+7),IF($K148="Deadline","◇","◆"),"")</f>
        <v/>
      </c>
      <c r="BJ148" s="14" t="str">
        <f>IF(AND(ISNUMBER($I148),OR($K148="Milestone",$K148="Deadline"),$I148&gt;=BJ$4,$I148&lt;BJ$4+7),IF($K148="Deadline","◇","◆"),"")</f>
        <v/>
      </c>
      <c r="BK148" s="14" t="str">
        <f>IF(AND(ISNUMBER($I148),OR($K148="Milestone",$K148="Deadline"),$I148&gt;=BK$4,$I148&lt;BK$4+7),IF($K148="Deadline","◇","◆"),"")</f>
        <v/>
      </c>
      <c r="BL148" s="14" t="str">
        <f>IF(AND(ISNUMBER($I148),OR($K148="Milestone",$K148="Deadline"),$I148&gt;=BL$4,$I148&lt;BL$4+7),IF($K148="Deadline","◇","◆"),"")</f>
        <v/>
      </c>
      <c r="BM148" s="14" t="str">
        <f>IF(AND(ISNUMBER($I148),OR($K148="Milestone",$K148="Deadline"),$I148&gt;=BM$4,$I148&lt;BM$4+7),IF($K148="Deadline","◇","◆"),"")</f>
        <v/>
      </c>
      <c r="BN148" s="14" t="str">
        <f>IF(AND(ISNUMBER($I148),OR($K148="Milestone",$K148="Deadline"),$I148&gt;=BN$4,$I148&lt;BN$4+7),IF($K148="Deadline","◇","◆"),"")</f>
        <v/>
      </c>
      <c r="BO148" s="14" t="str">
        <f>IF(AND(ISNUMBER($I148),OR($K148="Milestone",$K148="Deadline"),$I148&gt;=BO$4,$I148&lt;BO$4+7),IF($K148="Deadline","◇","◆"),"")</f>
        <v/>
      </c>
      <c r="BP148" s="14" t="str">
        <f>IF(AND(ISNUMBER($I148),OR($K148="Milestone",$K148="Deadline"),$I148&gt;=BP$4,$I148&lt;BP$4+7),IF($K148="Deadline","◇","◆"),"")</f>
        <v/>
      </c>
      <c r="BQ148" s="14" t="str">
        <f>IF(AND(ISNUMBER($I148),OR($K148="Milestone",$K148="Deadline"),$I148&gt;=BQ$4,$I148&lt;BQ$4+7),IF($K148="Deadline","◇","◆"),"")</f>
        <v/>
      </c>
      <c r="BR148" s="14" t="str">
        <f>IF(AND(ISNUMBER($I148),OR($K148="Milestone",$K148="Deadline"),$I148&gt;=BR$4,$I148&lt;BR$4+7),IF($K148="Deadline","◇","◆"),"")</f>
        <v/>
      </c>
      <c r="BS148" s="14" t="str">
        <f>IF(AND(ISNUMBER($I148),OR($K148="Milestone",$K148="Deadline"),$I148&gt;=BS$4,$I148&lt;BS$4+7),IF($K148="Deadline","◇","◆"),"")</f>
        <v/>
      </c>
      <c r="BT148" s="14" t="str">
        <f>IF(AND(ISNUMBER($I148),OR($K148="Milestone",$K148="Deadline"),$I148&gt;=BT$4,$I148&lt;BT$4+7),IF($K148="Deadline","◇","◆"),"")</f>
        <v/>
      </c>
      <c r="BU148" s="14" t="str">
        <f>IF(AND(ISNUMBER($I148),OR($K148="Milestone",$K148="Deadline"),$I148&gt;=BU$4,$I148&lt;BU$4+7),IF($K148="Deadline","◇","◆"),"")</f>
        <v/>
      </c>
      <c r="BV148" s="14" t="str">
        <f>IF(AND(ISNUMBER($I148),OR($K148="Milestone",$K148="Deadline"),$I148&gt;=BV$4,$I148&lt;BV$4+7),IF($K148="Deadline","◇","◆"),"")</f>
        <v/>
      </c>
      <c r="BW148" s="14" t="str">
        <f>IF(AND(ISNUMBER($I148),OR($K148="Milestone",$K148="Deadline"),$I148&gt;=BW$4,$I148&lt;BW$4+7),IF($K148="Deadline","◇","◆"),"")</f>
        <v/>
      </c>
      <c r="BX148" s="14" t="str">
        <f>IF(AND(ISNUMBER($I148),OR($K148="Milestone",$K148="Deadline"),$I148&gt;=BX$4,$I148&lt;BX$4+7),IF($K148="Deadline","◇","◆"),"")</f>
        <v/>
      </c>
      <c r="BY148" s="14" t="str">
        <f>IF(AND(ISNUMBER($I148),OR($K148="Milestone",$K148="Deadline"),$I148&gt;=BY$4,$I148&lt;BY$4+7),IF($K148="Deadline","◇","◆"),"")</f>
        <v/>
      </c>
      <c r="BZ148" s="14" t="str">
        <f>IF(AND(ISNUMBER($I148),OR($K148="Milestone",$K148="Deadline"),$I148&gt;=BZ$4,$I148&lt;BZ$4+7),IF($K148="Deadline","◇","◆"),"")</f>
        <v/>
      </c>
      <c r="CA148" s="14" t="str">
        <f>IF(AND(ISNUMBER($I148),OR($K148="Milestone",$K148="Deadline"),$I148&gt;=CA$4,$I148&lt;CA$4+7),IF($K148="Deadline","◇","◆"),"")</f>
        <v/>
      </c>
      <c r="CB148" s="14" t="str">
        <f>IF(AND(ISNUMBER($I148),OR($K148="Milestone",$K148="Deadline"),$I148&gt;=CB$4,$I148&lt;CB$4+7),IF($K148="Deadline","◇","◆"),"")</f>
        <v/>
      </c>
      <c r="CC148" s="14" t="str">
        <f>IF(AND(ISNUMBER($I148),OR($K148="Milestone",$K148="Deadline"),$I148&gt;=CC$4,$I148&lt;CC$4+7),IF($K148="Deadline","◇","◆"),"")</f>
        <v/>
      </c>
      <c r="CD148" s="14" t="str">
        <f>IF(AND(ISNUMBER($I148),OR($K148="Milestone",$K148="Deadline"),$I148&gt;=CD$4,$I148&lt;CD$4+7),IF($K148="Deadline","◇","◆"),"")</f>
        <v/>
      </c>
      <c r="CE148" s="14" t="str">
        <f>IF(AND(ISNUMBER($I148),OR($K148="Milestone",$K148="Deadline"),$I148&gt;=CE$4,$I148&lt;CE$4+7),IF($K148="Deadline","◇","◆"),"")</f>
        <v/>
      </c>
      <c r="CF148" s="14" t="str">
        <f>IF(AND(ISNUMBER($I148),OR($K148="Milestone",$K148="Deadline"),$I148&gt;=CF$4,$I148&lt;CF$4+7),IF($K148="Deadline","◇","◆"),"")</f>
        <v/>
      </c>
      <c r="CG148" s="14" t="str">
        <f>IF(AND(ISNUMBER($I148),OR($K148="Milestone",$K148="Deadline"),$I148&gt;=CG$4,$I148&lt;CG$4+7),IF($K148="Deadline","◇","◆"),"")</f>
        <v/>
      </c>
      <c r="CH148" s="14" t="str">
        <f>IF(AND(ISNUMBER($I148),OR($K148="Milestone",$K148="Deadline"),$I148&gt;=CH$4,$I148&lt;CH$4+7),IF($K148="Deadline","◇","◆"),"")</f>
        <v/>
      </c>
      <c r="CI148" s="14" t="str">
        <f>IF(AND(ISNUMBER($I148),OR($K148="Milestone",$K148="Deadline"),$I148&gt;=CI$4,$I148&lt;CI$4+7),IF($K148="Deadline","◇","◆"),"")</f>
        <v/>
      </c>
      <c r="CJ148" s="14" t="str">
        <f>IF(AND(ISNUMBER($I148),OR($K148="Milestone",$K148="Deadline"),$I148&gt;=CJ$4,$I148&lt;CJ$4+7),IF($K148="Deadline","◇","◆"),"")</f>
        <v/>
      </c>
      <c r="CK148" s="14" t="str">
        <f>IF(AND(ISNUMBER($I148),OR($K148="Milestone",$K148="Deadline"),$I148&gt;=CK$4,$I148&lt;CK$4+7),IF($K148="Deadline","◇","◆"),"")</f>
        <v/>
      </c>
      <c r="CL148" s="14" t="str">
        <f>IF(AND(ISNUMBER($I148),OR($K148="Milestone",$K148="Deadline"),$I148&gt;=CL$4,$I148&lt;CL$4+7),IF($K148="Deadline","◇","◆"),"")</f>
        <v/>
      </c>
      <c r="CM148" s="14" t="str">
        <f>IF(AND(ISNUMBER($I148),OR($K148="Milestone",$K148="Deadline"),$I148&gt;=CM$4,$I148&lt;CM$4+7),IF($K148="Deadline","◇","◆"),"")</f>
        <v/>
      </c>
    </row>
    <row r="149" spans="1:91" ht="15" hidden="1" customHeight="1">
      <c r="A149" s="35" t="s">
        <v>370</v>
      </c>
      <c r="B149" s="35" t="s">
        <v>347</v>
      </c>
      <c r="C149" s="35" t="s">
        <v>93</v>
      </c>
      <c r="D149" s="35" t="s">
        <v>348</v>
      </c>
      <c r="E149" s="35" t="s">
        <v>281</v>
      </c>
      <c r="F149" s="35" t="s">
        <v>204</v>
      </c>
      <c r="G149" s="35" t="s">
        <v>176</v>
      </c>
      <c r="H149" s="35">
        <v>7</v>
      </c>
      <c r="I149" s="36">
        <f>MAX($C$2,J147+1)</f>
        <v>46379</v>
      </c>
      <c r="J149" s="37">
        <f>IF(AND(ISNUMBER(I149),ISNUMBER(H149)),I149+H149-1,"")</f>
        <v>46385</v>
      </c>
      <c r="K149" s="35" t="s">
        <v>27</v>
      </c>
      <c r="L149" s="35" t="s">
        <v>366</v>
      </c>
      <c r="M149" s="38"/>
      <c r="N149" s="35"/>
      <c r="O149" s="38">
        <f>IF(AND(ISNUMBER(I149),ISNUMBER(J149)),J149-I149+1,"")</f>
        <v>7</v>
      </c>
      <c r="P149" s="13"/>
      <c r="Q149" s="13"/>
      <c r="R149" s="13"/>
      <c r="S149" s="13"/>
      <c r="T149" s="13"/>
      <c r="U149" s="13"/>
      <c r="V149" s="13"/>
      <c r="W149" s="13" t="s">
        <v>140</v>
      </c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4" t="str">
        <f>IF(AND(ISNUMBER($I149),OR($K149="Milestone",$K149="Deadline"),$I149&gt;=AO$4,$I149&lt;AO$4+7),IF($K149="Deadline","◇","◆"),"")</f>
        <v/>
      </c>
      <c r="AP149" s="14" t="str">
        <f>IF(AND(ISNUMBER($I149),OR($K149="Milestone",$K149="Deadline"),$I149&gt;=AP$4,$I149&lt;AP$4+7),IF($K149="Deadline","◇","◆"),"")</f>
        <v/>
      </c>
      <c r="AQ149" s="14" t="str">
        <f>IF(AND(ISNUMBER($I149),OR($K149="Milestone",$K149="Deadline"),$I149&gt;=AQ$4,$I149&lt;AQ$4+7),IF($K149="Deadline","◇","◆"),"")</f>
        <v/>
      </c>
      <c r="AR149" s="14" t="str">
        <f>IF(AND(ISNUMBER($I149),OR($K149="Milestone",$K149="Deadline"),$I149&gt;=AR$4,$I149&lt;AR$4+7),IF($K149="Deadline","◇","◆"),"")</f>
        <v/>
      </c>
      <c r="AS149" s="14" t="str">
        <f>IF(AND(ISNUMBER($I149),OR($K149="Milestone",$K149="Deadline"),$I149&gt;=AS$4,$I149&lt;AS$4+7),IF($K149="Deadline","◇","◆"),"")</f>
        <v/>
      </c>
      <c r="AT149" s="14" t="str">
        <f>IF(AND(ISNUMBER($I149),OR($K149="Milestone",$K149="Deadline"),$I149&gt;=AT$4,$I149&lt;AT$4+7),IF($K149="Deadline","◇","◆"),"")</f>
        <v/>
      </c>
      <c r="AU149" s="14" t="str">
        <f>IF(AND(ISNUMBER($I149),OR($K149="Milestone",$K149="Deadline"),$I149&gt;=AU$4,$I149&lt;AU$4+7),IF($K149="Deadline","◇","◆"),"")</f>
        <v/>
      </c>
      <c r="AV149" s="14" t="str">
        <f>IF(AND(ISNUMBER($I149),OR($K149="Milestone",$K149="Deadline"),$I149&gt;=AV$4,$I149&lt;AV$4+7),IF($K149="Deadline","◇","◆"),"")</f>
        <v/>
      </c>
      <c r="AW149" s="14" t="str">
        <f>IF(AND(ISNUMBER($I149),OR($K149="Milestone",$K149="Deadline"),$I149&gt;=AW$4,$I149&lt;AW$4+7),IF($K149="Deadline","◇","◆"),"")</f>
        <v/>
      </c>
      <c r="AX149" s="14" t="str">
        <f>IF(AND(ISNUMBER($I149),OR($K149="Milestone",$K149="Deadline"),$I149&gt;=AX$4,$I149&lt;AX$4+7),IF($K149="Deadline","◇","◆"),"")</f>
        <v/>
      </c>
      <c r="AY149" s="14" t="str">
        <f>IF(AND(ISNUMBER($I149),OR($K149="Milestone",$K149="Deadline"),$I149&gt;=AY$4,$I149&lt;AY$4+7),IF($K149="Deadline","◇","◆"),"")</f>
        <v/>
      </c>
      <c r="AZ149" s="14" t="str">
        <f>IF(AND(ISNUMBER($I149),OR($K149="Milestone",$K149="Deadline"),$I149&gt;=AZ$4,$I149&lt;AZ$4+7),IF($K149="Deadline","◇","◆"),"")</f>
        <v/>
      </c>
      <c r="BA149" s="14" t="str">
        <f>IF(AND(ISNUMBER($I149),OR($K149="Milestone",$K149="Deadline"),$I149&gt;=BA$4,$I149&lt;BA$4+7),IF($K149="Deadline","◇","◆"),"")</f>
        <v/>
      </c>
      <c r="BB149" s="14" t="str">
        <f>IF(AND(ISNUMBER($I149),OR($K149="Milestone",$K149="Deadline"),$I149&gt;=BB$4,$I149&lt;BB$4+7),IF($K149="Deadline","◇","◆"),"")</f>
        <v/>
      </c>
      <c r="BC149" s="14" t="str">
        <f>IF(AND(ISNUMBER($I149),OR($K149="Milestone",$K149="Deadline"),$I149&gt;=BC$4,$I149&lt;BC$4+7),IF($K149="Deadline","◇","◆"),"")</f>
        <v/>
      </c>
      <c r="BD149" s="14" t="str">
        <f>IF(AND(ISNUMBER($I149),OR($K149="Milestone",$K149="Deadline"),$I149&gt;=BD$4,$I149&lt;BD$4+7),IF($K149="Deadline","◇","◆"),"")</f>
        <v/>
      </c>
      <c r="BE149" s="14" t="str">
        <f>IF(AND(ISNUMBER($I149),OR($K149="Milestone",$K149="Deadline"),$I149&gt;=BE$4,$I149&lt;BE$4+7),IF($K149="Deadline","◇","◆"),"")</f>
        <v/>
      </c>
      <c r="BF149" s="14" t="str">
        <f>IF(AND(ISNUMBER($I149),OR($K149="Milestone",$K149="Deadline"),$I149&gt;=BF$4,$I149&lt;BF$4+7),IF($K149="Deadline","◇","◆"),"")</f>
        <v/>
      </c>
      <c r="BG149" s="14" t="str">
        <f>IF(AND(ISNUMBER($I149),OR($K149="Milestone",$K149="Deadline"),$I149&gt;=BG$4,$I149&lt;BG$4+7),IF($K149="Deadline","◇","◆"),"")</f>
        <v/>
      </c>
      <c r="BH149" s="14" t="str">
        <f>IF(AND(ISNUMBER($I149),OR($K149="Milestone",$K149="Deadline"),$I149&gt;=BH$4,$I149&lt;BH$4+7),IF($K149="Deadline","◇","◆"),"")</f>
        <v/>
      </c>
      <c r="BI149" s="14" t="str">
        <f>IF(AND(ISNUMBER($I149),OR($K149="Milestone",$K149="Deadline"),$I149&gt;=BI$4,$I149&lt;BI$4+7),IF($K149="Deadline","◇","◆"),"")</f>
        <v/>
      </c>
      <c r="BJ149" s="14" t="str">
        <f>IF(AND(ISNUMBER($I149),OR($K149="Milestone",$K149="Deadline"),$I149&gt;=BJ$4,$I149&lt;BJ$4+7),IF($K149="Deadline","◇","◆"),"")</f>
        <v/>
      </c>
      <c r="BK149" s="14" t="str">
        <f>IF(AND(ISNUMBER($I149),OR($K149="Milestone",$K149="Deadline"),$I149&gt;=BK$4,$I149&lt;BK$4+7),IF($K149="Deadline","◇","◆"),"")</f>
        <v/>
      </c>
      <c r="BL149" s="14" t="str">
        <f>IF(AND(ISNUMBER($I149),OR($K149="Milestone",$K149="Deadline"),$I149&gt;=BL$4,$I149&lt;BL$4+7),IF($K149="Deadline","◇","◆"),"")</f>
        <v/>
      </c>
      <c r="BM149" s="14" t="str">
        <f>IF(AND(ISNUMBER($I149),OR($K149="Milestone",$K149="Deadline"),$I149&gt;=BM$4,$I149&lt;BM$4+7),IF($K149="Deadline","◇","◆"),"")</f>
        <v/>
      </c>
      <c r="BN149" s="14" t="str">
        <f>IF(AND(ISNUMBER($I149),OR($K149="Milestone",$K149="Deadline"),$I149&gt;=BN$4,$I149&lt;BN$4+7),IF($K149="Deadline","◇","◆"),"")</f>
        <v/>
      </c>
      <c r="BO149" s="14" t="str">
        <f>IF(AND(ISNUMBER($I149),OR($K149="Milestone",$K149="Deadline"),$I149&gt;=BO$4,$I149&lt;BO$4+7),IF($K149="Deadline","◇","◆"),"")</f>
        <v/>
      </c>
      <c r="BP149" s="14" t="str">
        <f>IF(AND(ISNUMBER($I149),OR($K149="Milestone",$K149="Deadline"),$I149&gt;=BP$4,$I149&lt;BP$4+7),IF($K149="Deadline","◇","◆"),"")</f>
        <v/>
      </c>
      <c r="BQ149" s="14" t="str">
        <f>IF(AND(ISNUMBER($I149),OR($K149="Milestone",$K149="Deadline"),$I149&gt;=BQ$4,$I149&lt;BQ$4+7),IF($K149="Deadline","◇","◆"),"")</f>
        <v/>
      </c>
      <c r="BR149" s="14" t="str">
        <f>IF(AND(ISNUMBER($I149),OR($K149="Milestone",$K149="Deadline"),$I149&gt;=BR$4,$I149&lt;BR$4+7),IF($K149="Deadline","◇","◆"),"")</f>
        <v/>
      </c>
      <c r="BS149" s="14" t="str">
        <f>IF(AND(ISNUMBER($I149),OR($K149="Milestone",$K149="Deadline"),$I149&gt;=BS$4,$I149&lt;BS$4+7),IF($K149="Deadline","◇","◆"),"")</f>
        <v/>
      </c>
      <c r="BT149" s="14" t="str">
        <f>IF(AND(ISNUMBER($I149),OR($K149="Milestone",$K149="Deadline"),$I149&gt;=BT$4,$I149&lt;BT$4+7),IF($K149="Deadline","◇","◆"),"")</f>
        <v/>
      </c>
      <c r="BU149" s="14" t="str">
        <f>IF(AND(ISNUMBER($I149),OR($K149="Milestone",$K149="Deadline"),$I149&gt;=BU$4,$I149&lt;BU$4+7),IF($K149="Deadline","◇","◆"),"")</f>
        <v/>
      </c>
      <c r="BV149" s="14" t="str">
        <f>IF(AND(ISNUMBER($I149),OR($K149="Milestone",$K149="Deadline"),$I149&gt;=BV$4,$I149&lt;BV$4+7),IF($K149="Deadline","◇","◆"),"")</f>
        <v/>
      </c>
      <c r="BW149" s="14" t="str">
        <f>IF(AND(ISNUMBER($I149),OR($K149="Milestone",$K149="Deadline"),$I149&gt;=BW$4,$I149&lt;BW$4+7),IF($K149="Deadline","◇","◆"),"")</f>
        <v/>
      </c>
      <c r="BX149" s="14" t="str">
        <f>IF(AND(ISNUMBER($I149),OR($K149="Milestone",$K149="Deadline"),$I149&gt;=BX$4,$I149&lt;BX$4+7),IF($K149="Deadline","◇","◆"),"")</f>
        <v/>
      </c>
      <c r="BY149" s="14" t="str">
        <f>IF(AND(ISNUMBER($I149),OR($K149="Milestone",$K149="Deadline"),$I149&gt;=BY$4,$I149&lt;BY$4+7),IF($K149="Deadline","◇","◆"),"")</f>
        <v/>
      </c>
      <c r="BZ149" s="14" t="str">
        <f>IF(AND(ISNUMBER($I149),OR($K149="Milestone",$K149="Deadline"),$I149&gt;=BZ$4,$I149&lt;BZ$4+7),IF($K149="Deadline","◇","◆"),"")</f>
        <v/>
      </c>
      <c r="CA149" s="14" t="str">
        <f>IF(AND(ISNUMBER($I149),OR($K149="Milestone",$K149="Deadline"),$I149&gt;=CA$4,$I149&lt;CA$4+7),IF($K149="Deadline","◇","◆"),"")</f>
        <v/>
      </c>
      <c r="CB149" s="14" t="str">
        <f>IF(AND(ISNUMBER($I149),OR($K149="Milestone",$K149="Deadline"),$I149&gt;=CB$4,$I149&lt;CB$4+7),IF($K149="Deadline","◇","◆"),"")</f>
        <v/>
      </c>
      <c r="CC149" s="14" t="str">
        <f>IF(AND(ISNUMBER($I149),OR($K149="Milestone",$K149="Deadline"),$I149&gt;=CC$4,$I149&lt;CC$4+7),IF($K149="Deadline","◇","◆"),"")</f>
        <v/>
      </c>
      <c r="CD149" s="14" t="str">
        <f>IF(AND(ISNUMBER($I149),OR($K149="Milestone",$K149="Deadline"),$I149&gt;=CD$4,$I149&lt;CD$4+7),IF($K149="Deadline","◇","◆"),"")</f>
        <v/>
      </c>
      <c r="CE149" s="14" t="str">
        <f>IF(AND(ISNUMBER($I149),OR($K149="Milestone",$K149="Deadline"),$I149&gt;=CE$4,$I149&lt;CE$4+7),IF($K149="Deadline","◇","◆"),"")</f>
        <v/>
      </c>
      <c r="CF149" s="14" t="str">
        <f>IF(AND(ISNUMBER($I149),OR($K149="Milestone",$K149="Deadline"),$I149&gt;=CF$4,$I149&lt;CF$4+7),IF($K149="Deadline","◇","◆"),"")</f>
        <v/>
      </c>
      <c r="CG149" s="14" t="str">
        <f>IF(AND(ISNUMBER($I149),OR($K149="Milestone",$K149="Deadline"),$I149&gt;=CG$4,$I149&lt;CG$4+7),IF($K149="Deadline","◇","◆"),"")</f>
        <v/>
      </c>
      <c r="CH149" s="14" t="str">
        <f>IF(AND(ISNUMBER($I149),OR($K149="Milestone",$K149="Deadline"),$I149&gt;=CH$4,$I149&lt;CH$4+7),IF($K149="Deadline","◇","◆"),"")</f>
        <v/>
      </c>
      <c r="CI149" s="14" t="str">
        <f>IF(AND(ISNUMBER($I149),OR($K149="Milestone",$K149="Deadline"),$I149&gt;=CI$4,$I149&lt;CI$4+7),IF($K149="Deadline","◇","◆"),"")</f>
        <v/>
      </c>
      <c r="CJ149" s="14" t="str">
        <f>IF(AND(ISNUMBER($I149),OR($K149="Milestone",$K149="Deadline"),$I149&gt;=CJ$4,$I149&lt;CJ$4+7),IF($K149="Deadline","◇","◆"),"")</f>
        <v/>
      </c>
      <c r="CK149" s="14" t="str">
        <f>IF(AND(ISNUMBER($I149),OR($K149="Milestone",$K149="Deadline"),$I149&gt;=CK$4,$I149&lt;CK$4+7),IF($K149="Deadline","◇","◆"),"")</f>
        <v/>
      </c>
      <c r="CL149" s="14" t="str">
        <f>IF(AND(ISNUMBER($I149),OR($K149="Milestone",$K149="Deadline"),$I149&gt;=CL$4,$I149&lt;CL$4+7),IF($K149="Deadline","◇","◆"),"")</f>
        <v/>
      </c>
      <c r="CM149" s="14" t="str">
        <f>IF(AND(ISNUMBER($I149),OR($K149="Milestone",$K149="Deadline"),$I149&gt;=CM$4,$I149&lt;CM$4+7),IF($K149="Deadline","◇","◆"),"")</f>
        <v/>
      </c>
    </row>
    <row r="150" spans="1:91" ht="15" hidden="1" customHeight="1">
      <c r="A150" s="35" t="s">
        <v>371</v>
      </c>
      <c r="B150" s="35" t="s">
        <v>347</v>
      </c>
      <c r="C150" s="35" t="s">
        <v>93</v>
      </c>
      <c r="D150" s="35" t="s">
        <v>348</v>
      </c>
      <c r="E150" s="35" t="s">
        <v>281</v>
      </c>
      <c r="F150" s="35" t="s">
        <v>372</v>
      </c>
      <c r="G150" s="35" t="s">
        <v>184</v>
      </c>
      <c r="H150" s="35">
        <v>7</v>
      </c>
      <c r="I150" s="36">
        <f>MAX($C$2,J143+1,J146+1,J149+1,J162+1)</f>
        <v>46401</v>
      </c>
      <c r="J150" s="37">
        <f>IF(AND(ISNUMBER(I150),ISNUMBER(H150)),I150+H150-1,"")</f>
        <v>46407</v>
      </c>
      <c r="K150" s="35" t="s">
        <v>27</v>
      </c>
      <c r="L150" s="35" t="s">
        <v>373</v>
      </c>
      <c r="M150" s="38" t="s">
        <v>374</v>
      </c>
      <c r="N150" s="35"/>
      <c r="O150" s="38">
        <f>IF(AND(ISNUMBER(I150),ISNUMBER(J150)),J150-I150+1,"")</f>
        <v>7</v>
      </c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 t="s">
        <v>140</v>
      </c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4" t="str">
        <f>IF(AND(ISNUMBER($I150),OR($K150="Milestone",$K150="Deadline"),$I150&gt;=AO$4,$I150&lt;AO$4+7),IF($K150="Deadline","◇","◆"),"")</f>
        <v/>
      </c>
      <c r="AP150" s="14" t="str">
        <f>IF(AND(ISNUMBER($I150),OR($K150="Milestone",$K150="Deadline"),$I150&gt;=AP$4,$I150&lt;AP$4+7),IF($K150="Deadline","◇","◆"),"")</f>
        <v/>
      </c>
      <c r="AQ150" s="14" t="str">
        <f>IF(AND(ISNUMBER($I150),OR($K150="Milestone",$K150="Deadline"),$I150&gt;=AQ$4,$I150&lt;AQ$4+7),IF($K150="Deadline","◇","◆"),"")</f>
        <v/>
      </c>
      <c r="AR150" s="14" t="str">
        <f>IF(AND(ISNUMBER($I150),OR($K150="Milestone",$K150="Deadline"),$I150&gt;=AR$4,$I150&lt;AR$4+7),IF($K150="Deadline","◇","◆"),"")</f>
        <v/>
      </c>
      <c r="AS150" s="14" t="str">
        <f>IF(AND(ISNUMBER($I150),OR($K150="Milestone",$K150="Deadline"),$I150&gt;=AS$4,$I150&lt;AS$4+7),IF($K150="Deadline","◇","◆"),"")</f>
        <v/>
      </c>
      <c r="AT150" s="14" t="str">
        <f>IF(AND(ISNUMBER($I150),OR($K150="Milestone",$K150="Deadline"),$I150&gt;=AT$4,$I150&lt;AT$4+7),IF($K150="Deadline","◇","◆"),"")</f>
        <v/>
      </c>
      <c r="AU150" s="14" t="str">
        <f>IF(AND(ISNUMBER($I150),OR($K150="Milestone",$K150="Deadline"),$I150&gt;=AU$4,$I150&lt;AU$4+7),IF($K150="Deadline","◇","◆"),"")</f>
        <v/>
      </c>
      <c r="AV150" s="14" t="str">
        <f>IF(AND(ISNUMBER($I150),OR($K150="Milestone",$K150="Deadline"),$I150&gt;=AV$4,$I150&lt;AV$4+7),IF($K150="Deadline","◇","◆"),"")</f>
        <v/>
      </c>
      <c r="AW150" s="14" t="str">
        <f>IF(AND(ISNUMBER($I150),OR($K150="Milestone",$K150="Deadline"),$I150&gt;=AW$4,$I150&lt;AW$4+7),IF($K150="Deadline","◇","◆"),"")</f>
        <v/>
      </c>
      <c r="AX150" s="14" t="str">
        <f>IF(AND(ISNUMBER($I150),OR($K150="Milestone",$K150="Deadline"),$I150&gt;=AX$4,$I150&lt;AX$4+7),IF($K150="Deadline","◇","◆"),"")</f>
        <v/>
      </c>
      <c r="AY150" s="14" t="str">
        <f>IF(AND(ISNUMBER($I150),OR($K150="Milestone",$K150="Deadline"),$I150&gt;=AY$4,$I150&lt;AY$4+7),IF($K150="Deadline","◇","◆"),"")</f>
        <v/>
      </c>
      <c r="AZ150" s="14" t="str">
        <f>IF(AND(ISNUMBER($I150),OR($K150="Milestone",$K150="Deadline"),$I150&gt;=AZ$4,$I150&lt;AZ$4+7),IF($K150="Deadline","◇","◆"),"")</f>
        <v/>
      </c>
      <c r="BA150" s="14" t="str">
        <f>IF(AND(ISNUMBER($I150),OR($K150="Milestone",$K150="Deadline"),$I150&gt;=BA$4,$I150&lt;BA$4+7),IF($K150="Deadline","◇","◆"),"")</f>
        <v/>
      </c>
      <c r="BB150" s="14" t="str">
        <f>IF(AND(ISNUMBER($I150),OR($K150="Milestone",$K150="Deadline"),$I150&gt;=BB$4,$I150&lt;BB$4+7),IF($K150="Deadline","◇","◆"),"")</f>
        <v/>
      </c>
      <c r="BC150" s="14" t="str">
        <f>IF(AND(ISNUMBER($I150),OR($K150="Milestone",$K150="Deadline"),$I150&gt;=BC$4,$I150&lt;BC$4+7),IF($K150="Deadline","◇","◆"),"")</f>
        <v/>
      </c>
      <c r="BD150" s="14" t="str">
        <f>IF(AND(ISNUMBER($I150),OR($K150="Milestone",$K150="Deadline"),$I150&gt;=BD$4,$I150&lt;BD$4+7),IF($K150="Deadline","◇","◆"),"")</f>
        <v/>
      </c>
      <c r="BE150" s="14" t="str">
        <f>IF(AND(ISNUMBER($I150),OR($K150="Milestone",$K150="Deadline"),$I150&gt;=BE$4,$I150&lt;BE$4+7),IF($K150="Deadline","◇","◆"),"")</f>
        <v/>
      </c>
      <c r="BF150" s="14" t="str">
        <f>IF(AND(ISNUMBER($I150),OR($K150="Milestone",$K150="Deadline"),$I150&gt;=BF$4,$I150&lt;BF$4+7),IF($K150="Deadline","◇","◆"),"")</f>
        <v/>
      </c>
      <c r="BG150" s="14" t="str">
        <f>IF(AND(ISNUMBER($I150),OR($K150="Milestone",$K150="Deadline"),$I150&gt;=BG$4,$I150&lt;BG$4+7),IF($K150="Deadline","◇","◆"),"")</f>
        <v/>
      </c>
      <c r="BH150" s="14" t="str">
        <f>IF(AND(ISNUMBER($I150),OR($K150="Milestone",$K150="Deadline"),$I150&gt;=BH$4,$I150&lt;BH$4+7),IF($K150="Deadline","◇","◆"),"")</f>
        <v/>
      </c>
      <c r="BI150" s="14" t="str">
        <f>IF(AND(ISNUMBER($I150),OR($K150="Milestone",$K150="Deadline"),$I150&gt;=BI$4,$I150&lt;BI$4+7),IF($K150="Deadline","◇","◆"),"")</f>
        <v/>
      </c>
      <c r="BJ150" s="14" t="str">
        <f>IF(AND(ISNUMBER($I150),OR($K150="Milestone",$K150="Deadline"),$I150&gt;=BJ$4,$I150&lt;BJ$4+7),IF($K150="Deadline","◇","◆"),"")</f>
        <v/>
      </c>
      <c r="BK150" s="14" t="str">
        <f>IF(AND(ISNUMBER($I150),OR($K150="Milestone",$K150="Deadline"),$I150&gt;=BK$4,$I150&lt;BK$4+7),IF($K150="Deadline","◇","◆"),"")</f>
        <v/>
      </c>
      <c r="BL150" s="14" t="str">
        <f>IF(AND(ISNUMBER($I150),OR($K150="Milestone",$K150="Deadline"),$I150&gt;=BL$4,$I150&lt;BL$4+7),IF($K150="Deadline","◇","◆"),"")</f>
        <v/>
      </c>
      <c r="BM150" s="14" t="str">
        <f>IF(AND(ISNUMBER($I150),OR($K150="Milestone",$K150="Deadline"),$I150&gt;=BM$4,$I150&lt;BM$4+7),IF($K150="Deadline","◇","◆"),"")</f>
        <v/>
      </c>
      <c r="BN150" s="14" t="str">
        <f>IF(AND(ISNUMBER($I150),OR($K150="Milestone",$K150="Deadline"),$I150&gt;=BN$4,$I150&lt;BN$4+7),IF($K150="Deadline","◇","◆"),"")</f>
        <v/>
      </c>
      <c r="BO150" s="14" t="str">
        <f>IF(AND(ISNUMBER($I150),OR($K150="Milestone",$K150="Deadline"),$I150&gt;=BO$4,$I150&lt;BO$4+7),IF($K150="Deadline","◇","◆"),"")</f>
        <v/>
      </c>
      <c r="BP150" s="14" t="str">
        <f>IF(AND(ISNUMBER($I150),OR($K150="Milestone",$K150="Deadline"),$I150&gt;=BP$4,$I150&lt;BP$4+7),IF($K150="Deadline","◇","◆"),"")</f>
        <v/>
      </c>
      <c r="BQ150" s="14" t="str">
        <f>IF(AND(ISNUMBER($I150),OR($K150="Milestone",$K150="Deadline"),$I150&gt;=BQ$4,$I150&lt;BQ$4+7),IF($K150="Deadline","◇","◆"),"")</f>
        <v/>
      </c>
      <c r="BR150" s="14" t="str">
        <f>IF(AND(ISNUMBER($I150),OR($K150="Milestone",$K150="Deadline"),$I150&gt;=BR$4,$I150&lt;BR$4+7),IF($K150="Deadline","◇","◆"),"")</f>
        <v/>
      </c>
      <c r="BS150" s="14" t="str">
        <f>IF(AND(ISNUMBER($I150),OR($K150="Milestone",$K150="Deadline"),$I150&gt;=BS$4,$I150&lt;BS$4+7),IF($K150="Deadline","◇","◆"),"")</f>
        <v/>
      </c>
      <c r="BT150" s="14" t="str">
        <f>IF(AND(ISNUMBER($I150),OR($K150="Milestone",$K150="Deadline"),$I150&gt;=BT$4,$I150&lt;BT$4+7),IF($K150="Deadline","◇","◆"),"")</f>
        <v/>
      </c>
      <c r="BU150" s="14" t="str">
        <f>IF(AND(ISNUMBER($I150),OR($K150="Milestone",$K150="Deadline"),$I150&gt;=BU$4,$I150&lt;BU$4+7),IF($K150="Deadline","◇","◆"),"")</f>
        <v/>
      </c>
      <c r="BV150" s="14" t="str">
        <f>IF(AND(ISNUMBER($I150),OR($K150="Milestone",$K150="Deadline"),$I150&gt;=BV$4,$I150&lt;BV$4+7),IF($K150="Deadline","◇","◆"),"")</f>
        <v/>
      </c>
      <c r="BW150" s="14" t="str">
        <f>IF(AND(ISNUMBER($I150),OR($K150="Milestone",$K150="Deadline"),$I150&gt;=BW$4,$I150&lt;BW$4+7),IF($K150="Deadline","◇","◆"),"")</f>
        <v/>
      </c>
      <c r="BX150" s="14" t="str">
        <f>IF(AND(ISNUMBER($I150),OR($K150="Milestone",$K150="Deadline"),$I150&gt;=BX$4,$I150&lt;BX$4+7),IF($K150="Deadline","◇","◆"),"")</f>
        <v/>
      </c>
      <c r="BY150" s="14" t="str">
        <f>IF(AND(ISNUMBER($I150),OR($K150="Milestone",$K150="Deadline"),$I150&gt;=BY$4,$I150&lt;BY$4+7),IF($K150="Deadline","◇","◆"),"")</f>
        <v/>
      </c>
      <c r="BZ150" s="14" t="str">
        <f>IF(AND(ISNUMBER($I150),OR($K150="Milestone",$K150="Deadline"),$I150&gt;=BZ$4,$I150&lt;BZ$4+7),IF($K150="Deadline","◇","◆"),"")</f>
        <v/>
      </c>
      <c r="CA150" s="14" t="str">
        <f>IF(AND(ISNUMBER($I150),OR($K150="Milestone",$K150="Deadline"),$I150&gt;=CA$4,$I150&lt;CA$4+7),IF($K150="Deadline","◇","◆"),"")</f>
        <v/>
      </c>
      <c r="CB150" s="14" t="str">
        <f>IF(AND(ISNUMBER($I150),OR($K150="Milestone",$K150="Deadline"),$I150&gt;=CB$4,$I150&lt;CB$4+7),IF($K150="Deadline","◇","◆"),"")</f>
        <v/>
      </c>
      <c r="CC150" s="14" t="str">
        <f>IF(AND(ISNUMBER($I150),OR($K150="Milestone",$K150="Deadline"),$I150&gt;=CC$4,$I150&lt;CC$4+7),IF($K150="Deadline","◇","◆"),"")</f>
        <v/>
      </c>
      <c r="CD150" s="14" t="str">
        <f>IF(AND(ISNUMBER($I150),OR($K150="Milestone",$K150="Deadline"),$I150&gt;=CD$4,$I150&lt;CD$4+7),IF($K150="Deadline","◇","◆"),"")</f>
        <v/>
      </c>
      <c r="CE150" s="14" t="str">
        <f>IF(AND(ISNUMBER($I150),OR($K150="Milestone",$K150="Deadline"),$I150&gt;=CE$4,$I150&lt;CE$4+7),IF($K150="Deadline","◇","◆"),"")</f>
        <v/>
      </c>
      <c r="CF150" s="14" t="str">
        <f>IF(AND(ISNUMBER($I150),OR($K150="Milestone",$K150="Deadline"),$I150&gt;=CF$4,$I150&lt;CF$4+7),IF($K150="Deadline","◇","◆"),"")</f>
        <v/>
      </c>
      <c r="CG150" s="14" t="str">
        <f>IF(AND(ISNUMBER($I150),OR($K150="Milestone",$K150="Deadline"),$I150&gt;=CG$4,$I150&lt;CG$4+7),IF($K150="Deadline","◇","◆"),"")</f>
        <v/>
      </c>
      <c r="CH150" s="14" t="str">
        <f>IF(AND(ISNUMBER($I150),OR($K150="Milestone",$K150="Deadline"),$I150&gt;=CH$4,$I150&lt;CH$4+7),IF($K150="Deadline","◇","◆"),"")</f>
        <v/>
      </c>
      <c r="CI150" s="14" t="str">
        <f>IF(AND(ISNUMBER($I150),OR($K150="Milestone",$K150="Deadline"),$I150&gt;=CI$4,$I150&lt;CI$4+7),IF($K150="Deadline","◇","◆"),"")</f>
        <v/>
      </c>
      <c r="CJ150" s="14" t="str">
        <f>IF(AND(ISNUMBER($I150),OR($K150="Milestone",$K150="Deadline"),$I150&gt;=CJ$4,$I150&lt;CJ$4+7),IF($K150="Deadline","◇","◆"),"")</f>
        <v/>
      </c>
      <c r="CK150" s="14" t="str">
        <f>IF(AND(ISNUMBER($I150),OR($K150="Milestone",$K150="Deadline"),$I150&gt;=CK$4,$I150&lt;CK$4+7),IF($K150="Deadline","◇","◆"),"")</f>
        <v/>
      </c>
      <c r="CL150" s="14" t="str">
        <f>IF(AND(ISNUMBER($I150),OR($K150="Milestone",$K150="Deadline"),$I150&gt;=CL$4,$I150&lt;CL$4+7),IF($K150="Deadline","◇","◆"),"")</f>
        <v/>
      </c>
      <c r="CM150" s="14" t="str">
        <f>IF(AND(ISNUMBER($I150),OR($K150="Milestone",$K150="Deadline"),$I150&gt;=CM$4,$I150&lt;CM$4+7),IF($K150="Deadline","◇","◆"),"")</f>
        <v/>
      </c>
    </row>
    <row r="151" spans="1:91" ht="15" hidden="1" customHeight="1">
      <c r="A151" s="35" t="s">
        <v>375</v>
      </c>
      <c r="B151" s="35" t="s">
        <v>347</v>
      </c>
      <c r="C151" s="35" t="s">
        <v>93</v>
      </c>
      <c r="D151" s="35" t="s">
        <v>348</v>
      </c>
      <c r="E151" s="35" t="s">
        <v>281</v>
      </c>
      <c r="F151" s="35" t="s">
        <v>372</v>
      </c>
      <c r="G151" s="35" t="s">
        <v>275</v>
      </c>
      <c r="H151" s="35">
        <v>8</v>
      </c>
      <c r="I151" s="36">
        <f>MAX($C$2,J150+1,J150+1)</f>
        <v>46408</v>
      </c>
      <c r="J151" s="37">
        <f>IF(AND(ISNUMBER(I151),ISNUMBER(H151)),I151+H151-1,"")</f>
        <v>46415</v>
      </c>
      <c r="K151" s="35" t="s">
        <v>27</v>
      </c>
      <c r="L151" s="35" t="s">
        <v>371</v>
      </c>
      <c r="M151" s="38" t="s">
        <v>371</v>
      </c>
      <c r="N151" s="35"/>
      <c r="O151" s="38">
        <f>IF(AND(ISNUMBER(I151),ISNUMBER(J151)),J151-I151+1,"")</f>
        <v>8</v>
      </c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 t="s">
        <v>140</v>
      </c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4" t="str">
        <f>IF(AND(ISNUMBER($I151),OR($K151="Milestone",$K151="Deadline"),$I151&gt;=AO$4,$I151&lt;AO$4+7),IF($K151="Deadline","◇","◆"),"")</f>
        <v/>
      </c>
      <c r="AP151" s="14" t="str">
        <f>IF(AND(ISNUMBER($I151),OR($K151="Milestone",$K151="Deadline"),$I151&gt;=AP$4,$I151&lt;AP$4+7),IF($K151="Deadline","◇","◆"),"")</f>
        <v/>
      </c>
      <c r="AQ151" s="14" t="str">
        <f>IF(AND(ISNUMBER($I151),OR($K151="Milestone",$K151="Deadline"),$I151&gt;=AQ$4,$I151&lt;AQ$4+7),IF($K151="Deadline","◇","◆"),"")</f>
        <v/>
      </c>
      <c r="AR151" s="14" t="str">
        <f>IF(AND(ISNUMBER($I151),OR($K151="Milestone",$K151="Deadline"),$I151&gt;=AR$4,$I151&lt;AR$4+7),IF($K151="Deadline","◇","◆"),"")</f>
        <v/>
      </c>
      <c r="AS151" s="14" t="str">
        <f>IF(AND(ISNUMBER($I151),OR($K151="Milestone",$K151="Deadline"),$I151&gt;=AS$4,$I151&lt;AS$4+7),IF($K151="Deadline","◇","◆"),"")</f>
        <v/>
      </c>
      <c r="AT151" s="14" t="str">
        <f>IF(AND(ISNUMBER($I151),OR($K151="Milestone",$K151="Deadline"),$I151&gt;=AT$4,$I151&lt;AT$4+7),IF($K151="Deadline","◇","◆"),"")</f>
        <v/>
      </c>
      <c r="AU151" s="14" t="str">
        <f>IF(AND(ISNUMBER($I151),OR($K151="Milestone",$K151="Deadline"),$I151&gt;=AU$4,$I151&lt;AU$4+7),IF($K151="Deadline","◇","◆"),"")</f>
        <v/>
      </c>
      <c r="AV151" s="14" t="str">
        <f>IF(AND(ISNUMBER($I151),OR($K151="Milestone",$K151="Deadline"),$I151&gt;=AV$4,$I151&lt;AV$4+7),IF($K151="Deadline","◇","◆"),"")</f>
        <v/>
      </c>
      <c r="AW151" s="14" t="str">
        <f>IF(AND(ISNUMBER($I151),OR($K151="Milestone",$K151="Deadline"),$I151&gt;=AW$4,$I151&lt;AW$4+7),IF($K151="Deadline","◇","◆"),"")</f>
        <v/>
      </c>
      <c r="AX151" s="14" t="str">
        <f>IF(AND(ISNUMBER($I151),OR($K151="Milestone",$K151="Deadline"),$I151&gt;=AX$4,$I151&lt;AX$4+7),IF($K151="Deadline","◇","◆"),"")</f>
        <v/>
      </c>
      <c r="AY151" s="14" t="str">
        <f>IF(AND(ISNUMBER($I151),OR($K151="Milestone",$K151="Deadline"),$I151&gt;=AY$4,$I151&lt;AY$4+7),IF($K151="Deadline","◇","◆"),"")</f>
        <v/>
      </c>
      <c r="AZ151" s="14" t="str">
        <f>IF(AND(ISNUMBER($I151),OR($K151="Milestone",$K151="Deadline"),$I151&gt;=AZ$4,$I151&lt;AZ$4+7),IF($K151="Deadline","◇","◆"),"")</f>
        <v/>
      </c>
      <c r="BA151" s="14" t="str">
        <f>IF(AND(ISNUMBER($I151),OR($K151="Milestone",$K151="Deadline"),$I151&gt;=BA$4,$I151&lt;BA$4+7),IF($K151="Deadline","◇","◆"),"")</f>
        <v/>
      </c>
      <c r="BB151" s="14" t="str">
        <f>IF(AND(ISNUMBER($I151),OR($K151="Milestone",$K151="Deadline"),$I151&gt;=BB$4,$I151&lt;BB$4+7),IF($K151="Deadline","◇","◆"),"")</f>
        <v/>
      </c>
      <c r="BC151" s="14" t="str">
        <f>IF(AND(ISNUMBER($I151),OR($K151="Milestone",$K151="Deadline"),$I151&gt;=BC$4,$I151&lt;BC$4+7),IF($K151="Deadline","◇","◆"),"")</f>
        <v/>
      </c>
      <c r="BD151" s="14" t="str">
        <f>IF(AND(ISNUMBER($I151),OR($K151="Milestone",$K151="Deadline"),$I151&gt;=BD$4,$I151&lt;BD$4+7),IF($K151="Deadline","◇","◆"),"")</f>
        <v/>
      </c>
      <c r="BE151" s="14" t="str">
        <f>IF(AND(ISNUMBER($I151),OR($K151="Milestone",$K151="Deadline"),$I151&gt;=BE$4,$I151&lt;BE$4+7),IF($K151="Deadline","◇","◆"),"")</f>
        <v/>
      </c>
      <c r="BF151" s="14" t="str">
        <f>IF(AND(ISNUMBER($I151),OR($K151="Milestone",$K151="Deadline"),$I151&gt;=BF$4,$I151&lt;BF$4+7),IF($K151="Deadline","◇","◆"),"")</f>
        <v/>
      </c>
      <c r="BG151" s="14" t="str">
        <f>IF(AND(ISNUMBER($I151),OR($K151="Milestone",$K151="Deadline"),$I151&gt;=BG$4,$I151&lt;BG$4+7),IF($K151="Deadline","◇","◆"),"")</f>
        <v/>
      </c>
      <c r="BH151" s="14" t="str">
        <f>IF(AND(ISNUMBER($I151),OR($K151="Milestone",$K151="Deadline"),$I151&gt;=BH$4,$I151&lt;BH$4+7),IF($K151="Deadline","◇","◆"),"")</f>
        <v/>
      </c>
      <c r="BI151" s="14" t="str">
        <f>IF(AND(ISNUMBER($I151),OR($K151="Milestone",$K151="Deadline"),$I151&gt;=BI$4,$I151&lt;BI$4+7),IF($K151="Deadline","◇","◆"),"")</f>
        <v/>
      </c>
      <c r="BJ151" s="14" t="str">
        <f>IF(AND(ISNUMBER($I151),OR($K151="Milestone",$K151="Deadline"),$I151&gt;=BJ$4,$I151&lt;BJ$4+7),IF($K151="Deadline","◇","◆"),"")</f>
        <v/>
      </c>
      <c r="BK151" s="14" t="str">
        <f>IF(AND(ISNUMBER($I151),OR($K151="Milestone",$K151="Deadline"),$I151&gt;=BK$4,$I151&lt;BK$4+7),IF($K151="Deadline","◇","◆"),"")</f>
        <v/>
      </c>
      <c r="BL151" s="14" t="str">
        <f>IF(AND(ISNUMBER($I151),OR($K151="Milestone",$K151="Deadline"),$I151&gt;=BL$4,$I151&lt;BL$4+7),IF($K151="Deadline","◇","◆"),"")</f>
        <v/>
      </c>
      <c r="BM151" s="14" t="str">
        <f>IF(AND(ISNUMBER($I151),OR($K151="Milestone",$K151="Deadline"),$I151&gt;=BM$4,$I151&lt;BM$4+7),IF($K151="Deadline","◇","◆"),"")</f>
        <v/>
      </c>
      <c r="BN151" s="14" t="str">
        <f>IF(AND(ISNUMBER($I151),OR($K151="Milestone",$K151="Deadline"),$I151&gt;=BN$4,$I151&lt;BN$4+7),IF($K151="Deadline","◇","◆"),"")</f>
        <v/>
      </c>
      <c r="BO151" s="14" t="str">
        <f>IF(AND(ISNUMBER($I151),OR($K151="Milestone",$K151="Deadline"),$I151&gt;=BO$4,$I151&lt;BO$4+7),IF($K151="Deadline","◇","◆"),"")</f>
        <v/>
      </c>
      <c r="BP151" s="14" t="str">
        <f>IF(AND(ISNUMBER($I151),OR($K151="Milestone",$K151="Deadline"),$I151&gt;=BP$4,$I151&lt;BP$4+7),IF($K151="Deadline","◇","◆"),"")</f>
        <v/>
      </c>
      <c r="BQ151" s="14" t="str">
        <f>IF(AND(ISNUMBER($I151),OR($K151="Milestone",$K151="Deadline"),$I151&gt;=BQ$4,$I151&lt;BQ$4+7),IF($K151="Deadline","◇","◆"),"")</f>
        <v/>
      </c>
      <c r="BR151" s="14" t="str">
        <f>IF(AND(ISNUMBER($I151),OR($K151="Milestone",$K151="Deadline"),$I151&gt;=BR$4,$I151&lt;BR$4+7),IF($K151="Deadline","◇","◆"),"")</f>
        <v/>
      </c>
      <c r="BS151" s="14" t="str">
        <f>IF(AND(ISNUMBER($I151),OR($K151="Milestone",$K151="Deadline"),$I151&gt;=BS$4,$I151&lt;BS$4+7),IF($K151="Deadline","◇","◆"),"")</f>
        <v/>
      </c>
      <c r="BT151" s="14" t="str">
        <f>IF(AND(ISNUMBER($I151),OR($K151="Milestone",$K151="Deadline"),$I151&gt;=BT$4,$I151&lt;BT$4+7),IF($K151="Deadline","◇","◆"),"")</f>
        <v/>
      </c>
      <c r="BU151" s="14" t="str">
        <f>IF(AND(ISNUMBER($I151),OR($K151="Milestone",$K151="Deadline"),$I151&gt;=BU$4,$I151&lt;BU$4+7),IF($K151="Deadline","◇","◆"),"")</f>
        <v/>
      </c>
      <c r="BV151" s="14" t="str">
        <f>IF(AND(ISNUMBER($I151),OR($K151="Milestone",$K151="Deadline"),$I151&gt;=BV$4,$I151&lt;BV$4+7),IF($K151="Deadline","◇","◆"),"")</f>
        <v/>
      </c>
      <c r="BW151" s="14" t="str">
        <f>IF(AND(ISNUMBER($I151),OR($K151="Milestone",$K151="Deadline"),$I151&gt;=BW$4,$I151&lt;BW$4+7),IF($K151="Deadline","◇","◆"),"")</f>
        <v/>
      </c>
      <c r="BX151" s="14" t="str">
        <f>IF(AND(ISNUMBER($I151),OR($K151="Milestone",$K151="Deadline"),$I151&gt;=BX$4,$I151&lt;BX$4+7),IF($K151="Deadline","◇","◆"),"")</f>
        <v/>
      </c>
      <c r="BY151" s="14" t="str">
        <f>IF(AND(ISNUMBER($I151),OR($K151="Milestone",$K151="Deadline"),$I151&gt;=BY$4,$I151&lt;BY$4+7),IF($K151="Deadline","◇","◆"),"")</f>
        <v/>
      </c>
      <c r="BZ151" s="14" t="str">
        <f>IF(AND(ISNUMBER($I151),OR($K151="Milestone",$K151="Deadline"),$I151&gt;=BZ$4,$I151&lt;BZ$4+7),IF($K151="Deadline","◇","◆"),"")</f>
        <v/>
      </c>
      <c r="CA151" s="14" t="str">
        <f>IF(AND(ISNUMBER($I151),OR($K151="Milestone",$K151="Deadline"),$I151&gt;=CA$4,$I151&lt;CA$4+7),IF($K151="Deadline","◇","◆"),"")</f>
        <v/>
      </c>
      <c r="CB151" s="14" t="str">
        <f>IF(AND(ISNUMBER($I151),OR($K151="Milestone",$K151="Deadline"),$I151&gt;=CB$4,$I151&lt;CB$4+7),IF($K151="Deadline","◇","◆"),"")</f>
        <v/>
      </c>
      <c r="CC151" s="14" t="str">
        <f>IF(AND(ISNUMBER($I151),OR($K151="Milestone",$K151="Deadline"),$I151&gt;=CC$4,$I151&lt;CC$4+7),IF($K151="Deadline","◇","◆"),"")</f>
        <v/>
      </c>
      <c r="CD151" s="14" t="str">
        <f>IF(AND(ISNUMBER($I151),OR($K151="Milestone",$K151="Deadline"),$I151&gt;=CD$4,$I151&lt;CD$4+7),IF($K151="Deadline","◇","◆"),"")</f>
        <v/>
      </c>
      <c r="CE151" s="14" t="str">
        <f>IF(AND(ISNUMBER($I151),OR($K151="Milestone",$K151="Deadline"),$I151&gt;=CE$4,$I151&lt;CE$4+7),IF($K151="Deadline","◇","◆"),"")</f>
        <v/>
      </c>
      <c r="CF151" s="14" t="str">
        <f>IF(AND(ISNUMBER($I151),OR($K151="Milestone",$K151="Deadline"),$I151&gt;=CF$4,$I151&lt;CF$4+7),IF($K151="Deadline","◇","◆"),"")</f>
        <v/>
      </c>
      <c r="CG151" s="14" t="str">
        <f>IF(AND(ISNUMBER($I151),OR($K151="Milestone",$K151="Deadline"),$I151&gt;=CG$4,$I151&lt;CG$4+7),IF($K151="Deadline","◇","◆"),"")</f>
        <v/>
      </c>
      <c r="CH151" s="14" t="str">
        <f>IF(AND(ISNUMBER($I151),OR($K151="Milestone",$K151="Deadline"),$I151&gt;=CH$4,$I151&lt;CH$4+7),IF($K151="Deadline","◇","◆"),"")</f>
        <v/>
      </c>
      <c r="CI151" s="14" t="str">
        <f>IF(AND(ISNUMBER($I151),OR($K151="Milestone",$K151="Deadline"),$I151&gt;=CI$4,$I151&lt;CI$4+7),IF($K151="Deadline","◇","◆"),"")</f>
        <v/>
      </c>
      <c r="CJ151" s="14" t="str">
        <f>IF(AND(ISNUMBER($I151),OR($K151="Milestone",$K151="Deadline"),$I151&gt;=CJ$4,$I151&lt;CJ$4+7),IF($K151="Deadline","◇","◆"),"")</f>
        <v/>
      </c>
      <c r="CK151" s="14" t="str">
        <f>IF(AND(ISNUMBER($I151),OR($K151="Milestone",$K151="Deadline"),$I151&gt;=CK$4,$I151&lt;CK$4+7),IF($K151="Deadline","◇","◆"),"")</f>
        <v/>
      </c>
      <c r="CL151" s="14" t="str">
        <f>IF(AND(ISNUMBER($I151),OR($K151="Milestone",$K151="Deadline"),$I151&gt;=CL$4,$I151&lt;CL$4+7),IF($K151="Deadline","◇","◆"),"")</f>
        <v/>
      </c>
      <c r="CM151" s="14" t="str">
        <f>IF(AND(ISNUMBER($I151),OR($K151="Milestone",$K151="Deadline"),$I151&gt;=CM$4,$I151&lt;CM$4+7),IF($K151="Deadline","◇","◆"),"")</f>
        <v/>
      </c>
    </row>
    <row r="152" spans="1:91" ht="15" hidden="1" customHeight="1">
      <c r="A152" s="35" t="s">
        <v>376</v>
      </c>
      <c r="B152" s="35" t="s">
        <v>347</v>
      </c>
      <c r="C152" s="35" t="s">
        <v>191</v>
      </c>
      <c r="D152" s="35" t="s">
        <v>348</v>
      </c>
      <c r="E152" s="35" t="s">
        <v>281</v>
      </c>
      <c r="F152" s="35" t="s">
        <v>372</v>
      </c>
      <c r="G152" s="35" t="s">
        <v>278</v>
      </c>
      <c r="H152" s="35">
        <v>6</v>
      </c>
      <c r="I152" s="36">
        <f>MAX(DATE(2027,3,1),J151+1,J257+1)</f>
        <v>46447</v>
      </c>
      <c r="J152" s="37">
        <f>IF(AND(ISNUMBER(I152),ISNUMBER(H152)),I152+H152-1,"")</f>
        <v>46452</v>
      </c>
      <c r="K152" s="35" t="s">
        <v>27</v>
      </c>
      <c r="L152" s="35" t="s">
        <v>375</v>
      </c>
      <c r="M152" s="38" t="s">
        <v>340</v>
      </c>
      <c r="N152" s="35"/>
      <c r="O152" s="38">
        <f>IF(AND(ISNUMBER(I152),ISNUMBER(J152)),J152-I152+1,"")</f>
        <v>6</v>
      </c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 t="s">
        <v>140</v>
      </c>
      <c r="AJ152" s="13"/>
      <c r="AK152" s="13"/>
      <c r="AL152" s="13"/>
      <c r="AM152" s="13"/>
      <c r="AN152" s="13"/>
      <c r="AO152" s="14" t="str">
        <f>IF(AND(ISNUMBER($I152),OR($K152="Milestone",$K152="Deadline"),$I152&gt;=AO$4,$I152&lt;AO$4+7),IF($K152="Deadline","◇","◆"),"")</f>
        <v/>
      </c>
      <c r="AP152" s="14" t="str">
        <f>IF(AND(ISNUMBER($I152),OR($K152="Milestone",$K152="Deadline"),$I152&gt;=AP$4,$I152&lt;AP$4+7),IF($K152="Deadline","◇","◆"),"")</f>
        <v/>
      </c>
      <c r="AQ152" s="14" t="str">
        <f>IF(AND(ISNUMBER($I152),OR($K152="Milestone",$K152="Deadline"),$I152&gt;=AQ$4,$I152&lt;AQ$4+7),IF($K152="Deadline","◇","◆"),"")</f>
        <v/>
      </c>
      <c r="AR152" s="14" t="str">
        <f>IF(AND(ISNUMBER($I152),OR($K152="Milestone",$K152="Deadline"),$I152&gt;=AR$4,$I152&lt;AR$4+7),IF($K152="Deadline","◇","◆"),"")</f>
        <v/>
      </c>
      <c r="AS152" s="14" t="str">
        <f>IF(AND(ISNUMBER($I152),OR($K152="Milestone",$K152="Deadline"),$I152&gt;=AS$4,$I152&lt;AS$4+7),IF($K152="Deadline","◇","◆"),"")</f>
        <v/>
      </c>
      <c r="AT152" s="14" t="str">
        <f>IF(AND(ISNUMBER($I152),OR($K152="Milestone",$K152="Deadline"),$I152&gt;=AT$4,$I152&lt;AT$4+7),IF($K152="Deadline","◇","◆"),"")</f>
        <v/>
      </c>
      <c r="AU152" s="14" t="str">
        <f>IF(AND(ISNUMBER($I152),OR($K152="Milestone",$K152="Deadline"),$I152&gt;=AU$4,$I152&lt;AU$4+7),IF($K152="Deadline","◇","◆"),"")</f>
        <v/>
      </c>
      <c r="AV152" s="14" t="str">
        <f>IF(AND(ISNUMBER($I152),OR($K152="Milestone",$K152="Deadline"),$I152&gt;=AV$4,$I152&lt;AV$4+7),IF($K152="Deadline","◇","◆"),"")</f>
        <v/>
      </c>
      <c r="AW152" s="14" t="str">
        <f>IF(AND(ISNUMBER($I152),OR($K152="Milestone",$K152="Deadline"),$I152&gt;=AW$4,$I152&lt;AW$4+7),IF($K152="Deadline","◇","◆"),"")</f>
        <v/>
      </c>
      <c r="AX152" s="14" t="str">
        <f>IF(AND(ISNUMBER($I152),OR($K152="Milestone",$K152="Deadline"),$I152&gt;=AX$4,$I152&lt;AX$4+7),IF($K152="Deadline","◇","◆"),"")</f>
        <v/>
      </c>
      <c r="AY152" s="14" t="str">
        <f>IF(AND(ISNUMBER($I152),OR($K152="Milestone",$K152="Deadline"),$I152&gt;=AY$4,$I152&lt;AY$4+7),IF($K152="Deadline","◇","◆"),"")</f>
        <v/>
      </c>
      <c r="AZ152" s="14" t="str">
        <f>IF(AND(ISNUMBER($I152),OR($K152="Milestone",$K152="Deadline"),$I152&gt;=AZ$4,$I152&lt;AZ$4+7),IF($K152="Deadline","◇","◆"),"")</f>
        <v/>
      </c>
      <c r="BA152" s="14" t="str">
        <f>IF(AND(ISNUMBER($I152),OR($K152="Milestone",$K152="Deadline"),$I152&gt;=BA$4,$I152&lt;BA$4+7),IF($K152="Deadline","◇","◆"),"")</f>
        <v/>
      </c>
      <c r="BB152" s="14" t="str">
        <f>IF(AND(ISNUMBER($I152),OR($K152="Milestone",$K152="Deadline"),$I152&gt;=BB$4,$I152&lt;BB$4+7),IF($K152="Deadline","◇","◆"),"")</f>
        <v/>
      </c>
      <c r="BC152" s="14" t="str">
        <f>IF(AND(ISNUMBER($I152),OR($K152="Milestone",$K152="Deadline"),$I152&gt;=BC$4,$I152&lt;BC$4+7),IF($K152="Deadline","◇","◆"),"")</f>
        <v/>
      </c>
      <c r="BD152" s="14" t="str">
        <f>IF(AND(ISNUMBER($I152),OR($K152="Milestone",$K152="Deadline"),$I152&gt;=BD$4,$I152&lt;BD$4+7),IF($K152="Deadline","◇","◆"),"")</f>
        <v/>
      </c>
      <c r="BE152" s="14" t="str">
        <f>IF(AND(ISNUMBER($I152),OR($K152="Milestone",$K152="Deadline"),$I152&gt;=BE$4,$I152&lt;BE$4+7),IF($K152="Deadline","◇","◆"),"")</f>
        <v/>
      </c>
      <c r="BF152" s="14" t="str">
        <f>IF(AND(ISNUMBER($I152),OR($K152="Milestone",$K152="Deadline"),$I152&gt;=BF$4,$I152&lt;BF$4+7),IF($K152="Deadline","◇","◆"),"")</f>
        <v/>
      </c>
      <c r="BG152" s="14" t="str">
        <f>IF(AND(ISNUMBER($I152),OR($K152="Milestone",$K152="Deadline"),$I152&gt;=BG$4,$I152&lt;BG$4+7),IF($K152="Deadline","◇","◆"),"")</f>
        <v/>
      </c>
      <c r="BH152" s="14" t="str">
        <f>IF(AND(ISNUMBER($I152),OR($K152="Milestone",$K152="Deadline"),$I152&gt;=BH$4,$I152&lt;BH$4+7),IF($K152="Deadline","◇","◆"),"")</f>
        <v/>
      </c>
      <c r="BI152" s="14" t="str">
        <f>IF(AND(ISNUMBER($I152),OR($K152="Milestone",$K152="Deadline"),$I152&gt;=BI$4,$I152&lt;BI$4+7),IF($K152="Deadline","◇","◆"),"")</f>
        <v/>
      </c>
      <c r="BJ152" s="14" t="str">
        <f>IF(AND(ISNUMBER($I152),OR($K152="Milestone",$K152="Deadline"),$I152&gt;=BJ$4,$I152&lt;BJ$4+7),IF($K152="Deadline","◇","◆"),"")</f>
        <v/>
      </c>
      <c r="BK152" s="14" t="str">
        <f>IF(AND(ISNUMBER($I152),OR($K152="Milestone",$K152="Deadline"),$I152&gt;=BK$4,$I152&lt;BK$4+7),IF($K152="Deadline","◇","◆"),"")</f>
        <v/>
      </c>
      <c r="BL152" s="14" t="str">
        <f>IF(AND(ISNUMBER($I152),OR($K152="Milestone",$K152="Deadline"),$I152&gt;=BL$4,$I152&lt;BL$4+7),IF($K152="Deadline","◇","◆"),"")</f>
        <v/>
      </c>
      <c r="BM152" s="14" t="str">
        <f>IF(AND(ISNUMBER($I152),OR($K152="Milestone",$K152="Deadline"),$I152&gt;=BM$4,$I152&lt;BM$4+7),IF($K152="Deadline","◇","◆"),"")</f>
        <v/>
      </c>
      <c r="BN152" s="14" t="str">
        <f>IF(AND(ISNUMBER($I152),OR($K152="Milestone",$K152="Deadline"),$I152&gt;=BN$4,$I152&lt;BN$4+7),IF($K152="Deadline","◇","◆"),"")</f>
        <v/>
      </c>
      <c r="BO152" s="14" t="str">
        <f>IF(AND(ISNUMBER($I152),OR($K152="Milestone",$K152="Deadline"),$I152&gt;=BO$4,$I152&lt;BO$4+7),IF($K152="Deadline","◇","◆"),"")</f>
        <v/>
      </c>
      <c r="BP152" s="14" t="str">
        <f>IF(AND(ISNUMBER($I152),OR($K152="Milestone",$K152="Deadline"),$I152&gt;=BP$4,$I152&lt;BP$4+7),IF($K152="Deadline","◇","◆"),"")</f>
        <v/>
      </c>
      <c r="BQ152" s="14" t="str">
        <f>IF(AND(ISNUMBER($I152),OR($K152="Milestone",$K152="Deadline"),$I152&gt;=BQ$4,$I152&lt;BQ$4+7),IF($K152="Deadline","◇","◆"),"")</f>
        <v/>
      </c>
      <c r="BR152" s="14" t="str">
        <f>IF(AND(ISNUMBER($I152),OR($K152="Milestone",$K152="Deadline"),$I152&gt;=BR$4,$I152&lt;BR$4+7),IF($K152="Deadline","◇","◆"),"")</f>
        <v/>
      </c>
      <c r="BS152" s="14" t="str">
        <f>IF(AND(ISNUMBER($I152),OR($K152="Milestone",$K152="Deadline"),$I152&gt;=BS$4,$I152&lt;BS$4+7),IF($K152="Deadline","◇","◆"),"")</f>
        <v/>
      </c>
      <c r="BT152" s="14" t="str">
        <f>IF(AND(ISNUMBER($I152),OR($K152="Milestone",$K152="Deadline"),$I152&gt;=BT$4,$I152&lt;BT$4+7),IF($K152="Deadline","◇","◆"),"")</f>
        <v/>
      </c>
      <c r="BU152" s="14" t="str">
        <f>IF(AND(ISNUMBER($I152),OR($K152="Milestone",$K152="Deadline"),$I152&gt;=BU$4,$I152&lt;BU$4+7),IF($K152="Deadline","◇","◆"),"")</f>
        <v/>
      </c>
      <c r="BV152" s="14" t="str">
        <f>IF(AND(ISNUMBER($I152),OR($K152="Milestone",$K152="Deadline"),$I152&gt;=BV$4,$I152&lt;BV$4+7),IF($K152="Deadline","◇","◆"),"")</f>
        <v/>
      </c>
      <c r="BW152" s="14" t="str">
        <f>IF(AND(ISNUMBER($I152),OR($K152="Milestone",$K152="Deadline"),$I152&gt;=BW$4,$I152&lt;BW$4+7),IF($K152="Deadline","◇","◆"),"")</f>
        <v/>
      </c>
      <c r="BX152" s="14" t="str">
        <f>IF(AND(ISNUMBER($I152),OR($K152="Milestone",$K152="Deadline"),$I152&gt;=BX$4,$I152&lt;BX$4+7),IF($K152="Deadline","◇","◆"),"")</f>
        <v/>
      </c>
      <c r="BY152" s="14" t="str">
        <f>IF(AND(ISNUMBER($I152),OR($K152="Milestone",$K152="Deadline"),$I152&gt;=BY$4,$I152&lt;BY$4+7),IF($K152="Deadline","◇","◆"),"")</f>
        <v/>
      </c>
      <c r="BZ152" s="14" t="str">
        <f>IF(AND(ISNUMBER($I152),OR($K152="Milestone",$K152="Deadline"),$I152&gt;=BZ$4,$I152&lt;BZ$4+7),IF($K152="Deadline","◇","◆"),"")</f>
        <v/>
      </c>
      <c r="CA152" s="14" t="str">
        <f>IF(AND(ISNUMBER($I152),OR($K152="Milestone",$K152="Deadline"),$I152&gt;=CA$4,$I152&lt;CA$4+7),IF($K152="Deadline","◇","◆"),"")</f>
        <v/>
      </c>
      <c r="CB152" s="14" t="str">
        <f>IF(AND(ISNUMBER($I152),OR($K152="Milestone",$K152="Deadline"),$I152&gt;=CB$4,$I152&lt;CB$4+7),IF($K152="Deadline","◇","◆"),"")</f>
        <v/>
      </c>
      <c r="CC152" s="14" t="str">
        <f>IF(AND(ISNUMBER($I152),OR($K152="Milestone",$K152="Deadline"),$I152&gt;=CC$4,$I152&lt;CC$4+7),IF($K152="Deadline","◇","◆"),"")</f>
        <v/>
      </c>
      <c r="CD152" s="14" t="str">
        <f>IF(AND(ISNUMBER($I152),OR($K152="Milestone",$K152="Deadline"),$I152&gt;=CD$4,$I152&lt;CD$4+7),IF($K152="Deadline","◇","◆"),"")</f>
        <v/>
      </c>
      <c r="CE152" s="14" t="str">
        <f>IF(AND(ISNUMBER($I152),OR($K152="Milestone",$K152="Deadline"),$I152&gt;=CE$4,$I152&lt;CE$4+7),IF($K152="Deadline","◇","◆"),"")</f>
        <v/>
      </c>
      <c r="CF152" s="14" t="str">
        <f>IF(AND(ISNUMBER($I152),OR($K152="Milestone",$K152="Deadline"),$I152&gt;=CF$4,$I152&lt;CF$4+7),IF($K152="Deadline","◇","◆"),"")</f>
        <v/>
      </c>
      <c r="CG152" s="14" t="str">
        <f>IF(AND(ISNUMBER($I152),OR($K152="Milestone",$K152="Deadline"),$I152&gt;=CG$4,$I152&lt;CG$4+7),IF($K152="Deadline","◇","◆"),"")</f>
        <v/>
      </c>
      <c r="CH152" s="14" t="str">
        <f>IF(AND(ISNUMBER($I152),OR($K152="Milestone",$K152="Deadline"),$I152&gt;=CH$4,$I152&lt;CH$4+7),IF($K152="Deadline","◇","◆"),"")</f>
        <v/>
      </c>
      <c r="CI152" s="14" t="str">
        <f>IF(AND(ISNUMBER($I152),OR($K152="Milestone",$K152="Deadline"),$I152&gt;=CI$4,$I152&lt;CI$4+7),IF($K152="Deadline","◇","◆"),"")</f>
        <v/>
      </c>
      <c r="CJ152" s="14" t="str">
        <f>IF(AND(ISNUMBER($I152),OR($K152="Milestone",$K152="Deadline"),$I152&gt;=CJ$4,$I152&lt;CJ$4+7),IF($K152="Deadline","◇","◆"),"")</f>
        <v/>
      </c>
      <c r="CK152" s="14" t="str">
        <f>IF(AND(ISNUMBER($I152),OR($K152="Milestone",$K152="Deadline"),$I152&gt;=CK$4,$I152&lt;CK$4+7),IF($K152="Deadline","◇","◆"),"")</f>
        <v/>
      </c>
      <c r="CL152" s="14" t="str">
        <f>IF(AND(ISNUMBER($I152),OR($K152="Milestone",$K152="Deadline"),$I152&gt;=CL$4,$I152&lt;CL$4+7),IF($K152="Deadline","◇","◆"),"")</f>
        <v/>
      </c>
      <c r="CM152" s="14" t="str">
        <f>IF(AND(ISNUMBER($I152),OR($K152="Milestone",$K152="Deadline"),$I152&gt;=CM$4,$I152&lt;CM$4+7),IF($K152="Deadline","◇","◆"),"")</f>
        <v/>
      </c>
    </row>
    <row r="153" spans="1:91" ht="15" hidden="1" customHeight="1">
      <c r="A153" s="35" t="s">
        <v>377</v>
      </c>
      <c r="B153" s="35" t="s">
        <v>347</v>
      </c>
      <c r="C153" s="35" t="s">
        <v>191</v>
      </c>
      <c r="D153" s="35" t="s">
        <v>348</v>
      </c>
      <c r="E153" s="35"/>
      <c r="F153" s="35" t="s">
        <v>216</v>
      </c>
      <c r="G153" s="35" t="s">
        <v>217</v>
      </c>
      <c r="H153" s="35">
        <v>14</v>
      </c>
      <c r="I153" s="36">
        <f>MAX($C$2,J135+1,J141+1,J144+1,J147+1,J170+1)</f>
        <v>46386</v>
      </c>
      <c r="J153" s="37">
        <f>IF(AND(ISNUMBER(I153),ISNUMBER(H153)),I153+H153-1,"")</f>
        <v>46399</v>
      </c>
      <c r="K153" s="35" t="s">
        <v>27</v>
      </c>
      <c r="L153" s="35" t="s">
        <v>378</v>
      </c>
      <c r="M153" s="38" t="s">
        <v>379</v>
      </c>
      <c r="N153" s="35"/>
      <c r="O153" s="38">
        <f>IF(AND(ISNUMBER(I153),ISNUMBER(J153)),J153-I153+1,"")</f>
        <v>14</v>
      </c>
      <c r="P153" s="13"/>
      <c r="Q153" s="13"/>
      <c r="R153" s="13"/>
      <c r="S153" s="13" t="s">
        <v>140</v>
      </c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4" t="str">
        <f>IF(AND(ISNUMBER($I153),OR($K153="Milestone",$K153="Deadline"),$I153&gt;=AO$4,$I153&lt;AO$4+7),IF($K153="Deadline","◇","◆"),"")</f>
        <v/>
      </c>
      <c r="AP153" s="14" t="str">
        <f>IF(AND(ISNUMBER($I153),OR($K153="Milestone",$K153="Deadline"),$I153&gt;=AP$4,$I153&lt;AP$4+7),IF($K153="Deadline","◇","◆"),"")</f>
        <v/>
      </c>
      <c r="AQ153" s="14" t="str">
        <f>IF(AND(ISNUMBER($I153),OR($K153="Milestone",$K153="Deadline"),$I153&gt;=AQ$4,$I153&lt;AQ$4+7),IF($K153="Deadline","◇","◆"),"")</f>
        <v/>
      </c>
      <c r="AR153" s="14" t="str">
        <f>IF(AND(ISNUMBER($I153),OR($K153="Milestone",$K153="Deadline"),$I153&gt;=AR$4,$I153&lt;AR$4+7),IF($K153="Deadline","◇","◆"),"")</f>
        <v/>
      </c>
      <c r="AS153" s="14" t="str">
        <f>IF(AND(ISNUMBER($I153),OR($K153="Milestone",$K153="Deadline"),$I153&gt;=AS$4,$I153&lt;AS$4+7),IF($K153="Deadline","◇","◆"),"")</f>
        <v/>
      </c>
      <c r="AT153" s="14" t="str">
        <f>IF(AND(ISNUMBER($I153),OR($K153="Milestone",$K153="Deadline"),$I153&gt;=AT$4,$I153&lt;AT$4+7),IF($K153="Deadline","◇","◆"),"")</f>
        <v/>
      </c>
      <c r="AU153" s="14" t="str">
        <f>IF(AND(ISNUMBER($I153),OR($K153="Milestone",$K153="Deadline"),$I153&gt;=AU$4,$I153&lt;AU$4+7),IF($K153="Deadline","◇","◆"),"")</f>
        <v/>
      </c>
      <c r="AV153" s="14" t="str">
        <f>IF(AND(ISNUMBER($I153),OR($K153="Milestone",$K153="Deadline"),$I153&gt;=AV$4,$I153&lt;AV$4+7),IF($K153="Deadline","◇","◆"),"")</f>
        <v/>
      </c>
      <c r="AW153" s="14" t="str">
        <f>IF(AND(ISNUMBER($I153),OR($K153="Milestone",$K153="Deadline"),$I153&gt;=AW$4,$I153&lt;AW$4+7),IF($K153="Deadline","◇","◆"),"")</f>
        <v/>
      </c>
      <c r="AX153" s="14" t="str">
        <f>IF(AND(ISNUMBER($I153),OR($K153="Milestone",$K153="Deadline"),$I153&gt;=AX$4,$I153&lt;AX$4+7),IF($K153="Deadline","◇","◆"),"")</f>
        <v/>
      </c>
      <c r="AY153" s="14" t="str">
        <f>IF(AND(ISNUMBER($I153),OR($K153="Milestone",$K153="Deadline"),$I153&gt;=AY$4,$I153&lt;AY$4+7),IF($K153="Deadline","◇","◆"),"")</f>
        <v/>
      </c>
      <c r="AZ153" s="14" t="str">
        <f>IF(AND(ISNUMBER($I153),OR($K153="Milestone",$K153="Deadline"),$I153&gt;=AZ$4,$I153&lt;AZ$4+7),IF($K153="Deadline","◇","◆"),"")</f>
        <v/>
      </c>
      <c r="BA153" s="14" t="str">
        <f>IF(AND(ISNUMBER($I153),OR($K153="Milestone",$K153="Deadline"),$I153&gt;=BA$4,$I153&lt;BA$4+7),IF($K153="Deadline","◇","◆"),"")</f>
        <v/>
      </c>
      <c r="BB153" s="14" t="str">
        <f>IF(AND(ISNUMBER($I153),OR($K153="Milestone",$K153="Deadline"),$I153&gt;=BB$4,$I153&lt;BB$4+7),IF($K153="Deadline","◇","◆"),"")</f>
        <v/>
      </c>
      <c r="BC153" s="14" t="str">
        <f>IF(AND(ISNUMBER($I153),OR($K153="Milestone",$K153="Deadline"),$I153&gt;=BC$4,$I153&lt;BC$4+7),IF($K153="Deadline","◇","◆"),"")</f>
        <v/>
      </c>
      <c r="BD153" s="14" t="str">
        <f>IF(AND(ISNUMBER($I153),OR($K153="Milestone",$K153="Deadline"),$I153&gt;=BD$4,$I153&lt;BD$4+7),IF($K153="Deadline","◇","◆"),"")</f>
        <v/>
      </c>
      <c r="BE153" s="14" t="str">
        <f>IF(AND(ISNUMBER($I153),OR($K153="Milestone",$K153="Deadline"),$I153&gt;=BE$4,$I153&lt;BE$4+7),IF($K153="Deadline","◇","◆"),"")</f>
        <v/>
      </c>
      <c r="BF153" s="14" t="str">
        <f>IF(AND(ISNUMBER($I153),OR($K153="Milestone",$K153="Deadline"),$I153&gt;=BF$4,$I153&lt;BF$4+7),IF($K153="Deadline","◇","◆"),"")</f>
        <v/>
      </c>
      <c r="BG153" s="14" t="str">
        <f>IF(AND(ISNUMBER($I153),OR($K153="Milestone",$K153="Deadline"),$I153&gt;=BG$4,$I153&lt;BG$4+7),IF($K153="Deadline","◇","◆"),"")</f>
        <v/>
      </c>
      <c r="BH153" s="14" t="str">
        <f>IF(AND(ISNUMBER($I153),OR($K153="Milestone",$K153="Deadline"),$I153&gt;=BH$4,$I153&lt;BH$4+7),IF($K153="Deadline","◇","◆"),"")</f>
        <v/>
      </c>
      <c r="BI153" s="14" t="str">
        <f>IF(AND(ISNUMBER($I153),OR($K153="Milestone",$K153="Deadline"),$I153&gt;=BI$4,$I153&lt;BI$4+7),IF($K153="Deadline","◇","◆"),"")</f>
        <v/>
      </c>
      <c r="BJ153" s="14" t="str">
        <f>IF(AND(ISNUMBER($I153),OR($K153="Milestone",$K153="Deadline"),$I153&gt;=BJ$4,$I153&lt;BJ$4+7),IF($K153="Deadline","◇","◆"),"")</f>
        <v/>
      </c>
      <c r="BK153" s="14" t="str">
        <f>IF(AND(ISNUMBER($I153),OR($K153="Milestone",$K153="Deadline"),$I153&gt;=BK$4,$I153&lt;BK$4+7),IF($K153="Deadline","◇","◆"),"")</f>
        <v/>
      </c>
      <c r="BL153" s="14" t="str">
        <f>IF(AND(ISNUMBER($I153),OR($K153="Milestone",$K153="Deadline"),$I153&gt;=BL$4,$I153&lt;BL$4+7),IF($K153="Deadline","◇","◆"),"")</f>
        <v/>
      </c>
      <c r="BM153" s="14" t="str">
        <f>IF(AND(ISNUMBER($I153),OR($K153="Milestone",$K153="Deadline"),$I153&gt;=BM$4,$I153&lt;BM$4+7),IF($K153="Deadline","◇","◆"),"")</f>
        <v/>
      </c>
      <c r="BN153" s="14" t="str">
        <f>IF(AND(ISNUMBER($I153),OR($K153="Milestone",$K153="Deadline"),$I153&gt;=BN$4,$I153&lt;BN$4+7),IF($K153="Deadline","◇","◆"),"")</f>
        <v/>
      </c>
      <c r="BO153" s="14" t="str">
        <f>IF(AND(ISNUMBER($I153),OR($K153="Milestone",$K153="Deadline"),$I153&gt;=BO$4,$I153&lt;BO$4+7),IF($K153="Deadline","◇","◆"),"")</f>
        <v/>
      </c>
      <c r="BP153" s="14" t="str">
        <f>IF(AND(ISNUMBER($I153),OR($K153="Milestone",$K153="Deadline"),$I153&gt;=BP$4,$I153&lt;BP$4+7),IF($K153="Deadline","◇","◆"),"")</f>
        <v/>
      </c>
      <c r="BQ153" s="14" t="str">
        <f>IF(AND(ISNUMBER($I153),OR($K153="Milestone",$K153="Deadline"),$I153&gt;=BQ$4,$I153&lt;BQ$4+7),IF($K153="Deadline","◇","◆"),"")</f>
        <v/>
      </c>
      <c r="BR153" s="14" t="str">
        <f>IF(AND(ISNUMBER($I153),OR($K153="Milestone",$K153="Deadline"),$I153&gt;=BR$4,$I153&lt;BR$4+7),IF($K153="Deadline","◇","◆"),"")</f>
        <v/>
      </c>
      <c r="BS153" s="14" t="str">
        <f>IF(AND(ISNUMBER($I153),OR($K153="Milestone",$K153="Deadline"),$I153&gt;=BS$4,$I153&lt;BS$4+7),IF($K153="Deadline","◇","◆"),"")</f>
        <v/>
      </c>
      <c r="BT153" s="14" t="str">
        <f>IF(AND(ISNUMBER($I153),OR($K153="Milestone",$K153="Deadline"),$I153&gt;=BT$4,$I153&lt;BT$4+7),IF($K153="Deadline","◇","◆"),"")</f>
        <v/>
      </c>
      <c r="BU153" s="14" t="str">
        <f>IF(AND(ISNUMBER($I153),OR($K153="Milestone",$K153="Deadline"),$I153&gt;=BU$4,$I153&lt;BU$4+7),IF($K153="Deadline","◇","◆"),"")</f>
        <v/>
      </c>
      <c r="BV153" s="14" t="str">
        <f>IF(AND(ISNUMBER($I153),OR($K153="Milestone",$K153="Deadline"),$I153&gt;=BV$4,$I153&lt;BV$4+7),IF($K153="Deadline","◇","◆"),"")</f>
        <v/>
      </c>
      <c r="BW153" s="14" t="str">
        <f>IF(AND(ISNUMBER($I153),OR($K153="Milestone",$K153="Deadline"),$I153&gt;=BW$4,$I153&lt;BW$4+7),IF($K153="Deadline","◇","◆"),"")</f>
        <v/>
      </c>
      <c r="BX153" s="14" t="str">
        <f>IF(AND(ISNUMBER($I153),OR($K153="Milestone",$K153="Deadline"),$I153&gt;=BX$4,$I153&lt;BX$4+7),IF($K153="Deadline","◇","◆"),"")</f>
        <v/>
      </c>
      <c r="BY153" s="14" t="str">
        <f>IF(AND(ISNUMBER($I153),OR($K153="Milestone",$K153="Deadline"),$I153&gt;=BY$4,$I153&lt;BY$4+7),IF($K153="Deadline","◇","◆"),"")</f>
        <v/>
      </c>
      <c r="BZ153" s="14" t="str">
        <f>IF(AND(ISNUMBER($I153),OR($K153="Milestone",$K153="Deadline"),$I153&gt;=BZ$4,$I153&lt;BZ$4+7),IF($K153="Deadline","◇","◆"),"")</f>
        <v/>
      </c>
      <c r="CA153" s="14" t="str">
        <f>IF(AND(ISNUMBER($I153),OR($K153="Milestone",$K153="Deadline"),$I153&gt;=CA$4,$I153&lt;CA$4+7),IF($K153="Deadline","◇","◆"),"")</f>
        <v/>
      </c>
      <c r="CB153" s="14" t="str">
        <f>IF(AND(ISNUMBER($I153),OR($K153="Milestone",$K153="Deadline"),$I153&gt;=CB$4,$I153&lt;CB$4+7),IF($K153="Deadline","◇","◆"),"")</f>
        <v/>
      </c>
      <c r="CC153" s="14" t="str">
        <f>IF(AND(ISNUMBER($I153),OR($K153="Milestone",$K153="Deadline"),$I153&gt;=CC$4,$I153&lt;CC$4+7),IF($K153="Deadline","◇","◆"),"")</f>
        <v/>
      </c>
      <c r="CD153" s="14" t="str">
        <f>IF(AND(ISNUMBER($I153),OR($K153="Milestone",$K153="Deadline"),$I153&gt;=CD$4,$I153&lt;CD$4+7),IF($K153="Deadline","◇","◆"),"")</f>
        <v/>
      </c>
      <c r="CE153" s="14" t="str">
        <f>IF(AND(ISNUMBER($I153),OR($K153="Milestone",$K153="Deadline"),$I153&gt;=CE$4,$I153&lt;CE$4+7),IF($K153="Deadline","◇","◆"),"")</f>
        <v/>
      </c>
      <c r="CF153" s="14" t="str">
        <f>IF(AND(ISNUMBER($I153),OR($K153="Milestone",$K153="Deadline"),$I153&gt;=CF$4,$I153&lt;CF$4+7),IF($K153="Deadline","◇","◆"),"")</f>
        <v/>
      </c>
      <c r="CG153" s="14" t="str">
        <f>IF(AND(ISNUMBER($I153),OR($K153="Milestone",$K153="Deadline"),$I153&gt;=CG$4,$I153&lt;CG$4+7),IF($K153="Deadline","◇","◆"),"")</f>
        <v/>
      </c>
      <c r="CH153" s="14" t="str">
        <f>IF(AND(ISNUMBER($I153),OR($K153="Milestone",$K153="Deadline"),$I153&gt;=CH$4,$I153&lt;CH$4+7),IF($K153="Deadline","◇","◆"),"")</f>
        <v/>
      </c>
      <c r="CI153" s="14" t="str">
        <f>IF(AND(ISNUMBER($I153),OR($K153="Milestone",$K153="Deadline"),$I153&gt;=CI$4,$I153&lt;CI$4+7),IF($K153="Deadline","◇","◆"),"")</f>
        <v/>
      </c>
      <c r="CJ153" s="14" t="str">
        <f>IF(AND(ISNUMBER($I153),OR($K153="Milestone",$K153="Deadline"),$I153&gt;=CJ$4,$I153&lt;CJ$4+7),IF($K153="Deadline","◇","◆"),"")</f>
        <v/>
      </c>
      <c r="CK153" s="14" t="str">
        <f>IF(AND(ISNUMBER($I153),OR($K153="Milestone",$K153="Deadline"),$I153&gt;=CK$4,$I153&lt;CK$4+7),IF($K153="Deadline","◇","◆"),"")</f>
        <v/>
      </c>
      <c r="CL153" s="14" t="str">
        <f>IF(AND(ISNUMBER($I153),OR($K153="Milestone",$K153="Deadline"),$I153&gt;=CL$4,$I153&lt;CL$4+7),IF($K153="Deadline","◇","◆"),"")</f>
        <v/>
      </c>
      <c r="CM153" s="14" t="str">
        <f>IF(AND(ISNUMBER($I153),OR($K153="Milestone",$K153="Deadline"),$I153&gt;=CM$4,$I153&lt;CM$4+7),IF($K153="Deadline","◇","◆"),"")</f>
        <v/>
      </c>
    </row>
    <row r="154" spans="1:91" ht="15" hidden="1" customHeight="1">
      <c r="A154" s="35" t="s">
        <v>380</v>
      </c>
      <c r="B154" s="35" t="s">
        <v>347</v>
      </c>
      <c r="C154" s="35" t="s">
        <v>221</v>
      </c>
      <c r="D154" s="35" t="s">
        <v>348</v>
      </c>
      <c r="E154" s="35"/>
      <c r="F154" s="35" t="s">
        <v>216</v>
      </c>
      <c r="G154" s="35" t="s">
        <v>222</v>
      </c>
      <c r="H154" s="35">
        <v>7</v>
      </c>
      <c r="I154" s="36">
        <f>MAX($C$2,J139+1,J151+1,J238+1,J114+1)</f>
        <v>46531</v>
      </c>
      <c r="J154" s="37">
        <f>IF(AND(ISNUMBER(I154),ISNUMBER(H154)),I154+H154-1,"")</f>
        <v>46537</v>
      </c>
      <c r="K154" s="35" t="s">
        <v>27</v>
      </c>
      <c r="L154" s="35" t="s">
        <v>381</v>
      </c>
      <c r="M154" s="38" t="s">
        <v>382</v>
      </c>
      <c r="N154" s="35"/>
      <c r="O154" s="38">
        <f>IF(AND(ISNUMBER(I154),ISNUMBER(J154)),J154-I154+1,"")</f>
        <v>7</v>
      </c>
      <c r="P154" s="13"/>
      <c r="Q154" s="13"/>
      <c r="R154" s="13"/>
      <c r="S154" s="13" t="s">
        <v>140</v>
      </c>
      <c r="T154" s="13"/>
      <c r="U154" s="13"/>
      <c r="V154" s="13"/>
      <c r="W154" s="13"/>
      <c r="X154" s="13"/>
      <c r="Y154" s="13"/>
      <c r="Z154" s="13"/>
      <c r="AA154" s="13"/>
      <c r="AB154" s="13" t="s">
        <v>140</v>
      </c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4" t="str">
        <f>IF(AND(ISNUMBER($I154),OR($K154="Milestone",$K154="Deadline"),$I154&gt;=AO$4,$I154&lt;AO$4+7),IF($K154="Deadline","◇","◆"),"")</f>
        <v/>
      </c>
      <c r="AP154" s="14" t="str">
        <f>IF(AND(ISNUMBER($I154),OR($K154="Milestone",$K154="Deadline"),$I154&gt;=AP$4,$I154&lt;AP$4+7),IF($K154="Deadline","◇","◆"),"")</f>
        <v/>
      </c>
      <c r="AQ154" s="14" t="str">
        <f>IF(AND(ISNUMBER($I154),OR($K154="Milestone",$K154="Deadline"),$I154&gt;=AQ$4,$I154&lt;AQ$4+7),IF($K154="Deadline","◇","◆"),"")</f>
        <v/>
      </c>
      <c r="AR154" s="14" t="str">
        <f>IF(AND(ISNUMBER($I154),OR($K154="Milestone",$K154="Deadline"),$I154&gt;=AR$4,$I154&lt;AR$4+7),IF($K154="Deadline","◇","◆"),"")</f>
        <v/>
      </c>
      <c r="AS154" s="14" t="str">
        <f>IF(AND(ISNUMBER($I154),OR($K154="Milestone",$K154="Deadline"),$I154&gt;=AS$4,$I154&lt;AS$4+7),IF($K154="Deadline","◇","◆"),"")</f>
        <v/>
      </c>
      <c r="AT154" s="14" t="str">
        <f>IF(AND(ISNUMBER($I154),OR($K154="Milestone",$K154="Deadline"),$I154&gt;=AT$4,$I154&lt;AT$4+7),IF($K154="Deadline","◇","◆"),"")</f>
        <v/>
      </c>
      <c r="AU154" s="14" t="str">
        <f>IF(AND(ISNUMBER($I154),OR($K154="Milestone",$K154="Deadline"),$I154&gt;=AU$4,$I154&lt;AU$4+7),IF($K154="Deadline","◇","◆"),"")</f>
        <v/>
      </c>
      <c r="AV154" s="14" t="str">
        <f>IF(AND(ISNUMBER($I154),OR($K154="Milestone",$K154="Deadline"),$I154&gt;=AV$4,$I154&lt;AV$4+7),IF($K154="Deadline","◇","◆"),"")</f>
        <v/>
      </c>
      <c r="AW154" s="14" t="str">
        <f>IF(AND(ISNUMBER($I154),OR($K154="Milestone",$K154="Deadline"),$I154&gt;=AW$4,$I154&lt;AW$4+7),IF($K154="Deadline","◇","◆"),"")</f>
        <v/>
      </c>
      <c r="AX154" s="14" t="str">
        <f>IF(AND(ISNUMBER($I154),OR($K154="Milestone",$K154="Deadline"),$I154&gt;=AX$4,$I154&lt;AX$4+7),IF($K154="Deadline","◇","◆"),"")</f>
        <v/>
      </c>
      <c r="AY154" s="14" t="str">
        <f>IF(AND(ISNUMBER($I154),OR($K154="Milestone",$K154="Deadline"),$I154&gt;=AY$4,$I154&lt;AY$4+7),IF($K154="Deadline","◇","◆"),"")</f>
        <v/>
      </c>
      <c r="AZ154" s="14" t="str">
        <f>IF(AND(ISNUMBER($I154),OR($K154="Milestone",$K154="Deadline"),$I154&gt;=AZ$4,$I154&lt;AZ$4+7),IF($K154="Deadline","◇","◆"),"")</f>
        <v/>
      </c>
      <c r="BA154" s="14" t="str">
        <f>IF(AND(ISNUMBER($I154),OR($K154="Milestone",$K154="Deadline"),$I154&gt;=BA$4,$I154&lt;BA$4+7),IF($K154="Deadline","◇","◆"),"")</f>
        <v/>
      </c>
      <c r="BB154" s="14" t="str">
        <f>IF(AND(ISNUMBER($I154),OR($K154="Milestone",$K154="Deadline"),$I154&gt;=BB$4,$I154&lt;BB$4+7),IF($K154="Deadline","◇","◆"),"")</f>
        <v/>
      </c>
      <c r="BC154" s="14" t="str">
        <f>IF(AND(ISNUMBER($I154),OR($K154="Milestone",$K154="Deadline"),$I154&gt;=BC$4,$I154&lt;BC$4+7),IF($K154="Deadline","◇","◆"),"")</f>
        <v/>
      </c>
      <c r="BD154" s="14" t="str">
        <f>IF(AND(ISNUMBER($I154),OR($K154="Milestone",$K154="Deadline"),$I154&gt;=BD$4,$I154&lt;BD$4+7),IF($K154="Deadline","◇","◆"),"")</f>
        <v/>
      </c>
      <c r="BE154" s="14" t="str">
        <f>IF(AND(ISNUMBER($I154),OR($K154="Milestone",$K154="Deadline"),$I154&gt;=BE$4,$I154&lt;BE$4+7),IF($K154="Deadline","◇","◆"),"")</f>
        <v/>
      </c>
      <c r="BF154" s="14" t="str">
        <f>IF(AND(ISNUMBER($I154),OR($K154="Milestone",$K154="Deadline"),$I154&gt;=BF$4,$I154&lt;BF$4+7),IF($K154="Deadline","◇","◆"),"")</f>
        <v/>
      </c>
      <c r="BG154" s="14" t="str">
        <f>IF(AND(ISNUMBER($I154),OR($K154="Milestone",$K154="Deadline"),$I154&gt;=BG$4,$I154&lt;BG$4+7),IF($K154="Deadline","◇","◆"),"")</f>
        <v/>
      </c>
      <c r="BH154" s="14" t="str">
        <f>IF(AND(ISNUMBER($I154),OR($K154="Milestone",$K154="Deadline"),$I154&gt;=BH$4,$I154&lt;BH$4+7),IF($K154="Deadline","◇","◆"),"")</f>
        <v/>
      </c>
      <c r="BI154" s="14" t="str">
        <f>IF(AND(ISNUMBER($I154),OR($K154="Milestone",$K154="Deadline"),$I154&gt;=BI$4,$I154&lt;BI$4+7),IF($K154="Deadline","◇","◆"),"")</f>
        <v/>
      </c>
      <c r="BJ154" s="14" t="str">
        <f>IF(AND(ISNUMBER($I154),OR($K154="Milestone",$K154="Deadline"),$I154&gt;=BJ$4,$I154&lt;BJ$4+7),IF($K154="Deadline","◇","◆"),"")</f>
        <v/>
      </c>
      <c r="BK154" s="14" t="str">
        <f>IF(AND(ISNUMBER($I154),OR($K154="Milestone",$K154="Deadline"),$I154&gt;=BK$4,$I154&lt;BK$4+7),IF($K154="Deadline","◇","◆"),"")</f>
        <v/>
      </c>
      <c r="BL154" s="14" t="str">
        <f>IF(AND(ISNUMBER($I154),OR($K154="Milestone",$K154="Deadline"),$I154&gt;=BL$4,$I154&lt;BL$4+7),IF($K154="Deadline","◇","◆"),"")</f>
        <v/>
      </c>
      <c r="BM154" s="14" t="str">
        <f>IF(AND(ISNUMBER($I154),OR($K154="Milestone",$K154="Deadline"),$I154&gt;=BM$4,$I154&lt;BM$4+7),IF($K154="Deadline","◇","◆"),"")</f>
        <v/>
      </c>
      <c r="BN154" s="14" t="str">
        <f>IF(AND(ISNUMBER($I154),OR($K154="Milestone",$K154="Deadline"),$I154&gt;=BN$4,$I154&lt;BN$4+7),IF($K154="Deadline","◇","◆"),"")</f>
        <v/>
      </c>
      <c r="BO154" s="14" t="str">
        <f>IF(AND(ISNUMBER($I154),OR($K154="Milestone",$K154="Deadline"),$I154&gt;=BO$4,$I154&lt;BO$4+7),IF($K154="Deadline","◇","◆"),"")</f>
        <v/>
      </c>
      <c r="BP154" s="14" t="str">
        <f>IF(AND(ISNUMBER($I154),OR($K154="Milestone",$K154="Deadline"),$I154&gt;=BP$4,$I154&lt;BP$4+7),IF($K154="Deadline","◇","◆"),"")</f>
        <v/>
      </c>
      <c r="BQ154" s="14" t="str">
        <f>IF(AND(ISNUMBER($I154),OR($K154="Milestone",$K154="Deadline"),$I154&gt;=BQ$4,$I154&lt;BQ$4+7),IF($K154="Deadline","◇","◆"),"")</f>
        <v/>
      </c>
      <c r="BR154" s="14" t="str">
        <f>IF(AND(ISNUMBER($I154),OR($K154="Milestone",$K154="Deadline"),$I154&gt;=BR$4,$I154&lt;BR$4+7),IF($K154="Deadline","◇","◆"),"")</f>
        <v/>
      </c>
      <c r="BS154" s="14" t="str">
        <f>IF(AND(ISNUMBER($I154),OR($K154="Milestone",$K154="Deadline"),$I154&gt;=BS$4,$I154&lt;BS$4+7),IF($K154="Deadline","◇","◆"),"")</f>
        <v/>
      </c>
      <c r="BT154" s="14" t="str">
        <f>IF(AND(ISNUMBER($I154),OR($K154="Milestone",$K154="Deadline"),$I154&gt;=BT$4,$I154&lt;BT$4+7),IF($K154="Deadline","◇","◆"),"")</f>
        <v/>
      </c>
      <c r="BU154" s="14" t="str">
        <f>IF(AND(ISNUMBER($I154),OR($K154="Milestone",$K154="Deadline"),$I154&gt;=BU$4,$I154&lt;BU$4+7),IF($K154="Deadline","◇","◆"),"")</f>
        <v/>
      </c>
      <c r="BV154" s="14" t="str">
        <f>IF(AND(ISNUMBER($I154),OR($K154="Milestone",$K154="Deadline"),$I154&gt;=BV$4,$I154&lt;BV$4+7),IF($K154="Deadline","◇","◆"),"")</f>
        <v/>
      </c>
      <c r="BW154" s="14" t="str">
        <f>IF(AND(ISNUMBER($I154),OR($K154="Milestone",$K154="Deadline"),$I154&gt;=BW$4,$I154&lt;BW$4+7),IF($K154="Deadline","◇","◆"),"")</f>
        <v/>
      </c>
      <c r="BX154" s="14" t="str">
        <f>IF(AND(ISNUMBER($I154),OR($K154="Milestone",$K154="Deadline"),$I154&gt;=BX$4,$I154&lt;BX$4+7),IF($K154="Deadline","◇","◆"),"")</f>
        <v/>
      </c>
      <c r="BY154" s="14" t="str">
        <f>IF(AND(ISNUMBER($I154),OR($K154="Milestone",$K154="Deadline"),$I154&gt;=BY$4,$I154&lt;BY$4+7),IF($K154="Deadline","◇","◆"),"")</f>
        <v/>
      </c>
      <c r="BZ154" s="14" t="str">
        <f>IF(AND(ISNUMBER($I154),OR($K154="Milestone",$K154="Deadline"),$I154&gt;=BZ$4,$I154&lt;BZ$4+7),IF($K154="Deadline","◇","◆"),"")</f>
        <v/>
      </c>
      <c r="CA154" s="14" t="str">
        <f>IF(AND(ISNUMBER($I154),OR($K154="Milestone",$K154="Deadline"),$I154&gt;=CA$4,$I154&lt;CA$4+7),IF($K154="Deadline","◇","◆"),"")</f>
        <v/>
      </c>
      <c r="CB154" s="14" t="str">
        <f>IF(AND(ISNUMBER($I154),OR($K154="Milestone",$K154="Deadline"),$I154&gt;=CB$4,$I154&lt;CB$4+7),IF($K154="Deadline","◇","◆"),"")</f>
        <v/>
      </c>
      <c r="CC154" s="14" t="str">
        <f>IF(AND(ISNUMBER($I154),OR($K154="Milestone",$K154="Deadline"),$I154&gt;=CC$4,$I154&lt;CC$4+7),IF($K154="Deadline","◇","◆"),"")</f>
        <v/>
      </c>
      <c r="CD154" s="14" t="str">
        <f>IF(AND(ISNUMBER($I154),OR($K154="Milestone",$K154="Deadline"),$I154&gt;=CD$4,$I154&lt;CD$4+7),IF($K154="Deadline","◇","◆"),"")</f>
        <v/>
      </c>
      <c r="CE154" s="14" t="str">
        <f>IF(AND(ISNUMBER($I154),OR($K154="Milestone",$K154="Deadline"),$I154&gt;=CE$4,$I154&lt;CE$4+7),IF($K154="Deadline","◇","◆"),"")</f>
        <v/>
      </c>
      <c r="CF154" s="14" t="str">
        <f>IF(AND(ISNUMBER($I154),OR($K154="Milestone",$K154="Deadline"),$I154&gt;=CF$4,$I154&lt;CF$4+7),IF($K154="Deadline","◇","◆"),"")</f>
        <v/>
      </c>
      <c r="CG154" s="14" t="str">
        <f>IF(AND(ISNUMBER($I154),OR($K154="Milestone",$K154="Deadline"),$I154&gt;=CG$4,$I154&lt;CG$4+7),IF($K154="Deadline","◇","◆"),"")</f>
        <v/>
      </c>
      <c r="CH154" s="14" t="str">
        <f>IF(AND(ISNUMBER($I154),OR($K154="Milestone",$K154="Deadline"),$I154&gt;=CH$4,$I154&lt;CH$4+7),IF($K154="Deadline","◇","◆"),"")</f>
        <v/>
      </c>
      <c r="CI154" s="14" t="str">
        <f>IF(AND(ISNUMBER($I154),OR($K154="Milestone",$K154="Deadline"),$I154&gt;=CI$4,$I154&lt;CI$4+7),IF($K154="Deadline","◇","◆"),"")</f>
        <v/>
      </c>
      <c r="CJ154" s="14" t="str">
        <f>IF(AND(ISNUMBER($I154),OR($K154="Milestone",$K154="Deadline"),$I154&gt;=CJ$4,$I154&lt;CJ$4+7),IF($K154="Deadline","◇","◆"),"")</f>
        <v/>
      </c>
      <c r="CK154" s="14" t="str">
        <f>IF(AND(ISNUMBER($I154),OR($K154="Milestone",$K154="Deadline"),$I154&gt;=CK$4,$I154&lt;CK$4+7),IF($K154="Deadline","◇","◆"),"")</f>
        <v/>
      </c>
      <c r="CL154" s="14" t="str">
        <f>IF(AND(ISNUMBER($I154),OR($K154="Milestone",$K154="Deadline"),$I154&gt;=CL$4,$I154&lt;CL$4+7),IF($K154="Deadline","◇","◆"),"")</f>
        <v/>
      </c>
      <c r="CM154" s="14" t="str">
        <f>IF(AND(ISNUMBER($I154),OR($K154="Milestone",$K154="Deadline"),$I154&gt;=CM$4,$I154&lt;CM$4+7),IF($K154="Deadline","◇","◆"),"")</f>
        <v/>
      </c>
    </row>
    <row r="155" spans="1:91" ht="15" hidden="1" customHeight="1">
      <c r="A155" s="35" t="s">
        <v>383</v>
      </c>
      <c r="B155" s="35" t="s">
        <v>347</v>
      </c>
      <c r="C155" s="35" t="s">
        <v>226</v>
      </c>
      <c r="D155" s="35" t="s">
        <v>348</v>
      </c>
      <c r="E155" s="35"/>
      <c r="F155" s="35" t="s">
        <v>216</v>
      </c>
      <c r="G155" s="35" t="s">
        <v>227</v>
      </c>
      <c r="H155" s="35">
        <v>7</v>
      </c>
      <c r="I155" s="36">
        <f>MAX($C$2,J115+1)</f>
        <v>46448</v>
      </c>
      <c r="J155" s="37">
        <f>IF(AND(ISNUMBER(I155),ISNUMBER(H155)),I155+H155-1,"")</f>
        <v>46454</v>
      </c>
      <c r="K155" s="35" t="s">
        <v>27</v>
      </c>
      <c r="L155" s="35"/>
      <c r="M155" s="38" t="s">
        <v>316</v>
      </c>
      <c r="N155" s="35"/>
      <c r="O155" s="38">
        <f>IF(AND(ISNUMBER(I155),ISNUMBER(J155)),J155-I155+1,"")</f>
        <v>7</v>
      </c>
      <c r="P155" s="13" t="s">
        <v>140</v>
      </c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4" t="str">
        <f>IF(AND(ISNUMBER($I155),OR($K155="Milestone",$K155="Deadline"),$I155&gt;=AO$4,$I155&lt;AO$4+7),IF($K155="Deadline","◇","◆"),"")</f>
        <v/>
      </c>
      <c r="AP155" s="14" t="str">
        <f>IF(AND(ISNUMBER($I155),OR($K155="Milestone",$K155="Deadline"),$I155&gt;=AP$4,$I155&lt;AP$4+7),IF($K155="Deadline","◇","◆"),"")</f>
        <v/>
      </c>
      <c r="AQ155" s="14" t="str">
        <f>IF(AND(ISNUMBER($I155),OR($K155="Milestone",$K155="Deadline"),$I155&gt;=AQ$4,$I155&lt;AQ$4+7),IF($K155="Deadline","◇","◆"),"")</f>
        <v/>
      </c>
      <c r="AR155" s="14" t="str">
        <f>IF(AND(ISNUMBER($I155),OR($K155="Milestone",$K155="Deadline"),$I155&gt;=AR$4,$I155&lt;AR$4+7),IF($K155="Deadline","◇","◆"),"")</f>
        <v/>
      </c>
      <c r="AS155" s="14" t="str">
        <f>IF(AND(ISNUMBER($I155),OR($K155="Milestone",$K155="Deadline"),$I155&gt;=AS$4,$I155&lt;AS$4+7),IF($K155="Deadline","◇","◆"),"")</f>
        <v/>
      </c>
      <c r="AT155" s="14" t="str">
        <f>IF(AND(ISNUMBER($I155),OR($K155="Milestone",$K155="Deadline"),$I155&gt;=AT$4,$I155&lt;AT$4+7),IF($K155="Deadline","◇","◆"),"")</f>
        <v/>
      </c>
      <c r="AU155" s="14" t="str">
        <f>IF(AND(ISNUMBER($I155),OR($K155="Milestone",$K155="Deadline"),$I155&gt;=AU$4,$I155&lt;AU$4+7),IF($K155="Deadline","◇","◆"),"")</f>
        <v/>
      </c>
      <c r="AV155" s="14" t="str">
        <f>IF(AND(ISNUMBER($I155),OR($K155="Milestone",$K155="Deadline"),$I155&gt;=AV$4,$I155&lt;AV$4+7),IF($K155="Deadline","◇","◆"),"")</f>
        <v/>
      </c>
      <c r="AW155" s="14" t="str">
        <f>IF(AND(ISNUMBER($I155),OR($K155="Milestone",$K155="Deadline"),$I155&gt;=AW$4,$I155&lt;AW$4+7),IF($K155="Deadline","◇","◆"),"")</f>
        <v/>
      </c>
      <c r="AX155" s="14" t="str">
        <f>IF(AND(ISNUMBER($I155),OR($K155="Milestone",$K155="Deadline"),$I155&gt;=AX$4,$I155&lt;AX$4+7),IF($K155="Deadline","◇","◆"),"")</f>
        <v/>
      </c>
      <c r="AY155" s="14" t="str">
        <f>IF(AND(ISNUMBER($I155),OR($K155="Milestone",$K155="Deadline"),$I155&gt;=AY$4,$I155&lt;AY$4+7),IF($K155="Deadline","◇","◆"),"")</f>
        <v/>
      </c>
      <c r="AZ155" s="14" t="str">
        <f>IF(AND(ISNUMBER($I155),OR($K155="Milestone",$K155="Deadline"),$I155&gt;=AZ$4,$I155&lt;AZ$4+7),IF($K155="Deadline","◇","◆"),"")</f>
        <v/>
      </c>
      <c r="BA155" s="14" t="str">
        <f>IF(AND(ISNUMBER($I155),OR($K155="Milestone",$K155="Deadline"),$I155&gt;=BA$4,$I155&lt;BA$4+7),IF($K155="Deadline","◇","◆"),"")</f>
        <v/>
      </c>
      <c r="BB155" s="14" t="str">
        <f>IF(AND(ISNUMBER($I155),OR($K155="Milestone",$K155="Deadline"),$I155&gt;=BB$4,$I155&lt;BB$4+7),IF($K155="Deadline","◇","◆"),"")</f>
        <v/>
      </c>
      <c r="BC155" s="14" t="str">
        <f>IF(AND(ISNUMBER($I155),OR($K155="Milestone",$K155="Deadline"),$I155&gt;=BC$4,$I155&lt;BC$4+7),IF($K155="Deadline","◇","◆"),"")</f>
        <v/>
      </c>
      <c r="BD155" s="14" t="str">
        <f>IF(AND(ISNUMBER($I155),OR($K155="Milestone",$K155="Deadline"),$I155&gt;=BD$4,$I155&lt;BD$4+7),IF($K155="Deadline","◇","◆"),"")</f>
        <v/>
      </c>
      <c r="BE155" s="14" t="str">
        <f>IF(AND(ISNUMBER($I155),OR($K155="Milestone",$K155="Deadline"),$I155&gt;=BE$4,$I155&lt;BE$4+7),IF($K155="Deadline","◇","◆"),"")</f>
        <v/>
      </c>
      <c r="BF155" s="14" t="str">
        <f>IF(AND(ISNUMBER($I155),OR($K155="Milestone",$K155="Deadline"),$I155&gt;=BF$4,$I155&lt;BF$4+7),IF($K155="Deadline","◇","◆"),"")</f>
        <v/>
      </c>
      <c r="BG155" s="14" t="str">
        <f>IF(AND(ISNUMBER($I155),OR($K155="Milestone",$K155="Deadline"),$I155&gt;=BG$4,$I155&lt;BG$4+7),IF($K155="Deadline","◇","◆"),"")</f>
        <v/>
      </c>
      <c r="BH155" s="14" t="str">
        <f>IF(AND(ISNUMBER($I155),OR($K155="Milestone",$K155="Deadline"),$I155&gt;=BH$4,$I155&lt;BH$4+7),IF($K155="Deadline","◇","◆"),"")</f>
        <v/>
      </c>
      <c r="BI155" s="14" t="str">
        <f>IF(AND(ISNUMBER($I155),OR($K155="Milestone",$K155="Deadline"),$I155&gt;=BI$4,$I155&lt;BI$4+7),IF($K155="Deadline","◇","◆"),"")</f>
        <v/>
      </c>
      <c r="BJ155" s="14" t="str">
        <f>IF(AND(ISNUMBER($I155),OR($K155="Milestone",$K155="Deadline"),$I155&gt;=BJ$4,$I155&lt;BJ$4+7),IF($K155="Deadline","◇","◆"),"")</f>
        <v/>
      </c>
      <c r="BK155" s="14" t="str">
        <f>IF(AND(ISNUMBER($I155),OR($K155="Milestone",$K155="Deadline"),$I155&gt;=BK$4,$I155&lt;BK$4+7),IF($K155="Deadline","◇","◆"),"")</f>
        <v/>
      </c>
      <c r="BL155" s="14" t="str">
        <f>IF(AND(ISNUMBER($I155),OR($K155="Milestone",$K155="Deadline"),$I155&gt;=BL$4,$I155&lt;BL$4+7),IF($K155="Deadline","◇","◆"),"")</f>
        <v/>
      </c>
      <c r="BM155" s="14" t="str">
        <f>IF(AND(ISNUMBER($I155),OR($K155="Milestone",$K155="Deadline"),$I155&gt;=BM$4,$I155&lt;BM$4+7),IF($K155="Deadline","◇","◆"),"")</f>
        <v/>
      </c>
      <c r="BN155" s="14" t="str">
        <f>IF(AND(ISNUMBER($I155),OR($K155="Milestone",$K155="Deadline"),$I155&gt;=BN$4,$I155&lt;BN$4+7),IF($K155="Deadline","◇","◆"),"")</f>
        <v/>
      </c>
      <c r="BO155" s="14" t="str">
        <f>IF(AND(ISNUMBER($I155),OR($K155="Milestone",$K155="Deadline"),$I155&gt;=BO$4,$I155&lt;BO$4+7),IF($K155="Deadline","◇","◆"),"")</f>
        <v/>
      </c>
      <c r="BP155" s="14" t="str">
        <f>IF(AND(ISNUMBER($I155),OR($K155="Milestone",$K155="Deadline"),$I155&gt;=BP$4,$I155&lt;BP$4+7),IF($K155="Deadline","◇","◆"),"")</f>
        <v/>
      </c>
      <c r="BQ155" s="14" t="str">
        <f>IF(AND(ISNUMBER($I155),OR($K155="Milestone",$K155="Deadline"),$I155&gt;=BQ$4,$I155&lt;BQ$4+7),IF($K155="Deadline","◇","◆"),"")</f>
        <v/>
      </c>
      <c r="BR155" s="14" t="str">
        <f>IF(AND(ISNUMBER($I155),OR($K155="Milestone",$K155="Deadline"),$I155&gt;=BR$4,$I155&lt;BR$4+7),IF($K155="Deadline","◇","◆"),"")</f>
        <v/>
      </c>
      <c r="BS155" s="14" t="str">
        <f>IF(AND(ISNUMBER($I155),OR($K155="Milestone",$K155="Deadline"),$I155&gt;=BS$4,$I155&lt;BS$4+7),IF($K155="Deadline","◇","◆"),"")</f>
        <v/>
      </c>
      <c r="BT155" s="14" t="str">
        <f>IF(AND(ISNUMBER($I155),OR($K155="Milestone",$K155="Deadline"),$I155&gt;=BT$4,$I155&lt;BT$4+7),IF($K155="Deadline","◇","◆"),"")</f>
        <v/>
      </c>
      <c r="BU155" s="14" t="str">
        <f>IF(AND(ISNUMBER($I155),OR($K155="Milestone",$K155="Deadline"),$I155&gt;=BU$4,$I155&lt;BU$4+7),IF($K155="Deadline","◇","◆"),"")</f>
        <v/>
      </c>
      <c r="BV155" s="14" t="str">
        <f>IF(AND(ISNUMBER($I155),OR($K155="Milestone",$K155="Deadline"),$I155&gt;=BV$4,$I155&lt;BV$4+7),IF($K155="Deadline","◇","◆"),"")</f>
        <v/>
      </c>
      <c r="BW155" s="14" t="str">
        <f>IF(AND(ISNUMBER($I155),OR($K155="Milestone",$K155="Deadline"),$I155&gt;=BW$4,$I155&lt;BW$4+7),IF($K155="Deadline","◇","◆"),"")</f>
        <v/>
      </c>
      <c r="BX155" s="14" t="str">
        <f>IF(AND(ISNUMBER($I155),OR($K155="Milestone",$K155="Deadline"),$I155&gt;=BX$4,$I155&lt;BX$4+7),IF($K155="Deadline","◇","◆"),"")</f>
        <v/>
      </c>
      <c r="BY155" s="14" t="str">
        <f>IF(AND(ISNUMBER($I155),OR($K155="Milestone",$K155="Deadline"),$I155&gt;=BY$4,$I155&lt;BY$4+7),IF($K155="Deadline","◇","◆"),"")</f>
        <v/>
      </c>
      <c r="BZ155" s="14" t="str">
        <f>IF(AND(ISNUMBER($I155),OR($K155="Milestone",$K155="Deadline"),$I155&gt;=BZ$4,$I155&lt;BZ$4+7),IF($K155="Deadline","◇","◆"),"")</f>
        <v/>
      </c>
      <c r="CA155" s="14" t="str">
        <f>IF(AND(ISNUMBER($I155),OR($K155="Milestone",$K155="Deadline"),$I155&gt;=CA$4,$I155&lt;CA$4+7),IF($K155="Deadline","◇","◆"),"")</f>
        <v/>
      </c>
      <c r="CB155" s="14" t="str">
        <f>IF(AND(ISNUMBER($I155),OR($K155="Milestone",$K155="Deadline"),$I155&gt;=CB$4,$I155&lt;CB$4+7),IF($K155="Deadline","◇","◆"),"")</f>
        <v/>
      </c>
      <c r="CC155" s="14" t="str">
        <f>IF(AND(ISNUMBER($I155),OR($K155="Milestone",$K155="Deadline"),$I155&gt;=CC$4,$I155&lt;CC$4+7),IF($K155="Deadline","◇","◆"),"")</f>
        <v/>
      </c>
      <c r="CD155" s="14" t="str">
        <f>IF(AND(ISNUMBER($I155),OR($K155="Milestone",$K155="Deadline"),$I155&gt;=CD$4,$I155&lt;CD$4+7),IF($K155="Deadline","◇","◆"),"")</f>
        <v/>
      </c>
      <c r="CE155" s="14" t="str">
        <f>IF(AND(ISNUMBER($I155),OR($K155="Milestone",$K155="Deadline"),$I155&gt;=CE$4,$I155&lt;CE$4+7),IF($K155="Deadline","◇","◆"),"")</f>
        <v/>
      </c>
      <c r="CF155" s="14" t="str">
        <f>IF(AND(ISNUMBER($I155),OR($K155="Milestone",$K155="Deadline"),$I155&gt;=CF$4,$I155&lt;CF$4+7),IF($K155="Deadline","◇","◆"),"")</f>
        <v/>
      </c>
      <c r="CG155" s="14" t="str">
        <f>IF(AND(ISNUMBER($I155),OR($K155="Milestone",$K155="Deadline"),$I155&gt;=CG$4,$I155&lt;CG$4+7),IF($K155="Deadline","◇","◆"),"")</f>
        <v/>
      </c>
      <c r="CH155" s="14" t="str">
        <f>IF(AND(ISNUMBER($I155),OR($K155="Milestone",$K155="Deadline"),$I155&gt;=CH$4,$I155&lt;CH$4+7),IF($K155="Deadline","◇","◆"),"")</f>
        <v/>
      </c>
      <c r="CI155" s="14" t="str">
        <f>IF(AND(ISNUMBER($I155),OR($K155="Milestone",$K155="Deadline"),$I155&gt;=CI$4,$I155&lt;CI$4+7),IF($K155="Deadline","◇","◆"),"")</f>
        <v/>
      </c>
      <c r="CJ155" s="14" t="str">
        <f>IF(AND(ISNUMBER($I155),OR($K155="Milestone",$K155="Deadline"),$I155&gt;=CJ$4,$I155&lt;CJ$4+7),IF($K155="Deadline","◇","◆"),"")</f>
        <v/>
      </c>
      <c r="CK155" s="14" t="str">
        <f>IF(AND(ISNUMBER($I155),OR($K155="Milestone",$K155="Deadline"),$I155&gt;=CK$4,$I155&lt;CK$4+7),IF($K155="Deadline","◇","◆"),"")</f>
        <v/>
      </c>
      <c r="CL155" s="14" t="str">
        <f>IF(AND(ISNUMBER($I155),OR($K155="Milestone",$K155="Deadline"),$I155&gt;=CL$4,$I155&lt;CL$4+7),IF($K155="Deadline","◇","◆"),"")</f>
        <v/>
      </c>
      <c r="CM155" s="14" t="str">
        <f>IF(AND(ISNUMBER($I155),OR($K155="Milestone",$K155="Deadline"),$I155&gt;=CM$4,$I155&lt;CM$4+7),IF($K155="Deadline","◇","◆"),"")</f>
        <v/>
      </c>
    </row>
    <row r="156" spans="1:91" ht="15" hidden="1" customHeight="1">
      <c r="A156" s="35" t="s">
        <v>384</v>
      </c>
      <c r="B156" s="35" t="s">
        <v>347</v>
      </c>
      <c r="C156" s="35" t="s">
        <v>230</v>
      </c>
      <c r="D156" s="35" t="s">
        <v>348</v>
      </c>
      <c r="E156" s="35"/>
      <c r="F156" s="35" t="s">
        <v>216</v>
      </c>
      <c r="G156" s="35" t="s">
        <v>231</v>
      </c>
      <c r="H156" s="35">
        <v>14</v>
      </c>
      <c r="I156" s="36">
        <f>MAX(DATE(2027,3,8),J134+1)</f>
        <v>46482</v>
      </c>
      <c r="J156" s="37">
        <f>IF(AND(ISNUMBER(I156),ISNUMBER(H156)),I156+H156-1,"")</f>
        <v>46495</v>
      </c>
      <c r="K156" s="35" t="s">
        <v>27</v>
      </c>
      <c r="L156" s="35"/>
      <c r="M156" s="38" t="s">
        <v>345</v>
      </c>
      <c r="N156" s="35"/>
      <c r="O156" s="38">
        <f>IF(AND(ISNUMBER(I156),ISNUMBER(J156)),J156-I156+1,"")</f>
        <v>14</v>
      </c>
      <c r="P156" s="13"/>
      <c r="Q156" s="13"/>
      <c r="R156" s="13"/>
      <c r="S156" s="13" t="s">
        <v>140</v>
      </c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4" t="str">
        <f>IF(AND(ISNUMBER($I156),OR($K156="Milestone",$K156="Deadline"),$I156&gt;=AO$4,$I156&lt;AO$4+7),IF($K156="Deadline","◇","◆"),"")</f>
        <v/>
      </c>
      <c r="AP156" s="14" t="str">
        <f>IF(AND(ISNUMBER($I156),OR($K156="Milestone",$K156="Deadline"),$I156&gt;=AP$4,$I156&lt;AP$4+7),IF($K156="Deadline","◇","◆"),"")</f>
        <v/>
      </c>
      <c r="AQ156" s="14" t="str">
        <f>IF(AND(ISNUMBER($I156),OR($K156="Milestone",$K156="Deadline"),$I156&gt;=AQ$4,$I156&lt;AQ$4+7),IF($K156="Deadline","◇","◆"),"")</f>
        <v/>
      </c>
      <c r="AR156" s="14" t="str">
        <f>IF(AND(ISNUMBER($I156),OR($K156="Milestone",$K156="Deadline"),$I156&gt;=AR$4,$I156&lt;AR$4+7),IF($K156="Deadline","◇","◆"),"")</f>
        <v/>
      </c>
      <c r="AS156" s="14" t="str">
        <f>IF(AND(ISNUMBER($I156),OR($K156="Milestone",$K156="Deadline"),$I156&gt;=AS$4,$I156&lt;AS$4+7),IF($K156="Deadline","◇","◆"),"")</f>
        <v/>
      </c>
      <c r="AT156" s="14" t="str">
        <f>IF(AND(ISNUMBER($I156),OR($K156="Milestone",$K156="Deadline"),$I156&gt;=AT$4,$I156&lt;AT$4+7),IF($K156="Deadline","◇","◆"),"")</f>
        <v/>
      </c>
      <c r="AU156" s="14" t="str">
        <f>IF(AND(ISNUMBER($I156),OR($K156="Milestone",$K156="Deadline"),$I156&gt;=AU$4,$I156&lt;AU$4+7),IF($K156="Deadline","◇","◆"),"")</f>
        <v/>
      </c>
      <c r="AV156" s="14" t="str">
        <f>IF(AND(ISNUMBER($I156),OR($K156="Milestone",$K156="Deadline"),$I156&gt;=AV$4,$I156&lt;AV$4+7),IF($K156="Deadline","◇","◆"),"")</f>
        <v/>
      </c>
      <c r="AW156" s="14" t="str">
        <f>IF(AND(ISNUMBER($I156),OR($K156="Milestone",$K156="Deadline"),$I156&gt;=AW$4,$I156&lt;AW$4+7),IF($K156="Deadline","◇","◆"),"")</f>
        <v/>
      </c>
      <c r="AX156" s="14" t="str">
        <f>IF(AND(ISNUMBER($I156),OR($K156="Milestone",$K156="Deadline"),$I156&gt;=AX$4,$I156&lt;AX$4+7),IF($K156="Deadline","◇","◆"),"")</f>
        <v/>
      </c>
      <c r="AY156" s="14" t="str">
        <f>IF(AND(ISNUMBER($I156),OR($K156="Milestone",$K156="Deadline"),$I156&gt;=AY$4,$I156&lt;AY$4+7),IF($K156="Deadline","◇","◆"),"")</f>
        <v/>
      </c>
      <c r="AZ156" s="14" t="str">
        <f>IF(AND(ISNUMBER($I156),OR($K156="Milestone",$K156="Deadline"),$I156&gt;=AZ$4,$I156&lt;AZ$4+7),IF($K156="Deadline","◇","◆"),"")</f>
        <v/>
      </c>
      <c r="BA156" s="14" t="str">
        <f>IF(AND(ISNUMBER($I156),OR($K156="Milestone",$K156="Deadline"),$I156&gt;=BA$4,$I156&lt;BA$4+7),IF($K156="Deadline","◇","◆"),"")</f>
        <v/>
      </c>
      <c r="BB156" s="14" t="str">
        <f>IF(AND(ISNUMBER($I156),OR($K156="Milestone",$K156="Deadline"),$I156&gt;=BB$4,$I156&lt;BB$4+7),IF($K156="Deadline","◇","◆"),"")</f>
        <v/>
      </c>
      <c r="BC156" s="14" t="str">
        <f>IF(AND(ISNUMBER($I156),OR($K156="Milestone",$K156="Deadline"),$I156&gt;=BC$4,$I156&lt;BC$4+7),IF($K156="Deadline","◇","◆"),"")</f>
        <v/>
      </c>
      <c r="BD156" s="14" t="str">
        <f>IF(AND(ISNUMBER($I156),OR($K156="Milestone",$K156="Deadline"),$I156&gt;=BD$4,$I156&lt;BD$4+7),IF($K156="Deadline","◇","◆"),"")</f>
        <v/>
      </c>
      <c r="BE156" s="14" t="str">
        <f>IF(AND(ISNUMBER($I156),OR($K156="Milestone",$K156="Deadline"),$I156&gt;=BE$4,$I156&lt;BE$4+7),IF($K156="Deadline","◇","◆"),"")</f>
        <v/>
      </c>
      <c r="BF156" s="14" t="str">
        <f>IF(AND(ISNUMBER($I156),OR($K156="Milestone",$K156="Deadline"),$I156&gt;=BF$4,$I156&lt;BF$4+7),IF($K156="Deadline","◇","◆"),"")</f>
        <v/>
      </c>
      <c r="BG156" s="14" t="str">
        <f>IF(AND(ISNUMBER($I156),OR($K156="Milestone",$K156="Deadline"),$I156&gt;=BG$4,$I156&lt;BG$4+7),IF($K156="Deadline","◇","◆"),"")</f>
        <v/>
      </c>
      <c r="BH156" s="14" t="str">
        <f>IF(AND(ISNUMBER($I156),OR($K156="Milestone",$K156="Deadline"),$I156&gt;=BH$4,$I156&lt;BH$4+7),IF($K156="Deadline","◇","◆"),"")</f>
        <v/>
      </c>
      <c r="BI156" s="14" t="str">
        <f>IF(AND(ISNUMBER($I156),OR($K156="Milestone",$K156="Deadline"),$I156&gt;=BI$4,$I156&lt;BI$4+7),IF($K156="Deadline","◇","◆"),"")</f>
        <v/>
      </c>
      <c r="BJ156" s="14" t="str">
        <f>IF(AND(ISNUMBER($I156),OR($K156="Milestone",$K156="Deadline"),$I156&gt;=BJ$4,$I156&lt;BJ$4+7),IF($K156="Deadline","◇","◆"),"")</f>
        <v/>
      </c>
      <c r="BK156" s="14" t="str">
        <f>IF(AND(ISNUMBER($I156),OR($K156="Milestone",$K156="Deadline"),$I156&gt;=BK$4,$I156&lt;BK$4+7),IF($K156="Deadline","◇","◆"),"")</f>
        <v/>
      </c>
      <c r="BL156" s="14" t="str">
        <f>IF(AND(ISNUMBER($I156),OR($K156="Milestone",$K156="Deadline"),$I156&gt;=BL$4,$I156&lt;BL$4+7),IF($K156="Deadline","◇","◆"),"")</f>
        <v/>
      </c>
      <c r="BM156" s="14" t="str">
        <f>IF(AND(ISNUMBER($I156),OR($K156="Milestone",$K156="Deadline"),$I156&gt;=BM$4,$I156&lt;BM$4+7),IF($K156="Deadline","◇","◆"),"")</f>
        <v/>
      </c>
      <c r="BN156" s="14" t="str">
        <f>IF(AND(ISNUMBER($I156),OR($K156="Milestone",$K156="Deadline"),$I156&gt;=BN$4,$I156&lt;BN$4+7),IF($K156="Deadline","◇","◆"),"")</f>
        <v/>
      </c>
      <c r="BO156" s="14" t="str">
        <f>IF(AND(ISNUMBER($I156),OR($K156="Milestone",$K156="Deadline"),$I156&gt;=BO$4,$I156&lt;BO$4+7),IF($K156="Deadline","◇","◆"),"")</f>
        <v/>
      </c>
      <c r="BP156" s="14" t="str">
        <f>IF(AND(ISNUMBER($I156),OR($K156="Milestone",$K156="Deadline"),$I156&gt;=BP$4,$I156&lt;BP$4+7),IF($K156="Deadline","◇","◆"),"")</f>
        <v/>
      </c>
      <c r="BQ156" s="14" t="str">
        <f>IF(AND(ISNUMBER($I156),OR($K156="Milestone",$K156="Deadline"),$I156&gt;=BQ$4,$I156&lt;BQ$4+7),IF($K156="Deadline","◇","◆"),"")</f>
        <v/>
      </c>
      <c r="BR156" s="14" t="str">
        <f>IF(AND(ISNUMBER($I156),OR($K156="Milestone",$K156="Deadline"),$I156&gt;=BR$4,$I156&lt;BR$4+7),IF($K156="Deadline","◇","◆"),"")</f>
        <v/>
      </c>
      <c r="BS156" s="14" t="str">
        <f>IF(AND(ISNUMBER($I156),OR($K156="Milestone",$K156="Deadline"),$I156&gt;=BS$4,$I156&lt;BS$4+7),IF($K156="Deadline","◇","◆"),"")</f>
        <v/>
      </c>
      <c r="BT156" s="14" t="str">
        <f>IF(AND(ISNUMBER($I156),OR($K156="Milestone",$K156="Deadline"),$I156&gt;=BT$4,$I156&lt;BT$4+7),IF($K156="Deadline","◇","◆"),"")</f>
        <v/>
      </c>
      <c r="BU156" s="14" t="str">
        <f>IF(AND(ISNUMBER($I156),OR($K156="Milestone",$K156="Deadline"),$I156&gt;=BU$4,$I156&lt;BU$4+7),IF($K156="Deadline","◇","◆"),"")</f>
        <v/>
      </c>
      <c r="BV156" s="14" t="str">
        <f>IF(AND(ISNUMBER($I156),OR($K156="Milestone",$K156="Deadline"),$I156&gt;=BV$4,$I156&lt;BV$4+7),IF($K156="Deadline","◇","◆"),"")</f>
        <v/>
      </c>
      <c r="BW156" s="14" t="str">
        <f>IF(AND(ISNUMBER($I156),OR($K156="Milestone",$K156="Deadline"),$I156&gt;=BW$4,$I156&lt;BW$4+7),IF($K156="Deadline","◇","◆"),"")</f>
        <v/>
      </c>
      <c r="BX156" s="14" t="str">
        <f>IF(AND(ISNUMBER($I156),OR($K156="Milestone",$K156="Deadline"),$I156&gt;=BX$4,$I156&lt;BX$4+7),IF($K156="Deadline","◇","◆"),"")</f>
        <v/>
      </c>
      <c r="BY156" s="14" t="str">
        <f>IF(AND(ISNUMBER($I156),OR($K156="Milestone",$K156="Deadline"),$I156&gt;=BY$4,$I156&lt;BY$4+7),IF($K156="Deadline","◇","◆"),"")</f>
        <v/>
      </c>
      <c r="BZ156" s="14" t="str">
        <f>IF(AND(ISNUMBER($I156),OR($K156="Milestone",$K156="Deadline"),$I156&gt;=BZ$4,$I156&lt;BZ$4+7),IF($K156="Deadline","◇","◆"),"")</f>
        <v/>
      </c>
      <c r="CA156" s="14" t="str">
        <f>IF(AND(ISNUMBER($I156),OR($K156="Milestone",$K156="Deadline"),$I156&gt;=CA$4,$I156&lt;CA$4+7),IF($K156="Deadline","◇","◆"),"")</f>
        <v/>
      </c>
      <c r="CB156" s="14" t="str">
        <f>IF(AND(ISNUMBER($I156),OR($K156="Milestone",$K156="Deadline"),$I156&gt;=CB$4,$I156&lt;CB$4+7),IF($K156="Deadline","◇","◆"),"")</f>
        <v/>
      </c>
      <c r="CC156" s="14" t="str">
        <f>IF(AND(ISNUMBER($I156),OR($K156="Milestone",$K156="Deadline"),$I156&gt;=CC$4,$I156&lt;CC$4+7),IF($K156="Deadline","◇","◆"),"")</f>
        <v/>
      </c>
      <c r="CD156" s="14" t="str">
        <f>IF(AND(ISNUMBER($I156),OR($K156="Milestone",$K156="Deadline"),$I156&gt;=CD$4,$I156&lt;CD$4+7),IF($K156="Deadline","◇","◆"),"")</f>
        <v/>
      </c>
      <c r="CE156" s="14" t="str">
        <f>IF(AND(ISNUMBER($I156),OR($K156="Milestone",$K156="Deadline"),$I156&gt;=CE$4,$I156&lt;CE$4+7),IF($K156="Deadline","◇","◆"),"")</f>
        <v/>
      </c>
      <c r="CF156" s="14" t="str">
        <f>IF(AND(ISNUMBER($I156),OR($K156="Milestone",$K156="Deadline"),$I156&gt;=CF$4,$I156&lt;CF$4+7),IF($K156="Deadline","◇","◆"),"")</f>
        <v/>
      </c>
      <c r="CG156" s="14" t="str">
        <f>IF(AND(ISNUMBER($I156),OR($K156="Milestone",$K156="Deadline"),$I156&gt;=CG$4,$I156&lt;CG$4+7),IF($K156="Deadline","◇","◆"),"")</f>
        <v/>
      </c>
      <c r="CH156" s="14" t="str">
        <f>IF(AND(ISNUMBER($I156),OR($K156="Milestone",$K156="Deadline"),$I156&gt;=CH$4,$I156&lt;CH$4+7),IF($K156="Deadline","◇","◆"),"")</f>
        <v/>
      </c>
      <c r="CI156" s="14" t="str">
        <f>IF(AND(ISNUMBER($I156),OR($K156="Milestone",$K156="Deadline"),$I156&gt;=CI$4,$I156&lt;CI$4+7),IF($K156="Deadline","◇","◆"),"")</f>
        <v/>
      </c>
      <c r="CJ156" s="14" t="str">
        <f>IF(AND(ISNUMBER($I156),OR($K156="Milestone",$K156="Deadline"),$I156&gt;=CJ$4,$I156&lt;CJ$4+7),IF($K156="Deadline","◇","◆"),"")</f>
        <v/>
      </c>
      <c r="CK156" s="14" t="str">
        <f>IF(AND(ISNUMBER($I156),OR($K156="Milestone",$K156="Deadline"),$I156&gt;=CK$4,$I156&lt;CK$4+7),IF($K156="Deadline","◇","◆"),"")</f>
        <v/>
      </c>
      <c r="CL156" s="14" t="str">
        <f>IF(AND(ISNUMBER($I156),OR($K156="Milestone",$K156="Deadline"),$I156&gt;=CL$4,$I156&lt;CL$4+7),IF($K156="Deadline","◇","◆"),"")</f>
        <v/>
      </c>
      <c r="CM156" s="14" t="str">
        <f>IF(AND(ISNUMBER($I156),OR($K156="Milestone",$K156="Deadline"),$I156&gt;=CM$4,$I156&lt;CM$4+7),IF($K156="Deadline","◇","◆"),"")</f>
        <v/>
      </c>
    </row>
    <row r="157" spans="1:91" ht="15" hidden="1" customHeight="1">
      <c r="A157" s="39" t="s">
        <v>385</v>
      </c>
      <c r="B157" s="39" t="s">
        <v>386</v>
      </c>
      <c r="C157" s="39" t="s">
        <v>93</v>
      </c>
      <c r="D157" s="39" t="s">
        <v>348</v>
      </c>
      <c r="E157" s="39" t="s">
        <v>281</v>
      </c>
      <c r="F157" s="39" t="s">
        <v>216</v>
      </c>
      <c r="G157" s="39" t="s">
        <v>387</v>
      </c>
      <c r="H157" s="39">
        <v>7</v>
      </c>
      <c r="I157" s="40">
        <f>MAX($C$2,J158+1)</f>
        <v>46344</v>
      </c>
      <c r="J157" s="41">
        <f>IF(AND(ISNUMBER(I157),ISNUMBER(H157)),I157+H157-1,"")</f>
        <v>46350</v>
      </c>
      <c r="K157" s="39" t="s">
        <v>27</v>
      </c>
      <c r="L157" s="39" t="s">
        <v>357</v>
      </c>
      <c r="M157" s="42"/>
      <c r="N157" s="39"/>
      <c r="O157" s="42">
        <f>IF(AND(ISNUMBER(I157),ISNUMBER(J157)),J157-I157+1,"")</f>
        <v>7</v>
      </c>
      <c r="P157" s="13"/>
      <c r="Q157" s="13"/>
      <c r="R157" s="13"/>
      <c r="S157" s="13"/>
      <c r="T157" s="13"/>
      <c r="U157" s="13"/>
      <c r="V157" s="13"/>
      <c r="W157" s="13" t="s">
        <v>140</v>
      </c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4" t="str">
        <f>IF(AND(ISNUMBER($I157),OR($K157="Milestone",$K157="Deadline"),$I157&gt;=AO$4,$I157&lt;AO$4+7),IF($K157="Deadline","◇","◆"),"")</f>
        <v/>
      </c>
      <c r="AP157" s="14" t="str">
        <f>IF(AND(ISNUMBER($I157),OR($K157="Milestone",$K157="Deadline"),$I157&gt;=AP$4,$I157&lt;AP$4+7),IF($K157="Deadline","◇","◆"),"")</f>
        <v/>
      </c>
      <c r="AQ157" s="14" t="str">
        <f>IF(AND(ISNUMBER($I157),OR($K157="Milestone",$K157="Deadline"),$I157&gt;=AQ$4,$I157&lt;AQ$4+7),IF($K157="Deadline","◇","◆"),"")</f>
        <v/>
      </c>
      <c r="AR157" s="14" t="str">
        <f>IF(AND(ISNUMBER($I157),OR($K157="Milestone",$K157="Deadline"),$I157&gt;=AR$4,$I157&lt;AR$4+7),IF($K157="Deadline","◇","◆"),"")</f>
        <v/>
      </c>
      <c r="AS157" s="14" t="str">
        <f>IF(AND(ISNUMBER($I157),OR($K157="Milestone",$K157="Deadline"),$I157&gt;=AS$4,$I157&lt;AS$4+7),IF($K157="Deadline","◇","◆"),"")</f>
        <v/>
      </c>
      <c r="AT157" s="14" t="str">
        <f>IF(AND(ISNUMBER($I157),OR($K157="Milestone",$K157="Deadline"),$I157&gt;=AT$4,$I157&lt;AT$4+7),IF($K157="Deadline","◇","◆"),"")</f>
        <v/>
      </c>
      <c r="AU157" s="14" t="str">
        <f>IF(AND(ISNUMBER($I157),OR($K157="Milestone",$K157="Deadline"),$I157&gt;=AU$4,$I157&lt;AU$4+7),IF($K157="Deadline","◇","◆"),"")</f>
        <v/>
      </c>
      <c r="AV157" s="14" t="str">
        <f>IF(AND(ISNUMBER($I157),OR($K157="Milestone",$K157="Deadline"),$I157&gt;=AV$4,$I157&lt;AV$4+7),IF($K157="Deadline","◇","◆"),"")</f>
        <v/>
      </c>
      <c r="AW157" s="14" t="str">
        <f>IF(AND(ISNUMBER($I157),OR($K157="Milestone",$K157="Deadline"),$I157&gt;=AW$4,$I157&lt;AW$4+7),IF($K157="Deadline","◇","◆"),"")</f>
        <v/>
      </c>
      <c r="AX157" s="14" t="str">
        <f>IF(AND(ISNUMBER($I157),OR($K157="Milestone",$K157="Deadline"),$I157&gt;=AX$4,$I157&lt;AX$4+7),IF($K157="Deadline","◇","◆"),"")</f>
        <v/>
      </c>
      <c r="AY157" s="14" t="str">
        <f>IF(AND(ISNUMBER($I157),OR($K157="Milestone",$K157="Deadline"),$I157&gt;=AY$4,$I157&lt;AY$4+7),IF($K157="Deadline","◇","◆"),"")</f>
        <v/>
      </c>
      <c r="AZ157" s="14" t="str">
        <f>IF(AND(ISNUMBER($I157),OR($K157="Milestone",$K157="Deadline"),$I157&gt;=AZ$4,$I157&lt;AZ$4+7),IF($K157="Deadline","◇","◆"),"")</f>
        <v/>
      </c>
      <c r="BA157" s="14" t="str">
        <f>IF(AND(ISNUMBER($I157),OR($K157="Milestone",$K157="Deadline"),$I157&gt;=BA$4,$I157&lt;BA$4+7),IF($K157="Deadline","◇","◆"),"")</f>
        <v/>
      </c>
      <c r="BB157" s="14" t="str">
        <f>IF(AND(ISNUMBER($I157),OR($K157="Milestone",$K157="Deadline"),$I157&gt;=BB$4,$I157&lt;BB$4+7),IF($K157="Deadline","◇","◆"),"")</f>
        <v/>
      </c>
      <c r="BC157" s="14" t="str">
        <f>IF(AND(ISNUMBER($I157),OR($K157="Milestone",$K157="Deadline"),$I157&gt;=BC$4,$I157&lt;BC$4+7),IF($K157="Deadline","◇","◆"),"")</f>
        <v/>
      </c>
      <c r="BD157" s="14" t="str">
        <f>IF(AND(ISNUMBER($I157),OR($K157="Milestone",$K157="Deadline"),$I157&gt;=BD$4,$I157&lt;BD$4+7),IF($K157="Deadline","◇","◆"),"")</f>
        <v/>
      </c>
      <c r="BE157" s="14" t="str">
        <f>IF(AND(ISNUMBER($I157),OR($K157="Milestone",$K157="Deadline"),$I157&gt;=BE$4,$I157&lt;BE$4+7),IF($K157="Deadline","◇","◆"),"")</f>
        <v/>
      </c>
      <c r="BF157" s="14" t="str">
        <f>IF(AND(ISNUMBER($I157),OR($K157="Milestone",$K157="Deadline"),$I157&gt;=BF$4,$I157&lt;BF$4+7),IF($K157="Deadline","◇","◆"),"")</f>
        <v/>
      </c>
      <c r="BG157" s="14" t="str">
        <f>IF(AND(ISNUMBER($I157),OR($K157="Milestone",$K157="Deadline"),$I157&gt;=BG$4,$I157&lt;BG$4+7),IF($K157="Deadline","◇","◆"),"")</f>
        <v/>
      </c>
      <c r="BH157" s="14" t="str">
        <f>IF(AND(ISNUMBER($I157),OR($K157="Milestone",$K157="Deadline"),$I157&gt;=BH$4,$I157&lt;BH$4+7),IF($K157="Deadline","◇","◆"),"")</f>
        <v/>
      </c>
      <c r="BI157" s="14" t="str">
        <f>IF(AND(ISNUMBER($I157),OR($K157="Milestone",$K157="Deadline"),$I157&gt;=BI$4,$I157&lt;BI$4+7),IF($K157="Deadline","◇","◆"),"")</f>
        <v/>
      </c>
      <c r="BJ157" s="14" t="str">
        <f>IF(AND(ISNUMBER($I157),OR($K157="Milestone",$K157="Deadline"),$I157&gt;=BJ$4,$I157&lt;BJ$4+7),IF($K157="Deadline","◇","◆"),"")</f>
        <v/>
      </c>
      <c r="BK157" s="14" t="str">
        <f>IF(AND(ISNUMBER($I157),OR($K157="Milestone",$K157="Deadline"),$I157&gt;=BK$4,$I157&lt;BK$4+7),IF($K157="Deadline","◇","◆"),"")</f>
        <v/>
      </c>
      <c r="BL157" s="14" t="str">
        <f>IF(AND(ISNUMBER($I157),OR($K157="Milestone",$K157="Deadline"),$I157&gt;=BL$4,$I157&lt;BL$4+7),IF($K157="Deadline","◇","◆"),"")</f>
        <v/>
      </c>
      <c r="BM157" s="14" t="str">
        <f>IF(AND(ISNUMBER($I157),OR($K157="Milestone",$K157="Deadline"),$I157&gt;=BM$4,$I157&lt;BM$4+7),IF($K157="Deadline","◇","◆"),"")</f>
        <v/>
      </c>
      <c r="BN157" s="14" t="str">
        <f>IF(AND(ISNUMBER($I157),OR($K157="Milestone",$K157="Deadline"),$I157&gt;=BN$4,$I157&lt;BN$4+7),IF($K157="Deadline","◇","◆"),"")</f>
        <v/>
      </c>
      <c r="BO157" s="14" t="str">
        <f>IF(AND(ISNUMBER($I157),OR($K157="Milestone",$K157="Deadline"),$I157&gt;=BO$4,$I157&lt;BO$4+7),IF($K157="Deadline","◇","◆"),"")</f>
        <v/>
      </c>
      <c r="BP157" s="14" t="str">
        <f>IF(AND(ISNUMBER($I157),OR($K157="Milestone",$K157="Deadline"),$I157&gt;=BP$4,$I157&lt;BP$4+7),IF($K157="Deadline","◇","◆"),"")</f>
        <v/>
      </c>
      <c r="BQ157" s="14" t="str">
        <f>IF(AND(ISNUMBER($I157),OR($K157="Milestone",$K157="Deadline"),$I157&gt;=BQ$4,$I157&lt;BQ$4+7),IF($K157="Deadline","◇","◆"),"")</f>
        <v/>
      </c>
      <c r="BR157" s="14" t="str">
        <f>IF(AND(ISNUMBER($I157),OR($K157="Milestone",$K157="Deadline"),$I157&gt;=BR$4,$I157&lt;BR$4+7),IF($K157="Deadline","◇","◆"),"")</f>
        <v/>
      </c>
      <c r="BS157" s="14" t="str">
        <f>IF(AND(ISNUMBER($I157),OR($K157="Milestone",$K157="Deadline"),$I157&gt;=BS$4,$I157&lt;BS$4+7),IF($K157="Deadline","◇","◆"),"")</f>
        <v/>
      </c>
      <c r="BT157" s="14" t="str">
        <f>IF(AND(ISNUMBER($I157),OR($K157="Milestone",$K157="Deadline"),$I157&gt;=BT$4,$I157&lt;BT$4+7),IF($K157="Deadline","◇","◆"),"")</f>
        <v/>
      </c>
      <c r="BU157" s="14" t="str">
        <f>IF(AND(ISNUMBER($I157),OR($K157="Milestone",$K157="Deadline"),$I157&gt;=BU$4,$I157&lt;BU$4+7),IF($K157="Deadline","◇","◆"),"")</f>
        <v/>
      </c>
      <c r="BV157" s="14" t="str">
        <f>IF(AND(ISNUMBER($I157),OR($K157="Milestone",$K157="Deadline"),$I157&gt;=BV$4,$I157&lt;BV$4+7),IF($K157="Deadline","◇","◆"),"")</f>
        <v/>
      </c>
      <c r="BW157" s="14" t="str">
        <f>IF(AND(ISNUMBER($I157),OR($K157="Milestone",$K157="Deadline"),$I157&gt;=BW$4,$I157&lt;BW$4+7),IF($K157="Deadline","◇","◆"),"")</f>
        <v/>
      </c>
      <c r="BX157" s="14" t="str">
        <f>IF(AND(ISNUMBER($I157),OR($K157="Milestone",$K157="Deadline"),$I157&gt;=BX$4,$I157&lt;BX$4+7),IF($K157="Deadline","◇","◆"),"")</f>
        <v/>
      </c>
      <c r="BY157" s="14" t="str">
        <f>IF(AND(ISNUMBER($I157),OR($K157="Milestone",$K157="Deadline"),$I157&gt;=BY$4,$I157&lt;BY$4+7),IF($K157="Deadline","◇","◆"),"")</f>
        <v/>
      </c>
      <c r="BZ157" s="14" t="str">
        <f>IF(AND(ISNUMBER($I157),OR($K157="Milestone",$K157="Deadline"),$I157&gt;=BZ$4,$I157&lt;BZ$4+7),IF($K157="Deadline","◇","◆"),"")</f>
        <v/>
      </c>
      <c r="CA157" s="14" t="str">
        <f>IF(AND(ISNUMBER($I157),OR($K157="Milestone",$K157="Deadline"),$I157&gt;=CA$4,$I157&lt;CA$4+7),IF($K157="Deadline","◇","◆"),"")</f>
        <v/>
      </c>
      <c r="CB157" s="14" t="str">
        <f>IF(AND(ISNUMBER($I157),OR($K157="Milestone",$K157="Deadline"),$I157&gt;=CB$4,$I157&lt;CB$4+7),IF($K157="Deadline","◇","◆"),"")</f>
        <v/>
      </c>
      <c r="CC157" s="14" t="str">
        <f>IF(AND(ISNUMBER($I157),OR($K157="Milestone",$K157="Deadline"),$I157&gt;=CC$4,$I157&lt;CC$4+7),IF($K157="Deadline","◇","◆"),"")</f>
        <v/>
      </c>
      <c r="CD157" s="14" t="str">
        <f>IF(AND(ISNUMBER($I157),OR($K157="Milestone",$K157="Deadline"),$I157&gt;=CD$4,$I157&lt;CD$4+7),IF($K157="Deadline","◇","◆"),"")</f>
        <v/>
      </c>
      <c r="CE157" s="14" t="str">
        <f>IF(AND(ISNUMBER($I157),OR($K157="Milestone",$K157="Deadline"),$I157&gt;=CE$4,$I157&lt;CE$4+7),IF($K157="Deadline","◇","◆"),"")</f>
        <v/>
      </c>
      <c r="CF157" s="14" t="str">
        <f>IF(AND(ISNUMBER($I157),OR($K157="Milestone",$K157="Deadline"),$I157&gt;=CF$4,$I157&lt;CF$4+7),IF($K157="Deadline","◇","◆"),"")</f>
        <v/>
      </c>
      <c r="CG157" s="14" t="str">
        <f>IF(AND(ISNUMBER($I157),OR($K157="Milestone",$K157="Deadline"),$I157&gt;=CG$4,$I157&lt;CG$4+7),IF($K157="Deadline","◇","◆"),"")</f>
        <v/>
      </c>
      <c r="CH157" s="14" t="str">
        <f>IF(AND(ISNUMBER($I157),OR($K157="Milestone",$K157="Deadline"),$I157&gt;=CH$4,$I157&lt;CH$4+7),IF($K157="Deadline","◇","◆"),"")</f>
        <v/>
      </c>
      <c r="CI157" s="14" t="str">
        <f>IF(AND(ISNUMBER($I157),OR($K157="Milestone",$K157="Deadline"),$I157&gt;=CI$4,$I157&lt;CI$4+7),IF($K157="Deadline","◇","◆"),"")</f>
        <v/>
      </c>
      <c r="CJ157" s="14" t="str">
        <f>IF(AND(ISNUMBER($I157),OR($K157="Milestone",$K157="Deadline"),$I157&gt;=CJ$4,$I157&lt;CJ$4+7),IF($K157="Deadline","◇","◆"),"")</f>
        <v/>
      </c>
      <c r="CK157" s="14" t="str">
        <f>IF(AND(ISNUMBER($I157),OR($K157="Milestone",$K157="Deadline"),$I157&gt;=CK$4,$I157&lt;CK$4+7),IF($K157="Deadline","◇","◆"),"")</f>
        <v/>
      </c>
      <c r="CL157" s="14" t="str">
        <f>IF(AND(ISNUMBER($I157),OR($K157="Milestone",$K157="Deadline"),$I157&gt;=CL$4,$I157&lt;CL$4+7),IF($K157="Deadline","◇","◆"),"")</f>
        <v/>
      </c>
      <c r="CM157" s="14" t="str">
        <f>IF(AND(ISNUMBER($I157),OR($K157="Milestone",$K157="Deadline"),$I157&gt;=CM$4,$I157&lt;CM$4+7),IF($K157="Deadline","◇","◆"),"")</f>
        <v/>
      </c>
    </row>
    <row r="158" spans="1:91" ht="15" customHeight="1">
      <c r="A158" s="39" t="s">
        <v>357</v>
      </c>
      <c r="B158" s="39" t="s">
        <v>386</v>
      </c>
      <c r="C158" s="39" t="s">
        <v>93</v>
      </c>
      <c r="D158" s="39" t="s">
        <v>348</v>
      </c>
      <c r="E158" s="39" t="s">
        <v>281</v>
      </c>
      <c r="F158" s="39" t="s">
        <v>170</v>
      </c>
      <c r="G158" s="39" t="s">
        <v>198</v>
      </c>
      <c r="H158" s="39">
        <v>7</v>
      </c>
      <c r="I158" s="40">
        <f>MAX($C$2,J135+1)</f>
        <v>46337</v>
      </c>
      <c r="J158" s="41">
        <f>IF(AND(ISNUMBER(I158),ISNUMBER(H158)),I158+H158-1,"")</f>
        <v>46343</v>
      </c>
      <c r="K158" s="39" t="s">
        <v>27</v>
      </c>
      <c r="L158" s="39"/>
      <c r="M158" s="42" t="s">
        <v>346</v>
      </c>
      <c r="N158" s="39"/>
      <c r="O158" s="42">
        <f>IF(AND(ISNUMBER(I158),ISNUMBER(J158)),J158-I158+1,"")</f>
        <v>7</v>
      </c>
      <c r="P158" s="13"/>
      <c r="Q158" s="13"/>
      <c r="R158" s="13"/>
      <c r="S158" s="13" t="s">
        <v>140</v>
      </c>
      <c r="T158" s="13"/>
      <c r="U158" s="13" t="s">
        <v>140</v>
      </c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4" t="str">
        <f>IF(AND(ISNUMBER($I158),OR($K158="Milestone",$K158="Deadline"),$I158&gt;=AO$4,$I158&lt;AO$4+7),IF($K158="Deadline","◇","◆"),"")</f>
        <v/>
      </c>
      <c r="AP158" s="14" t="str">
        <f>IF(AND(ISNUMBER($I158),OR($K158="Milestone",$K158="Deadline"),$I158&gt;=AP$4,$I158&lt;AP$4+7),IF($K158="Deadline","◇","◆"),"")</f>
        <v/>
      </c>
      <c r="AQ158" s="14" t="str">
        <f>IF(AND(ISNUMBER($I158),OR($K158="Milestone",$K158="Deadline"),$I158&gt;=AQ$4,$I158&lt;AQ$4+7),IF($K158="Deadline","◇","◆"),"")</f>
        <v/>
      </c>
      <c r="AR158" s="14" t="str">
        <f>IF(AND(ISNUMBER($I158),OR($K158="Milestone",$K158="Deadline"),$I158&gt;=AR$4,$I158&lt;AR$4+7),IF($K158="Deadline","◇","◆"),"")</f>
        <v/>
      </c>
      <c r="AS158" s="14" t="str">
        <f>IF(AND(ISNUMBER($I158),OR($K158="Milestone",$K158="Deadline"),$I158&gt;=AS$4,$I158&lt;AS$4+7),IF($K158="Deadline","◇","◆"),"")</f>
        <v/>
      </c>
      <c r="AT158" s="14" t="str">
        <f>IF(AND(ISNUMBER($I158),OR($K158="Milestone",$K158="Deadline"),$I158&gt;=AT$4,$I158&lt;AT$4+7),IF($K158="Deadline","◇","◆"),"")</f>
        <v/>
      </c>
      <c r="AU158" s="14" t="str">
        <f>IF(AND(ISNUMBER($I158),OR($K158="Milestone",$K158="Deadline"),$I158&gt;=AU$4,$I158&lt;AU$4+7),IF($K158="Deadline","◇","◆"),"")</f>
        <v/>
      </c>
      <c r="AV158" s="14" t="str">
        <f>IF(AND(ISNUMBER($I158),OR($K158="Milestone",$K158="Deadline"),$I158&gt;=AV$4,$I158&lt;AV$4+7),IF($K158="Deadline","◇","◆"),"")</f>
        <v/>
      </c>
      <c r="AW158" s="14" t="str">
        <f>IF(AND(ISNUMBER($I158),OR($K158="Milestone",$K158="Deadline"),$I158&gt;=AW$4,$I158&lt;AW$4+7),IF($K158="Deadline","◇","◆"),"")</f>
        <v/>
      </c>
      <c r="AX158" s="14" t="str">
        <f>IF(AND(ISNUMBER($I158),OR($K158="Milestone",$K158="Deadline"),$I158&gt;=AX$4,$I158&lt;AX$4+7),IF($K158="Deadline","◇","◆"),"")</f>
        <v/>
      </c>
      <c r="AY158" s="14" t="str">
        <f>IF(AND(ISNUMBER($I158),OR($K158="Milestone",$K158="Deadline"),$I158&gt;=AY$4,$I158&lt;AY$4+7),IF($K158="Deadline","◇","◆"),"")</f>
        <v/>
      </c>
      <c r="AZ158" s="14" t="str">
        <f>IF(AND(ISNUMBER($I158),OR($K158="Milestone",$K158="Deadline"),$I158&gt;=AZ$4,$I158&lt;AZ$4+7),IF($K158="Deadline","◇","◆"),"")</f>
        <v/>
      </c>
      <c r="BA158" s="14" t="str">
        <f>IF(AND(ISNUMBER($I158),OR($K158="Milestone",$K158="Deadline"),$I158&gt;=BA$4,$I158&lt;BA$4+7),IF($K158="Deadline","◇","◆"),"")</f>
        <v/>
      </c>
      <c r="BB158" s="14" t="str">
        <f>IF(AND(ISNUMBER($I158),OR($K158="Milestone",$K158="Deadline"),$I158&gt;=BB$4,$I158&lt;BB$4+7),IF($K158="Deadline","◇","◆"),"")</f>
        <v/>
      </c>
      <c r="BC158" s="14" t="str">
        <f>IF(AND(ISNUMBER($I158),OR($K158="Milestone",$K158="Deadline"),$I158&gt;=BC$4,$I158&lt;BC$4+7),IF($K158="Deadline","◇","◆"),"")</f>
        <v/>
      </c>
      <c r="BD158" s="14" t="str">
        <f>IF(AND(ISNUMBER($I158),OR($K158="Milestone",$K158="Deadline"),$I158&gt;=BD$4,$I158&lt;BD$4+7),IF($K158="Deadline","◇","◆"),"")</f>
        <v/>
      </c>
      <c r="BE158" s="14" t="str">
        <f>IF(AND(ISNUMBER($I158),OR($K158="Milestone",$K158="Deadline"),$I158&gt;=BE$4,$I158&lt;BE$4+7),IF($K158="Deadline","◇","◆"),"")</f>
        <v/>
      </c>
      <c r="BF158" s="14" t="str">
        <f>IF(AND(ISNUMBER($I158),OR($K158="Milestone",$K158="Deadline"),$I158&gt;=BF$4,$I158&lt;BF$4+7),IF($K158="Deadline","◇","◆"),"")</f>
        <v/>
      </c>
      <c r="BG158" s="14" t="str">
        <f>IF(AND(ISNUMBER($I158),OR($K158="Milestone",$K158="Deadline"),$I158&gt;=BG$4,$I158&lt;BG$4+7),IF($K158="Deadline","◇","◆"),"")</f>
        <v/>
      </c>
      <c r="BH158" s="14" t="str">
        <f>IF(AND(ISNUMBER($I158),OR($K158="Milestone",$K158="Deadline"),$I158&gt;=BH$4,$I158&lt;BH$4+7),IF($K158="Deadline","◇","◆"),"")</f>
        <v/>
      </c>
      <c r="BI158" s="14" t="str">
        <f>IF(AND(ISNUMBER($I158),OR($K158="Milestone",$K158="Deadline"),$I158&gt;=BI$4,$I158&lt;BI$4+7),IF($K158="Deadline","◇","◆"),"")</f>
        <v/>
      </c>
      <c r="BJ158" s="14" t="str">
        <f>IF(AND(ISNUMBER($I158),OR($K158="Milestone",$K158="Deadline"),$I158&gt;=BJ$4,$I158&lt;BJ$4+7),IF($K158="Deadline","◇","◆"),"")</f>
        <v/>
      </c>
      <c r="BK158" s="14" t="str">
        <f>IF(AND(ISNUMBER($I158),OR($K158="Milestone",$K158="Deadline"),$I158&gt;=BK$4,$I158&lt;BK$4+7),IF($K158="Deadline","◇","◆"),"")</f>
        <v/>
      </c>
      <c r="BL158" s="14" t="str">
        <f>IF(AND(ISNUMBER($I158),OR($K158="Milestone",$K158="Deadline"),$I158&gt;=BL$4,$I158&lt;BL$4+7),IF($K158="Deadline","◇","◆"),"")</f>
        <v/>
      </c>
      <c r="BM158" s="14" t="str">
        <f>IF(AND(ISNUMBER($I158),OR($K158="Milestone",$K158="Deadline"),$I158&gt;=BM$4,$I158&lt;BM$4+7),IF($K158="Deadline","◇","◆"),"")</f>
        <v/>
      </c>
      <c r="BN158" s="14" t="str">
        <f>IF(AND(ISNUMBER($I158),OR($K158="Milestone",$K158="Deadline"),$I158&gt;=BN$4,$I158&lt;BN$4+7),IF($K158="Deadline","◇","◆"),"")</f>
        <v/>
      </c>
      <c r="BO158" s="14" t="str">
        <f>IF(AND(ISNUMBER($I158),OR($K158="Milestone",$K158="Deadline"),$I158&gt;=BO$4,$I158&lt;BO$4+7),IF($K158="Deadline","◇","◆"),"")</f>
        <v/>
      </c>
      <c r="BP158" s="14" t="str">
        <f>IF(AND(ISNUMBER($I158),OR($K158="Milestone",$K158="Deadline"),$I158&gt;=BP$4,$I158&lt;BP$4+7),IF($K158="Deadline","◇","◆"),"")</f>
        <v/>
      </c>
      <c r="BQ158" s="14" t="str">
        <f>IF(AND(ISNUMBER($I158),OR($K158="Milestone",$K158="Deadline"),$I158&gt;=BQ$4,$I158&lt;BQ$4+7),IF($K158="Deadline","◇","◆"),"")</f>
        <v/>
      </c>
      <c r="BR158" s="14" t="str">
        <f>IF(AND(ISNUMBER($I158),OR($K158="Milestone",$K158="Deadline"),$I158&gt;=BR$4,$I158&lt;BR$4+7),IF($K158="Deadline","◇","◆"),"")</f>
        <v/>
      </c>
      <c r="BS158" s="14" t="str">
        <f>IF(AND(ISNUMBER($I158),OR($K158="Milestone",$K158="Deadline"),$I158&gt;=BS$4,$I158&lt;BS$4+7),IF($K158="Deadline","◇","◆"),"")</f>
        <v/>
      </c>
      <c r="BT158" s="14" t="str">
        <f>IF(AND(ISNUMBER($I158),OR($K158="Milestone",$K158="Deadline"),$I158&gt;=BT$4,$I158&lt;BT$4+7),IF($K158="Deadline","◇","◆"),"")</f>
        <v/>
      </c>
      <c r="BU158" s="14" t="str">
        <f>IF(AND(ISNUMBER($I158),OR($K158="Milestone",$K158="Deadline"),$I158&gt;=BU$4,$I158&lt;BU$4+7),IF($K158="Deadline","◇","◆"),"")</f>
        <v/>
      </c>
      <c r="BV158" s="14" t="str">
        <f>IF(AND(ISNUMBER($I158),OR($K158="Milestone",$K158="Deadline"),$I158&gt;=BV$4,$I158&lt;BV$4+7),IF($K158="Deadline","◇","◆"),"")</f>
        <v/>
      </c>
      <c r="BW158" s="14" t="str">
        <f>IF(AND(ISNUMBER($I158),OR($K158="Milestone",$K158="Deadline"),$I158&gt;=BW$4,$I158&lt;BW$4+7),IF($K158="Deadline","◇","◆"),"")</f>
        <v/>
      </c>
      <c r="BX158" s="14" t="str">
        <f>IF(AND(ISNUMBER($I158),OR($K158="Milestone",$K158="Deadline"),$I158&gt;=BX$4,$I158&lt;BX$4+7),IF($K158="Deadline","◇","◆"),"")</f>
        <v/>
      </c>
      <c r="BY158" s="14" t="str">
        <f>IF(AND(ISNUMBER($I158),OR($K158="Milestone",$K158="Deadline"),$I158&gt;=BY$4,$I158&lt;BY$4+7),IF($K158="Deadline","◇","◆"),"")</f>
        <v/>
      </c>
      <c r="BZ158" s="14" t="str">
        <f>IF(AND(ISNUMBER($I158),OR($K158="Milestone",$K158="Deadline"),$I158&gt;=BZ$4,$I158&lt;BZ$4+7),IF($K158="Deadline","◇","◆"),"")</f>
        <v/>
      </c>
      <c r="CA158" s="14" t="str">
        <f>IF(AND(ISNUMBER($I158),OR($K158="Milestone",$K158="Deadline"),$I158&gt;=CA$4,$I158&lt;CA$4+7),IF($K158="Deadline","◇","◆"),"")</f>
        <v/>
      </c>
      <c r="CB158" s="14" t="str">
        <f>IF(AND(ISNUMBER($I158),OR($K158="Milestone",$K158="Deadline"),$I158&gt;=CB$4,$I158&lt;CB$4+7),IF($K158="Deadline","◇","◆"),"")</f>
        <v/>
      </c>
      <c r="CC158" s="14" t="str">
        <f>IF(AND(ISNUMBER($I158),OR($K158="Milestone",$K158="Deadline"),$I158&gt;=CC$4,$I158&lt;CC$4+7),IF($K158="Deadline","◇","◆"),"")</f>
        <v/>
      </c>
      <c r="CD158" s="14" t="str">
        <f>IF(AND(ISNUMBER($I158),OR($K158="Milestone",$K158="Deadline"),$I158&gt;=CD$4,$I158&lt;CD$4+7),IF($K158="Deadline","◇","◆"),"")</f>
        <v/>
      </c>
      <c r="CE158" s="14" t="str">
        <f>IF(AND(ISNUMBER($I158),OR($K158="Milestone",$K158="Deadline"),$I158&gt;=CE$4,$I158&lt;CE$4+7),IF($K158="Deadline","◇","◆"),"")</f>
        <v/>
      </c>
      <c r="CF158" s="14" t="str">
        <f>IF(AND(ISNUMBER($I158),OR($K158="Milestone",$K158="Deadline"),$I158&gt;=CF$4,$I158&lt;CF$4+7),IF($K158="Deadline","◇","◆"),"")</f>
        <v/>
      </c>
      <c r="CG158" s="14" t="str">
        <f>IF(AND(ISNUMBER($I158),OR($K158="Milestone",$K158="Deadline"),$I158&gt;=CG$4,$I158&lt;CG$4+7),IF($K158="Deadline","◇","◆"),"")</f>
        <v/>
      </c>
      <c r="CH158" s="14" t="str">
        <f>IF(AND(ISNUMBER($I158),OR($K158="Milestone",$K158="Deadline"),$I158&gt;=CH$4,$I158&lt;CH$4+7),IF($K158="Deadline","◇","◆"),"")</f>
        <v/>
      </c>
      <c r="CI158" s="14" t="str">
        <f>IF(AND(ISNUMBER($I158),OR($K158="Milestone",$K158="Deadline"),$I158&gt;=CI$4,$I158&lt;CI$4+7),IF($K158="Deadline","◇","◆"),"")</f>
        <v/>
      </c>
      <c r="CJ158" s="14" t="str">
        <f>IF(AND(ISNUMBER($I158),OR($K158="Milestone",$K158="Deadline"),$I158&gt;=CJ$4,$I158&lt;CJ$4+7),IF($K158="Deadline","◇","◆"),"")</f>
        <v/>
      </c>
      <c r="CK158" s="14" t="str">
        <f>IF(AND(ISNUMBER($I158),OR($K158="Milestone",$K158="Deadline"),$I158&gt;=CK$4,$I158&lt;CK$4+7),IF($K158="Deadline","◇","◆"),"")</f>
        <v/>
      </c>
      <c r="CL158" s="14" t="str">
        <f>IF(AND(ISNUMBER($I158),OR($K158="Milestone",$K158="Deadline"),$I158&gt;=CL$4,$I158&lt;CL$4+7),IF($K158="Deadline","◇","◆"),"")</f>
        <v/>
      </c>
      <c r="CM158" s="14" t="str">
        <f>IF(AND(ISNUMBER($I158),OR($K158="Milestone",$K158="Deadline"),$I158&gt;=CM$4,$I158&lt;CM$4+7),IF($K158="Deadline","◇","◆"),"")</f>
        <v/>
      </c>
    </row>
    <row r="159" spans="1:91" ht="15" hidden="1" customHeight="1">
      <c r="A159" s="39" t="s">
        <v>388</v>
      </c>
      <c r="B159" s="39" t="s">
        <v>386</v>
      </c>
      <c r="C159" s="39" t="s">
        <v>93</v>
      </c>
      <c r="D159" s="39" t="s">
        <v>348</v>
      </c>
      <c r="E159" s="39" t="s">
        <v>281</v>
      </c>
      <c r="F159" s="39" t="s">
        <v>170</v>
      </c>
      <c r="G159" s="39" t="s">
        <v>173</v>
      </c>
      <c r="H159" s="39">
        <v>7</v>
      </c>
      <c r="I159" s="40">
        <f>MAX($C$2,I158)</f>
        <v>46337</v>
      </c>
      <c r="J159" s="41">
        <f>IF(AND(ISNUMBER(I159),ISNUMBER(H159)),I159+H159-1,"")</f>
        <v>46343</v>
      </c>
      <c r="K159" s="39" t="s">
        <v>27</v>
      </c>
      <c r="L159" s="39" t="s">
        <v>389</v>
      </c>
      <c r="M159" s="42"/>
      <c r="N159" s="39"/>
      <c r="O159" s="42">
        <f>IF(AND(ISNUMBER(I159),ISNUMBER(J159)),J159-I159+1,"")</f>
        <v>7</v>
      </c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4" t="str">
        <f>IF(AND(ISNUMBER($I159),OR($K159="Milestone",$K159="Deadline"),$I159&gt;=AO$4,$I159&lt;AO$4+7),IF($K159="Deadline","◇","◆"),"")</f>
        <v/>
      </c>
      <c r="AP159" s="14" t="str">
        <f>IF(AND(ISNUMBER($I159),OR($K159="Milestone",$K159="Deadline"),$I159&gt;=AP$4,$I159&lt;AP$4+7),IF($K159="Deadline","◇","◆"),"")</f>
        <v/>
      </c>
      <c r="AQ159" s="14" t="str">
        <f>IF(AND(ISNUMBER($I159),OR($K159="Milestone",$K159="Deadline"),$I159&gt;=AQ$4,$I159&lt;AQ$4+7),IF($K159="Deadline","◇","◆"),"")</f>
        <v/>
      </c>
      <c r="AR159" s="14" t="str">
        <f>IF(AND(ISNUMBER($I159),OR($K159="Milestone",$K159="Deadline"),$I159&gt;=AR$4,$I159&lt;AR$4+7),IF($K159="Deadline","◇","◆"),"")</f>
        <v/>
      </c>
      <c r="AS159" s="14" t="str">
        <f>IF(AND(ISNUMBER($I159),OR($K159="Milestone",$K159="Deadline"),$I159&gt;=AS$4,$I159&lt;AS$4+7),IF($K159="Deadline","◇","◆"),"")</f>
        <v/>
      </c>
      <c r="AT159" s="14" t="str">
        <f>IF(AND(ISNUMBER($I159),OR($K159="Milestone",$K159="Deadline"),$I159&gt;=AT$4,$I159&lt;AT$4+7),IF($K159="Deadline","◇","◆"),"")</f>
        <v/>
      </c>
      <c r="AU159" s="14" t="str">
        <f>IF(AND(ISNUMBER($I159),OR($K159="Milestone",$K159="Deadline"),$I159&gt;=AU$4,$I159&lt;AU$4+7),IF($K159="Deadline","◇","◆"),"")</f>
        <v/>
      </c>
      <c r="AV159" s="14" t="str">
        <f>IF(AND(ISNUMBER($I159),OR($K159="Milestone",$K159="Deadline"),$I159&gt;=AV$4,$I159&lt;AV$4+7),IF($K159="Deadline","◇","◆"),"")</f>
        <v/>
      </c>
      <c r="AW159" s="14" t="str">
        <f>IF(AND(ISNUMBER($I159),OR($K159="Milestone",$K159="Deadline"),$I159&gt;=AW$4,$I159&lt;AW$4+7),IF($K159="Deadline","◇","◆"),"")</f>
        <v/>
      </c>
      <c r="AX159" s="14" t="str">
        <f>IF(AND(ISNUMBER($I159),OR($K159="Milestone",$K159="Deadline"),$I159&gt;=AX$4,$I159&lt;AX$4+7),IF($K159="Deadline","◇","◆"),"")</f>
        <v/>
      </c>
      <c r="AY159" s="14" t="str">
        <f>IF(AND(ISNUMBER($I159),OR($K159="Milestone",$K159="Deadline"),$I159&gt;=AY$4,$I159&lt;AY$4+7),IF($K159="Deadline","◇","◆"),"")</f>
        <v/>
      </c>
      <c r="AZ159" s="14" t="str">
        <f>IF(AND(ISNUMBER($I159),OR($K159="Milestone",$K159="Deadline"),$I159&gt;=AZ$4,$I159&lt;AZ$4+7),IF($K159="Deadline","◇","◆"),"")</f>
        <v/>
      </c>
      <c r="BA159" s="14" t="str">
        <f>IF(AND(ISNUMBER($I159),OR($K159="Milestone",$K159="Deadline"),$I159&gt;=BA$4,$I159&lt;BA$4+7),IF($K159="Deadline","◇","◆"),"")</f>
        <v/>
      </c>
      <c r="BB159" s="14" t="str">
        <f>IF(AND(ISNUMBER($I159),OR($K159="Milestone",$K159="Deadline"),$I159&gt;=BB$4,$I159&lt;BB$4+7),IF($K159="Deadline","◇","◆"),"")</f>
        <v/>
      </c>
      <c r="BC159" s="14" t="str">
        <f>IF(AND(ISNUMBER($I159),OR($K159="Milestone",$K159="Deadline"),$I159&gt;=BC$4,$I159&lt;BC$4+7),IF($K159="Deadline","◇","◆"),"")</f>
        <v/>
      </c>
      <c r="BD159" s="14" t="str">
        <f>IF(AND(ISNUMBER($I159),OR($K159="Milestone",$K159="Deadline"),$I159&gt;=BD$4,$I159&lt;BD$4+7),IF($K159="Deadline","◇","◆"),"")</f>
        <v/>
      </c>
      <c r="BE159" s="14" t="str">
        <f>IF(AND(ISNUMBER($I159),OR($K159="Milestone",$K159="Deadline"),$I159&gt;=BE$4,$I159&lt;BE$4+7),IF($K159="Deadline","◇","◆"),"")</f>
        <v/>
      </c>
      <c r="BF159" s="14" t="str">
        <f>IF(AND(ISNUMBER($I159),OR($K159="Milestone",$K159="Deadline"),$I159&gt;=BF$4,$I159&lt;BF$4+7),IF($K159="Deadline","◇","◆"),"")</f>
        <v/>
      </c>
      <c r="BG159" s="14" t="str">
        <f>IF(AND(ISNUMBER($I159),OR($K159="Milestone",$K159="Deadline"),$I159&gt;=BG$4,$I159&lt;BG$4+7),IF($K159="Deadline","◇","◆"),"")</f>
        <v/>
      </c>
      <c r="BH159" s="14" t="str">
        <f>IF(AND(ISNUMBER($I159),OR($K159="Milestone",$K159="Deadline"),$I159&gt;=BH$4,$I159&lt;BH$4+7),IF($K159="Deadline","◇","◆"),"")</f>
        <v/>
      </c>
      <c r="BI159" s="14" t="str">
        <f>IF(AND(ISNUMBER($I159),OR($K159="Milestone",$K159="Deadline"),$I159&gt;=BI$4,$I159&lt;BI$4+7),IF($K159="Deadline","◇","◆"),"")</f>
        <v/>
      </c>
      <c r="BJ159" s="14" t="str">
        <f>IF(AND(ISNUMBER($I159),OR($K159="Milestone",$K159="Deadline"),$I159&gt;=BJ$4,$I159&lt;BJ$4+7),IF($K159="Deadline","◇","◆"),"")</f>
        <v/>
      </c>
      <c r="BK159" s="14" t="str">
        <f>IF(AND(ISNUMBER($I159),OR($K159="Milestone",$K159="Deadline"),$I159&gt;=BK$4,$I159&lt;BK$4+7),IF($K159="Deadline","◇","◆"),"")</f>
        <v/>
      </c>
      <c r="BL159" s="14" t="str">
        <f>IF(AND(ISNUMBER($I159),OR($K159="Milestone",$K159="Deadline"),$I159&gt;=BL$4,$I159&lt;BL$4+7),IF($K159="Deadline","◇","◆"),"")</f>
        <v/>
      </c>
      <c r="BM159" s="14" t="str">
        <f>IF(AND(ISNUMBER($I159),OR($K159="Milestone",$K159="Deadline"),$I159&gt;=BM$4,$I159&lt;BM$4+7),IF($K159="Deadline","◇","◆"),"")</f>
        <v/>
      </c>
      <c r="BN159" s="14" t="str">
        <f>IF(AND(ISNUMBER($I159),OR($K159="Milestone",$K159="Deadline"),$I159&gt;=BN$4,$I159&lt;BN$4+7),IF($K159="Deadline","◇","◆"),"")</f>
        <v/>
      </c>
      <c r="BO159" s="14" t="str">
        <f>IF(AND(ISNUMBER($I159),OR($K159="Milestone",$K159="Deadline"),$I159&gt;=BO$4,$I159&lt;BO$4+7),IF($K159="Deadline","◇","◆"),"")</f>
        <v/>
      </c>
      <c r="BP159" s="14" t="str">
        <f>IF(AND(ISNUMBER($I159),OR($K159="Milestone",$K159="Deadline"),$I159&gt;=BP$4,$I159&lt;BP$4+7),IF($K159="Deadline","◇","◆"),"")</f>
        <v/>
      </c>
      <c r="BQ159" s="14" t="str">
        <f>IF(AND(ISNUMBER($I159),OR($K159="Milestone",$K159="Deadline"),$I159&gt;=BQ$4,$I159&lt;BQ$4+7),IF($K159="Deadline","◇","◆"),"")</f>
        <v/>
      </c>
      <c r="BR159" s="14" t="str">
        <f>IF(AND(ISNUMBER($I159),OR($K159="Milestone",$K159="Deadline"),$I159&gt;=BR$4,$I159&lt;BR$4+7),IF($K159="Deadline","◇","◆"),"")</f>
        <v/>
      </c>
      <c r="BS159" s="14" t="str">
        <f>IF(AND(ISNUMBER($I159),OR($K159="Milestone",$K159="Deadline"),$I159&gt;=BS$4,$I159&lt;BS$4+7),IF($K159="Deadline","◇","◆"),"")</f>
        <v/>
      </c>
      <c r="BT159" s="14" t="str">
        <f>IF(AND(ISNUMBER($I159),OR($K159="Milestone",$K159="Deadline"),$I159&gt;=BT$4,$I159&lt;BT$4+7),IF($K159="Deadline","◇","◆"),"")</f>
        <v/>
      </c>
      <c r="BU159" s="14" t="str">
        <f>IF(AND(ISNUMBER($I159),OR($K159="Milestone",$K159="Deadline"),$I159&gt;=BU$4,$I159&lt;BU$4+7),IF($K159="Deadline","◇","◆"),"")</f>
        <v/>
      </c>
      <c r="BV159" s="14" t="str">
        <f>IF(AND(ISNUMBER($I159),OR($K159="Milestone",$K159="Deadline"),$I159&gt;=BV$4,$I159&lt;BV$4+7),IF($K159="Deadline","◇","◆"),"")</f>
        <v/>
      </c>
      <c r="BW159" s="14" t="str">
        <f>IF(AND(ISNUMBER($I159),OR($K159="Milestone",$K159="Deadline"),$I159&gt;=BW$4,$I159&lt;BW$4+7),IF($K159="Deadline","◇","◆"),"")</f>
        <v/>
      </c>
      <c r="BX159" s="14" t="str">
        <f>IF(AND(ISNUMBER($I159),OR($K159="Milestone",$K159="Deadline"),$I159&gt;=BX$4,$I159&lt;BX$4+7),IF($K159="Deadline","◇","◆"),"")</f>
        <v/>
      </c>
      <c r="BY159" s="14" t="str">
        <f>IF(AND(ISNUMBER($I159),OR($K159="Milestone",$K159="Deadline"),$I159&gt;=BY$4,$I159&lt;BY$4+7),IF($K159="Deadline","◇","◆"),"")</f>
        <v/>
      </c>
      <c r="BZ159" s="14" t="str">
        <f>IF(AND(ISNUMBER($I159),OR($K159="Milestone",$K159="Deadline"),$I159&gt;=BZ$4,$I159&lt;BZ$4+7),IF($K159="Deadline","◇","◆"),"")</f>
        <v/>
      </c>
      <c r="CA159" s="14" t="str">
        <f>IF(AND(ISNUMBER($I159),OR($K159="Milestone",$K159="Deadline"),$I159&gt;=CA$4,$I159&lt;CA$4+7),IF($K159="Deadline","◇","◆"),"")</f>
        <v/>
      </c>
      <c r="CB159" s="14" t="str">
        <f>IF(AND(ISNUMBER($I159),OR($K159="Milestone",$K159="Deadline"),$I159&gt;=CB$4,$I159&lt;CB$4+7),IF($K159="Deadline","◇","◆"),"")</f>
        <v/>
      </c>
      <c r="CC159" s="14" t="str">
        <f>IF(AND(ISNUMBER($I159),OR($K159="Milestone",$K159="Deadline"),$I159&gt;=CC$4,$I159&lt;CC$4+7),IF($K159="Deadline","◇","◆"),"")</f>
        <v/>
      </c>
      <c r="CD159" s="14" t="str">
        <f>IF(AND(ISNUMBER($I159),OR($K159="Milestone",$K159="Deadline"),$I159&gt;=CD$4,$I159&lt;CD$4+7),IF($K159="Deadline","◇","◆"),"")</f>
        <v/>
      </c>
      <c r="CE159" s="14" t="str">
        <f>IF(AND(ISNUMBER($I159),OR($K159="Milestone",$K159="Deadline"),$I159&gt;=CE$4,$I159&lt;CE$4+7),IF($K159="Deadline","◇","◆"),"")</f>
        <v/>
      </c>
      <c r="CF159" s="14" t="str">
        <f>IF(AND(ISNUMBER($I159),OR($K159="Milestone",$K159="Deadline"),$I159&gt;=CF$4,$I159&lt;CF$4+7),IF($K159="Deadline","◇","◆"),"")</f>
        <v/>
      </c>
      <c r="CG159" s="14" t="str">
        <f>IF(AND(ISNUMBER($I159),OR($K159="Milestone",$K159="Deadline"),$I159&gt;=CG$4,$I159&lt;CG$4+7),IF($K159="Deadline","◇","◆"),"")</f>
        <v/>
      </c>
      <c r="CH159" s="14" t="str">
        <f>IF(AND(ISNUMBER($I159),OR($K159="Milestone",$K159="Deadline"),$I159&gt;=CH$4,$I159&lt;CH$4+7),IF($K159="Deadline","◇","◆"),"")</f>
        <v/>
      </c>
      <c r="CI159" s="14" t="str">
        <f>IF(AND(ISNUMBER($I159),OR($K159="Milestone",$K159="Deadline"),$I159&gt;=CI$4,$I159&lt;CI$4+7),IF($K159="Deadline","◇","◆"),"")</f>
        <v/>
      </c>
      <c r="CJ159" s="14" t="str">
        <f>IF(AND(ISNUMBER($I159),OR($K159="Milestone",$K159="Deadline"),$I159&gt;=CJ$4,$I159&lt;CJ$4+7),IF($K159="Deadline","◇","◆"),"")</f>
        <v/>
      </c>
      <c r="CK159" s="14" t="str">
        <f>IF(AND(ISNUMBER($I159),OR($K159="Milestone",$K159="Deadline"),$I159&gt;=CK$4,$I159&lt;CK$4+7),IF($K159="Deadline","◇","◆"),"")</f>
        <v/>
      </c>
      <c r="CL159" s="14" t="str">
        <f>IF(AND(ISNUMBER($I159),OR($K159="Milestone",$K159="Deadline"),$I159&gt;=CL$4,$I159&lt;CL$4+7),IF($K159="Deadline","◇","◆"),"")</f>
        <v/>
      </c>
      <c r="CM159" s="14" t="str">
        <f>IF(AND(ISNUMBER($I159),OR($K159="Milestone",$K159="Deadline"),$I159&gt;=CM$4,$I159&lt;CM$4+7),IF($K159="Deadline","◇","◆"),"")</f>
        <v/>
      </c>
    </row>
    <row r="160" spans="1:91" ht="15" hidden="1" customHeight="1">
      <c r="A160" s="39" t="s">
        <v>390</v>
      </c>
      <c r="B160" s="39" t="s">
        <v>386</v>
      </c>
      <c r="C160" s="39" t="s">
        <v>93</v>
      </c>
      <c r="D160" s="39" t="s">
        <v>348</v>
      </c>
      <c r="E160" s="39" t="s">
        <v>281</v>
      </c>
      <c r="F160" s="39" t="s">
        <v>170</v>
      </c>
      <c r="G160" s="39" t="s">
        <v>176</v>
      </c>
      <c r="H160" s="39">
        <v>7</v>
      </c>
      <c r="I160" s="40">
        <f>MAX($C$2,J158+1,J157+1)</f>
        <v>46351</v>
      </c>
      <c r="J160" s="41">
        <f>IF(AND(ISNUMBER(I160),ISNUMBER(H160)),I160+H160-1,"")</f>
        <v>46357</v>
      </c>
      <c r="K160" s="39" t="s">
        <v>27</v>
      </c>
      <c r="L160" s="39" t="s">
        <v>391</v>
      </c>
      <c r="M160" s="42"/>
      <c r="N160" s="39"/>
      <c r="O160" s="42">
        <f>IF(AND(ISNUMBER(I160),ISNUMBER(J160)),J160-I160+1,"")</f>
        <v>7</v>
      </c>
      <c r="P160" s="13"/>
      <c r="Q160" s="13"/>
      <c r="R160" s="13"/>
      <c r="S160" s="13"/>
      <c r="T160" s="13"/>
      <c r="U160" s="13"/>
      <c r="V160" s="13"/>
      <c r="W160" s="13" t="s">
        <v>140</v>
      </c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4" t="str">
        <f>IF(AND(ISNUMBER($I160),OR($K160="Milestone",$K160="Deadline"),$I160&gt;=AO$4,$I160&lt;AO$4+7),IF($K160="Deadline","◇","◆"),"")</f>
        <v/>
      </c>
      <c r="AP160" s="14" t="str">
        <f>IF(AND(ISNUMBER($I160),OR($K160="Milestone",$K160="Deadline"),$I160&gt;=AP$4,$I160&lt;AP$4+7),IF($K160="Deadline","◇","◆"),"")</f>
        <v/>
      </c>
      <c r="AQ160" s="14" t="str">
        <f>IF(AND(ISNUMBER($I160),OR($K160="Milestone",$K160="Deadline"),$I160&gt;=AQ$4,$I160&lt;AQ$4+7),IF($K160="Deadline","◇","◆"),"")</f>
        <v/>
      </c>
      <c r="AR160" s="14" t="str">
        <f>IF(AND(ISNUMBER($I160),OR($K160="Milestone",$K160="Deadline"),$I160&gt;=AR$4,$I160&lt;AR$4+7),IF($K160="Deadline","◇","◆"),"")</f>
        <v/>
      </c>
      <c r="AS160" s="14" t="str">
        <f>IF(AND(ISNUMBER($I160),OR($K160="Milestone",$K160="Deadline"),$I160&gt;=AS$4,$I160&lt;AS$4+7),IF($K160="Deadline","◇","◆"),"")</f>
        <v/>
      </c>
      <c r="AT160" s="14" t="str">
        <f>IF(AND(ISNUMBER($I160),OR($K160="Milestone",$K160="Deadline"),$I160&gt;=AT$4,$I160&lt;AT$4+7),IF($K160="Deadline","◇","◆"),"")</f>
        <v/>
      </c>
      <c r="AU160" s="14" t="str">
        <f>IF(AND(ISNUMBER($I160),OR($K160="Milestone",$K160="Deadline"),$I160&gt;=AU$4,$I160&lt;AU$4+7),IF($K160="Deadline","◇","◆"),"")</f>
        <v/>
      </c>
      <c r="AV160" s="14" t="str">
        <f>IF(AND(ISNUMBER($I160),OR($K160="Milestone",$K160="Deadline"),$I160&gt;=AV$4,$I160&lt;AV$4+7),IF($K160="Deadline","◇","◆"),"")</f>
        <v/>
      </c>
      <c r="AW160" s="14" t="str">
        <f>IF(AND(ISNUMBER($I160),OR($K160="Milestone",$K160="Deadline"),$I160&gt;=AW$4,$I160&lt;AW$4+7),IF($K160="Deadline","◇","◆"),"")</f>
        <v/>
      </c>
      <c r="AX160" s="14" t="str">
        <f>IF(AND(ISNUMBER($I160),OR($K160="Milestone",$K160="Deadline"),$I160&gt;=AX$4,$I160&lt;AX$4+7),IF($K160="Deadline","◇","◆"),"")</f>
        <v/>
      </c>
      <c r="AY160" s="14" t="str">
        <f>IF(AND(ISNUMBER($I160),OR($K160="Milestone",$K160="Deadline"),$I160&gt;=AY$4,$I160&lt;AY$4+7),IF($K160="Deadline","◇","◆"),"")</f>
        <v/>
      </c>
      <c r="AZ160" s="14" t="str">
        <f>IF(AND(ISNUMBER($I160),OR($K160="Milestone",$K160="Deadline"),$I160&gt;=AZ$4,$I160&lt;AZ$4+7),IF($K160="Deadline","◇","◆"),"")</f>
        <v/>
      </c>
      <c r="BA160" s="14" t="str">
        <f>IF(AND(ISNUMBER($I160),OR($K160="Milestone",$K160="Deadline"),$I160&gt;=BA$4,$I160&lt;BA$4+7),IF($K160="Deadline","◇","◆"),"")</f>
        <v/>
      </c>
      <c r="BB160" s="14" t="str">
        <f>IF(AND(ISNUMBER($I160),OR($K160="Milestone",$K160="Deadline"),$I160&gt;=BB$4,$I160&lt;BB$4+7),IF($K160="Deadline","◇","◆"),"")</f>
        <v/>
      </c>
      <c r="BC160" s="14" t="str">
        <f>IF(AND(ISNUMBER($I160),OR($K160="Milestone",$K160="Deadline"),$I160&gt;=BC$4,$I160&lt;BC$4+7),IF($K160="Deadline","◇","◆"),"")</f>
        <v/>
      </c>
      <c r="BD160" s="14" t="str">
        <f>IF(AND(ISNUMBER($I160),OR($K160="Milestone",$K160="Deadline"),$I160&gt;=BD$4,$I160&lt;BD$4+7),IF($K160="Deadline","◇","◆"),"")</f>
        <v/>
      </c>
      <c r="BE160" s="14" t="str">
        <f>IF(AND(ISNUMBER($I160),OR($K160="Milestone",$K160="Deadline"),$I160&gt;=BE$4,$I160&lt;BE$4+7),IF($K160="Deadline","◇","◆"),"")</f>
        <v/>
      </c>
      <c r="BF160" s="14" t="str">
        <f>IF(AND(ISNUMBER($I160),OR($K160="Milestone",$K160="Deadline"),$I160&gt;=BF$4,$I160&lt;BF$4+7),IF($K160="Deadline","◇","◆"),"")</f>
        <v/>
      </c>
      <c r="BG160" s="14" t="str">
        <f>IF(AND(ISNUMBER($I160),OR($K160="Milestone",$K160="Deadline"),$I160&gt;=BG$4,$I160&lt;BG$4+7),IF($K160="Deadline","◇","◆"),"")</f>
        <v/>
      </c>
      <c r="BH160" s="14" t="str">
        <f>IF(AND(ISNUMBER($I160),OR($K160="Milestone",$K160="Deadline"),$I160&gt;=BH$4,$I160&lt;BH$4+7),IF($K160="Deadline","◇","◆"),"")</f>
        <v/>
      </c>
      <c r="BI160" s="14" t="str">
        <f>IF(AND(ISNUMBER($I160),OR($K160="Milestone",$K160="Deadline"),$I160&gt;=BI$4,$I160&lt;BI$4+7),IF($K160="Deadline","◇","◆"),"")</f>
        <v/>
      </c>
      <c r="BJ160" s="14" t="str">
        <f>IF(AND(ISNUMBER($I160),OR($K160="Milestone",$K160="Deadline"),$I160&gt;=BJ$4,$I160&lt;BJ$4+7),IF($K160="Deadline","◇","◆"),"")</f>
        <v/>
      </c>
      <c r="BK160" s="14" t="str">
        <f>IF(AND(ISNUMBER($I160),OR($K160="Milestone",$K160="Deadline"),$I160&gt;=BK$4,$I160&lt;BK$4+7),IF($K160="Deadline","◇","◆"),"")</f>
        <v/>
      </c>
      <c r="BL160" s="14" t="str">
        <f>IF(AND(ISNUMBER($I160),OR($K160="Milestone",$K160="Deadline"),$I160&gt;=BL$4,$I160&lt;BL$4+7),IF($K160="Deadline","◇","◆"),"")</f>
        <v/>
      </c>
      <c r="BM160" s="14" t="str">
        <f>IF(AND(ISNUMBER($I160),OR($K160="Milestone",$K160="Deadline"),$I160&gt;=BM$4,$I160&lt;BM$4+7),IF($K160="Deadline","◇","◆"),"")</f>
        <v/>
      </c>
      <c r="BN160" s="14" t="str">
        <f>IF(AND(ISNUMBER($I160),OR($K160="Milestone",$K160="Deadline"),$I160&gt;=BN$4,$I160&lt;BN$4+7),IF($K160="Deadline","◇","◆"),"")</f>
        <v/>
      </c>
      <c r="BO160" s="14" t="str">
        <f>IF(AND(ISNUMBER($I160),OR($K160="Milestone",$K160="Deadline"),$I160&gt;=BO$4,$I160&lt;BO$4+7),IF($K160="Deadline","◇","◆"),"")</f>
        <v/>
      </c>
      <c r="BP160" s="14" t="str">
        <f>IF(AND(ISNUMBER($I160),OR($K160="Milestone",$K160="Deadline"),$I160&gt;=BP$4,$I160&lt;BP$4+7),IF($K160="Deadline","◇","◆"),"")</f>
        <v/>
      </c>
      <c r="BQ160" s="14" t="str">
        <f>IF(AND(ISNUMBER($I160),OR($K160="Milestone",$K160="Deadline"),$I160&gt;=BQ$4,$I160&lt;BQ$4+7),IF($K160="Deadline","◇","◆"),"")</f>
        <v/>
      </c>
      <c r="BR160" s="14" t="str">
        <f>IF(AND(ISNUMBER($I160),OR($K160="Milestone",$K160="Deadline"),$I160&gt;=BR$4,$I160&lt;BR$4+7),IF($K160="Deadline","◇","◆"),"")</f>
        <v/>
      </c>
      <c r="BS160" s="14" t="str">
        <f>IF(AND(ISNUMBER($I160),OR($K160="Milestone",$K160="Deadline"),$I160&gt;=BS$4,$I160&lt;BS$4+7),IF($K160="Deadline","◇","◆"),"")</f>
        <v/>
      </c>
      <c r="BT160" s="14" t="str">
        <f>IF(AND(ISNUMBER($I160),OR($K160="Milestone",$K160="Deadline"),$I160&gt;=BT$4,$I160&lt;BT$4+7),IF($K160="Deadline","◇","◆"),"")</f>
        <v/>
      </c>
      <c r="BU160" s="14" t="str">
        <f>IF(AND(ISNUMBER($I160),OR($K160="Milestone",$K160="Deadline"),$I160&gt;=BU$4,$I160&lt;BU$4+7),IF($K160="Deadline","◇","◆"),"")</f>
        <v/>
      </c>
      <c r="BV160" s="14" t="str">
        <f>IF(AND(ISNUMBER($I160),OR($K160="Milestone",$K160="Deadline"),$I160&gt;=BV$4,$I160&lt;BV$4+7),IF($K160="Deadline","◇","◆"),"")</f>
        <v/>
      </c>
      <c r="BW160" s="14" t="str">
        <f>IF(AND(ISNUMBER($I160),OR($K160="Milestone",$K160="Deadline"),$I160&gt;=BW$4,$I160&lt;BW$4+7),IF($K160="Deadline","◇","◆"),"")</f>
        <v/>
      </c>
      <c r="BX160" s="14" t="str">
        <f>IF(AND(ISNUMBER($I160),OR($K160="Milestone",$K160="Deadline"),$I160&gt;=BX$4,$I160&lt;BX$4+7),IF($K160="Deadline","◇","◆"),"")</f>
        <v/>
      </c>
      <c r="BY160" s="14" t="str">
        <f>IF(AND(ISNUMBER($I160),OR($K160="Milestone",$K160="Deadline"),$I160&gt;=BY$4,$I160&lt;BY$4+7),IF($K160="Deadline","◇","◆"),"")</f>
        <v/>
      </c>
      <c r="BZ160" s="14" t="str">
        <f>IF(AND(ISNUMBER($I160),OR($K160="Milestone",$K160="Deadline"),$I160&gt;=BZ$4,$I160&lt;BZ$4+7),IF($K160="Deadline","◇","◆"),"")</f>
        <v/>
      </c>
      <c r="CA160" s="14" t="str">
        <f>IF(AND(ISNUMBER($I160),OR($K160="Milestone",$K160="Deadline"),$I160&gt;=CA$4,$I160&lt;CA$4+7),IF($K160="Deadline","◇","◆"),"")</f>
        <v/>
      </c>
      <c r="CB160" s="14" t="str">
        <f>IF(AND(ISNUMBER($I160),OR($K160="Milestone",$K160="Deadline"),$I160&gt;=CB$4,$I160&lt;CB$4+7),IF($K160="Deadline","◇","◆"),"")</f>
        <v/>
      </c>
      <c r="CC160" s="14" t="str">
        <f>IF(AND(ISNUMBER($I160),OR($K160="Milestone",$K160="Deadline"),$I160&gt;=CC$4,$I160&lt;CC$4+7),IF($K160="Deadline","◇","◆"),"")</f>
        <v/>
      </c>
      <c r="CD160" s="14" t="str">
        <f>IF(AND(ISNUMBER($I160),OR($K160="Milestone",$K160="Deadline"),$I160&gt;=CD$4,$I160&lt;CD$4+7),IF($K160="Deadline","◇","◆"),"")</f>
        <v/>
      </c>
      <c r="CE160" s="14" t="str">
        <f>IF(AND(ISNUMBER($I160),OR($K160="Milestone",$K160="Deadline"),$I160&gt;=CE$4,$I160&lt;CE$4+7),IF($K160="Deadline","◇","◆"),"")</f>
        <v/>
      </c>
      <c r="CF160" s="14" t="str">
        <f>IF(AND(ISNUMBER($I160),OR($K160="Milestone",$K160="Deadline"),$I160&gt;=CF$4,$I160&lt;CF$4+7),IF($K160="Deadline","◇","◆"),"")</f>
        <v/>
      </c>
      <c r="CG160" s="14" t="str">
        <f>IF(AND(ISNUMBER($I160),OR($K160="Milestone",$K160="Deadline"),$I160&gt;=CG$4,$I160&lt;CG$4+7),IF($K160="Deadline","◇","◆"),"")</f>
        <v/>
      </c>
      <c r="CH160" s="14" t="str">
        <f>IF(AND(ISNUMBER($I160),OR($K160="Milestone",$K160="Deadline"),$I160&gt;=CH$4,$I160&lt;CH$4+7),IF($K160="Deadline","◇","◆"),"")</f>
        <v/>
      </c>
      <c r="CI160" s="14" t="str">
        <f>IF(AND(ISNUMBER($I160),OR($K160="Milestone",$K160="Deadline"),$I160&gt;=CI$4,$I160&lt;CI$4+7),IF($K160="Deadline","◇","◆"),"")</f>
        <v/>
      </c>
      <c r="CJ160" s="14" t="str">
        <f>IF(AND(ISNUMBER($I160),OR($K160="Milestone",$K160="Deadline"),$I160&gt;=CJ$4,$I160&lt;CJ$4+7),IF($K160="Deadline","◇","◆"),"")</f>
        <v/>
      </c>
      <c r="CK160" s="14" t="str">
        <f>IF(AND(ISNUMBER($I160),OR($K160="Milestone",$K160="Deadline"),$I160&gt;=CK$4,$I160&lt;CK$4+7),IF($K160="Deadline","◇","◆"),"")</f>
        <v/>
      </c>
      <c r="CL160" s="14" t="str">
        <f>IF(AND(ISNUMBER($I160),OR($K160="Milestone",$K160="Deadline"),$I160&gt;=CL$4,$I160&lt;CL$4+7),IF($K160="Deadline","◇","◆"),"")</f>
        <v/>
      </c>
      <c r="CM160" s="14" t="str">
        <f>IF(AND(ISNUMBER($I160),OR($K160="Milestone",$K160="Deadline"),$I160&gt;=CM$4,$I160&lt;CM$4+7),IF($K160="Deadline","◇","◆"),"")</f>
        <v/>
      </c>
    </row>
    <row r="161" spans="1:91" ht="15" hidden="1" customHeight="1">
      <c r="A161" s="39" t="s">
        <v>259</v>
      </c>
      <c r="B161" s="39" t="s">
        <v>386</v>
      </c>
      <c r="C161" s="39" t="s">
        <v>93</v>
      </c>
      <c r="D161" s="39" t="s">
        <v>348</v>
      </c>
      <c r="E161" s="39" t="s">
        <v>281</v>
      </c>
      <c r="F161" s="39" t="s">
        <v>170</v>
      </c>
      <c r="G161" s="39" t="s">
        <v>184</v>
      </c>
      <c r="H161" s="39">
        <v>7</v>
      </c>
      <c r="I161" s="40">
        <f>MAX($C$2,J160+1,J79+1)</f>
        <v>46367</v>
      </c>
      <c r="J161" s="41">
        <f>IF(AND(ISNUMBER(I161),ISNUMBER(H161)),I161+H161-1,"")</f>
        <v>46373</v>
      </c>
      <c r="K161" s="39" t="s">
        <v>27</v>
      </c>
      <c r="L161" s="39" t="s">
        <v>390</v>
      </c>
      <c r="M161" s="42" t="s">
        <v>247</v>
      </c>
      <c r="N161" s="39"/>
      <c r="O161" s="42">
        <f>IF(AND(ISNUMBER(I161),ISNUMBER(J161)),J161-I161+1,"")</f>
        <v>7</v>
      </c>
      <c r="P161" s="13"/>
      <c r="Q161" s="13"/>
      <c r="R161" s="13"/>
      <c r="S161" s="13"/>
      <c r="T161" s="13"/>
      <c r="U161" s="13"/>
      <c r="V161" s="13"/>
      <c r="W161" s="13"/>
      <c r="X161" s="13"/>
      <c r="Y161" s="13" t="s">
        <v>140</v>
      </c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4" t="str">
        <f>IF(AND(ISNUMBER($I161),OR($K161="Milestone",$K161="Deadline"),$I161&gt;=AO$4,$I161&lt;AO$4+7),IF($K161="Deadline","◇","◆"),"")</f>
        <v/>
      </c>
      <c r="AP161" s="14" t="str">
        <f>IF(AND(ISNUMBER($I161),OR($K161="Milestone",$K161="Deadline"),$I161&gt;=AP$4,$I161&lt;AP$4+7),IF($K161="Deadline","◇","◆"),"")</f>
        <v/>
      </c>
      <c r="AQ161" s="14" t="str">
        <f>IF(AND(ISNUMBER($I161),OR($K161="Milestone",$K161="Deadline"),$I161&gt;=AQ$4,$I161&lt;AQ$4+7),IF($K161="Deadline","◇","◆"),"")</f>
        <v/>
      </c>
      <c r="AR161" s="14" t="str">
        <f>IF(AND(ISNUMBER($I161),OR($K161="Milestone",$K161="Deadline"),$I161&gt;=AR$4,$I161&lt;AR$4+7),IF($K161="Deadline","◇","◆"),"")</f>
        <v/>
      </c>
      <c r="AS161" s="14" t="str">
        <f>IF(AND(ISNUMBER($I161),OR($K161="Milestone",$K161="Deadline"),$I161&gt;=AS$4,$I161&lt;AS$4+7),IF($K161="Deadline","◇","◆"),"")</f>
        <v/>
      </c>
      <c r="AT161" s="14" t="str">
        <f>IF(AND(ISNUMBER($I161),OR($K161="Milestone",$K161="Deadline"),$I161&gt;=AT$4,$I161&lt;AT$4+7),IF($K161="Deadline","◇","◆"),"")</f>
        <v/>
      </c>
      <c r="AU161" s="14" t="str">
        <f>IF(AND(ISNUMBER($I161),OR($K161="Milestone",$K161="Deadline"),$I161&gt;=AU$4,$I161&lt;AU$4+7),IF($K161="Deadline","◇","◆"),"")</f>
        <v/>
      </c>
      <c r="AV161" s="14" t="str">
        <f>IF(AND(ISNUMBER($I161),OR($K161="Milestone",$K161="Deadline"),$I161&gt;=AV$4,$I161&lt;AV$4+7),IF($K161="Deadline","◇","◆"),"")</f>
        <v/>
      </c>
      <c r="AW161" s="14" t="str">
        <f>IF(AND(ISNUMBER($I161),OR($K161="Milestone",$K161="Deadline"),$I161&gt;=AW$4,$I161&lt;AW$4+7),IF($K161="Deadline","◇","◆"),"")</f>
        <v/>
      </c>
      <c r="AX161" s="14" t="str">
        <f>IF(AND(ISNUMBER($I161),OR($K161="Milestone",$K161="Deadline"),$I161&gt;=AX$4,$I161&lt;AX$4+7),IF($K161="Deadline","◇","◆"),"")</f>
        <v/>
      </c>
      <c r="AY161" s="14" t="str">
        <f>IF(AND(ISNUMBER($I161),OR($K161="Milestone",$K161="Deadline"),$I161&gt;=AY$4,$I161&lt;AY$4+7),IF($K161="Deadline","◇","◆"),"")</f>
        <v/>
      </c>
      <c r="AZ161" s="14" t="str">
        <f>IF(AND(ISNUMBER($I161),OR($K161="Milestone",$K161="Deadline"),$I161&gt;=AZ$4,$I161&lt;AZ$4+7),IF($K161="Deadline","◇","◆"),"")</f>
        <v/>
      </c>
      <c r="BA161" s="14" t="str">
        <f>IF(AND(ISNUMBER($I161),OR($K161="Milestone",$K161="Deadline"),$I161&gt;=BA$4,$I161&lt;BA$4+7),IF($K161="Deadline","◇","◆"),"")</f>
        <v/>
      </c>
      <c r="BB161" s="14" t="str">
        <f>IF(AND(ISNUMBER($I161),OR($K161="Milestone",$K161="Deadline"),$I161&gt;=BB$4,$I161&lt;BB$4+7),IF($K161="Deadline","◇","◆"),"")</f>
        <v/>
      </c>
      <c r="BC161" s="14" t="str">
        <f>IF(AND(ISNUMBER($I161),OR($K161="Milestone",$K161="Deadline"),$I161&gt;=BC$4,$I161&lt;BC$4+7),IF($K161="Deadline","◇","◆"),"")</f>
        <v/>
      </c>
      <c r="BD161" s="14" t="str">
        <f>IF(AND(ISNUMBER($I161),OR($K161="Milestone",$K161="Deadline"),$I161&gt;=BD$4,$I161&lt;BD$4+7),IF($K161="Deadline","◇","◆"),"")</f>
        <v/>
      </c>
      <c r="BE161" s="14" t="str">
        <f>IF(AND(ISNUMBER($I161),OR($K161="Milestone",$K161="Deadline"),$I161&gt;=BE$4,$I161&lt;BE$4+7),IF($K161="Deadline","◇","◆"),"")</f>
        <v/>
      </c>
      <c r="BF161" s="14" t="str">
        <f>IF(AND(ISNUMBER($I161),OR($K161="Milestone",$K161="Deadline"),$I161&gt;=BF$4,$I161&lt;BF$4+7),IF($K161="Deadline","◇","◆"),"")</f>
        <v/>
      </c>
      <c r="BG161" s="14" t="str">
        <f>IF(AND(ISNUMBER($I161),OR($K161="Milestone",$K161="Deadline"),$I161&gt;=BG$4,$I161&lt;BG$4+7),IF($K161="Deadline","◇","◆"),"")</f>
        <v/>
      </c>
      <c r="BH161" s="14" t="str">
        <f>IF(AND(ISNUMBER($I161),OR($K161="Milestone",$K161="Deadline"),$I161&gt;=BH$4,$I161&lt;BH$4+7),IF($K161="Deadline","◇","◆"),"")</f>
        <v/>
      </c>
      <c r="BI161" s="14" t="str">
        <f>IF(AND(ISNUMBER($I161),OR($K161="Milestone",$K161="Deadline"),$I161&gt;=BI$4,$I161&lt;BI$4+7),IF($K161="Deadline","◇","◆"),"")</f>
        <v/>
      </c>
      <c r="BJ161" s="14" t="str">
        <f>IF(AND(ISNUMBER($I161),OR($K161="Milestone",$K161="Deadline"),$I161&gt;=BJ$4,$I161&lt;BJ$4+7),IF($K161="Deadline","◇","◆"),"")</f>
        <v/>
      </c>
      <c r="BK161" s="14" t="str">
        <f>IF(AND(ISNUMBER($I161),OR($K161="Milestone",$K161="Deadline"),$I161&gt;=BK$4,$I161&lt;BK$4+7),IF($K161="Deadline","◇","◆"),"")</f>
        <v/>
      </c>
      <c r="BL161" s="14" t="str">
        <f>IF(AND(ISNUMBER($I161),OR($K161="Milestone",$K161="Deadline"),$I161&gt;=BL$4,$I161&lt;BL$4+7),IF($K161="Deadline","◇","◆"),"")</f>
        <v/>
      </c>
      <c r="BM161" s="14" t="str">
        <f>IF(AND(ISNUMBER($I161),OR($K161="Milestone",$K161="Deadline"),$I161&gt;=BM$4,$I161&lt;BM$4+7),IF($K161="Deadline","◇","◆"),"")</f>
        <v/>
      </c>
      <c r="BN161" s="14" t="str">
        <f>IF(AND(ISNUMBER($I161),OR($K161="Milestone",$K161="Deadline"),$I161&gt;=BN$4,$I161&lt;BN$4+7),IF($K161="Deadline","◇","◆"),"")</f>
        <v/>
      </c>
      <c r="BO161" s="14" t="str">
        <f>IF(AND(ISNUMBER($I161),OR($K161="Milestone",$K161="Deadline"),$I161&gt;=BO$4,$I161&lt;BO$4+7),IF($K161="Deadline","◇","◆"),"")</f>
        <v/>
      </c>
      <c r="BP161" s="14" t="str">
        <f>IF(AND(ISNUMBER($I161),OR($K161="Milestone",$K161="Deadline"),$I161&gt;=BP$4,$I161&lt;BP$4+7),IF($K161="Deadline","◇","◆"),"")</f>
        <v/>
      </c>
      <c r="BQ161" s="14" t="str">
        <f>IF(AND(ISNUMBER($I161),OR($K161="Milestone",$K161="Deadline"),$I161&gt;=BQ$4,$I161&lt;BQ$4+7),IF($K161="Deadline","◇","◆"),"")</f>
        <v/>
      </c>
      <c r="BR161" s="14" t="str">
        <f>IF(AND(ISNUMBER($I161),OR($K161="Milestone",$K161="Deadline"),$I161&gt;=BR$4,$I161&lt;BR$4+7),IF($K161="Deadline","◇","◆"),"")</f>
        <v/>
      </c>
      <c r="BS161" s="14" t="str">
        <f>IF(AND(ISNUMBER($I161),OR($K161="Milestone",$K161="Deadline"),$I161&gt;=BS$4,$I161&lt;BS$4+7),IF($K161="Deadline","◇","◆"),"")</f>
        <v/>
      </c>
      <c r="BT161" s="14" t="str">
        <f>IF(AND(ISNUMBER($I161),OR($K161="Milestone",$K161="Deadline"),$I161&gt;=BT$4,$I161&lt;BT$4+7),IF($K161="Deadline","◇","◆"),"")</f>
        <v/>
      </c>
      <c r="BU161" s="14" t="str">
        <f>IF(AND(ISNUMBER($I161),OR($K161="Milestone",$K161="Deadline"),$I161&gt;=BU$4,$I161&lt;BU$4+7),IF($K161="Deadline","◇","◆"),"")</f>
        <v/>
      </c>
      <c r="BV161" s="14" t="str">
        <f>IF(AND(ISNUMBER($I161),OR($K161="Milestone",$K161="Deadline"),$I161&gt;=BV$4,$I161&lt;BV$4+7),IF($K161="Deadline","◇","◆"),"")</f>
        <v/>
      </c>
      <c r="BW161" s="14" t="str">
        <f>IF(AND(ISNUMBER($I161),OR($K161="Milestone",$K161="Deadline"),$I161&gt;=BW$4,$I161&lt;BW$4+7),IF($K161="Deadline","◇","◆"),"")</f>
        <v/>
      </c>
      <c r="BX161" s="14" t="str">
        <f>IF(AND(ISNUMBER($I161),OR($K161="Milestone",$K161="Deadline"),$I161&gt;=BX$4,$I161&lt;BX$4+7),IF($K161="Deadline","◇","◆"),"")</f>
        <v/>
      </c>
      <c r="BY161" s="14" t="str">
        <f>IF(AND(ISNUMBER($I161),OR($K161="Milestone",$K161="Deadline"),$I161&gt;=BY$4,$I161&lt;BY$4+7),IF($K161="Deadline","◇","◆"),"")</f>
        <v/>
      </c>
      <c r="BZ161" s="14" t="str">
        <f>IF(AND(ISNUMBER($I161),OR($K161="Milestone",$K161="Deadline"),$I161&gt;=BZ$4,$I161&lt;BZ$4+7),IF($K161="Deadline","◇","◆"),"")</f>
        <v/>
      </c>
      <c r="CA161" s="14" t="str">
        <f>IF(AND(ISNUMBER($I161),OR($K161="Milestone",$K161="Deadline"),$I161&gt;=CA$4,$I161&lt;CA$4+7),IF($K161="Deadline","◇","◆"),"")</f>
        <v/>
      </c>
      <c r="CB161" s="14" t="str">
        <f>IF(AND(ISNUMBER($I161),OR($K161="Milestone",$K161="Deadline"),$I161&gt;=CB$4,$I161&lt;CB$4+7),IF($K161="Deadline","◇","◆"),"")</f>
        <v/>
      </c>
      <c r="CC161" s="14" t="str">
        <f>IF(AND(ISNUMBER($I161),OR($K161="Milestone",$K161="Deadline"),$I161&gt;=CC$4,$I161&lt;CC$4+7),IF($K161="Deadline","◇","◆"),"")</f>
        <v/>
      </c>
      <c r="CD161" s="14" t="str">
        <f>IF(AND(ISNUMBER($I161),OR($K161="Milestone",$K161="Deadline"),$I161&gt;=CD$4,$I161&lt;CD$4+7),IF($K161="Deadline","◇","◆"),"")</f>
        <v/>
      </c>
      <c r="CE161" s="14" t="str">
        <f>IF(AND(ISNUMBER($I161),OR($K161="Milestone",$K161="Deadline"),$I161&gt;=CE$4,$I161&lt;CE$4+7),IF($K161="Deadline","◇","◆"),"")</f>
        <v/>
      </c>
      <c r="CF161" s="14" t="str">
        <f>IF(AND(ISNUMBER($I161),OR($K161="Milestone",$K161="Deadline"),$I161&gt;=CF$4,$I161&lt;CF$4+7),IF($K161="Deadline","◇","◆"),"")</f>
        <v/>
      </c>
      <c r="CG161" s="14" t="str">
        <f>IF(AND(ISNUMBER($I161),OR($K161="Milestone",$K161="Deadline"),$I161&gt;=CG$4,$I161&lt;CG$4+7),IF($K161="Deadline","◇","◆"),"")</f>
        <v/>
      </c>
      <c r="CH161" s="14" t="str">
        <f>IF(AND(ISNUMBER($I161),OR($K161="Milestone",$K161="Deadline"),$I161&gt;=CH$4,$I161&lt;CH$4+7),IF($K161="Deadline","◇","◆"),"")</f>
        <v/>
      </c>
      <c r="CI161" s="14" t="str">
        <f>IF(AND(ISNUMBER($I161),OR($K161="Milestone",$K161="Deadline"),$I161&gt;=CI$4,$I161&lt;CI$4+7),IF($K161="Deadline","◇","◆"),"")</f>
        <v/>
      </c>
      <c r="CJ161" s="14" t="str">
        <f>IF(AND(ISNUMBER($I161),OR($K161="Milestone",$K161="Deadline"),$I161&gt;=CJ$4,$I161&lt;CJ$4+7),IF($K161="Deadline","◇","◆"),"")</f>
        <v/>
      </c>
      <c r="CK161" s="14" t="str">
        <f>IF(AND(ISNUMBER($I161),OR($K161="Milestone",$K161="Deadline"),$I161&gt;=CK$4,$I161&lt;CK$4+7),IF($K161="Deadline","◇","◆"),"")</f>
        <v/>
      </c>
      <c r="CL161" s="14" t="str">
        <f>IF(AND(ISNUMBER($I161),OR($K161="Milestone",$K161="Deadline"),$I161&gt;=CL$4,$I161&lt;CL$4+7),IF($K161="Deadline","◇","◆"),"")</f>
        <v/>
      </c>
      <c r="CM161" s="14" t="str">
        <f>IF(AND(ISNUMBER($I161),OR($K161="Milestone",$K161="Deadline"),$I161&gt;=CM$4,$I161&lt;CM$4+7),IF($K161="Deadline","◇","◆"),"")</f>
        <v/>
      </c>
    </row>
    <row r="162" spans="1:91" ht="15" hidden="1" customHeight="1">
      <c r="A162" s="39" t="s">
        <v>374</v>
      </c>
      <c r="B162" s="39" t="s">
        <v>386</v>
      </c>
      <c r="C162" s="39" t="s">
        <v>93</v>
      </c>
      <c r="D162" s="39" t="s">
        <v>348</v>
      </c>
      <c r="E162" s="39" t="s">
        <v>281</v>
      </c>
      <c r="F162" s="39" t="s">
        <v>170</v>
      </c>
      <c r="G162" s="39" t="s">
        <v>275</v>
      </c>
      <c r="H162" s="39">
        <v>8</v>
      </c>
      <c r="I162" s="40">
        <f>MAX($C$2,J161+1,J138+1)</f>
        <v>46393</v>
      </c>
      <c r="J162" s="41">
        <f>IF(AND(ISNUMBER(I162),ISNUMBER(H162)),I162+H162-1,"")</f>
        <v>46400</v>
      </c>
      <c r="K162" s="39" t="s">
        <v>27</v>
      </c>
      <c r="L162" s="39" t="s">
        <v>259</v>
      </c>
      <c r="M162" s="42" t="s">
        <v>352</v>
      </c>
      <c r="N162" s="39"/>
      <c r="O162" s="42">
        <f>IF(AND(ISNUMBER(I162),ISNUMBER(J162)),J162-I162+1,"")</f>
        <v>8</v>
      </c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 t="s">
        <v>140</v>
      </c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4" t="str">
        <f>IF(AND(ISNUMBER($I162),OR($K162="Milestone",$K162="Deadline"),$I162&gt;=AO$4,$I162&lt;AO$4+7),IF($K162="Deadline","◇","◆"),"")</f>
        <v/>
      </c>
      <c r="AP162" s="14" t="str">
        <f>IF(AND(ISNUMBER($I162),OR($K162="Milestone",$K162="Deadline"),$I162&gt;=AP$4,$I162&lt;AP$4+7),IF($K162="Deadline","◇","◆"),"")</f>
        <v/>
      </c>
      <c r="AQ162" s="14" t="str">
        <f>IF(AND(ISNUMBER($I162),OR($K162="Milestone",$K162="Deadline"),$I162&gt;=AQ$4,$I162&lt;AQ$4+7),IF($K162="Deadline","◇","◆"),"")</f>
        <v/>
      </c>
      <c r="AR162" s="14" t="str">
        <f>IF(AND(ISNUMBER($I162),OR($K162="Milestone",$K162="Deadline"),$I162&gt;=AR$4,$I162&lt;AR$4+7),IF($K162="Deadline","◇","◆"),"")</f>
        <v/>
      </c>
      <c r="AS162" s="14" t="str">
        <f>IF(AND(ISNUMBER($I162),OR($K162="Milestone",$K162="Deadline"),$I162&gt;=AS$4,$I162&lt;AS$4+7),IF($K162="Deadline","◇","◆"),"")</f>
        <v/>
      </c>
      <c r="AT162" s="14" t="str">
        <f>IF(AND(ISNUMBER($I162),OR($K162="Milestone",$K162="Deadline"),$I162&gt;=AT$4,$I162&lt;AT$4+7),IF($K162="Deadline","◇","◆"),"")</f>
        <v/>
      </c>
      <c r="AU162" s="14" t="str">
        <f>IF(AND(ISNUMBER($I162),OR($K162="Milestone",$K162="Deadline"),$I162&gt;=AU$4,$I162&lt;AU$4+7),IF($K162="Deadline","◇","◆"),"")</f>
        <v/>
      </c>
      <c r="AV162" s="14" t="str">
        <f>IF(AND(ISNUMBER($I162),OR($K162="Milestone",$K162="Deadline"),$I162&gt;=AV$4,$I162&lt;AV$4+7),IF($K162="Deadline","◇","◆"),"")</f>
        <v/>
      </c>
      <c r="AW162" s="14" t="str">
        <f>IF(AND(ISNUMBER($I162),OR($K162="Milestone",$K162="Deadline"),$I162&gt;=AW$4,$I162&lt;AW$4+7),IF($K162="Deadline","◇","◆"),"")</f>
        <v/>
      </c>
      <c r="AX162" s="14" t="str">
        <f>IF(AND(ISNUMBER($I162),OR($K162="Milestone",$K162="Deadline"),$I162&gt;=AX$4,$I162&lt;AX$4+7),IF($K162="Deadline","◇","◆"),"")</f>
        <v/>
      </c>
      <c r="AY162" s="14" t="str">
        <f>IF(AND(ISNUMBER($I162),OR($K162="Milestone",$K162="Deadline"),$I162&gt;=AY$4,$I162&lt;AY$4+7),IF($K162="Deadline","◇","◆"),"")</f>
        <v/>
      </c>
      <c r="AZ162" s="14" t="str">
        <f>IF(AND(ISNUMBER($I162),OR($K162="Milestone",$K162="Deadline"),$I162&gt;=AZ$4,$I162&lt;AZ$4+7),IF($K162="Deadline","◇","◆"),"")</f>
        <v/>
      </c>
      <c r="BA162" s="14" t="str">
        <f>IF(AND(ISNUMBER($I162),OR($K162="Milestone",$K162="Deadline"),$I162&gt;=BA$4,$I162&lt;BA$4+7),IF($K162="Deadline","◇","◆"),"")</f>
        <v/>
      </c>
      <c r="BB162" s="14" t="str">
        <f>IF(AND(ISNUMBER($I162),OR($K162="Milestone",$K162="Deadline"),$I162&gt;=BB$4,$I162&lt;BB$4+7),IF($K162="Deadline","◇","◆"),"")</f>
        <v/>
      </c>
      <c r="BC162" s="14" t="str">
        <f>IF(AND(ISNUMBER($I162),OR($K162="Milestone",$K162="Deadline"),$I162&gt;=BC$4,$I162&lt;BC$4+7),IF($K162="Deadline","◇","◆"),"")</f>
        <v/>
      </c>
      <c r="BD162" s="14" t="str">
        <f>IF(AND(ISNUMBER($I162),OR($K162="Milestone",$K162="Deadline"),$I162&gt;=BD$4,$I162&lt;BD$4+7),IF($K162="Deadline","◇","◆"),"")</f>
        <v/>
      </c>
      <c r="BE162" s="14" t="str">
        <f>IF(AND(ISNUMBER($I162),OR($K162="Milestone",$K162="Deadline"),$I162&gt;=BE$4,$I162&lt;BE$4+7),IF($K162="Deadline","◇","◆"),"")</f>
        <v/>
      </c>
      <c r="BF162" s="14" t="str">
        <f>IF(AND(ISNUMBER($I162),OR($K162="Milestone",$K162="Deadline"),$I162&gt;=BF$4,$I162&lt;BF$4+7),IF($K162="Deadline","◇","◆"),"")</f>
        <v/>
      </c>
      <c r="BG162" s="14" t="str">
        <f>IF(AND(ISNUMBER($I162),OR($K162="Milestone",$K162="Deadline"),$I162&gt;=BG$4,$I162&lt;BG$4+7),IF($K162="Deadline","◇","◆"),"")</f>
        <v/>
      </c>
      <c r="BH162" s="14" t="str">
        <f>IF(AND(ISNUMBER($I162),OR($K162="Milestone",$K162="Deadline"),$I162&gt;=BH$4,$I162&lt;BH$4+7),IF($K162="Deadline","◇","◆"),"")</f>
        <v/>
      </c>
      <c r="BI162" s="14" t="str">
        <f>IF(AND(ISNUMBER($I162),OR($K162="Milestone",$K162="Deadline"),$I162&gt;=BI$4,$I162&lt;BI$4+7),IF($K162="Deadline","◇","◆"),"")</f>
        <v/>
      </c>
      <c r="BJ162" s="14" t="str">
        <f>IF(AND(ISNUMBER($I162),OR($K162="Milestone",$K162="Deadline"),$I162&gt;=BJ$4,$I162&lt;BJ$4+7),IF($K162="Deadline","◇","◆"),"")</f>
        <v/>
      </c>
      <c r="BK162" s="14" t="str">
        <f>IF(AND(ISNUMBER($I162),OR($K162="Milestone",$K162="Deadline"),$I162&gt;=BK$4,$I162&lt;BK$4+7),IF($K162="Deadline","◇","◆"),"")</f>
        <v/>
      </c>
      <c r="BL162" s="14" t="str">
        <f>IF(AND(ISNUMBER($I162),OR($K162="Milestone",$K162="Deadline"),$I162&gt;=BL$4,$I162&lt;BL$4+7),IF($K162="Deadline","◇","◆"),"")</f>
        <v/>
      </c>
      <c r="BM162" s="14" t="str">
        <f>IF(AND(ISNUMBER($I162),OR($K162="Milestone",$K162="Deadline"),$I162&gt;=BM$4,$I162&lt;BM$4+7),IF($K162="Deadline","◇","◆"),"")</f>
        <v/>
      </c>
      <c r="BN162" s="14" t="str">
        <f>IF(AND(ISNUMBER($I162),OR($K162="Milestone",$K162="Deadline"),$I162&gt;=BN$4,$I162&lt;BN$4+7),IF($K162="Deadline","◇","◆"),"")</f>
        <v/>
      </c>
      <c r="BO162" s="14" t="str">
        <f>IF(AND(ISNUMBER($I162),OR($K162="Milestone",$K162="Deadline"),$I162&gt;=BO$4,$I162&lt;BO$4+7),IF($K162="Deadline","◇","◆"),"")</f>
        <v/>
      </c>
      <c r="BP162" s="14" t="str">
        <f>IF(AND(ISNUMBER($I162),OR($K162="Milestone",$K162="Deadline"),$I162&gt;=BP$4,$I162&lt;BP$4+7),IF($K162="Deadline","◇","◆"),"")</f>
        <v/>
      </c>
      <c r="BQ162" s="14" t="str">
        <f>IF(AND(ISNUMBER($I162),OR($K162="Milestone",$K162="Deadline"),$I162&gt;=BQ$4,$I162&lt;BQ$4+7),IF($K162="Deadline","◇","◆"),"")</f>
        <v/>
      </c>
      <c r="BR162" s="14" t="str">
        <f>IF(AND(ISNUMBER($I162),OR($K162="Milestone",$K162="Deadline"),$I162&gt;=BR$4,$I162&lt;BR$4+7),IF($K162="Deadline","◇","◆"),"")</f>
        <v/>
      </c>
      <c r="BS162" s="14" t="str">
        <f>IF(AND(ISNUMBER($I162),OR($K162="Milestone",$K162="Deadline"),$I162&gt;=BS$4,$I162&lt;BS$4+7),IF($K162="Deadline","◇","◆"),"")</f>
        <v/>
      </c>
      <c r="BT162" s="14" t="str">
        <f>IF(AND(ISNUMBER($I162),OR($K162="Milestone",$K162="Deadline"),$I162&gt;=BT$4,$I162&lt;BT$4+7),IF($K162="Deadline","◇","◆"),"")</f>
        <v/>
      </c>
      <c r="BU162" s="14" t="str">
        <f>IF(AND(ISNUMBER($I162),OR($K162="Milestone",$K162="Deadline"),$I162&gt;=BU$4,$I162&lt;BU$4+7),IF($K162="Deadline","◇","◆"),"")</f>
        <v/>
      </c>
      <c r="BV162" s="14" t="str">
        <f>IF(AND(ISNUMBER($I162),OR($K162="Milestone",$K162="Deadline"),$I162&gt;=BV$4,$I162&lt;BV$4+7),IF($K162="Deadline","◇","◆"),"")</f>
        <v/>
      </c>
      <c r="BW162" s="14" t="str">
        <f>IF(AND(ISNUMBER($I162),OR($K162="Milestone",$K162="Deadline"),$I162&gt;=BW$4,$I162&lt;BW$4+7),IF($K162="Deadline","◇","◆"),"")</f>
        <v/>
      </c>
      <c r="BX162" s="14" t="str">
        <f>IF(AND(ISNUMBER($I162),OR($K162="Milestone",$K162="Deadline"),$I162&gt;=BX$4,$I162&lt;BX$4+7),IF($K162="Deadline","◇","◆"),"")</f>
        <v/>
      </c>
      <c r="BY162" s="14" t="str">
        <f>IF(AND(ISNUMBER($I162),OR($K162="Milestone",$K162="Deadline"),$I162&gt;=BY$4,$I162&lt;BY$4+7),IF($K162="Deadline","◇","◆"),"")</f>
        <v/>
      </c>
      <c r="BZ162" s="14" t="str">
        <f>IF(AND(ISNUMBER($I162),OR($K162="Milestone",$K162="Deadline"),$I162&gt;=BZ$4,$I162&lt;BZ$4+7),IF($K162="Deadline","◇","◆"),"")</f>
        <v/>
      </c>
      <c r="CA162" s="14" t="str">
        <f>IF(AND(ISNUMBER($I162),OR($K162="Milestone",$K162="Deadline"),$I162&gt;=CA$4,$I162&lt;CA$4+7),IF($K162="Deadline","◇","◆"),"")</f>
        <v/>
      </c>
      <c r="CB162" s="14" t="str">
        <f>IF(AND(ISNUMBER($I162),OR($K162="Milestone",$K162="Deadline"),$I162&gt;=CB$4,$I162&lt;CB$4+7),IF($K162="Deadline","◇","◆"),"")</f>
        <v/>
      </c>
      <c r="CC162" s="14" t="str">
        <f>IF(AND(ISNUMBER($I162),OR($K162="Milestone",$K162="Deadline"),$I162&gt;=CC$4,$I162&lt;CC$4+7),IF($K162="Deadline","◇","◆"),"")</f>
        <v/>
      </c>
      <c r="CD162" s="14" t="str">
        <f>IF(AND(ISNUMBER($I162),OR($K162="Milestone",$K162="Deadline"),$I162&gt;=CD$4,$I162&lt;CD$4+7),IF($K162="Deadline","◇","◆"),"")</f>
        <v/>
      </c>
      <c r="CE162" s="14" t="str">
        <f>IF(AND(ISNUMBER($I162),OR($K162="Milestone",$K162="Deadline"),$I162&gt;=CE$4,$I162&lt;CE$4+7),IF($K162="Deadline","◇","◆"),"")</f>
        <v/>
      </c>
      <c r="CF162" s="14" t="str">
        <f>IF(AND(ISNUMBER($I162),OR($K162="Milestone",$K162="Deadline"),$I162&gt;=CF$4,$I162&lt;CF$4+7),IF($K162="Deadline","◇","◆"),"")</f>
        <v/>
      </c>
      <c r="CG162" s="14" t="str">
        <f>IF(AND(ISNUMBER($I162),OR($K162="Milestone",$K162="Deadline"),$I162&gt;=CG$4,$I162&lt;CG$4+7),IF($K162="Deadline","◇","◆"),"")</f>
        <v/>
      </c>
      <c r="CH162" s="14" t="str">
        <f>IF(AND(ISNUMBER($I162),OR($K162="Milestone",$K162="Deadline"),$I162&gt;=CH$4,$I162&lt;CH$4+7),IF($K162="Deadline","◇","◆"),"")</f>
        <v/>
      </c>
      <c r="CI162" s="14" t="str">
        <f>IF(AND(ISNUMBER($I162),OR($K162="Milestone",$K162="Deadline"),$I162&gt;=CI$4,$I162&lt;CI$4+7),IF($K162="Deadline","◇","◆"),"")</f>
        <v/>
      </c>
      <c r="CJ162" s="14" t="str">
        <f>IF(AND(ISNUMBER($I162),OR($K162="Milestone",$K162="Deadline"),$I162&gt;=CJ$4,$I162&lt;CJ$4+7),IF($K162="Deadline","◇","◆"),"")</f>
        <v/>
      </c>
      <c r="CK162" s="14" t="str">
        <f>IF(AND(ISNUMBER($I162),OR($K162="Milestone",$K162="Deadline"),$I162&gt;=CK$4,$I162&lt;CK$4+7),IF($K162="Deadline","◇","◆"),"")</f>
        <v/>
      </c>
      <c r="CL162" s="14" t="str">
        <f>IF(AND(ISNUMBER($I162),OR($K162="Milestone",$K162="Deadline"),$I162&gt;=CL$4,$I162&lt;CL$4+7),IF($K162="Deadline","◇","◆"),"")</f>
        <v/>
      </c>
      <c r="CM162" s="14" t="str">
        <f>IF(AND(ISNUMBER($I162),OR($K162="Milestone",$K162="Deadline"),$I162&gt;=CM$4,$I162&lt;CM$4+7),IF($K162="Deadline","◇","◆"),"")</f>
        <v/>
      </c>
    </row>
    <row r="163" spans="1:91" ht="15" hidden="1" customHeight="1">
      <c r="A163" s="39" t="s">
        <v>392</v>
      </c>
      <c r="B163" s="39" t="s">
        <v>386</v>
      </c>
      <c r="C163" s="39" t="s">
        <v>191</v>
      </c>
      <c r="D163" s="39" t="s">
        <v>348</v>
      </c>
      <c r="E163" s="39" t="s">
        <v>281</v>
      </c>
      <c r="F163" s="39" t="s">
        <v>170</v>
      </c>
      <c r="G163" s="39" t="s">
        <v>278</v>
      </c>
      <c r="H163" s="39">
        <v>6</v>
      </c>
      <c r="I163" s="40">
        <f>MAX(DATE(2027,3,1),J162+1,J224+1)</f>
        <v>46447</v>
      </c>
      <c r="J163" s="41">
        <f>IF(AND(ISNUMBER(I163),ISNUMBER(H163)),I163+H163-1,"")</f>
        <v>46452</v>
      </c>
      <c r="K163" s="39" t="s">
        <v>27</v>
      </c>
      <c r="L163" s="39" t="s">
        <v>374</v>
      </c>
      <c r="M163" s="42" t="s">
        <v>393</v>
      </c>
      <c r="N163" s="39"/>
      <c r="O163" s="42">
        <f>IF(AND(ISNUMBER(I163),ISNUMBER(J163)),J163-I163+1,"")</f>
        <v>6</v>
      </c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 t="s">
        <v>140</v>
      </c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4" t="str">
        <f>IF(AND(ISNUMBER($I163),OR($K163="Milestone",$K163="Deadline"),$I163&gt;=AO$4,$I163&lt;AO$4+7),IF($K163="Deadline","◇","◆"),"")</f>
        <v/>
      </c>
      <c r="AP163" s="14" t="str">
        <f>IF(AND(ISNUMBER($I163),OR($K163="Milestone",$K163="Deadline"),$I163&gt;=AP$4,$I163&lt;AP$4+7),IF($K163="Deadline","◇","◆"),"")</f>
        <v/>
      </c>
      <c r="AQ163" s="14" t="str">
        <f>IF(AND(ISNUMBER($I163),OR($K163="Milestone",$K163="Deadline"),$I163&gt;=AQ$4,$I163&lt;AQ$4+7),IF($K163="Deadline","◇","◆"),"")</f>
        <v/>
      </c>
      <c r="AR163" s="14" t="str">
        <f>IF(AND(ISNUMBER($I163),OR($K163="Milestone",$K163="Deadline"),$I163&gt;=AR$4,$I163&lt;AR$4+7),IF($K163="Deadline","◇","◆"),"")</f>
        <v/>
      </c>
      <c r="AS163" s="14" t="str">
        <f>IF(AND(ISNUMBER($I163),OR($K163="Milestone",$K163="Deadline"),$I163&gt;=AS$4,$I163&lt;AS$4+7),IF($K163="Deadline","◇","◆"),"")</f>
        <v/>
      </c>
      <c r="AT163" s="14" t="str">
        <f>IF(AND(ISNUMBER($I163),OR($K163="Milestone",$K163="Deadline"),$I163&gt;=AT$4,$I163&lt;AT$4+7),IF($K163="Deadline","◇","◆"),"")</f>
        <v/>
      </c>
      <c r="AU163" s="14" t="str">
        <f>IF(AND(ISNUMBER($I163),OR($K163="Milestone",$K163="Deadline"),$I163&gt;=AU$4,$I163&lt;AU$4+7),IF($K163="Deadline","◇","◆"),"")</f>
        <v/>
      </c>
      <c r="AV163" s="14" t="str">
        <f>IF(AND(ISNUMBER($I163),OR($K163="Milestone",$K163="Deadline"),$I163&gt;=AV$4,$I163&lt;AV$4+7),IF($K163="Deadline","◇","◆"),"")</f>
        <v/>
      </c>
      <c r="AW163" s="14" t="str">
        <f>IF(AND(ISNUMBER($I163),OR($K163="Milestone",$K163="Deadline"),$I163&gt;=AW$4,$I163&lt;AW$4+7),IF($K163="Deadline","◇","◆"),"")</f>
        <v/>
      </c>
      <c r="AX163" s="14" t="str">
        <f>IF(AND(ISNUMBER($I163),OR($K163="Milestone",$K163="Deadline"),$I163&gt;=AX$4,$I163&lt;AX$4+7),IF($K163="Deadline","◇","◆"),"")</f>
        <v/>
      </c>
      <c r="AY163" s="14" t="str">
        <f>IF(AND(ISNUMBER($I163),OR($K163="Milestone",$K163="Deadline"),$I163&gt;=AY$4,$I163&lt;AY$4+7),IF($K163="Deadline","◇","◆"),"")</f>
        <v/>
      </c>
      <c r="AZ163" s="14" t="str">
        <f>IF(AND(ISNUMBER($I163),OR($K163="Milestone",$K163="Deadline"),$I163&gt;=AZ$4,$I163&lt;AZ$4+7),IF($K163="Deadline","◇","◆"),"")</f>
        <v/>
      </c>
      <c r="BA163" s="14" t="str">
        <f>IF(AND(ISNUMBER($I163),OR($K163="Milestone",$K163="Deadline"),$I163&gt;=BA$4,$I163&lt;BA$4+7),IF($K163="Deadline","◇","◆"),"")</f>
        <v/>
      </c>
      <c r="BB163" s="14" t="str">
        <f>IF(AND(ISNUMBER($I163),OR($K163="Milestone",$K163="Deadline"),$I163&gt;=BB$4,$I163&lt;BB$4+7),IF($K163="Deadline","◇","◆"),"")</f>
        <v/>
      </c>
      <c r="BC163" s="14" t="str">
        <f>IF(AND(ISNUMBER($I163),OR($K163="Milestone",$K163="Deadline"),$I163&gt;=BC$4,$I163&lt;BC$4+7),IF($K163="Deadline","◇","◆"),"")</f>
        <v/>
      </c>
      <c r="BD163" s="14" t="str">
        <f>IF(AND(ISNUMBER($I163),OR($K163="Milestone",$K163="Deadline"),$I163&gt;=BD$4,$I163&lt;BD$4+7),IF($K163="Deadline","◇","◆"),"")</f>
        <v/>
      </c>
      <c r="BE163" s="14" t="str">
        <f>IF(AND(ISNUMBER($I163),OR($K163="Milestone",$K163="Deadline"),$I163&gt;=BE$4,$I163&lt;BE$4+7),IF($K163="Deadline","◇","◆"),"")</f>
        <v/>
      </c>
      <c r="BF163" s="14" t="str">
        <f>IF(AND(ISNUMBER($I163),OR($K163="Milestone",$K163="Deadline"),$I163&gt;=BF$4,$I163&lt;BF$4+7),IF($K163="Deadline","◇","◆"),"")</f>
        <v/>
      </c>
      <c r="BG163" s="14" t="str">
        <f>IF(AND(ISNUMBER($I163),OR($K163="Milestone",$K163="Deadline"),$I163&gt;=BG$4,$I163&lt;BG$4+7),IF($K163="Deadline","◇","◆"),"")</f>
        <v/>
      </c>
      <c r="BH163" s="14" t="str">
        <f>IF(AND(ISNUMBER($I163),OR($K163="Milestone",$K163="Deadline"),$I163&gt;=BH$4,$I163&lt;BH$4+7),IF($K163="Deadline","◇","◆"),"")</f>
        <v/>
      </c>
      <c r="BI163" s="14" t="str">
        <f>IF(AND(ISNUMBER($I163),OR($K163="Milestone",$K163="Deadline"),$I163&gt;=BI$4,$I163&lt;BI$4+7),IF($K163="Deadline","◇","◆"),"")</f>
        <v/>
      </c>
      <c r="BJ163" s="14" t="str">
        <f>IF(AND(ISNUMBER($I163),OR($K163="Milestone",$K163="Deadline"),$I163&gt;=BJ$4,$I163&lt;BJ$4+7),IF($K163="Deadline","◇","◆"),"")</f>
        <v/>
      </c>
      <c r="BK163" s="14" t="str">
        <f>IF(AND(ISNUMBER($I163),OR($K163="Milestone",$K163="Deadline"),$I163&gt;=BK$4,$I163&lt;BK$4+7),IF($K163="Deadline","◇","◆"),"")</f>
        <v/>
      </c>
      <c r="BL163" s="14" t="str">
        <f>IF(AND(ISNUMBER($I163),OR($K163="Milestone",$K163="Deadline"),$I163&gt;=BL$4,$I163&lt;BL$4+7),IF($K163="Deadline","◇","◆"),"")</f>
        <v/>
      </c>
      <c r="BM163" s="14" t="str">
        <f>IF(AND(ISNUMBER($I163),OR($K163="Milestone",$K163="Deadline"),$I163&gt;=BM$4,$I163&lt;BM$4+7),IF($K163="Deadline","◇","◆"),"")</f>
        <v/>
      </c>
      <c r="BN163" s="14" t="str">
        <f>IF(AND(ISNUMBER($I163),OR($K163="Milestone",$K163="Deadline"),$I163&gt;=BN$4,$I163&lt;BN$4+7),IF($K163="Deadline","◇","◆"),"")</f>
        <v/>
      </c>
      <c r="BO163" s="14" t="str">
        <f>IF(AND(ISNUMBER($I163),OR($K163="Milestone",$K163="Deadline"),$I163&gt;=BO$4,$I163&lt;BO$4+7),IF($K163="Deadline","◇","◆"),"")</f>
        <v/>
      </c>
      <c r="BP163" s="14" t="str">
        <f>IF(AND(ISNUMBER($I163),OR($K163="Milestone",$K163="Deadline"),$I163&gt;=BP$4,$I163&lt;BP$4+7),IF($K163="Deadline","◇","◆"),"")</f>
        <v/>
      </c>
      <c r="BQ163" s="14" t="str">
        <f>IF(AND(ISNUMBER($I163),OR($K163="Milestone",$K163="Deadline"),$I163&gt;=BQ$4,$I163&lt;BQ$4+7),IF($K163="Deadline","◇","◆"),"")</f>
        <v/>
      </c>
      <c r="BR163" s="14" t="str">
        <f>IF(AND(ISNUMBER($I163),OR($K163="Milestone",$K163="Deadline"),$I163&gt;=BR$4,$I163&lt;BR$4+7),IF($K163="Deadline","◇","◆"),"")</f>
        <v/>
      </c>
      <c r="BS163" s="14" t="str">
        <f>IF(AND(ISNUMBER($I163),OR($K163="Milestone",$K163="Deadline"),$I163&gt;=BS$4,$I163&lt;BS$4+7),IF($K163="Deadline","◇","◆"),"")</f>
        <v/>
      </c>
      <c r="BT163" s="14" t="str">
        <f>IF(AND(ISNUMBER($I163),OR($K163="Milestone",$K163="Deadline"),$I163&gt;=BT$4,$I163&lt;BT$4+7),IF($K163="Deadline","◇","◆"),"")</f>
        <v/>
      </c>
      <c r="BU163" s="14" t="str">
        <f>IF(AND(ISNUMBER($I163),OR($K163="Milestone",$K163="Deadline"),$I163&gt;=BU$4,$I163&lt;BU$4+7),IF($K163="Deadline","◇","◆"),"")</f>
        <v/>
      </c>
      <c r="BV163" s="14" t="str">
        <f>IF(AND(ISNUMBER($I163),OR($K163="Milestone",$K163="Deadline"),$I163&gt;=BV$4,$I163&lt;BV$4+7),IF($K163="Deadline","◇","◆"),"")</f>
        <v/>
      </c>
      <c r="BW163" s="14" t="str">
        <f>IF(AND(ISNUMBER($I163),OR($K163="Milestone",$K163="Deadline"),$I163&gt;=BW$4,$I163&lt;BW$4+7),IF($K163="Deadline","◇","◆"),"")</f>
        <v/>
      </c>
      <c r="BX163" s="14" t="str">
        <f>IF(AND(ISNUMBER($I163),OR($K163="Milestone",$K163="Deadline"),$I163&gt;=BX$4,$I163&lt;BX$4+7),IF($K163="Deadline","◇","◆"),"")</f>
        <v/>
      </c>
      <c r="BY163" s="14" t="str">
        <f>IF(AND(ISNUMBER($I163),OR($K163="Milestone",$K163="Deadline"),$I163&gt;=BY$4,$I163&lt;BY$4+7),IF($K163="Deadline","◇","◆"),"")</f>
        <v/>
      </c>
      <c r="BZ163" s="14" t="str">
        <f>IF(AND(ISNUMBER($I163),OR($K163="Milestone",$K163="Deadline"),$I163&gt;=BZ$4,$I163&lt;BZ$4+7),IF($K163="Deadline","◇","◆"),"")</f>
        <v/>
      </c>
      <c r="CA163" s="14" t="str">
        <f>IF(AND(ISNUMBER($I163),OR($K163="Milestone",$K163="Deadline"),$I163&gt;=CA$4,$I163&lt;CA$4+7),IF($K163="Deadline","◇","◆"),"")</f>
        <v/>
      </c>
      <c r="CB163" s="14" t="str">
        <f>IF(AND(ISNUMBER($I163),OR($K163="Milestone",$K163="Deadline"),$I163&gt;=CB$4,$I163&lt;CB$4+7),IF($K163="Deadline","◇","◆"),"")</f>
        <v/>
      </c>
      <c r="CC163" s="14" t="str">
        <f>IF(AND(ISNUMBER($I163),OR($K163="Milestone",$K163="Deadline"),$I163&gt;=CC$4,$I163&lt;CC$4+7),IF($K163="Deadline","◇","◆"),"")</f>
        <v/>
      </c>
      <c r="CD163" s="14" t="str">
        <f>IF(AND(ISNUMBER($I163),OR($K163="Milestone",$K163="Deadline"),$I163&gt;=CD$4,$I163&lt;CD$4+7),IF($K163="Deadline","◇","◆"),"")</f>
        <v/>
      </c>
      <c r="CE163" s="14" t="str">
        <f>IF(AND(ISNUMBER($I163),OR($K163="Milestone",$K163="Deadline"),$I163&gt;=CE$4,$I163&lt;CE$4+7),IF($K163="Deadline","◇","◆"),"")</f>
        <v/>
      </c>
      <c r="CF163" s="14" t="str">
        <f>IF(AND(ISNUMBER($I163),OR($K163="Milestone",$K163="Deadline"),$I163&gt;=CF$4,$I163&lt;CF$4+7),IF($K163="Deadline","◇","◆"),"")</f>
        <v/>
      </c>
      <c r="CG163" s="14" t="str">
        <f>IF(AND(ISNUMBER($I163),OR($K163="Milestone",$K163="Deadline"),$I163&gt;=CG$4,$I163&lt;CG$4+7),IF($K163="Deadline","◇","◆"),"")</f>
        <v/>
      </c>
      <c r="CH163" s="14" t="str">
        <f>IF(AND(ISNUMBER($I163),OR($K163="Milestone",$K163="Deadline"),$I163&gt;=CH$4,$I163&lt;CH$4+7),IF($K163="Deadline","◇","◆"),"")</f>
        <v/>
      </c>
      <c r="CI163" s="14" t="str">
        <f>IF(AND(ISNUMBER($I163),OR($K163="Milestone",$K163="Deadline"),$I163&gt;=CI$4,$I163&lt;CI$4+7),IF($K163="Deadline","◇","◆"),"")</f>
        <v/>
      </c>
      <c r="CJ163" s="14" t="str">
        <f>IF(AND(ISNUMBER($I163),OR($K163="Milestone",$K163="Deadline"),$I163&gt;=CJ$4,$I163&lt;CJ$4+7),IF($K163="Deadline","◇","◆"),"")</f>
        <v/>
      </c>
      <c r="CK163" s="14" t="str">
        <f>IF(AND(ISNUMBER($I163),OR($K163="Milestone",$K163="Deadline"),$I163&gt;=CK$4,$I163&lt;CK$4+7),IF($K163="Deadline","◇","◆"),"")</f>
        <v/>
      </c>
      <c r="CL163" s="14" t="str">
        <f>IF(AND(ISNUMBER($I163),OR($K163="Milestone",$K163="Deadline"),$I163&gt;=CL$4,$I163&lt;CL$4+7),IF($K163="Deadline","◇","◆"),"")</f>
        <v/>
      </c>
      <c r="CM163" s="14" t="str">
        <f>IF(AND(ISNUMBER($I163),OR($K163="Milestone",$K163="Deadline"),$I163&gt;=CM$4,$I163&lt;CM$4+7),IF($K163="Deadline","◇","◆"),"")</f>
        <v/>
      </c>
    </row>
    <row r="164" spans="1:91" ht="15" customHeight="1">
      <c r="A164" s="39" t="s">
        <v>362</v>
      </c>
      <c r="B164" s="39" t="s">
        <v>386</v>
      </c>
      <c r="C164" s="39" t="s">
        <v>93</v>
      </c>
      <c r="D164" s="39" t="s">
        <v>348</v>
      </c>
      <c r="E164" s="39" t="s">
        <v>281</v>
      </c>
      <c r="F164" s="39" t="s">
        <v>179</v>
      </c>
      <c r="G164" s="39" t="s">
        <v>198</v>
      </c>
      <c r="H164" s="39">
        <v>7</v>
      </c>
      <c r="I164" s="40">
        <f>MAX($C$2,J158+1,J141+1)</f>
        <v>46351</v>
      </c>
      <c r="J164" s="41">
        <f>IF(AND(ISNUMBER(I164),ISNUMBER(H164)),I164+H164-1,"")</f>
        <v>46357</v>
      </c>
      <c r="K164" s="39" t="s">
        <v>27</v>
      </c>
      <c r="L164" s="39" t="s">
        <v>357</v>
      </c>
      <c r="M164" s="42" t="s">
        <v>356</v>
      </c>
      <c r="N164" s="39"/>
      <c r="O164" s="42">
        <f>IF(AND(ISNUMBER(I164),ISNUMBER(J164)),J164-I164+1,"")</f>
        <v>7</v>
      </c>
      <c r="P164" s="13"/>
      <c r="Q164" s="13"/>
      <c r="R164" s="13"/>
      <c r="S164" s="13" t="s">
        <v>140</v>
      </c>
      <c r="T164" s="13"/>
      <c r="U164" s="13" t="s">
        <v>140</v>
      </c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4" t="str">
        <f>IF(AND(ISNUMBER($I164),OR($K164="Milestone",$K164="Deadline"),$I164&gt;=AO$4,$I164&lt;AO$4+7),IF($K164="Deadline","◇","◆"),"")</f>
        <v/>
      </c>
      <c r="AP164" s="14" t="str">
        <f>IF(AND(ISNUMBER($I164),OR($K164="Milestone",$K164="Deadline"),$I164&gt;=AP$4,$I164&lt;AP$4+7),IF($K164="Deadline","◇","◆"),"")</f>
        <v/>
      </c>
      <c r="AQ164" s="14" t="str">
        <f>IF(AND(ISNUMBER($I164),OR($K164="Milestone",$K164="Deadline"),$I164&gt;=AQ$4,$I164&lt;AQ$4+7),IF($K164="Deadline","◇","◆"),"")</f>
        <v/>
      </c>
      <c r="AR164" s="14" t="str">
        <f>IF(AND(ISNUMBER($I164),OR($K164="Milestone",$K164="Deadline"),$I164&gt;=AR$4,$I164&lt;AR$4+7),IF($K164="Deadline","◇","◆"),"")</f>
        <v/>
      </c>
      <c r="AS164" s="14" t="str">
        <f>IF(AND(ISNUMBER($I164),OR($K164="Milestone",$K164="Deadline"),$I164&gt;=AS$4,$I164&lt;AS$4+7),IF($K164="Deadline","◇","◆"),"")</f>
        <v/>
      </c>
      <c r="AT164" s="14" t="str">
        <f>IF(AND(ISNUMBER($I164),OR($K164="Milestone",$K164="Deadline"),$I164&gt;=AT$4,$I164&lt;AT$4+7),IF($K164="Deadline","◇","◆"),"")</f>
        <v/>
      </c>
      <c r="AU164" s="14" t="str">
        <f>IF(AND(ISNUMBER($I164),OR($K164="Milestone",$K164="Deadline"),$I164&gt;=AU$4,$I164&lt;AU$4+7),IF($K164="Deadline","◇","◆"),"")</f>
        <v/>
      </c>
      <c r="AV164" s="14" t="str">
        <f>IF(AND(ISNUMBER($I164),OR($K164="Milestone",$K164="Deadline"),$I164&gt;=AV$4,$I164&lt;AV$4+7),IF($K164="Deadline","◇","◆"),"")</f>
        <v/>
      </c>
      <c r="AW164" s="14" t="str">
        <f>IF(AND(ISNUMBER($I164),OR($K164="Milestone",$K164="Deadline"),$I164&gt;=AW$4,$I164&lt;AW$4+7),IF($K164="Deadline","◇","◆"),"")</f>
        <v/>
      </c>
      <c r="AX164" s="14" t="str">
        <f>IF(AND(ISNUMBER($I164),OR($K164="Milestone",$K164="Deadline"),$I164&gt;=AX$4,$I164&lt;AX$4+7),IF($K164="Deadline","◇","◆"),"")</f>
        <v/>
      </c>
      <c r="AY164" s="14" t="str">
        <f>IF(AND(ISNUMBER($I164),OR($K164="Milestone",$K164="Deadline"),$I164&gt;=AY$4,$I164&lt;AY$4+7),IF($K164="Deadline","◇","◆"),"")</f>
        <v/>
      </c>
      <c r="AZ164" s="14" t="str">
        <f>IF(AND(ISNUMBER($I164),OR($K164="Milestone",$K164="Deadline"),$I164&gt;=AZ$4,$I164&lt;AZ$4+7),IF($K164="Deadline","◇","◆"),"")</f>
        <v/>
      </c>
      <c r="BA164" s="14" t="str">
        <f>IF(AND(ISNUMBER($I164),OR($K164="Milestone",$K164="Deadline"),$I164&gt;=BA$4,$I164&lt;BA$4+7),IF($K164="Deadline","◇","◆"),"")</f>
        <v/>
      </c>
      <c r="BB164" s="14" t="str">
        <f>IF(AND(ISNUMBER($I164),OR($K164="Milestone",$K164="Deadline"),$I164&gt;=BB$4,$I164&lt;BB$4+7),IF($K164="Deadline","◇","◆"),"")</f>
        <v/>
      </c>
      <c r="BC164" s="14" t="str">
        <f>IF(AND(ISNUMBER($I164),OR($K164="Milestone",$K164="Deadline"),$I164&gt;=BC$4,$I164&lt;BC$4+7),IF($K164="Deadline","◇","◆"),"")</f>
        <v/>
      </c>
      <c r="BD164" s="14" t="str">
        <f>IF(AND(ISNUMBER($I164),OR($K164="Milestone",$K164="Deadline"),$I164&gt;=BD$4,$I164&lt;BD$4+7),IF($K164="Deadline","◇","◆"),"")</f>
        <v/>
      </c>
      <c r="BE164" s="14" t="str">
        <f>IF(AND(ISNUMBER($I164),OR($K164="Milestone",$K164="Deadline"),$I164&gt;=BE$4,$I164&lt;BE$4+7),IF($K164="Deadline","◇","◆"),"")</f>
        <v/>
      </c>
      <c r="BF164" s="14" t="str">
        <f>IF(AND(ISNUMBER($I164),OR($K164="Milestone",$K164="Deadline"),$I164&gt;=BF$4,$I164&lt;BF$4+7),IF($K164="Deadline","◇","◆"),"")</f>
        <v/>
      </c>
      <c r="BG164" s="14" t="str">
        <f>IF(AND(ISNUMBER($I164),OR($K164="Milestone",$K164="Deadline"),$I164&gt;=BG$4,$I164&lt;BG$4+7),IF($K164="Deadline","◇","◆"),"")</f>
        <v/>
      </c>
      <c r="BH164" s="14" t="str">
        <f>IF(AND(ISNUMBER($I164),OR($K164="Milestone",$K164="Deadline"),$I164&gt;=BH$4,$I164&lt;BH$4+7),IF($K164="Deadline","◇","◆"),"")</f>
        <v/>
      </c>
      <c r="BI164" s="14" t="str">
        <f>IF(AND(ISNUMBER($I164),OR($K164="Milestone",$K164="Deadline"),$I164&gt;=BI$4,$I164&lt;BI$4+7),IF($K164="Deadline","◇","◆"),"")</f>
        <v/>
      </c>
      <c r="BJ164" s="14" t="str">
        <f>IF(AND(ISNUMBER($I164),OR($K164="Milestone",$K164="Deadline"),$I164&gt;=BJ$4,$I164&lt;BJ$4+7),IF($K164="Deadline","◇","◆"),"")</f>
        <v/>
      </c>
      <c r="BK164" s="14" t="str">
        <f>IF(AND(ISNUMBER($I164),OR($K164="Milestone",$K164="Deadline"),$I164&gt;=BK$4,$I164&lt;BK$4+7),IF($K164="Deadline","◇","◆"),"")</f>
        <v/>
      </c>
      <c r="BL164" s="14" t="str">
        <f>IF(AND(ISNUMBER($I164),OR($K164="Milestone",$K164="Deadline"),$I164&gt;=BL$4,$I164&lt;BL$4+7),IF($K164="Deadline","◇","◆"),"")</f>
        <v/>
      </c>
      <c r="BM164" s="14" t="str">
        <f>IF(AND(ISNUMBER($I164),OR($K164="Milestone",$K164="Deadline"),$I164&gt;=BM$4,$I164&lt;BM$4+7),IF($K164="Deadline","◇","◆"),"")</f>
        <v/>
      </c>
      <c r="BN164" s="14" t="str">
        <f>IF(AND(ISNUMBER($I164),OR($K164="Milestone",$K164="Deadline"),$I164&gt;=BN$4,$I164&lt;BN$4+7),IF($K164="Deadline","◇","◆"),"")</f>
        <v/>
      </c>
      <c r="BO164" s="14" t="str">
        <f>IF(AND(ISNUMBER($I164),OR($K164="Milestone",$K164="Deadline"),$I164&gt;=BO$4,$I164&lt;BO$4+7),IF($K164="Deadline","◇","◆"),"")</f>
        <v/>
      </c>
      <c r="BP164" s="14" t="str">
        <f>IF(AND(ISNUMBER($I164),OR($K164="Milestone",$K164="Deadline"),$I164&gt;=BP$4,$I164&lt;BP$4+7),IF($K164="Deadline","◇","◆"),"")</f>
        <v/>
      </c>
      <c r="BQ164" s="14" t="str">
        <f>IF(AND(ISNUMBER($I164),OR($K164="Milestone",$K164="Deadline"),$I164&gt;=BQ$4,$I164&lt;BQ$4+7),IF($K164="Deadline","◇","◆"),"")</f>
        <v/>
      </c>
      <c r="BR164" s="14" t="str">
        <f>IF(AND(ISNUMBER($I164),OR($K164="Milestone",$K164="Deadline"),$I164&gt;=BR$4,$I164&lt;BR$4+7),IF($K164="Deadline","◇","◆"),"")</f>
        <v/>
      </c>
      <c r="BS164" s="14" t="str">
        <f>IF(AND(ISNUMBER($I164),OR($K164="Milestone",$K164="Deadline"),$I164&gt;=BS$4,$I164&lt;BS$4+7),IF($K164="Deadline","◇","◆"),"")</f>
        <v/>
      </c>
      <c r="BT164" s="14" t="str">
        <f>IF(AND(ISNUMBER($I164),OR($K164="Milestone",$K164="Deadline"),$I164&gt;=BT$4,$I164&lt;BT$4+7),IF($K164="Deadline","◇","◆"),"")</f>
        <v/>
      </c>
      <c r="BU164" s="14" t="str">
        <f>IF(AND(ISNUMBER($I164),OR($K164="Milestone",$K164="Deadline"),$I164&gt;=BU$4,$I164&lt;BU$4+7),IF($K164="Deadline","◇","◆"),"")</f>
        <v/>
      </c>
      <c r="BV164" s="14" t="str">
        <f>IF(AND(ISNUMBER($I164),OR($K164="Milestone",$K164="Deadline"),$I164&gt;=BV$4,$I164&lt;BV$4+7),IF($K164="Deadline","◇","◆"),"")</f>
        <v/>
      </c>
      <c r="BW164" s="14" t="str">
        <f>IF(AND(ISNUMBER($I164),OR($K164="Milestone",$K164="Deadline"),$I164&gt;=BW$4,$I164&lt;BW$4+7),IF($K164="Deadline","◇","◆"),"")</f>
        <v/>
      </c>
      <c r="BX164" s="14" t="str">
        <f>IF(AND(ISNUMBER($I164),OR($K164="Milestone",$K164="Deadline"),$I164&gt;=BX$4,$I164&lt;BX$4+7),IF($K164="Deadline","◇","◆"),"")</f>
        <v/>
      </c>
      <c r="BY164" s="14" t="str">
        <f>IF(AND(ISNUMBER($I164),OR($K164="Milestone",$K164="Deadline"),$I164&gt;=BY$4,$I164&lt;BY$4+7),IF($K164="Deadline","◇","◆"),"")</f>
        <v/>
      </c>
      <c r="BZ164" s="14" t="str">
        <f>IF(AND(ISNUMBER($I164),OR($K164="Milestone",$K164="Deadline"),$I164&gt;=BZ$4,$I164&lt;BZ$4+7),IF($K164="Deadline","◇","◆"),"")</f>
        <v/>
      </c>
      <c r="CA164" s="14" t="str">
        <f>IF(AND(ISNUMBER($I164),OR($K164="Milestone",$K164="Deadline"),$I164&gt;=CA$4,$I164&lt;CA$4+7),IF($K164="Deadline","◇","◆"),"")</f>
        <v/>
      </c>
      <c r="CB164" s="14" t="str">
        <f>IF(AND(ISNUMBER($I164),OR($K164="Milestone",$K164="Deadline"),$I164&gt;=CB$4,$I164&lt;CB$4+7),IF($K164="Deadline","◇","◆"),"")</f>
        <v/>
      </c>
      <c r="CC164" s="14" t="str">
        <f>IF(AND(ISNUMBER($I164),OR($K164="Milestone",$K164="Deadline"),$I164&gt;=CC$4,$I164&lt;CC$4+7),IF($K164="Deadline","◇","◆"),"")</f>
        <v/>
      </c>
      <c r="CD164" s="14" t="str">
        <f>IF(AND(ISNUMBER($I164),OR($K164="Milestone",$K164="Deadline"),$I164&gt;=CD$4,$I164&lt;CD$4+7),IF($K164="Deadline","◇","◆"),"")</f>
        <v/>
      </c>
      <c r="CE164" s="14" t="str">
        <f>IF(AND(ISNUMBER($I164),OR($K164="Milestone",$K164="Deadline"),$I164&gt;=CE$4,$I164&lt;CE$4+7),IF($K164="Deadline","◇","◆"),"")</f>
        <v/>
      </c>
      <c r="CF164" s="14" t="str">
        <f>IF(AND(ISNUMBER($I164),OR($K164="Milestone",$K164="Deadline"),$I164&gt;=CF$4,$I164&lt;CF$4+7),IF($K164="Deadline","◇","◆"),"")</f>
        <v/>
      </c>
      <c r="CG164" s="14" t="str">
        <f>IF(AND(ISNUMBER($I164),OR($K164="Milestone",$K164="Deadline"),$I164&gt;=CG$4,$I164&lt;CG$4+7),IF($K164="Deadline","◇","◆"),"")</f>
        <v/>
      </c>
      <c r="CH164" s="14" t="str">
        <f>IF(AND(ISNUMBER($I164),OR($K164="Milestone",$K164="Deadline"),$I164&gt;=CH$4,$I164&lt;CH$4+7),IF($K164="Deadline","◇","◆"),"")</f>
        <v/>
      </c>
      <c r="CI164" s="14" t="str">
        <f>IF(AND(ISNUMBER($I164),OR($K164="Milestone",$K164="Deadline"),$I164&gt;=CI$4,$I164&lt;CI$4+7),IF($K164="Deadline","◇","◆"),"")</f>
        <v/>
      </c>
      <c r="CJ164" s="14" t="str">
        <f>IF(AND(ISNUMBER($I164),OR($K164="Milestone",$K164="Deadline"),$I164&gt;=CJ$4,$I164&lt;CJ$4+7),IF($K164="Deadline","◇","◆"),"")</f>
        <v/>
      </c>
      <c r="CK164" s="14" t="str">
        <f>IF(AND(ISNUMBER($I164),OR($K164="Milestone",$K164="Deadline"),$I164&gt;=CK$4,$I164&lt;CK$4+7),IF($K164="Deadline","◇","◆"),"")</f>
        <v/>
      </c>
      <c r="CL164" s="14" t="str">
        <f>IF(AND(ISNUMBER($I164),OR($K164="Milestone",$K164="Deadline"),$I164&gt;=CL$4,$I164&lt;CL$4+7),IF($K164="Deadline","◇","◆"),"")</f>
        <v/>
      </c>
      <c r="CM164" s="14" t="str">
        <f>IF(AND(ISNUMBER($I164),OR($K164="Milestone",$K164="Deadline"),$I164&gt;=CM$4,$I164&lt;CM$4+7),IF($K164="Deadline","◇","◆"),"")</f>
        <v/>
      </c>
    </row>
    <row r="165" spans="1:91" ht="15" hidden="1" customHeight="1">
      <c r="A165" s="39" t="s">
        <v>394</v>
      </c>
      <c r="B165" s="39" t="s">
        <v>386</v>
      </c>
      <c r="C165" s="39" t="s">
        <v>93</v>
      </c>
      <c r="D165" s="39" t="s">
        <v>348</v>
      </c>
      <c r="E165" s="39" t="s">
        <v>281</v>
      </c>
      <c r="F165" s="39" t="s">
        <v>179</v>
      </c>
      <c r="G165" s="39" t="s">
        <v>173</v>
      </c>
      <c r="H165" s="39">
        <v>7</v>
      </c>
      <c r="I165" s="40">
        <f>MAX($C$2,I164)</f>
        <v>46351</v>
      </c>
      <c r="J165" s="41">
        <f>IF(AND(ISNUMBER(I165),ISNUMBER(H165)),I165+H165-1,"")</f>
        <v>46357</v>
      </c>
      <c r="K165" s="39" t="s">
        <v>27</v>
      </c>
      <c r="L165" s="39" t="s">
        <v>395</v>
      </c>
      <c r="M165" s="42"/>
      <c r="N165" s="39"/>
      <c r="O165" s="42">
        <f>IF(AND(ISNUMBER(I165),ISNUMBER(J165)),J165-I165+1,"")</f>
        <v>7</v>
      </c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4" t="str">
        <f>IF(AND(ISNUMBER($I165),OR($K165="Milestone",$K165="Deadline"),$I165&gt;=AO$4,$I165&lt;AO$4+7),IF($K165="Deadline","◇","◆"),"")</f>
        <v/>
      </c>
      <c r="AP165" s="14" t="str">
        <f>IF(AND(ISNUMBER($I165),OR($K165="Milestone",$K165="Deadline"),$I165&gt;=AP$4,$I165&lt;AP$4+7),IF($K165="Deadline","◇","◆"),"")</f>
        <v/>
      </c>
      <c r="AQ165" s="14" t="str">
        <f>IF(AND(ISNUMBER($I165),OR($K165="Milestone",$K165="Deadline"),$I165&gt;=AQ$4,$I165&lt;AQ$4+7),IF($K165="Deadline","◇","◆"),"")</f>
        <v/>
      </c>
      <c r="AR165" s="14" t="str">
        <f>IF(AND(ISNUMBER($I165),OR($K165="Milestone",$K165="Deadline"),$I165&gt;=AR$4,$I165&lt;AR$4+7),IF($K165="Deadline","◇","◆"),"")</f>
        <v/>
      </c>
      <c r="AS165" s="14" t="str">
        <f>IF(AND(ISNUMBER($I165),OR($K165="Milestone",$K165="Deadline"),$I165&gt;=AS$4,$I165&lt;AS$4+7),IF($K165="Deadline","◇","◆"),"")</f>
        <v/>
      </c>
      <c r="AT165" s="14" t="str">
        <f>IF(AND(ISNUMBER($I165),OR($K165="Milestone",$K165="Deadline"),$I165&gt;=AT$4,$I165&lt;AT$4+7),IF($K165="Deadline","◇","◆"),"")</f>
        <v/>
      </c>
      <c r="AU165" s="14" t="str">
        <f>IF(AND(ISNUMBER($I165),OR($K165="Milestone",$K165="Deadline"),$I165&gt;=AU$4,$I165&lt;AU$4+7),IF($K165="Deadline","◇","◆"),"")</f>
        <v/>
      </c>
      <c r="AV165" s="14" t="str">
        <f>IF(AND(ISNUMBER($I165),OR($K165="Milestone",$K165="Deadline"),$I165&gt;=AV$4,$I165&lt;AV$4+7),IF($K165="Deadline","◇","◆"),"")</f>
        <v/>
      </c>
      <c r="AW165" s="14" t="str">
        <f>IF(AND(ISNUMBER($I165),OR($K165="Milestone",$K165="Deadline"),$I165&gt;=AW$4,$I165&lt;AW$4+7),IF($K165="Deadline","◇","◆"),"")</f>
        <v/>
      </c>
      <c r="AX165" s="14" t="str">
        <f>IF(AND(ISNUMBER($I165),OR($K165="Milestone",$K165="Deadline"),$I165&gt;=AX$4,$I165&lt;AX$4+7),IF($K165="Deadline","◇","◆"),"")</f>
        <v/>
      </c>
      <c r="AY165" s="14" t="str">
        <f>IF(AND(ISNUMBER($I165),OR($K165="Milestone",$K165="Deadline"),$I165&gt;=AY$4,$I165&lt;AY$4+7),IF($K165="Deadline","◇","◆"),"")</f>
        <v/>
      </c>
      <c r="AZ165" s="14" t="str">
        <f>IF(AND(ISNUMBER($I165),OR($K165="Milestone",$K165="Deadline"),$I165&gt;=AZ$4,$I165&lt;AZ$4+7),IF($K165="Deadline","◇","◆"),"")</f>
        <v/>
      </c>
      <c r="BA165" s="14" t="str">
        <f>IF(AND(ISNUMBER($I165),OR($K165="Milestone",$K165="Deadline"),$I165&gt;=BA$4,$I165&lt;BA$4+7),IF($K165="Deadline","◇","◆"),"")</f>
        <v/>
      </c>
      <c r="BB165" s="14" t="str">
        <f>IF(AND(ISNUMBER($I165),OR($K165="Milestone",$K165="Deadline"),$I165&gt;=BB$4,$I165&lt;BB$4+7),IF($K165="Deadline","◇","◆"),"")</f>
        <v/>
      </c>
      <c r="BC165" s="14" t="str">
        <f>IF(AND(ISNUMBER($I165),OR($K165="Milestone",$K165="Deadline"),$I165&gt;=BC$4,$I165&lt;BC$4+7),IF($K165="Deadline","◇","◆"),"")</f>
        <v/>
      </c>
      <c r="BD165" s="14" t="str">
        <f>IF(AND(ISNUMBER($I165),OR($K165="Milestone",$K165="Deadline"),$I165&gt;=BD$4,$I165&lt;BD$4+7),IF($K165="Deadline","◇","◆"),"")</f>
        <v/>
      </c>
      <c r="BE165" s="14" t="str">
        <f>IF(AND(ISNUMBER($I165),OR($K165="Milestone",$K165="Deadline"),$I165&gt;=BE$4,$I165&lt;BE$4+7),IF($K165="Deadline","◇","◆"),"")</f>
        <v/>
      </c>
      <c r="BF165" s="14" t="str">
        <f>IF(AND(ISNUMBER($I165),OR($K165="Milestone",$K165="Deadline"),$I165&gt;=BF$4,$I165&lt;BF$4+7),IF($K165="Deadline","◇","◆"),"")</f>
        <v/>
      </c>
      <c r="BG165" s="14" t="str">
        <f>IF(AND(ISNUMBER($I165),OR($K165="Milestone",$K165="Deadline"),$I165&gt;=BG$4,$I165&lt;BG$4+7),IF($K165="Deadline","◇","◆"),"")</f>
        <v/>
      </c>
      <c r="BH165" s="14" t="str">
        <f>IF(AND(ISNUMBER($I165),OR($K165="Milestone",$K165="Deadline"),$I165&gt;=BH$4,$I165&lt;BH$4+7),IF($K165="Deadline","◇","◆"),"")</f>
        <v/>
      </c>
      <c r="BI165" s="14" t="str">
        <f>IF(AND(ISNUMBER($I165),OR($K165="Milestone",$K165="Deadline"),$I165&gt;=BI$4,$I165&lt;BI$4+7),IF($K165="Deadline","◇","◆"),"")</f>
        <v/>
      </c>
      <c r="BJ165" s="14" t="str">
        <f>IF(AND(ISNUMBER($I165),OR($K165="Milestone",$K165="Deadline"),$I165&gt;=BJ$4,$I165&lt;BJ$4+7),IF($K165="Deadline","◇","◆"),"")</f>
        <v/>
      </c>
      <c r="BK165" s="14" t="str">
        <f>IF(AND(ISNUMBER($I165),OR($K165="Milestone",$K165="Deadline"),$I165&gt;=BK$4,$I165&lt;BK$4+7),IF($K165="Deadline","◇","◆"),"")</f>
        <v/>
      </c>
      <c r="BL165" s="14" t="str">
        <f>IF(AND(ISNUMBER($I165),OR($K165="Milestone",$K165="Deadline"),$I165&gt;=BL$4,$I165&lt;BL$4+7),IF($K165="Deadline","◇","◆"),"")</f>
        <v/>
      </c>
      <c r="BM165" s="14" t="str">
        <f>IF(AND(ISNUMBER($I165),OR($K165="Milestone",$K165="Deadline"),$I165&gt;=BM$4,$I165&lt;BM$4+7),IF($K165="Deadline","◇","◆"),"")</f>
        <v/>
      </c>
      <c r="BN165" s="14" t="str">
        <f>IF(AND(ISNUMBER($I165),OR($K165="Milestone",$K165="Deadline"),$I165&gt;=BN$4,$I165&lt;BN$4+7),IF($K165="Deadline","◇","◆"),"")</f>
        <v/>
      </c>
      <c r="BO165" s="14" t="str">
        <f>IF(AND(ISNUMBER($I165),OR($K165="Milestone",$K165="Deadline"),$I165&gt;=BO$4,$I165&lt;BO$4+7),IF($K165="Deadline","◇","◆"),"")</f>
        <v/>
      </c>
      <c r="BP165" s="14" t="str">
        <f>IF(AND(ISNUMBER($I165),OR($K165="Milestone",$K165="Deadline"),$I165&gt;=BP$4,$I165&lt;BP$4+7),IF($K165="Deadline","◇","◆"),"")</f>
        <v/>
      </c>
      <c r="BQ165" s="14" t="str">
        <f>IF(AND(ISNUMBER($I165),OR($K165="Milestone",$K165="Deadline"),$I165&gt;=BQ$4,$I165&lt;BQ$4+7),IF($K165="Deadline","◇","◆"),"")</f>
        <v/>
      </c>
      <c r="BR165" s="14" t="str">
        <f>IF(AND(ISNUMBER($I165),OR($K165="Milestone",$K165="Deadline"),$I165&gt;=BR$4,$I165&lt;BR$4+7),IF($K165="Deadline","◇","◆"),"")</f>
        <v/>
      </c>
      <c r="BS165" s="14" t="str">
        <f>IF(AND(ISNUMBER($I165),OR($K165="Milestone",$K165="Deadline"),$I165&gt;=BS$4,$I165&lt;BS$4+7),IF($K165="Deadline","◇","◆"),"")</f>
        <v/>
      </c>
      <c r="BT165" s="14" t="str">
        <f>IF(AND(ISNUMBER($I165),OR($K165="Milestone",$K165="Deadline"),$I165&gt;=BT$4,$I165&lt;BT$4+7),IF($K165="Deadline","◇","◆"),"")</f>
        <v/>
      </c>
      <c r="BU165" s="14" t="str">
        <f>IF(AND(ISNUMBER($I165),OR($K165="Milestone",$K165="Deadline"),$I165&gt;=BU$4,$I165&lt;BU$4+7),IF($K165="Deadline","◇","◆"),"")</f>
        <v/>
      </c>
      <c r="BV165" s="14" t="str">
        <f>IF(AND(ISNUMBER($I165),OR($K165="Milestone",$K165="Deadline"),$I165&gt;=BV$4,$I165&lt;BV$4+7),IF($K165="Deadline","◇","◆"),"")</f>
        <v/>
      </c>
      <c r="BW165" s="14" t="str">
        <f>IF(AND(ISNUMBER($I165),OR($K165="Milestone",$K165="Deadline"),$I165&gt;=BW$4,$I165&lt;BW$4+7),IF($K165="Deadline","◇","◆"),"")</f>
        <v/>
      </c>
      <c r="BX165" s="14" t="str">
        <f>IF(AND(ISNUMBER($I165),OR($K165="Milestone",$K165="Deadline"),$I165&gt;=BX$4,$I165&lt;BX$4+7),IF($K165="Deadline","◇","◆"),"")</f>
        <v/>
      </c>
      <c r="BY165" s="14" t="str">
        <f>IF(AND(ISNUMBER($I165),OR($K165="Milestone",$K165="Deadline"),$I165&gt;=BY$4,$I165&lt;BY$4+7),IF($K165="Deadline","◇","◆"),"")</f>
        <v/>
      </c>
      <c r="BZ165" s="14" t="str">
        <f>IF(AND(ISNUMBER($I165),OR($K165="Milestone",$K165="Deadline"),$I165&gt;=BZ$4,$I165&lt;BZ$4+7),IF($K165="Deadline","◇","◆"),"")</f>
        <v/>
      </c>
      <c r="CA165" s="14" t="str">
        <f>IF(AND(ISNUMBER($I165),OR($K165="Milestone",$K165="Deadline"),$I165&gt;=CA$4,$I165&lt;CA$4+7),IF($K165="Deadline","◇","◆"),"")</f>
        <v/>
      </c>
      <c r="CB165" s="14" t="str">
        <f>IF(AND(ISNUMBER($I165),OR($K165="Milestone",$K165="Deadline"),$I165&gt;=CB$4,$I165&lt;CB$4+7),IF($K165="Deadline","◇","◆"),"")</f>
        <v/>
      </c>
      <c r="CC165" s="14" t="str">
        <f>IF(AND(ISNUMBER($I165),OR($K165="Milestone",$K165="Deadline"),$I165&gt;=CC$4,$I165&lt;CC$4+7),IF($K165="Deadline","◇","◆"),"")</f>
        <v/>
      </c>
      <c r="CD165" s="14" t="str">
        <f>IF(AND(ISNUMBER($I165),OR($K165="Milestone",$K165="Deadline"),$I165&gt;=CD$4,$I165&lt;CD$4+7),IF($K165="Deadline","◇","◆"),"")</f>
        <v/>
      </c>
      <c r="CE165" s="14" t="str">
        <f>IF(AND(ISNUMBER($I165),OR($K165="Milestone",$K165="Deadline"),$I165&gt;=CE$4,$I165&lt;CE$4+7),IF($K165="Deadline","◇","◆"),"")</f>
        <v/>
      </c>
      <c r="CF165" s="14" t="str">
        <f>IF(AND(ISNUMBER($I165),OR($K165="Milestone",$K165="Deadline"),$I165&gt;=CF$4,$I165&lt;CF$4+7),IF($K165="Deadline","◇","◆"),"")</f>
        <v/>
      </c>
      <c r="CG165" s="14" t="str">
        <f>IF(AND(ISNUMBER($I165),OR($K165="Milestone",$K165="Deadline"),$I165&gt;=CG$4,$I165&lt;CG$4+7),IF($K165="Deadline","◇","◆"),"")</f>
        <v/>
      </c>
      <c r="CH165" s="14" t="str">
        <f>IF(AND(ISNUMBER($I165),OR($K165="Milestone",$K165="Deadline"),$I165&gt;=CH$4,$I165&lt;CH$4+7),IF($K165="Deadline","◇","◆"),"")</f>
        <v/>
      </c>
      <c r="CI165" s="14" t="str">
        <f>IF(AND(ISNUMBER($I165),OR($K165="Milestone",$K165="Deadline"),$I165&gt;=CI$4,$I165&lt;CI$4+7),IF($K165="Deadline","◇","◆"),"")</f>
        <v/>
      </c>
      <c r="CJ165" s="14" t="str">
        <f>IF(AND(ISNUMBER($I165),OR($K165="Milestone",$K165="Deadline"),$I165&gt;=CJ$4,$I165&lt;CJ$4+7),IF($K165="Deadline","◇","◆"),"")</f>
        <v/>
      </c>
      <c r="CK165" s="14" t="str">
        <f>IF(AND(ISNUMBER($I165),OR($K165="Milestone",$K165="Deadline"),$I165&gt;=CK$4,$I165&lt;CK$4+7),IF($K165="Deadline","◇","◆"),"")</f>
        <v/>
      </c>
      <c r="CL165" s="14" t="str">
        <f>IF(AND(ISNUMBER($I165),OR($K165="Milestone",$K165="Deadline"),$I165&gt;=CL$4,$I165&lt;CL$4+7),IF($K165="Deadline","◇","◆"),"")</f>
        <v/>
      </c>
      <c r="CM165" s="14" t="str">
        <f>IF(AND(ISNUMBER($I165),OR($K165="Milestone",$K165="Deadline"),$I165&gt;=CM$4,$I165&lt;CM$4+7),IF($K165="Deadline","◇","◆"),"")</f>
        <v/>
      </c>
    </row>
    <row r="166" spans="1:91" ht="15" hidden="1" customHeight="1">
      <c r="A166" s="39" t="s">
        <v>396</v>
      </c>
      <c r="B166" s="39" t="s">
        <v>386</v>
      </c>
      <c r="C166" s="39" t="s">
        <v>93</v>
      </c>
      <c r="D166" s="39" t="s">
        <v>348</v>
      </c>
      <c r="E166" s="39" t="s">
        <v>281</v>
      </c>
      <c r="F166" s="39" t="s">
        <v>179</v>
      </c>
      <c r="G166" s="39" t="s">
        <v>176</v>
      </c>
      <c r="H166" s="39">
        <v>7</v>
      </c>
      <c r="I166" s="40">
        <f>MAX($C$2,J164+1,J157+1)</f>
        <v>46358</v>
      </c>
      <c r="J166" s="41">
        <f>IF(AND(ISNUMBER(I166),ISNUMBER(H166)),I166+H166-1,"")</f>
        <v>46364</v>
      </c>
      <c r="K166" s="39" t="s">
        <v>27</v>
      </c>
      <c r="L166" s="39" t="s">
        <v>397</v>
      </c>
      <c r="M166" s="42"/>
      <c r="N166" s="39"/>
      <c r="O166" s="42">
        <f>IF(AND(ISNUMBER(I166),ISNUMBER(J166)),J166-I166+1,"")</f>
        <v>7</v>
      </c>
      <c r="P166" s="13"/>
      <c r="Q166" s="13"/>
      <c r="R166" s="13"/>
      <c r="S166" s="13"/>
      <c r="T166" s="13"/>
      <c r="U166" s="13"/>
      <c r="V166" s="13"/>
      <c r="W166" s="13" t="s">
        <v>140</v>
      </c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4" t="str">
        <f>IF(AND(ISNUMBER($I166),OR($K166="Milestone",$K166="Deadline"),$I166&gt;=AO$4,$I166&lt;AO$4+7),IF($K166="Deadline","◇","◆"),"")</f>
        <v/>
      </c>
      <c r="AP166" s="14" t="str">
        <f>IF(AND(ISNUMBER($I166),OR($K166="Milestone",$K166="Deadline"),$I166&gt;=AP$4,$I166&lt;AP$4+7),IF($K166="Deadline","◇","◆"),"")</f>
        <v/>
      </c>
      <c r="AQ166" s="14" t="str">
        <f>IF(AND(ISNUMBER($I166),OR($K166="Milestone",$K166="Deadline"),$I166&gt;=AQ$4,$I166&lt;AQ$4+7),IF($K166="Deadline","◇","◆"),"")</f>
        <v/>
      </c>
      <c r="AR166" s="14" t="str">
        <f>IF(AND(ISNUMBER($I166),OR($K166="Milestone",$K166="Deadline"),$I166&gt;=AR$4,$I166&lt;AR$4+7),IF($K166="Deadline","◇","◆"),"")</f>
        <v/>
      </c>
      <c r="AS166" s="14" t="str">
        <f>IF(AND(ISNUMBER($I166),OR($K166="Milestone",$K166="Deadline"),$I166&gt;=AS$4,$I166&lt;AS$4+7),IF($K166="Deadline","◇","◆"),"")</f>
        <v/>
      </c>
      <c r="AT166" s="14" t="str">
        <f>IF(AND(ISNUMBER($I166),OR($K166="Milestone",$K166="Deadline"),$I166&gt;=AT$4,$I166&lt;AT$4+7),IF($K166="Deadline","◇","◆"),"")</f>
        <v/>
      </c>
      <c r="AU166" s="14" t="str">
        <f>IF(AND(ISNUMBER($I166),OR($K166="Milestone",$K166="Deadline"),$I166&gt;=AU$4,$I166&lt;AU$4+7),IF($K166="Deadline","◇","◆"),"")</f>
        <v/>
      </c>
      <c r="AV166" s="14" t="str">
        <f>IF(AND(ISNUMBER($I166),OR($K166="Milestone",$K166="Deadline"),$I166&gt;=AV$4,$I166&lt;AV$4+7),IF($K166="Deadline","◇","◆"),"")</f>
        <v/>
      </c>
      <c r="AW166" s="14" t="str">
        <f>IF(AND(ISNUMBER($I166),OR($K166="Milestone",$K166="Deadline"),$I166&gt;=AW$4,$I166&lt;AW$4+7),IF($K166="Deadline","◇","◆"),"")</f>
        <v/>
      </c>
      <c r="AX166" s="14" t="str">
        <f>IF(AND(ISNUMBER($I166),OR($K166="Milestone",$K166="Deadline"),$I166&gt;=AX$4,$I166&lt;AX$4+7),IF($K166="Deadline","◇","◆"),"")</f>
        <v/>
      </c>
      <c r="AY166" s="14" t="str">
        <f>IF(AND(ISNUMBER($I166),OR($K166="Milestone",$K166="Deadline"),$I166&gt;=AY$4,$I166&lt;AY$4+7),IF($K166="Deadline","◇","◆"),"")</f>
        <v/>
      </c>
      <c r="AZ166" s="14" t="str">
        <f>IF(AND(ISNUMBER($I166),OR($K166="Milestone",$K166="Deadline"),$I166&gt;=AZ$4,$I166&lt;AZ$4+7),IF($K166="Deadline","◇","◆"),"")</f>
        <v/>
      </c>
      <c r="BA166" s="14" t="str">
        <f>IF(AND(ISNUMBER($I166),OR($K166="Milestone",$K166="Deadline"),$I166&gt;=BA$4,$I166&lt;BA$4+7),IF($K166="Deadline","◇","◆"),"")</f>
        <v/>
      </c>
      <c r="BB166" s="14" t="str">
        <f>IF(AND(ISNUMBER($I166),OR($K166="Milestone",$K166="Deadline"),$I166&gt;=BB$4,$I166&lt;BB$4+7),IF($K166="Deadline","◇","◆"),"")</f>
        <v/>
      </c>
      <c r="BC166" s="14" t="str">
        <f>IF(AND(ISNUMBER($I166),OR($K166="Milestone",$K166="Deadline"),$I166&gt;=BC$4,$I166&lt;BC$4+7),IF($K166="Deadline","◇","◆"),"")</f>
        <v/>
      </c>
      <c r="BD166" s="14" t="str">
        <f>IF(AND(ISNUMBER($I166),OR($K166="Milestone",$K166="Deadline"),$I166&gt;=BD$4,$I166&lt;BD$4+7),IF($K166="Deadline","◇","◆"),"")</f>
        <v/>
      </c>
      <c r="BE166" s="14" t="str">
        <f>IF(AND(ISNUMBER($I166),OR($K166="Milestone",$K166="Deadline"),$I166&gt;=BE$4,$I166&lt;BE$4+7),IF($K166="Deadline","◇","◆"),"")</f>
        <v/>
      </c>
      <c r="BF166" s="14" t="str">
        <f>IF(AND(ISNUMBER($I166),OR($K166="Milestone",$K166="Deadline"),$I166&gt;=BF$4,$I166&lt;BF$4+7),IF($K166="Deadline","◇","◆"),"")</f>
        <v/>
      </c>
      <c r="BG166" s="14" t="str">
        <f>IF(AND(ISNUMBER($I166),OR($K166="Milestone",$K166="Deadline"),$I166&gt;=BG$4,$I166&lt;BG$4+7),IF($K166="Deadline","◇","◆"),"")</f>
        <v/>
      </c>
      <c r="BH166" s="14" t="str">
        <f>IF(AND(ISNUMBER($I166),OR($K166="Milestone",$K166="Deadline"),$I166&gt;=BH$4,$I166&lt;BH$4+7),IF($K166="Deadline","◇","◆"),"")</f>
        <v/>
      </c>
      <c r="BI166" s="14" t="str">
        <f>IF(AND(ISNUMBER($I166),OR($K166="Milestone",$K166="Deadline"),$I166&gt;=BI$4,$I166&lt;BI$4+7),IF($K166="Deadline","◇","◆"),"")</f>
        <v/>
      </c>
      <c r="BJ166" s="14" t="str">
        <f>IF(AND(ISNUMBER($I166),OR($K166="Milestone",$K166="Deadline"),$I166&gt;=BJ$4,$I166&lt;BJ$4+7),IF($K166="Deadline","◇","◆"),"")</f>
        <v/>
      </c>
      <c r="BK166" s="14" t="str">
        <f>IF(AND(ISNUMBER($I166),OR($K166="Milestone",$K166="Deadline"),$I166&gt;=BK$4,$I166&lt;BK$4+7),IF($K166="Deadline","◇","◆"),"")</f>
        <v/>
      </c>
      <c r="BL166" s="14" t="str">
        <f>IF(AND(ISNUMBER($I166),OR($K166="Milestone",$K166="Deadline"),$I166&gt;=BL$4,$I166&lt;BL$4+7),IF($K166="Deadline","◇","◆"),"")</f>
        <v/>
      </c>
      <c r="BM166" s="14" t="str">
        <f>IF(AND(ISNUMBER($I166),OR($K166="Milestone",$K166="Deadline"),$I166&gt;=BM$4,$I166&lt;BM$4+7),IF($K166="Deadline","◇","◆"),"")</f>
        <v/>
      </c>
      <c r="BN166" s="14" t="str">
        <f>IF(AND(ISNUMBER($I166),OR($K166="Milestone",$K166="Deadline"),$I166&gt;=BN$4,$I166&lt;BN$4+7),IF($K166="Deadline","◇","◆"),"")</f>
        <v/>
      </c>
      <c r="BO166" s="14" t="str">
        <f>IF(AND(ISNUMBER($I166),OR($K166="Milestone",$K166="Deadline"),$I166&gt;=BO$4,$I166&lt;BO$4+7),IF($K166="Deadline","◇","◆"),"")</f>
        <v/>
      </c>
      <c r="BP166" s="14" t="str">
        <f>IF(AND(ISNUMBER($I166),OR($K166="Milestone",$K166="Deadline"),$I166&gt;=BP$4,$I166&lt;BP$4+7),IF($K166="Deadline","◇","◆"),"")</f>
        <v/>
      </c>
      <c r="BQ166" s="14" t="str">
        <f>IF(AND(ISNUMBER($I166),OR($K166="Milestone",$K166="Deadline"),$I166&gt;=BQ$4,$I166&lt;BQ$4+7),IF($K166="Deadline","◇","◆"),"")</f>
        <v/>
      </c>
      <c r="BR166" s="14" t="str">
        <f>IF(AND(ISNUMBER($I166),OR($K166="Milestone",$K166="Deadline"),$I166&gt;=BR$4,$I166&lt;BR$4+7),IF($K166="Deadline","◇","◆"),"")</f>
        <v/>
      </c>
      <c r="BS166" s="14" t="str">
        <f>IF(AND(ISNUMBER($I166),OR($K166="Milestone",$K166="Deadline"),$I166&gt;=BS$4,$I166&lt;BS$4+7),IF($K166="Deadline","◇","◆"),"")</f>
        <v/>
      </c>
      <c r="BT166" s="14" t="str">
        <f>IF(AND(ISNUMBER($I166),OR($K166="Milestone",$K166="Deadline"),$I166&gt;=BT$4,$I166&lt;BT$4+7),IF($K166="Deadline","◇","◆"),"")</f>
        <v/>
      </c>
      <c r="BU166" s="14" t="str">
        <f>IF(AND(ISNUMBER($I166),OR($K166="Milestone",$K166="Deadline"),$I166&gt;=BU$4,$I166&lt;BU$4+7),IF($K166="Deadline","◇","◆"),"")</f>
        <v/>
      </c>
      <c r="BV166" s="14" t="str">
        <f>IF(AND(ISNUMBER($I166),OR($K166="Milestone",$K166="Deadline"),$I166&gt;=BV$4,$I166&lt;BV$4+7),IF($K166="Deadline","◇","◆"),"")</f>
        <v/>
      </c>
      <c r="BW166" s="14" t="str">
        <f>IF(AND(ISNUMBER($I166),OR($K166="Milestone",$K166="Deadline"),$I166&gt;=BW$4,$I166&lt;BW$4+7),IF($K166="Deadline","◇","◆"),"")</f>
        <v/>
      </c>
      <c r="BX166" s="14" t="str">
        <f>IF(AND(ISNUMBER($I166),OR($K166="Milestone",$K166="Deadline"),$I166&gt;=BX$4,$I166&lt;BX$4+7),IF($K166="Deadline","◇","◆"),"")</f>
        <v/>
      </c>
      <c r="BY166" s="14" t="str">
        <f>IF(AND(ISNUMBER($I166),OR($K166="Milestone",$K166="Deadline"),$I166&gt;=BY$4,$I166&lt;BY$4+7),IF($K166="Deadline","◇","◆"),"")</f>
        <v/>
      </c>
      <c r="BZ166" s="14" t="str">
        <f>IF(AND(ISNUMBER($I166),OR($K166="Milestone",$K166="Deadline"),$I166&gt;=BZ$4,$I166&lt;BZ$4+7),IF($K166="Deadline","◇","◆"),"")</f>
        <v/>
      </c>
      <c r="CA166" s="14" t="str">
        <f>IF(AND(ISNUMBER($I166),OR($K166="Milestone",$K166="Deadline"),$I166&gt;=CA$4,$I166&lt;CA$4+7),IF($K166="Deadline","◇","◆"),"")</f>
        <v/>
      </c>
      <c r="CB166" s="14" t="str">
        <f>IF(AND(ISNUMBER($I166),OR($K166="Milestone",$K166="Deadline"),$I166&gt;=CB$4,$I166&lt;CB$4+7),IF($K166="Deadline","◇","◆"),"")</f>
        <v/>
      </c>
      <c r="CC166" s="14" t="str">
        <f>IF(AND(ISNUMBER($I166),OR($K166="Milestone",$K166="Deadline"),$I166&gt;=CC$4,$I166&lt;CC$4+7),IF($K166="Deadline","◇","◆"),"")</f>
        <v/>
      </c>
      <c r="CD166" s="14" t="str">
        <f>IF(AND(ISNUMBER($I166),OR($K166="Milestone",$K166="Deadline"),$I166&gt;=CD$4,$I166&lt;CD$4+7),IF($K166="Deadline","◇","◆"),"")</f>
        <v/>
      </c>
      <c r="CE166" s="14" t="str">
        <f>IF(AND(ISNUMBER($I166),OR($K166="Milestone",$K166="Deadline"),$I166&gt;=CE$4,$I166&lt;CE$4+7),IF($K166="Deadline","◇","◆"),"")</f>
        <v/>
      </c>
      <c r="CF166" s="14" t="str">
        <f>IF(AND(ISNUMBER($I166),OR($K166="Milestone",$K166="Deadline"),$I166&gt;=CF$4,$I166&lt;CF$4+7),IF($K166="Deadline","◇","◆"),"")</f>
        <v/>
      </c>
      <c r="CG166" s="14" t="str">
        <f>IF(AND(ISNUMBER($I166),OR($K166="Milestone",$K166="Deadline"),$I166&gt;=CG$4,$I166&lt;CG$4+7),IF($K166="Deadline","◇","◆"),"")</f>
        <v/>
      </c>
      <c r="CH166" s="14" t="str">
        <f>IF(AND(ISNUMBER($I166),OR($K166="Milestone",$K166="Deadline"),$I166&gt;=CH$4,$I166&lt;CH$4+7),IF($K166="Deadline","◇","◆"),"")</f>
        <v/>
      </c>
      <c r="CI166" s="14" t="str">
        <f>IF(AND(ISNUMBER($I166),OR($K166="Milestone",$K166="Deadline"),$I166&gt;=CI$4,$I166&lt;CI$4+7),IF($K166="Deadline","◇","◆"),"")</f>
        <v/>
      </c>
      <c r="CJ166" s="14" t="str">
        <f>IF(AND(ISNUMBER($I166),OR($K166="Milestone",$K166="Deadline"),$I166&gt;=CJ$4,$I166&lt;CJ$4+7),IF($K166="Deadline","◇","◆"),"")</f>
        <v/>
      </c>
      <c r="CK166" s="14" t="str">
        <f>IF(AND(ISNUMBER($I166),OR($K166="Milestone",$K166="Deadline"),$I166&gt;=CK$4,$I166&lt;CK$4+7),IF($K166="Deadline","◇","◆"),"")</f>
        <v/>
      </c>
      <c r="CL166" s="14" t="str">
        <f>IF(AND(ISNUMBER($I166),OR($K166="Milestone",$K166="Deadline"),$I166&gt;=CL$4,$I166&lt;CL$4+7),IF($K166="Deadline","◇","◆"),"")</f>
        <v/>
      </c>
      <c r="CM166" s="14" t="str">
        <f>IF(AND(ISNUMBER($I166),OR($K166="Milestone",$K166="Deadline"),$I166&gt;=CM$4,$I166&lt;CM$4+7),IF($K166="Deadline","◇","◆"),"")</f>
        <v/>
      </c>
    </row>
    <row r="167" spans="1:91" ht="15" customHeight="1">
      <c r="A167" s="39" t="s">
        <v>367</v>
      </c>
      <c r="B167" s="39" t="s">
        <v>386</v>
      </c>
      <c r="C167" s="39" t="s">
        <v>93</v>
      </c>
      <c r="D167" s="39" t="s">
        <v>348</v>
      </c>
      <c r="E167" s="39" t="s">
        <v>281</v>
      </c>
      <c r="F167" s="39" t="s">
        <v>197</v>
      </c>
      <c r="G167" s="39" t="s">
        <v>198</v>
      </c>
      <c r="H167" s="39">
        <v>7</v>
      </c>
      <c r="I167" s="40">
        <f>MAX($C$2,J164+1,J144+1)</f>
        <v>46365</v>
      </c>
      <c r="J167" s="41">
        <f>IF(AND(ISNUMBER(I167),ISNUMBER(H167)),I167+H167-1,"")</f>
        <v>46371</v>
      </c>
      <c r="K167" s="39" t="s">
        <v>27</v>
      </c>
      <c r="L167" s="39" t="s">
        <v>362</v>
      </c>
      <c r="M167" s="42" t="s">
        <v>361</v>
      </c>
      <c r="N167" s="39"/>
      <c r="O167" s="42">
        <f>IF(AND(ISNUMBER(I167),ISNUMBER(J167)),J167-I167+1,"")</f>
        <v>7</v>
      </c>
      <c r="P167" s="13"/>
      <c r="Q167" s="13"/>
      <c r="R167" s="13"/>
      <c r="S167" s="13" t="s">
        <v>140</v>
      </c>
      <c r="T167" s="13"/>
      <c r="U167" s="13" t="s">
        <v>140</v>
      </c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4" t="str">
        <f>IF(AND(ISNUMBER($I167),OR($K167="Milestone",$K167="Deadline"),$I167&gt;=AO$4,$I167&lt;AO$4+7),IF($K167="Deadline","◇","◆"),"")</f>
        <v/>
      </c>
      <c r="AP167" s="14" t="str">
        <f>IF(AND(ISNUMBER($I167),OR($K167="Milestone",$K167="Deadline"),$I167&gt;=AP$4,$I167&lt;AP$4+7),IF($K167="Deadline","◇","◆"),"")</f>
        <v/>
      </c>
      <c r="AQ167" s="14" t="str">
        <f>IF(AND(ISNUMBER($I167),OR($K167="Milestone",$K167="Deadline"),$I167&gt;=AQ$4,$I167&lt;AQ$4+7),IF($K167="Deadline","◇","◆"),"")</f>
        <v/>
      </c>
      <c r="AR167" s="14" t="str">
        <f>IF(AND(ISNUMBER($I167),OR($K167="Milestone",$K167="Deadline"),$I167&gt;=AR$4,$I167&lt;AR$4+7),IF($K167="Deadline","◇","◆"),"")</f>
        <v/>
      </c>
      <c r="AS167" s="14" t="str">
        <f>IF(AND(ISNUMBER($I167),OR($K167="Milestone",$K167="Deadline"),$I167&gt;=AS$4,$I167&lt;AS$4+7),IF($K167="Deadline","◇","◆"),"")</f>
        <v/>
      </c>
      <c r="AT167" s="14" t="str">
        <f>IF(AND(ISNUMBER($I167),OR($K167="Milestone",$K167="Deadline"),$I167&gt;=AT$4,$I167&lt;AT$4+7),IF($K167="Deadline","◇","◆"),"")</f>
        <v/>
      </c>
      <c r="AU167" s="14" t="str">
        <f>IF(AND(ISNUMBER($I167),OR($K167="Milestone",$K167="Deadline"),$I167&gt;=AU$4,$I167&lt;AU$4+7),IF($K167="Deadline","◇","◆"),"")</f>
        <v/>
      </c>
      <c r="AV167" s="14" t="str">
        <f>IF(AND(ISNUMBER($I167),OR($K167="Milestone",$K167="Deadline"),$I167&gt;=AV$4,$I167&lt;AV$4+7),IF($K167="Deadline","◇","◆"),"")</f>
        <v/>
      </c>
      <c r="AW167" s="14" t="str">
        <f>IF(AND(ISNUMBER($I167),OR($K167="Milestone",$K167="Deadline"),$I167&gt;=AW$4,$I167&lt;AW$4+7),IF($K167="Deadline","◇","◆"),"")</f>
        <v/>
      </c>
      <c r="AX167" s="14" t="str">
        <f>IF(AND(ISNUMBER($I167),OR($K167="Milestone",$K167="Deadline"),$I167&gt;=AX$4,$I167&lt;AX$4+7),IF($K167="Deadline","◇","◆"),"")</f>
        <v/>
      </c>
      <c r="AY167" s="14" t="str">
        <f>IF(AND(ISNUMBER($I167),OR($K167="Milestone",$K167="Deadline"),$I167&gt;=AY$4,$I167&lt;AY$4+7),IF($K167="Deadline","◇","◆"),"")</f>
        <v/>
      </c>
      <c r="AZ167" s="14" t="str">
        <f>IF(AND(ISNUMBER($I167),OR($K167="Milestone",$K167="Deadline"),$I167&gt;=AZ$4,$I167&lt;AZ$4+7),IF($K167="Deadline","◇","◆"),"")</f>
        <v/>
      </c>
      <c r="BA167" s="14" t="str">
        <f>IF(AND(ISNUMBER($I167),OR($K167="Milestone",$K167="Deadline"),$I167&gt;=BA$4,$I167&lt;BA$4+7),IF($K167="Deadline","◇","◆"),"")</f>
        <v/>
      </c>
      <c r="BB167" s="14" t="str">
        <f>IF(AND(ISNUMBER($I167),OR($K167="Milestone",$K167="Deadline"),$I167&gt;=BB$4,$I167&lt;BB$4+7),IF($K167="Deadline","◇","◆"),"")</f>
        <v/>
      </c>
      <c r="BC167" s="14" t="str">
        <f>IF(AND(ISNUMBER($I167),OR($K167="Milestone",$K167="Deadline"),$I167&gt;=BC$4,$I167&lt;BC$4+7),IF($K167="Deadline","◇","◆"),"")</f>
        <v/>
      </c>
      <c r="BD167" s="14" t="str">
        <f>IF(AND(ISNUMBER($I167),OR($K167="Milestone",$K167="Deadline"),$I167&gt;=BD$4,$I167&lt;BD$4+7),IF($K167="Deadline","◇","◆"),"")</f>
        <v/>
      </c>
      <c r="BE167" s="14" t="str">
        <f>IF(AND(ISNUMBER($I167),OR($K167="Milestone",$K167="Deadline"),$I167&gt;=BE$4,$I167&lt;BE$4+7),IF($K167="Deadline","◇","◆"),"")</f>
        <v/>
      </c>
      <c r="BF167" s="14" t="str">
        <f>IF(AND(ISNUMBER($I167),OR($K167="Milestone",$K167="Deadline"),$I167&gt;=BF$4,$I167&lt;BF$4+7),IF($K167="Deadline","◇","◆"),"")</f>
        <v/>
      </c>
      <c r="BG167" s="14" t="str">
        <f>IF(AND(ISNUMBER($I167),OR($K167="Milestone",$K167="Deadline"),$I167&gt;=BG$4,$I167&lt;BG$4+7),IF($K167="Deadline","◇","◆"),"")</f>
        <v/>
      </c>
      <c r="BH167" s="14" t="str">
        <f>IF(AND(ISNUMBER($I167),OR($K167="Milestone",$K167="Deadline"),$I167&gt;=BH$4,$I167&lt;BH$4+7),IF($K167="Deadline","◇","◆"),"")</f>
        <v/>
      </c>
      <c r="BI167" s="14" t="str">
        <f>IF(AND(ISNUMBER($I167),OR($K167="Milestone",$K167="Deadline"),$I167&gt;=BI$4,$I167&lt;BI$4+7),IF($K167="Deadline","◇","◆"),"")</f>
        <v/>
      </c>
      <c r="BJ167" s="14" t="str">
        <f>IF(AND(ISNUMBER($I167),OR($K167="Milestone",$K167="Deadline"),$I167&gt;=BJ$4,$I167&lt;BJ$4+7),IF($K167="Deadline","◇","◆"),"")</f>
        <v/>
      </c>
      <c r="BK167" s="14" t="str">
        <f>IF(AND(ISNUMBER($I167),OR($K167="Milestone",$K167="Deadline"),$I167&gt;=BK$4,$I167&lt;BK$4+7),IF($K167="Deadline","◇","◆"),"")</f>
        <v/>
      </c>
      <c r="BL167" s="14" t="str">
        <f>IF(AND(ISNUMBER($I167),OR($K167="Milestone",$K167="Deadline"),$I167&gt;=BL$4,$I167&lt;BL$4+7),IF($K167="Deadline","◇","◆"),"")</f>
        <v/>
      </c>
      <c r="BM167" s="14" t="str">
        <f>IF(AND(ISNUMBER($I167),OR($K167="Milestone",$K167="Deadline"),$I167&gt;=BM$4,$I167&lt;BM$4+7),IF($K167="Deadline","◇","◆"),"")</f>
        <v/>
      </c>
      <c r="BN167" s="14" t="str">
        <f>IF(AND(ISNUMBER($I167),OR($K167="Milestone",$K167="Deadline"),$I167&gt;=BN$4,$I167&lt;BN$4+7),IF($K167="Deadline","◇","◆"),"")</f>
        <v/>
      </c>
      <c r="BO167" s="14" t="str">
        <f>IF(AND(ISNUMBER($I167),OR($K167="Milestone",$K167="Deadline"),$I167&gt;=BO$4,$I167&lt;BO$4+7),IF($K167="Deadline","◇","◆"),"")</f>
        <v/>
      </c>
      <c r="BP167" s="14" t="str">
        <f>IF(AND(ISNUMBER($I167),OR($K167="Milestone",$K167="Deadline"),$I167&gt;=BP$4,$I167&lt;BP$4+7),IF($K167="Deadline","◇","◆"),"")</f>
        <v/>
      </c>
      <c r="BQ167" s="14" t="str">
        <f>IF(AND(ISNUMBER($I167),OR($K167="Milestone",$K167="Deadline"),$I167&gt;=BQ$4,$I167&lt;BQ$4+7),IF($K167="Deadline","◇","◆"),"")</f>
        <v/>
      </c>
      <c r="BR167" s="14" t="str">
        <f>IF(AND(ISNUMBER($I167),OR($K167="Milestone",$K167="Deadline"),$I167&gt;=BR$4,$I167&lt;BR$4+7),IF($K167="Deadline","◇","◆"),"")</f>
        <v/>
      </c>
      <c r="BS167" s="14" t="str">
        <f>IF(AND(ISNUMBER($I167),OR($K167="Milestone",$K167="Deadline"),$I167&gt;=BS$4,$I167&lt;BS$4+7),IF($K167="Deadline","◇","◆"),"")</f>
        <v/>
      </c>
      <c r="BT167" s="14" t="str">
        <f>IF(AND(ISNUMBER($I167),OR($K167="Milestone",$K167="Deadline"),$I167&gt;=BT$4,$I167&lt;BT$4+7),IF($K167="Deadline","◇","◆"),"")</f>
        <v/>
      </c>
      <c r="BU167" s="14" t="str">
        <f>IF(AND(ISNUMBER($I167),OR($K167="Milestone",$K167="Deadline"),$I167&gt;=BU$4,$I167&lt;BU$4+7),IF($K167="Deadline","◇","◆"),"")</f>
        <v/>
      </c>
      <c r="BV167" s="14" t="str">
        <f>IF(AND(ISNUMBER($I167),OR($K167="Milestone",$K167="Deadline"),$I167&gt;=BV$4,$I167&lt;BV$4+7),IF($K167="Deadline","◇","◆"),"")</f>
        <v/>
      </c>
      <c r="BW167" s="14" t="str">
        <f>IF(AND(ISNUMBER($I167),OR($K167="Milestone",$K167="Deadline"),$I167&gt;=BW$4,$I167&lt;BW$4+7),IF($K167="Deadline","◇","◆"),"")</f>
        <v/>
      </c>
      <c r="BX167" s="14" t="str">
        <f>IF(AND(ISNUMBER($I167),OR($K167="Milestone",$K167="Deadline"),$I167&gt;=BX$4,$I167&lt;BX$4+7),IF($K167="Deadline","◇","◆"),"")</f>
        <v/>
      </c>
      <c r="BY167" s="14" t="str">
        <f>IF(AND(ISNUMBER($I167),OR($K167="Milestone",$K167="Deadline"),$I167&gt;=BY$4,$I167&lt;BY$4+7),IF($K167="Deadline","◇","◆"),"")</f>
        <v/>
      </c>
      <c r="BZ167" s="14" t="str">
        <f>IF(AND(ISNUMBER($I167),OR($K167="Milestone",$K167="Deadline"),$I167&gt;=BZ$4,$I167&lt;BZ$4+7),IF($K167="Deadline","◇","◆"),"")</f>
        <v/>
      </c>
      <c r="CA167" s="14" t="str">
        <f>IF(AND(ISNUMBER($I167),OR($K167="Milestone",$K167="Deadline"),$I167&gt;=CA$4,$I167&lt;CA$4+7),IF($K167="Deadline","◇","◆"),"")</f>
        <v/>
      </c>
      <c r="CB167" s="14" t="str">
        <f>IF(AND(ISNUMBER($I167),OR($K167="Milestone",$K167="Deadline"),$I167&gt;=CB$4,$I167&lt;CB$4+7),IF($K167="Deadline","◇","◆"),"")</f>
        <v/>
      </c>
      <c r="CC167" s="14" t="str">
        <f>IF(AND(ISNUMBER($I167),OR($K167="Milestone",$K167="Deadline"),$I167&gt;=CC$4,$I167&lt;CC$4+7),IF($K167="Deadline","◇","◆"),"")</f>
        <v/>
      </c>
      <c r="CD167" s="14" t="str">
        <f>IF(AND(ISNUMBER($I167),OR($K167="Milestone",$K167="Deadline"),$I167&gt;=CD$4,$I167&lt;CD$4+7),IF($K167="Deadline","◇","◆"),"")</f>
        <v/>
      </c>
      <c r="CE167" s="14" t="str">
        <f>IF(AND(ISNUMBER($I167),OR($K167="Milestone",$K167="Deadline"),$I167&gt;=CE$4,$I167&lt;CE$4+7),IF($K167="Deadline","◇","◆"),"")</f>
        <v/>
      </c>
      <c r="CF167" s="14" t="str">
        <f>IF(AND(ISNUMBER($I167),OR($K167="Milestone",$K167="Deadline"),$I167&gt;=CF$4,$I167&lt;CF$4+7),IF($K167="Deadline","◇","◆"),"")</f>
        <v/>
      </c>
      <c r="CG167" s="14" t="str">
        <f>IF(AND(ISNUMBER($I167),OR($K167="Milestone",$K167="Deadline"),$I167&gt;=CG$4,$I167&lt;CG$4+7),IF($K167="Deadline","◇","◆"),"")</f>
        <v/>
      </c>
      <c r="CH167" s="14" t="str">
        <f>IF(AND(ISNUMBER($I167),OR($K167="Milestone",$K167="Deadline"),$I167&gt;=CH$4,$I167&lt;CH$4+7),IF($K167="Deadline","◇","◆"),"")</f>
        <v/>
      </c>
      <c r="CI167" s="14" t="str">
        <f>IF(AND(ISNUMBER($I167),OR($K167="Milestone",$K167="Deadline"),$I167&gt;=CI$4,$I167&lt;CI$4+7),IF($K167="Deadline","◇","◆"),"")</f>
        <v/>
      </c>
      <c r="CJ167" s="14" t="str">
        <f>IF(AND(ISNUMBER($I167),OR($K167="Milestone",$K167="Deadline"),$I167&gt;=CJ$4,$I167&lt;CJ$4+7),IF($K167="Deadline","◇","◆"),"")</f>
        <v/>
      </c>
      <c r="CK167" s="14" t="str">
        <f>IF(AND(ISNUMBER($I167),OR($K167="Milestone",$K167="Deadline"),$I167&gt;=CK$4,$I167&lt;CK$4+7),IF($K167="Deadline","◇","◆"),"")</f>
        <v/>
      </c>
      <c r="CL167" s="14" t="str">
        <f>IF(AND(ISNUMBER($I167),OR($K167="Milestone",$K167="Deadline"),$I167&gt;=CL$4,$I167&lt;CL$4+7),IF($K167="Deadline","◇","◆"),"")</f>
        <v/>
      </c>
      <c r="CM167" s="14" t="str">
        <f>IF(AND(ISNUMBER($I167),OR($K167="Milestone",$K167="Deadline"),$I167&gt;=CM$4,$I167&lt;CM$4+7),IF($K167="Deadline","◇","◆"),"")</f>
        <v/>
      </c>
    </row>
    <row r="168" spans="1:91" ht="15" hidden="1" customHeight="1">
      <c r="A168" s="39" t="s">
        <v>398</v>
      </c>
      <c r="B168" s="39" t="s">
        <v>386</v>
      </c>
      <c r="C168" s="39" t="s">
        <v>93</v>
      </c>
      <c r="D168" s="39" t="s">
        <v>348</v>
      </c>
      <c r="E168" s="39" t="s">
        <v>281</v>
      </c>
      <c r="F168" s="39" t="s">
        <v>197</v>
      </c>
      <c r="G168" s="39" t="s">
        <v>173</v>
      </c>
      <c r="H168" s="39">
        <v>14</v>
      </c>
      <c r="I168" s="40">
        <f>MAX($C$2,I167)</f>
        <v>46365</v>
      </c>
      <c r="J168" s="41">
        <f>IF(AND(ISNUMBER(I168),ISNUMBER(H168)),I168+H168-1,"")</f>
        <v>46378</v>
      </c>
      <c r="K168" s="39" t="s">
        <v>27</v>
      </c>
      <c r="L168" s="39" t="s">
        <v>399</v>
      </c>
      <c r="M168" s="42"/>
      <c r="N168" s="39"/>
      <c r="O168" s="42">
        <f>IF(AND(ISNUMBER(I168),ISNUMBER(J168)),J168-I168+1,"")</f>
        <v>14</v>
      </c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4" t="str">
        <f>IF(AND(ISNUMBER($I168),OR($K168="Milestone",$K168="Deadline"),$I168&gt;=AO$4,$I168&lt;AO$4+7),IF($K168="Deadline","◇","◆"),"")</f>
        <v/>
      </c>
      <c r="AP168" s="14" t="str">
        <f>IF(AND(ISNUMBER($I168),OR($K168="Milestone",$K168="Deadline"),$I168&gt;=AP$4,$I168&lt;AP$4+7),IF($K168="Deadline","◇","◆"),"")</f>
        <v/>
      </c>
      <c r="AQ168" s="14" t="str">
        <f>IF(AND(ISNUMBER($I168),OR($K168="Milestone",$K168="Deadline"),$I168&gt;=AQ$4,$I168&lt;AQ$4+7),IF($K168="Deadline","◇","◆"),"")</f>
        <v/>
      </c>
      <c r="AR168" s="14" t="str">
        <f>IF(AND(ISNUMBER($I168),OR($K168="Milestone",$K168="Deadline"),$I168&gt;=AR$4,$I168&lt;AR$4+7),IF($K168="Deadline","◇","◆"),"")</f>
        <v/>
      </c>
      <c r="AS168" s="14" t="str">
        <f>IF(AND(ISNUMBER($I168),OR($K168="Milestone",$K168="Deadline"),$I168&gt;=AS$4,$I168&lt;AS$4+7),IF($K168="Deadline","◇","◆"),"")</f>
        <v/>
      </c>
      <c r="AT168" s="14" t="str">
        <f>IF(AND(ISNUMBER($I168),OR($K168="Milestone",$K168="Deadline"),$I168&gt;=AT$4,$I168&lt;AT$4+7),IF($K168="Deadline","◇","◆"),"")</f>
        <v/>
      </c>
      <c r="AU168" s="14" t="str">
        <f>IF(AND(ISNUMBER($I168),OR($K168="Milestone",$K168="Deadline"),$I168&gt;=AU$4,$I168&lt;AU$4+7),IF($K168="Deadline","◇","◆"),"")</f>
        <v/>
      </c>
      <c r="AV168" s="14" t="str">
        <f>IF(AND(ISNUMBER($I168),OR($K168="Milestone",$K168="Deadline"),$I168&gt;=AV$4,$I168&lt;AV$4+7),IF($K168="Deadline","◇","◆"),"")</f>
        <v/>
      </c>
      <c r="AW168" s="14" t="str">
        <f>IF(AND(ISNUMBER($I168),OR($K168="Milestone",$K168="Deadline"),$I168&gt;=AW$4,$I168&lt;AW$4+7),IF($K168="Deadline","◇","◆"),"")</f>
        <v/>
      </c>
      <c r="AX168" s="14" t="str">
        <f>IF(AND(ISNUMBER($I168),OR($K168="Milestone",$K168="Deadline"),$I168&gt;=AX$4,$I168&lt;AX$4+7),IF($K168="Deadline","◇","◆"),"")</f>
        <v/>
      </c>
      <c r="AY168" s="14" t="str">
        <f>IF(AND(ISNUMBER($I168),OR($K168="Milestone",$K168="Deadline"),$I168&gt;=AY$4,$I168&lt;AY$4+7),IF($K168="Deadline","◇","◆"),"")</f>
        <v/>
      </c>
      <c r="AZ168" s="14" t="str">
        <f>IF(AND(ISNUMBER($I168),OR($K168="Milestone",$K168="Deadline"),$I168&gt;=AZ$4,$I168&lt;AZ$4+7),IF($K168="Deadline","◇","◆"),"")</f>
        <v/>
      </c>
      <c r="BA168" s="14" t="str">
        <f>IF(AND(ISNUMBER($I168),OR($K168="Milestone",$K168="Deadline"),$I168&gt;=BA$4,$I168&lt;BA$4+7),IF($K168="Deadline","◇","◆"),"")</f>
        <v/>
      </c>
      <c r="BB168" s="14" t="str">
        <f>IF(AND(ISNUMBER($I168),OR($K168="Milestone",$K168="Deadline"),$I168&gt;=BB$4,$I168&lt;BB$4+7),IF($K168="Deadline","◇","◆"),"")</f>
        <v/>
      </c>
      <c r="BC168" s="14" t="str">
        <f>IF(AND(ISNUMBER($I168),OR($K168="Milestone",$K168="Deadline"),$I168&gt;=BC$4,$I168&lt;BC$4+7),IF($K168="Deadline","◇","◆"),"")</f>
        <v/>
      </c>
      <c r="BD168" s="14" t="str">
        <f>IF(AND(ISNUMBER($I168),OR($K168="Milestone",$K168="Deadline"),$I168&gt;=BD$4,$I168&lt;BD$4+7),IF($K168="Deadline","◇","◆"),"")</f>
        <v/>
      </c>
      <c r="BE168" s="14" t="str">
        <f>IF(AND(ISNUMBER($I168),OR($K168="Milestone",$K168="Deadline"),$I168&gt;=BE$4,$I168&lt;BE$4+7),IF($K168="Deadline","◇","◆"),"")</f>
        <v/>
      </c>
      <c r="BF168" s="14" t="str">
        <f>IF(AND(ISNUMBER($I168),OR($K168="Milestone",$K168="Deadline"),$I168&gt;=BF$4,$I168&lt;BF$4+7),IF($K168="Deadline","◇","◆"),"")</f>
        <v/>
      </c>
      <c r="BG168" s="14" t="str">
        <f>IF(AND(ISNUMBER($I168),OR($K168="Milestone",$K168="Deadline"),$I168&gt;=BG$4,$I168&lt;BG$4+7),IF($K168="Deadline","◇","◆"),"")</f>
        <v/>
      </c>
      <c r="BH168" s="14" t="str">
        <f>IF(AND(ISNUMBER($I168),OR($K168="Milestone",$K168="Deadline"),$I168&gt;=BH$4,$I168&lt;BH$4+7),IF($K168="Deadline","◇","◆"),"")</f>
        <v/>
      </c>
      <c r="BI168" s="14" t="str">
        <f>IF(AND(ISNUMBER($I168),OR($K168="Milestone",$K168="Deadline"),$I168&gt;=BI$4,$I168&lt;BI$4+7),IF($K168="Deadline","◇","◆"),"")</f>
        <v/>
      </c>
      <c r="BJ168" s="14" t="str">
        <f>IF(AND(ISNUMBER($I168),OR($K168="Milestone",$K168="Deadline"),$I168&gt;=BJ$4,$I168&lt;BJ$4+7),IF($K168="Deadline","◇","◆"),"")</f>
        <v/>
      </c>
      <c r="BK168" s="14" t="str">
        <f>IF(AND(ISNUMBER($I168),OR($K168="Milestone",$K168="Deadline"),$I168&gt;=BK$4,$I168&lt;BK$4+7),IF($K168="Deadline","◇","◆"),"")</f>
        <v/>
      </c>
      <c r="BL168" s="14" t="str">
        <f>IF(AND(ISNUMBER($I168),OR($K168="Milestone",$K168="Deadline"),$I168&gt;=BL$4,$I168&lt;BL$4+7),IF($K168="Deadline","◇","◆"),"")</f>
        <v/>
      </c>
      <c r="BM168" s="14" t="str">
        <f>IF(AND(ISNUMBER($I168),OR($K168="Milestone",$K168="Deadline"),$I168&gt;=BM$4,$I168&lt;BM$4+7),IF($K168="Deadline","◇","◆"),"")</f>
        <v/>
      </c>
      <c r="BN168" s="14" t="str">
        <f>IF(AND(ISNUMBER($I168),OR($K168="Milestone",$K168="Deadline"),$I168&gt;=BN$4,$I168&lt;BN$4+7),IF($K168="Deadline","◇","◆"),"")</f>
        <v/>
      </c>
      <c r="BO168" s="14" t="str">
        <f>IF(AND(ISNUMBER($I168),OR($K168="Milestone",$K168="Deadline"),$I168&gt;=BO$4,$I168&lt;BO$4+7),IF($K168="Deadline","◇","◆"),"")</f>
        <v/>
      </c>
      <c r="BP168" s="14" t="str">
        <f>IF(AND(ISNUMBER($I168),OR($K168="Milestone",$K168="Deadline"),$I168&gt;=BP$4,$I168&lt;BP$4+7),IF($K168="Deadline","◇","◆"),"")</f>
        <v/>
      </c>
      <c r="BQ168" s="14" t="str">
        <f>IF(AND(ISNUMBER($I168),OR($K168="Milestone",$K168="Deadline"),$I168&gt;=BQ$4,$I168&lt;BQ$4+7),IF($K168="Deadline","◇","◆"),"")</f>
        <v/>
      </c>
      <c r="BR168" s="14" t="str">
        <f>IF(AND(ISNUMBER($I168),OR($K168="Milestone",$K168="Deadline"),$I168&gt;=BR$4,$I168&lt;BR$4+7),IF($K168="Deadline","◇","◆"),"")</f>
        <v/>
      </c>
      <c r="BS168" s="14" t="str">
        <f>IF(AND(ISNUMBER($I168),OR($K168="Milestone",$K168="Deadline"),$I168&gt;=BS$4,$I168&lt;BS$4+7),IF($K168="Deadline","◇","◆"),"")</f>
        <v/>
      </c>
      <c r="BT168" s="14" t="str">
        <f>IF(AND(ISNUMBER($I168),OR($K168="Milestone",$K168="Deadline"),$I168&gt;=BT$4,$I168&lt;BT$4+7),IF($K168="Deadline","◇","◆"),"")</f>
        <v/>
      </c>
      <c r="BU168" s="14" t="str">
        <f>IF(AND(ISNUMBER($I168),OR($K168="Milestone",$K168="Deadline"),$I168&gt;=BU$4,$I168&lt;BU$4+7),IF($K168="Deadline","◇","◆"),"")</f>
        <v/>
      </c>
      <c r="BV168" s="14" t="str">
        <f>IF(AND(ISNUMBER($I168),OR($K168="Milestone",$K168="Deadline"),$I168&gt;=BV$4,$I168&lt;BV$4+7),IF($K168="Deadline","◇","◆"),"")</f>
        <v/>
      </c>
      <c r="BW168" s="14" t="str">
        <f>IF(AND(ISNUMBER($I168),OR($K168="Milestone",$K168="Deadline"),$I168&gt;=BW$4,$I168&lt;BW$4+7),IF($K168="Deadline","◇","◆"),"")</f>
        <v/>
      </c>
      <c r="BX168" s="14" t="str">
        <f>IF(AND(ISNUMBER($I168),OR($K168="Milestone",$K168="Deadline"),$I168&gt;=BX$4,$I168&lt;BX$4+7),IF($K168="Deadline","◇","◆"),"")</f>
        <v/>
      </c>
      <c r="BY168" s="14" t="str">
        <f>IF(AND(ISNUMBER($I168),OR($K168="Milestone",$K168="Deadline"),$I168&gt;=BY$4,$I168&lt;BY$4+7),IF($K168="Deadline","◇","◆"),"")</f>
        <v/>
      </c>
      <c r="BZ168" s="14" t="str">
        <f>IF(AND(ISNUMBER($I168),OR($K168="Milestone",$K168="Deadline"),$I168&gt;=BZ$4,$I168&lt;BZ$4+7),IF($K168="Deadline","◇","◆"),"")</f>
        <v/>
      </c>
      <c r="CA168" s="14" t="str">
        <f>IF(AND(ISNUMBER($I168),OR($K168="Milestone",$K168="Deadline"),$I168&gt;=CA$4,$I168&lt;CA$4+7),IF($K168="Deadline","◇","◆"),"")</f>
        <v/>
      </c>
      <c r="CB168" s="14" t="str">
        <f>IF(AND(ISNUMBER($I168),OR($K168="Milestone",$K168="Deadline"),$I168&gt;=CB$4,$I168&lt;CB$4+7),IF($K168="Deadline","◇","◆"),"")</f>
        <v/>
      </c>
      <c r="CC168" s="14" t="str">
        <f>IF(AND(ISNUMBER($I168),OR($K168="Milestone",$K168="Deadline"),$I168&gt;=CC$4,$I168&lt;CC$4+7),IF($K168="Deadline","◇","◆"),"")</f>
        <v/>
      </c>
      <c r="CD168" s="14" t="str">
        <f>IF(AND(ISNUMBER($I168),OR($K168="Milestone",$K168="Deadline"),$I168&gt;=CD$4,$I168&lt;CD$4+7),IF($K168="Deadline","◇","◆"),"")</f>
        <v/>
      </c>
      <c r="CE168" s="14" t="str">
        <f>IF(AND(ISNUMBER($I168),OR($K168="Milestone",$K168="Deadline"),$I168&gt;=CE$4,$I168&lt;CE$4+7),IF($K168="Deadline","◇","◆"),"")</f>
        <v/>
      </c>
      <c r="CF168" s="14" t="str">
        <f>IF(AND(ISNUMBER($I168),OR($K168="Milestone",$K168="Deadline"),$I168&gt;=CF$4,$I168&lt;CF$4+7),IF($K168="Deadline","◇","◆"),"")</f>
        <v/>
      </c>
      <c r="CG168" s="14" t="str">
        <f>IF(AND(ISNUMBER($I168),OR($K168="Milestone",$K168="Deadline"),$I168&gt;=CG$4,$I168&lt;CG$4+7),IF($K168="Deadline","◇","◆"),"")</f>
        <v/>
      </c>
      <c r="CH168" s="14" t="str">
        <f>IF(AND(ISNUMBER($I168),OR($K168="Milestone",$K168="Deadline"),$I168&gt;=CH$4,$I168&lt;CH$4+7),IF($K168="Deadline","◇","◆"),"")</f>
        <v/>
      </c>
      <c r="CI168" s="14" t="str">
        <f>IF(AND(ISNUMBER($I168),OR($K168="Milestone",$K168="Deadline"),$I168&gt;=CI$4,$I168&lt;CI$4+7),IF($K168="Deadline","◇","◆"),"")</f>
        <v/>
      </c>
      <c r="CJ168" s="14" t="str">
        <f>IF(AND(ISNUMBER($I168),OR($K168="Milestone",$K168="Deadline"),$I168&gt;=CJ$4,$I168&lt;CJ$4+7),IF($K168="Deadline","◇","◆"),"")</f>
        <v/>
      </c>
      <c r="CK168" s="14" t="str">
        <f>IF(AND(ISNUMBER($I168),OR($K168="Milestone",$K168="Deadline"),$I168&gt;=CK$4,$I168&lt;CK$4+7),IF($K168="Deadline","◇","◆"),"")</f>
        <v/>
      </c>
      <c r="CL168" s="14" t="str">
        <f>IF(AND(ISNUMBER($I168),OR($K168="Milestone",$K168="Deadline"),$I168&gt;=CL$4,$I168&lt;CL$4+7),IF($K168="Deadline","◇","◆"),"")</f>
        <v/>
      </c>
      <c r="CM168" s="14" t="str">
        <f>IF(AND(ISNUMBER($I168),OR($K168="Milestone",$K168="Deadline"),$I168&gt;=CM$4,$I168&lt;CM$4+7),IF($K168="Deadline","◇","◆"),"")</f>
        <v/>
      </c>
    </row>
    <row r="169" spans="1:91" ht="15" hidden="1" customHeight="1">
      <c r="A169" s="39" t="s">
        <v>400</v>
      </c>
      <c r="B169" s="39" t="s">
        <v>386</v>
      </c>
      <c r="C169" s="39" t="s">
        <v>93</v>
      </c>
      <c r="D169" s="39" t="s">
        <v>348</v>
      </c>
      <c r="E169" s="39" t="s">
        <v>281</v>
      </c>
      <c r="F169" s="39" t="s">
        <v>197</v>
      </c>
      <c r="G169" s="39" t="s">
        <v>176</v>
      </c>
      <c r="H169" s="39">
        <v>7</v>
      </c>
      <c r="I169" s="40">
        <f>MAX($C$2,J167+1,J157+1)</f>
        <v>46372</v>
      </c>
      <c r="J169" s="41">
        <f>IF(AND(ISNUMBER(I169),ISNUMBER(H169)),I169+H169-1,"")</f>
        <v>46378</v>
      </c>
      <c r="K169" s="39" t="s">
        <v>27</v>
      </c>
      <c r="L169" s="39" t="s">
        <v>401</v>
      </c>
      <c r="M169" s="42"/>
      <c r="N169" s="39"/>
      <c r="O169" s="42">
        <f>IF(AND(ISNUMBER(I169),ISNUMBER(J169)),J169-I169+1,"")</f>
        <v>7</v>
      </c>
      <c r="P169" s="13"/>
      <c r="Q169" s="13"/>
      <c r="R169" s="13"/>
      <c r="S169" s="13"/>
      <c r="T169" s="13"/>
      <c r="U169" s="13"/>
      <c r="V169" s="13"/>
      <c r="W169" s="13" t="s">
        <v>140</v>
      </c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4" t="str">
        <f>IF(AND(ISNUMBER($I169),OR($K169="Milestone",$K169="Deadline"),$I169&gt;=AO$4,$I169&lt;AO$4+7),IF($K169="Deadline","◇","◆"),"")</f>
        <v/>
      </c>
      <c r="AP169" s="14" t="str">
        <f>IF(AND(ISNUMBER($I169),OR($K169="Milestone",$K169="Deadline"),$I169&gt;=AP$4,$I169&lt;AP$4+7),IF($K169="Deadline","◇","◆"),"")</f>
        <v/>
      </c>
      <c r="AQ169" s="14" t="str">
        <f>IF(AND(ISNUMBER($I169),OR($K169="Milestone",$K169="Deadline"),$I169&gt;=AQ$4,$I169&lt;AQ$4+7),IF($K169="Deadline","◇","◆"),"")</f>
        <v/>
      </c>
      <c r="AR169" s="14" t="str">
        <f>IF(AND(ISNUMBER($I169),OR($K169="Milestone",$K169="Deadline"),$I169&gt;=AR$4,$I169&lt;AR$4+7),IF($K169="Deadline","◇","◆"),"")</f>
        <v/>
      </c>
      <c r="AS169" s="14" t="str">
        <f>IF(AND(ISNUMBER($I169),OR($K169="Milestone",$K169="Deadline"),$I169&gt;=AS$4,$I169&lt;AS$4+7),IF($K169="Deadline","◇","◆"),"")</f>
        <v/>
      </c>
      <c r="AT169" s="14" t="str">
        <f>IF(AND(ISNUMBER($I169),OR($K169="Milestone",$K169="Deadline"),$I169&gt;=AT$4,$I169&lt;AT$4+7),IF($K169="Deadline","◇","◆"),"")</f>
        <v/>
      </c>
      <c r="AU169" s="14" t="str">
        <f>IF(AND(ISNUMBER($I169),OR($K169="Milestone",$K169="Deadline"),$I169&gt;=AU$4,$I169&lt;AU$4+7),IF($K169="Deadline","◇","◆"),"")</f>
        <v/>
      </c>
      <c r="AV169" s="14" t="str">
        <f>IF(AND(ISNUMBER($I169),OR($K169="Milestone",$K169="Deadline"),$I169&gt;=AV$4,$I169&lt;AV$4+7),IF($K169="Deadline","◇","◆"),"")</f>
        <v/>
      </c>
      <c r="AW169" s="14" t="str">
        <f>IF(AND(ISNUMBER($I169),OR($K169="Milestone",$K169="Deadline"),$I169&gt;=AW$4,$I169&lt;AW$4+7),IF($K169="Deadline","◇","◆"),"")</f>
        <v/>
      </c>
      <c r="AX169" s="14" t="str">
        <f>IF(AND(ISNUMBER($I169),OR($K169="Milestone",$K169="Deadline"),$I169&gt;=AX$4,$I169&lt;AX$4+7),IF($K169="Deadline","◇","◆"),"")</f>
        <v/>
      </c>
      <c r="AY169" s="14" t="str">
        <f>IF(AND(ISNUMBER($I169),OR($K169="Milestone",$K169="Deadline"),$I169&gt;=AY$4,$I169&lt;AY$4+7),IF($K169="Deadline","◇","◆"),"")</f>
        <v/>
      </c>
      <c r="AZ169" s="14" t="str">
        <f>IF(AND(ISNUMBER($I169),OR($K169="Milestone",$K169="Deadline"),$I169&gt;=AZ$4,$I169&lt;AZ$4+7),IF($K169="Deadline","◇","◆"),"")</f>
        <v/>
      </c>
      <c r="BA169" s="14" t="str">
        <f>IF(AND(ISNUMBER($I169),OR($K169="Milestone",$K169="Deadline"),$I169&gt;=BA$4,$I169&lt;BA$4+7),IF($K169="Deadline","◇","◆"),"")</f>
        <v/>
      </c>
      <c r="BB169" s="14" t="str">
        <f>IF(AND(ISNUMBER($I169),OR($K169="Milestone",$K169="Deadline"),$I169&gt;=BB$4,$I169&lt;BB$4+7),IF($K169="Deadline","◇","◆"),"")</f>
        <v/>
      </c>
      <c r="BC169" s="14" t="str">
        <f>IF(AND(ISNUMBER($I169),OR($K169="Milestone",$K169="Deadline"),$I169&gt;=BC$4,$I169&lt;BC$4+7),IF($K169="Deadline","◇","◆"),"")</f>
        <v/>
      </c>
      <c r="BD169" s="14" t="str">
        <f>IF(AND(ISNUMBER($I169),OR($K169="Milestone",$K169="Deadline"),$I169&gt;=BD$4,$I169&lt;BD$4+7),IF($K169="Deadline","◇","◆"),"")</f>
        <v/>
      </c>
      <c r="BE169" s="14" t="str">
        <f>IF(AND(ISNUMBER($I169),OR($K169="Milestone",$K169="Deadline"),$I169&gt;=BE$4,$I169&lt;BE$4+7),IF($K169="Deadline","◇","◆"),"")</f>
        <v/>
      </c>
      <c r="BF169" s="14" t="str">
        <f>IF(AND(ISNUMBER($I169),OR($K169="Milestone",$K169="Deadline"),$I169&gt;=BF$4,$I169&lt;BF$4+7),IF($K169="Deadline","◇","◆"),"")</f>
        <v/>
      </c>
      <c r="BG169" s="14" t="str">
        <f>IF(AND(ISNUMBER($I169),OR($K169="Milestone",$K169="Deadline"),$I169&gt;=BG$4,$I169&lt;BG$4+7),IF($K169="Deadline","◇","◆"),"")</f>
        <v/>
      </c>
      <c r="BH169" s="14" t="str">
        <f>IF(AND(ISNUMBER($I169),OR($K169="Milestone",$K169="Deadline"),$I169&gt;=BH$4,$I169&lt;BH$4+7),IF($K169="Deadline","◇","◆"),"")</f>
        <v/>
      </c>
      <c r="BI169" s="14" t="str">
        <f>IF(AND(ISNUMBER($I169),OR($K169="Milestone",$K169="Deadline"),$I169&gt;=BI$4,$I169&lt;BI$4+7),IF($K169="Deadline","◇","◆"),"")</f>
        <v/>
      </c>
      <c r="BJ169" s="14" t="str">
        <f>IF(AND(ISNUMBER($I169),OR($K169="Milestone",$K169="Deadline"),$I169&gt;=BJ$4,$I169&lt;BJ$4+7),IF($K169="Deadline","◇","◆"),"")</f>
        <v/>
      </c>
      <c r="BK169" s="14" t="str">
        <f>IF(AND(ISNUMBER($I169),OR($K169="Milestone",$K169="Deadline"),$I169&gt;=BK$4,$I169&lt;BK$4+7),IF($K169="Deadline","◇","◆"),"")</f>
        <v/>
      </c>
      <c r="BL169" s="14" t="str">
        <f>IF(AND(ISNUMBER($I169),OR($K169="Milestone",$K169="Deadline"),$I169&gt;=BL$4,$I169&lt;BL$4+7),IF($K169="Deadline","◇","◆"),"")</f>
        <v/>
      </c>
      <c r="BM169" s="14" t="str">
        <f>IF(AND(ISNUMBER($I169),OR($K169="Milestone",$K169="Deadline"),$I169&gt;=BM$4,$I169&lt;BM$4+7),IF($K169="Deadline","◇","◆"),"")</f>
        <v/>
      </c>
      <c r="BN169" s="14" t="str">
        <f>IF(AND(ISNUMBER($I169),OR($K169="Milestone",$K169="Deadline"),$I169&gt;=BN$4,$I169&lt;BN$4+7),IF($K169="Deadline","◇","◆"),"")</f>
        <v/>
      </c>
      <c r="BO169" s="14" t="str">
        <f>IF(AND(ISNUMBER($I169),OR($K169="Milestone",$K169="Deadline"),$I169&gt;=BO$4,$I169&lt;BO$4+7),IF($K169="Deadline","◇","◆"),"")</f>
        <v/>
      </c>
      <c r="BP169" s="14" t="str">
        <f>IF(AND(ISNUMBER($I169),OR($K169="Milestone",$K169="Deadline"),$I169&gt;=BP$4,$I169&lt;BP$4+7),IF($K169="Deadline","◇","◆"),"")</f>
        <v/>
      </c>
      <c r="BQ169" s="14" t="str">
        <f>IF(AND(ISNUMBER($I169),OR($K169="Milestone",$K169="Deadline"),$I169&gt;=BQ$4,$I169&lt;BQ$4+7),IF($K169="Deadline","◇","◆"),"")</f>
        <v/>
      </c>
      <c r="BR169" s="14" t="str">
        <f>IF(AND(ISNUMBER($I169),OR($K169="Milestone",$K169="Deadline"),$I169&gt;=BR$4,$I169&lt;BR$4+7),IF($K169="Deadline","◇","◆"),"")</f>
        <v/>
      </c>
      <c r="BS169" s="14" t="str">
        <f>IF(AND(ISNUMBER($I169),OR($K169="Milestone",$K169="Deadline"),$I169&gt;=BS$4,$I169&lt;BS$4+7),IF($K169="Deadline","◇","◆"),"")</f>
        <v/>
      </c>
      <c r="BT169" s="14" t="str">
        <f>IF(AND(ISNUMBER($I169),OR($K169="Milestone",$K169="Deadline"),$I169&gt;=BT$4,$I169&lt;BT$4+7),IF($K169="Deadline","◇","◆"),"")</f>
        <v/>
      </c>
      <c r="BU169" s="14" t="str">
        <f>IF(AND(ISNUMBER($I169),OR($K169="Milestone",$K169="Deadline"),$I169&gt;=BU$4,$I169&lt;BU$4+7),IF($K169="Deadline","◇","◆"),"")</f>
        <v/>
      </c>
      <c r="BV169" s="14" t="str">
        <f>IF(AND(ISNUMBER($I169),OR($K169="Milestone",$K169="Deadline"),$I169&gt;=BV$4,$I169&lt;BV$4+7),IF($K169="Deadline","◇","◆"),"")</f>
        <v/>
      </c>
      <c r="BW169" s="14" t="str">
        <f>IF(AND(ISNUMBER($I169),OR($K169="Milestone",$K169="Deadline"),$I169&gt;=BW$4,$I169&lt;BW$4+7),IF($K169="Deadline","◇","◆"),"")</f>
        <v/>
      </c>
      <c r="BX169" s="14" t="str">
        <f>IF(AND(ISNUMBER($I169),OR($K169="Milestone",$K169="Deadline"),$I169&gt;=BX$4,$I169&lt;BX$4+7),IF($K169="Deadline","◇","◆"),"")</f>
        <v/>
      </c>
      <c r="BY169" s="14" t="str">
        <f>IF(AND(ISNUMBER($I169),OR($K169="Milestone",$K169="Deadline"),$I169&gt;=BY$4,$I169&lt;BY$4+7),IF($K169="Deadline","◇","◆"),"")</f>
        <v/>
      </c>
      <c r="BZ169" s="14" t="str">
        <f>IF(AND(ISNUMBER($I169),OR($K169="Milestone",$K169="Deadline"),$I169&gt;=BZ$4,$I169&lt;BZ$4+7),IF($K169="Deadline","◇","◆"),"")</f>
        <v/>
      </c>
      <c r="CA169" s="14" t="str">
        <f>IF(AND(ISNUMBER($I169),OR($K169="Milestone",$K169="Deadline"),$I169&gt;=CA$4,$I169&lt;CA$4+7),IF($K169="Deadline","◇","◆"),"")</f>
        <v/>
      </c>
      <c r="CB169" s="14" t="str">
        <f>IF(AND(ISNUMBER($I169),OR($K169="Milestone",$K169="Deadline"),$I169&gt;=CB$4,$I169&lt;CB$4+7),IF($K169="Deadline","◇","◆"),"")</f>
        <v/>
      </c>
      <c r="CC169" s="14" t="str">
        <f>IF(AND(ISNUMBER($I169),OR($K169="Milestone",$K169="Deadline"),$I169&gt;=CC$4,$I169&lt;CC$4+7),IF($K169="Deadline","◇","◆"),"")</f>
        <v/>
      </c>
      <c r="CD169" s="14" t="str">
        <f>IF(AND(ISNUMBER($I169),OR($K169="Milestone",$K169="Deadline"),$I169&gt;=CD$4,$I169&lt;CD$4+7),IF($K169="Deadline","◇","◆"),"")</f>
        <v/>
      </c>
      <c r="CE169" s="14" t="str">
        <f>IF(AND(ISNUMBER($I169),OR($K169="Milestone",$K169="Deadline"),$I169&gt;=CE$4,$I169&lt;CE$4+7),IF($K169="Deadline","◇","◆"),"")</f>
        <v/>
      </c>
      <c r="CF169" s="14" t="str">
        <f>IF(AND(ISNUMBER($I169),OR($K169="Milestone",$K169="Deadline"),$I169&gt;=CF$4,$I169&lt;CF$4+7),IF($K169="Deadline","◇","◆"),"")</f>
        <v/>
      </c>
      <c r="CG169" s="14" t="str">
        <f>IF(AND(ISNUMBER($I169),OR($K169="Milestone",$K169="Deadline"),$I169&gt;=CG$4,$I169&lt;CG$4+7),IF($K169="Deadline","◇","◆"),"")</f>
        <v/>
      </c>
      <c r="CH169" s="14" t="str">
        <f>IF(AND(ISNUMBER($I169),OR($K169="Milestone",$K169="Deadline"),$I169&gt;=CH$4,$I169&lt;CH$4+7),IF($K169="Deadline","◇","◆"),"")</f>
        <v/>
      </c>
      <c r="CI169" s="14" t="str">
        <f>IF(AND(ISNUMBER($I169),OR($K169="Milestone",$K169="Deadline"),$I169&gt;=CI$4,$I169&lt;CI$4+7),IF($K169="Deadline","◇","◆"),"")</f>
        <v/>
      </c>
      <c r="CJ169" s="14" t="str">
        <f>IF(AND(ISNUMBER($I169),OR($K169="Milestone",$K169="Deadline"),$I169&gt;=CJ$4,$I169&lt;CJ$4+7),IF($K169="Deadline","◇","◆"),"")</f>
        <v/>
      </c>
      <c r="CK169" s="14" t="str">
        <f>IF(AND(ISNUMBER($I169),OR($K169="Milestone",$K169="Deadline"),$I169&gt;=CK$4,$I169&lt;CK$4+7),IF($K169="Deadline","◇","◆"),"")</f>
        <v/>
      </c>
      <c r="CL169" s="14" t="str">
        <f>IF(AND(ISNUMBER($I169),OR($K169="Milestone",$K169="Deadline"),$I169&gt;=CL$4,$I169&lt;CL$4+7),IF($K169="Deadline","◇","◆"),"")</f>
        <v/>
      </c>
      <c r="CM169" s="14" t="str">
        <f>IF(AND(ISNUMBER($I169),OR($K169="Milestone",$K169="Deadline"),$I169&gt;=CM$4,$I169&lt;CM$4+7),IF($K169="Deadline","◇","◆"),"")</f>
        <v/>
      </c>
    </row>
    <row r="170" spans="1:91" ht="15" customHeight="1">
      <c r="A170" s="39" t="s">
        <v>379</v>
      </c>
      <c r="B170" s="39" t="s">
        <v>386</v>
      </c>
      <c r="C170" s="39" t="s">
        <v>93</v>
      </c>
      <c r="D170" s="39" t="s">
        <v>348</v>
      </c>
      <c r="E170" s="39" t="s">
        <v>281</v>
      </c>
      <c r="F170" s="39" t="s">
        <v>204</v>
      </c>
      <c r="G170" s="39" t="s">
        <v>198</v>
      </c>
      <c r="H170" s="39">
        <v>7</v>
      </c>
      <c r="I170" s="40">
        <f>MAX($C$2,J167+1,J157+1,J147+1)</f>
        <v>46379</v>
      </c>
      <c r="J170" s="41">
        <f>IF(AND(ISNUMBER(I170),ISNUMBER(H170)),I170+H170-1,"")</f>
        <v>46385</v>
      </c>
      <c r="K170" s="39" t="s">
        <v>27</v>
      </c>
      <c r="L170" s="39" t="s">
        <v>401</v>
      </c>
      <c r="M170" s="42" t="s">
        <v>366</v>
      </c>
      <c r="N170" s="39"/>
      <c r="O170" s="42">
        <f>IF(AND(ISNUMBER(I170),ISNUMBER(J170)),J170-I170+1,"")</f>
        <v>7</v>
      </c>
      <c r="P170" s="13"/>
      <c r="Q170" s="13"/>
      <c r="R170" s="13"/>
      <c r="S170" s="13" t="s">
        <v>140</v>
      </c>
      <c r="T170" s="13"/>
      <c r="U170" s="13" t="s">
        <v>140</v>
      </c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4" t="str">
        <f>IF(AND(ISNUMBER($I170),OR($K170="Milestone",$K170="Deadline"),$I170&gt;=AO$4,$I170&lt;AO$4+7),IF($K170="Deadline","◇","◆"),"")</f>
        <v/>
      </c>
      <c r="AP170" s="14" t="str">
        <f>IF(AND(ISNUMBER($I170),OR($K170="Milestone",$K170="Deadline"),$I170&gt;=AP$4,$I170&lt;AP$4+7),IF($K170="Deadline","◇","◆"),"")</f>
        <v/>
      </c>
      <c r="AQ170" s="14" t="str">
        <f>IF(AND(ISNUMBER($I170),OR($K170="Milestone",$K170="Deadline"),$I170&gt;=AQ$4,$I170&lt;AQ$4+7),IF($K170="Deadline","◇","◆"),"")</f>
        <v/>
      </c>
      <c r="AR170" s="14" t="str">
        <f>IF(AND(ISNUMBER($I170),OR($K170="Milestone",$K170="Deadline"),$I170&gt;=AR$4,$I170&lt;AR$4+7),IF($K170="Deadline","◇","◆"),"")</f>
        <v/>
      </c>
      <c r="AS170" s="14" t="str">
        <f>IF(AND(ISNUMBER($I170),OR($K170="Milestone",$K170="Deadline"),$I170&gt;=AS$4,$I170&lt;AS$4+7),IF($K170="Deadline","◇","◆"),"")</f>
        <v/>
      </c>
      <c r="AT170" s="14" t="str">
        <f>IF(AND(ISNUMBER($I170),OR($K170="Milestone",$K170="Deadline"),$I170&gt;=AT$4,$I170&lt;AT$4+7),IF($K170="Deadline","◇","◆"),"")</f>
        <v/>
      </c>
      <c r="AU170" s="14" t="str">
        <f>IF(AND(ISNUMBER($I170),OR($K170="Milestone",$K170="Deadline"),$I170&gt;=AU$4,$I170&lt;AU$4+7),IF($K170="Deadline","◇","◆"),"")</f>
        <v/>
      </c>
      <c r="AV170" s="14" t="str">
        <f>IF(AND(ISNUMBER($I170),OR($K170="Milestone",$K170="Deadline"),$I170&gt;=AV$4,$I170&lt;AV$4+7),IF($K170="Deadline","◇","◆"),"")</f>
        <v/>
      </c>
      <c r="AW170" s="14" t="str">
        <f>IF(AND(ISNUMBER($I170),OR($K170="Milestone",$K170="Deadline"),$I170&gt;=AW$4,$I170&lt;AW$4+7),IF($K170="Deadline","◇","◆"),"")</f>
        <v/>
      </c>
      <c r="AX170" s="14" t="str">
        <f>IF(AND(ISNUMBER($I170),OR($K170="Milestone",$K170="Deadline"),$I170&gt;=AX$4,$I170&lt;AX$4+7),IF($K170="Deadline","◇","◆"),"")</f>
        <v/>
      </c>
      <c r="AY170" s="14" t="str">
        <f>IF(AND(ISNUMBER($I170),OR($K170="Milestone",$K170="Deadline"),$I170&gt;=AY$4,$I170&lt;AY$4+7),IF($K170="Deadline","◇","◆"),"")</f>
        <v/>
      </c>
      <c r="AZ170" s="14" t="str">
        <f>IF(AND(ISNUMBER($I170),OR($K170="Milestone",$K170="Deadline"),$I170&gt;=AZ$4,$I170&lt;AZ$4+7),IF($K170="Deadline","◇","◆"),"")</f>
        <v/>
      </c>
      <c r="BA170" s="14" t="str">
        <f>IF(AND(ISNUMBER($I170),OR($K170="Milestone",$K170="Deadline"),$I170&gt;=BA$4,$I170&lt;BA$4+7),IF($K170="Deadline","◇","◆"),"")</f>
        <v/>
      </c>
      <c r="BB170" s="14" t="str">
        <f>IF(AND(ISNUMBER($I170),OR($K170="Milestone",$K170="Deadline"),$I170&gt;=BB$4,$I170&lt;BB$4+7),IF($K170="Deadline","◇","◆"),"")</f>
        <v/>
      </c>
      <c r="BC170" s="14" t="str">
        <f>IF(AND(ISNUMBER($I170),OR($K170="Milestone",$K170="Deadline"),$I170&gt;=BC$4,$I170&lt;BC$4+7),IF($K170="Deadline","◇","◆"),"")</f>
        <v/>
      </c>
      <c r="BD170" s="14" t="str">
        <f>IF(AND(ISNUMBER($I170),OR($K170="Milestone",$K170="Deadline"),$I170&gt;=BD$4,$I170&lt;BD$4+7),IF($K170="Deadline","◇","◆"),"")</f>
        <v/>
      </c>
      <c r="BE170" s="14" t="str">
        <f>IF(AND(ISNUMBER($I170),OR($K170="Milestone",$K170="Deadline"),$I170&gt;=BE$4,$I170&lt;BE$4+7),IF($K170="Deadline","◇","◆"),"")</f>
        <v/>
      </c>
      <c r="BF170" s="14" t="str">
        <f>IF(AND(ISNUMBER($I170),OR($K170="Milestone",$K170="Deadline"),$I170&gt;=BF$4,$I170&lt;BF$4+7),IF($K170="Deadline","◇","◆"),"")</f>
        <v/>
      </c>
      <c r="BG170" s="14" t="str">
        <f>IF(AND(ISNUMBER($I170),OR($K170="Milestone",$K170="Deadline"),$I170&gt;=BG$4,$I170&lt;BG$4+7),IF($K170="Deadline","◇","◆"),"")</f>
        <v/>
      </c>
      <c r="BH170" s="14" t="str">
        <f>IF(AND(ISNUMBER($I170),OR($K170="Milestone",$K170="Deadline"),$I170&gt;=BH$4,$I170&lt;BH$4+7),IF($K170="Deadline","◇","◆"),"")</f>
        <v/>
      </c>
      <c r="BI170" s="14" t="str">
        <f>IF(AND(ISNUMBER($I170),OR($K170="Milestone",$K170="Deadline"),$I170&gt;=BI$4,$I170&lt;BI$4+7),IF($K170="Deadline","◇","◆"),"")</f>
        <v/>
      </c>
      <c r="BJ170" s="14" t="str">
        <f>IF(AND(ISNUMBER($I170),OR($K170="Milestone",$K170="Deadline"),$I170&gt;=BJ$4,$I170&lt;BJ$4+7),IF($K170="Deadline","◇","◆"),"")</f>
        <v/>
      </c>
      <c r="BK170" s="14" t="str">
        <f>IF(AND(ISNUMBER($I170),OR($K170="Milestone",$K170="Deadline"),$I170&gt;=BK$4,$I170&lt;BK$4+7),IF($K170="Deadline","◇","◆"),"")</f>
        <v/>
      </c>
      <c r="BL170" s="14" t="str">
        <f>IF(AND(ISNUMBER($I170),OR($K170="Milestone",$K170="Deadline"),$I170&gt;=BL$4,$I170&lt;BL$4+7),IF($K170="Deadline","◇","◆"),"")</f>
        <v/>
      </c>
      <c r="BM170" s="14" t="str">
        <f>IF(AND(ISNUMBER($I170),OR($K170="Milestone",$K170="Deadline"),$I170&gt;=BM$4,$I170&lt;BM$4+7),IF($K170="Deadline","◇","◆"),"")</f>
        <v/>
      </c>
      <c r="BN170" s="14" t="str">
        <f>IF(AND(ISNUMBER($I170),OR($K170="Milestone",$K170="Deadline"),$I170&gt;=BN$4,$I170&lt;BN$4+7),IF($K170="Deadline","◇","◆"),"")</f>
        <v/>
      </c>
      <c r="BO170" s="14" t="str">
        <f>IF(AND(ISNUMBER($I170),OR($K170="Milestone",$K170="Deadline"),$I170&gt;=BO$4,$I170&lt;BO$4+7),IF($K170="Deadline","◇","◆"),"")</f>
        <v/>
      </c>
      <c r="BP170" s="14" t="str">
        <f>IF(AND(ISNUMBER($I170),OR($K170="Milestone",$K170="Deadline"),$I170&gt;=BP$4,$I170&lt;BP$4+7),IF($K170="Deadline","◇","◆"),"")</f>
        <v/>
      </c>
      <c r="BQ170" s="14" t="str">
        <f>IF(AND(ISNUMBER($I170),OR($K170="Milestone",$K170="Deadline"),$I170&gt;=BQ$4,$I170&lt;BQ$4+7),IF($K170="Deadline","◇","◆"),"")</f>
        <v/>
      </c>
      <c r="BR170" s="14" t="str">
        <f>IF(AND(ISNUMBER($I170),OR($K170="Milestone",$K170="Deadline"),$I170&gt;=BR$4,$I170&lt;BR$4+7),IF($K170="Deadline","◇","◆"),"")</f>
        <v/>
      </c>
      <c r="BS170" s="14" t="str">
        <f>IF(AND(ISNUMBER($I170),OR($K170="Milestone",$K170="Deadline"),$I170&gt;=BS$4,$I170&lt;BS$4+7),IF($K170="Deadline","◇","◆"),"")</f>
        <v/>
      </c>
      <c r="BT170" s="14" t="str">
        <f>IF(AND(ISNUMBER($I170),OR($K170="Milestone",$K170="Deadline"),$I170&gt;=BT$4,$I170&lt;BT$4+7),IF($K170="Deadline","◇","◆"),"")</f>
        <v/>
      </c>
      <c r="BU170" s="14" t="str">
        <f>IF(AND(ISNUMBER($I170),OR($K170="Milestone",$K170="Deadline"),$I170&gt;=BU$4,$I170&lt;BU$4+7),IF($K170="Deadline","◇","◆"),"")</f>
        <v/>
      </c>
      <c r="BV170" s="14" t="str">
        <f>IF(AND(ISNUMBER($I170),OR($K170="Milestone",$K170="Deadline"),$I170&gt;=BV$4,$I170&lt;BV$4+7),IF($K170="Deadline","◇","◆"),"")</f>
        <v/>
      </c>
      <c r="BW170" s="14" t="str">
        <f>IF(AND(ISNUMBER($I170),OR($K170="Milestone",$K170="Deadline"),$I170&gt;=BW$4,$I170&lt;BW$4+7),IF($K170="Deadline","◇","◆"),"")</f>
        <v/>
      </c>
      <c r="BX170" s="14" t="str">
        <f>IF(AND(ISNUMBER($I170),OR($K170="Milestone",$K170="Deadline"),$I170&gt;=BX$4,$I170&lt;BX$4+7),IF($K170="Deadline","◇","◆"),"")</f>
        <v/>
      </c>
      <c r="BY170" s="14" t="str">
        <f>IF(AND(ISNUMBER($I170),OR($K170="Milestone",$K170="Deadline"),$I170&gt;=BY$4,$I170&lt;BY$4+7),IF($K170="Deadline","◇","◆"),"")</f>
        <v/>
      </c>
      <c r="BZ170" s="14" t="str">
        <f>IF(AND(ISNUMBER($I170),OR($K170="Milestone",$K170="Deadline"),$I170&gt;=BZ$4,$I170&lt;BZ$4+7),IF($K170="Deadline","◇","◆"),"")</f>
        <v/>
      </c>
      <c r="CA170" s="14" t="str">
        <f>IF(AND(ISNUMBER($I170),OR($K170="Milestone",$K170="Deadline"),$I170&gt;=CA$4,$I170&lt;CA$4+7),IF($K170="Deadline","◇","◆"),"")</f>
        <v/>
      </c>
      <c r="CB170" s="14" t="str">
        <f>IF(AND(ISNUMBER($I170),OR($K170="Milestone",$K170="Deadline"),$I170&gt;=CB$4,$I170&lt;CB$4+7),IF($K170="Deadline","◇","◆"),"")</f>
        <v/>
      </c>
      <c r="CC170" s="14" t="str">
        <f>IF(AND(ISNUMBER($I170),OR($K170="Milestone",$K170="Deadline"),$I170&gt;=CC$4,$I170&lt;CC$4+7),IF($K170="Deadline","◇","◆"),"")</f>
        <v/>
      </c>
      <c r="CD170" s="14" t="str">
        <f>IF(AND(ISNUMBER($I170),OR($K170="Milestone",$K170="Deadline"),$I170&gt;=CD$4,$I170&lt;CD$4+7),IF($K170="Deadline","◇","◆"),"")</f>
        <v/>
      </c>
      <c r="CE170" s="14" t="str">
        <f>IF(AND(ISNUMBER($I170),OR($K170="Milestone",$K170="Deadline"),$I170&gt;=CE$4,$I170&lt;CE$4+7),IF($K170="Deadline","◇","◆"),"")</f>
        <v/>
      </c>
      <c r="CF170" s="14" t="str">
        <f>IF(AND(ISNUMBER($I170),OR($K170="Milestone",$K170="Deadline"),$I170&gt;=CF$4,$I170&lt;CF$4+7),IF($K170="Deadline","◇","◆"),"")</f>
        <v/>
      </c>
      <c r="CG170" s="14" t="str">
        <f>IF(AND(ISNUMBER($I170),OR($K170="Milestone",$K170="Deadline"),$I170&gt;=CG$4,$I170&lt;CG$4+7),IF($K170="Deadline","◇","◆"),"")</f>
        <v/>
      </c>
      <c r="CH170" s="14" t="str">
        <f>IF(AND(ISNUMBER($I170),OR($K170="Milestone",$K170="Deadline"),$I170&gt;=CH$4,$I170&lt;CH$4+7),IF($K170="Deadline","◇","◆"),"")</f>
        <v/>
      </c>
      <c r="CI170" s="14" t="str">
        <f>IF(AND(ISNUMBER($I170),OR($K170="Milestone",$K170="Deadline"),$I170&gt;=CI$4,$I170&lt;CI$4+7),IF($K170="Deadline","◇","◆"),"")</f>
        <v/>
      </c>
      <c r="CJ170" s="14" t="str">
        <f>IF(AND(ISNUMBER($I170),OR($K170="Milestone",$K170="Deadline"),$I170&gt;=CJ$4,$I170&lt;CJ$4+7),IF($K170="Deadline","◇","◆"),"")</f>
        <v/>
      </c>
      <c r="CK170" s="14" t="str">
        <f>IF(AND(ISNUMBER($I170),OR($K170="Milestone",$K170="Deadline"),$I170&gt;=CK$4,$I170&lt;CK$4+7),IF($K170="Deadline","◇","◆"),"")</f>
        <v/>
      </c>
      <c r="CL170" s="14" t="str">
        <f>IF(AND(ISNUMBER($I170),OR($K170="Milestone",$K170="Deadline"),$I170&gt;=CL$4,$I170&lt;CL$4+7),IF($K170="Deadline","◇","◆"),"")</f>
        <v/>
      </c>
      <c r="CM170" s="14" t="str">
        <f>IF(AND(ISNUMBER($I170),OR($K170="Milestone",$K170="Deadline"),$I170&gt;=CM$4,$I170&lt;CM$4+7),IF($K170="Deadline","◇","◆"),"")</f>
        <v/>
      </c>
    </row>
    <row r="171" spans="1:91" ht="15" hidden="1" customHeight="1">
      <c r="A171" s="39" t="s">
        <v>402</v>
      </c>
      <c r="B171" s="39" t="s">
        <v>386</v>
      </c>
      <c r="C171" s="39" t="s">
        <v>93</v>
      </c>
      <c r="D171" s="39" t="s">
        <v>348</v>
      </c>
      <c r="E171" s="39" t="s">
        <v>281</v>
      </c>
      <c r="F171" s="39" t="s">
        <v>204</v>
      </c>
      <c r="G171" s="39" t="s">
        <v>173</v>
      </c>
      <c r="H171" s="39">
        <v>14</v>
      </c>
      <c r="I171" s="40">
        <f>MAX($C$2,I170)</f>
        <v>46379</v>
      </c>
      <c r="J171" s="41">
        <f>IF(AND(ISNUMBER(I171),ISNUMBER(H171)),I171+H171-1,"")</f>
        <v>46392</v>
      </c>
      <c r="K171" s="39" t="s">
        <v>27</v>
      </c>
      <c r="L171" s="39" t="s">
        <v>403</v>
      </c>
      <c r="M171" s="42"/>
      <c r="N171" s="39"/>
      <c r="O171" s="42">
        <f>IF(AND(ISNUMBER(I171),ISNUMBER(J171)),J171-I171+1,"")</f>
        <v>14</v>
      </c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4" t="str">
        <f>IF(AND(ISNUMBER($I171),OR($K171="Milestone",$K171="Deadline"),$I171&gt;=AO$4,$I171&lt;AO$4+7),IF($K171="Deadline","◇","◆"),"")</f>
        <v/>
      </c>
      <c r="AP171" s="14" t="str">
        <f>IF(AND(ISNUMBER($I171),OR($K171="Milestone",$K171="Deadline"),$I171&gt;=AP$4,$I171&lt;AP$4+7),IF($K171="Deadline","◇","◆"),"")</f>
        <v/>
      </c>
      <c r="AQ171" s="14" t="str">
        <f>IF(AND(ISNUMBER($I171),OR($K171="Milestone",$K171="Deadline"),$I171&gt;=AQ$4,$I171&lt;AQ$4+7),IF($K171="Deadline","◇","◆"),"")</f>
        <v/>
      </c>
      <c r="AR171" s="14" t="str">
        <f>IF(AND(ISNUMBER($I171),OR($K171="Milestone",$K171="Deadline"),$I171&gt;=AR$4,$I171&lt;AR$4+7),IF($K171="Deadline","◇","◆"),"")</f>
        <v/>
      </c>
      <c r="AS171" s="14" t="str">
        <f>IF(AND(ISNUMBER($I171),OR($K171="Milestone",$K171="Deadline"),$I171&gt;=AS$4,$I171&lt;AS$4+7),IF($K171="Deadline","◇","◆"),"")</f>
        <v/>
      </c>
      <c r="AT171" s="14" t="str">
        <f>IF(AND(ISNUMBER($I171),OR($K171="Milestone",$K171="Deadline"),$I171&gt;=AT$4,$I171&lt;AT$4+7),IF($K171="Deadline","◇","◆"),"")</f>
        <v/>
      </c>
      <c r="AU171" s="14" t="str">
        <f>IF(AND(ISNUMBER($I171),OR($K171="Milestone",$K171="Deadline"),$I171&gt;=AU$4,$I171&lt;AU$4+7),IF($K171="Deadline","◇","◆"),"")</f>
        <v/>
      </c>
      <c r="AV171" s="14" t="str">
        <f>IF(AND(ISNUMBER($I171),OR($K171="Milestone",$K171="Deadline"),$I171&gt;=AV$4,$I171&lt;AV$4+7),IF($K171="Deadline","◇","◆"),"")</f>
        <v/>
      </c>
      <c r="AW171" s="14" t="str">
        <f>IF(AND(ISNUMBER($I171),OR($K171="Milestone",$K171="Deadline"),$I171&gt;=AW$4,$I171&lt;AW$4+7),IF($K171="Deadline","◇","◆"),"")</f>
        <v/>
      </c>
      <c r="AX171" s="14" t="str">
        <f>IF(AND(ISNUMBER($I171),OR($K171="Milestone",$K171="Deadline"),$I171&gt;=AX$4,$I171&lt;AX$4+7),IF($K171="Deadline","◇","◆"),"")</f>
        <v/>
      </c>
      <c r="AY171" s="14" t="str">
        <f>IF(AND(ISNUMBER($I171),OR($K171="Milestone",$K171="Deadline"),$I171&gt;=AY$4,$I171&lt;AY$4+7),IF($K171="Deadline","◇","◆"),"")</f>
        <v/>
      </c>
      <c r="AZ171" s="14" t="str">
        <f>IF(AND(ISNUMBER($I171),OR($K171="Milestone",$K171="Deadline"),$I171&gt;=AZ$4,$I171&lt;AZ$4+7),IF($K171="Deadline","◇","◆"),"")</f>
        <v/>
      </c>
      <c r="BA171" s="14" t="str">
        <f>IF(AND(ISNUMBER($I171),OR($K171="Milestone",$K171="Deadline"),$I171&gt;=BA$4,$I171&lt;BA$4+7),IF($K171="Deadline","◇","◆"),"")</f>
        <v/>
      </c>
      <c r="BB171" s="14" t="str">
        <f>IF(AND(ISNUMBER($I171),OR($K171="Milestone",$K171="Deadline"),$I171&gt;=BB$4,$I171&lt;BB$4+7),IF($K171="Deadline","◇","◆"),"")</f>
        <v/>
      </c>
      <c r="BC171" s="14" t="str">
        <f>IF(AND(ISNUMBER($I171),OR($K171="Milestone",$K171="Deadline"),$I171&gt;=BC$4,$I171&lt;BC$4+7),IF($K171="Deadline","◇","◆"),"")</f>
        <v/>
      </c>
      <c r="BD171" s="14" t="str">
        <f>IF(AND(ISNUMBER($I171),OR($K171="Milestone",$K171="Deadline"),$I171&gt;=BD$4,$I171&lt;BD$4+7),IF($K171="Deadline","◇","◆"),"")</f>
        <v/>
      </c>
      <c r="BE171" s="14" t="str">
        <f>IF(AND(ISNUMBER($I171),OR($K171="Milestone",$K171="Deadline"),$I171&gt;=BE$4,$I171&lt;BE$4+7),IF($K171="Deadline","◇","◆"),"")</f>
        <v/>
      </c>
      <c r="BF171" s="14" t="str">
        <f>IF(AND(ISNUMBER($I171),OR($K171="Milestone",$K171="Deadline"),$I171&gt;=BF$4,$I171&lt;BF$4+7),IF($K171="Deadline","◇","◆"),"")</f>
        <v/>
      </c>
      <c r="BG171" s="14" t="str">
        <f>IF(AND(ISNUMBER($I171),OR($K171="Milestone",$K171="Deadline"),$I171&gt;=BG$4,$I171&lt;BG$4+7),IF($K171="Deadline","◇","◆"),"")</f>
        <v/>
      </c>
      <c r="BH171" s="14" t="str">
        <f>IF(AND(ISNUMBER($I171),OR($K171="Milestone",$K171="Deadline"),$I171&gt;=BH$4,$I171&lt;BH$4+7),IF($K171="Deadline","◇","◆"),"")</f>
        <v/>
      </c>
      <c r="BI171" s="14" t="str">
        <f>IF(AND(ISNUMBER($I171),OR($K171="Milestone",$K171="Deadline"),$I171&gt;=BI$4,$I171&lt;BI$4+7),IF($K171="Deadline","◇","◆"),"")</f>
        <v/>
      </c>
      <c r="BJ171" s="14" t="str">
        <f>IF(AND(ISNUMBER($I171),OR($K171="Milestone",$K171="Deadline"),$I171&gt;=BJ$4,$I171&lt;BJ$4+7),IF($K171="Deadline","◇","◆"),"")</f>
        <v/>
      </c>
      <c r="BK171" s="14" t="str">
        <f>IF(AND(ISNUMBER($I171),OR($K171="Milestone",$K171="Deadline"),$I171&gt;=BK$4,$I171&lt;BK$4+7),IF($K171="Deadline","◇","◆"),"")</f>
        <v/>
      </c>
      <c r="BL171" s="14" t="str">
        <f>IF(AND(ISNUMBER($I171),OR($K171="Milestone",$K171="Deadline"),$I171&gt;=BL$4,$I171&lt;BL$4+7),IF($K171="Deadline","◇","◆"),"")</f>
        <v/>
      </c>
      <c r="BM171" s="14" t="str">
        <f>IF(AND(ISNUMBER($I171),OR($K171="Milestone",$K171="Deadline"),$I171&gt;=BM$4,$I171&lt;BM$4+7),IF($K171="Deadline","◇","◆"),"")</f>
        <v/>
      </c>
      <c r="BN171" s="14" t="str">
        <f>IF(AND(ISNUMBER($I171),OR($K171="Milestone",$K171="Deadline"),$I171&gt;=BN$4,$I171&lt;BN$4+7),IF($K171="Deadline","◇","◆"),"")</f>
        <v/>
      </c>
      <c r="BO171" s="14" t="str">
        <f>IF(AND(ISNUMBER($I171),OR($K171="Milestone",$K171="Deadline"),$I171&gt;=BO$4,$I171&lt;BO$4+7),IF($K171="Deadline","◇","◆"),"")</f>
        <v/>
      </c>
      <c r="BP171" s="14" t="str">
        <f>IF(AND(ISNUMBER($I171),OR($K171="Milestone",$K171="Deadline"),$I171&gt;=BP$4,$I171&lt;BP$4+7),IF($K171="Deadline","◇","◆"),"")</f>
        <v/>
      </c>
      <c r="BQ171" s="14" t="str">
        <f>IF(AND(ISNUMBER($I171),OR($K171="Milestone",$K171="Deadline"),$I171&gt;=BQ$4,$I171&lt;BQ$4+7),IF($K171="Deadline","◇","◆"),"")</f>
        <v/>
      </c>
      <c r="BR171" s="14" t="str">
        <f>IF(AND(ISNUMBER($I171),OR($K171="Milestone",$K171="Deadline"),$I171&gt;=BR$4,$I171&lt;BR$4+7),IF($K171="Deadline","◇","◆"),"")</f>
        <v/>
      </c>
      <c r="BS171" s="14" t="str">
        <f>IF(AND(ISNUMBER($I171),OR($K171="Milestone",$K171="Deadline"),$I171&gt;=BS$4,$I171&lt;BS$4+7),IF($K171="Deadline","◇","◆"),"")</f>
        <v/>
      </c>
      <c r="BT171" s="14" t="str">
        <f>IF(AND(ISNUMBER($I171),OR($K171="Milestone",$K171="Deadline"),$I171&gt;=BT$4,$I171&lt;BT$4+7),IF($K171="Deadline","◇","◆"),"")</f>
        <v/>
      </c>
      <c r="BU171" s="14" t="str">
        <f>IF(AND(ISNUMBER($I171),OR($K171="Milestone",$K171="Deadline"),$I171&gt;=BU$4,$I171&lt;BU$4+7),IF($K171="Deadline","◇","◆"),"")</f>
        <v/>
      </c>
      <c r="BV171" s="14" t="str">
        <f>IF(AND(ISNUMBER($I171),OR($K171="Milestone",$K171="Deadline"),$I171&gt;=BV$4,$I171&lt;BV$4+7),IF($K171="Deadline","◇","◆"),"")</f>
        <v/>
      </c>
      <c r="BW171" s="14" t="str">
        <f>IF(AND(ISNUMBER($I171),OR($K171="Milestone",$K171="Deadline"),$I171&gt;=BW$4,$I171&lt;BW$4+7),IF($K171="Deadline","◇","◆"),"")</f>
        <v/>
      </c>
      <c r="BX171" s="14" t="str">
        <f>IF(AND(ISNUMBER($I171),OR($K171="Milestone",$K171="Deadline"),$I171&gt;=BX$4,$I171&lt;BX$4+7),IF($K171="Deadline","◇","◆"),"")</f>
        <v/>
      </c>
      <c r="BY171" s="14" t="str">
        <f>IF(AND(ISNUMBER($I171),OR($K171="Milestone",$K171="Deadline"),$I171&gt;=BY$4,$I171&lt;BY$4+7),IF($K171="Deadline","◇","◆"),"")</f>
        <v/>
      </c>
      <c r="BZ171" s="14" t="str">
        <f>IF(AND(ISNUMBER($I171),OR($K171="Milestone",$K171="Deadline"),$I171&gt;=BZ$4,$I171&lt;BZ$4+7),IF($K171="Deadline","◇","◆"),"")</f>
        <v/>
      </c>
      <c r="CA171" s="14" t="str">
        <f>IF(AND(ISNUMBER($I171),OR($K171="Milestone",$K171="Deadline"),$I171&gt;=CA$4,$I171&lt;CA$4+7),IF($K171="Deadline","◇","◆"),"")</f>
        <v/>
      </c>
      <c r="CB171" s="14" t="str">
        <f>IF(AND(ISNUMBER($I171),OR($K171="Milestone",$K171="Deadline"),$I171&gt;=CB$4,$I171&lt;CB$4+7),IF($K171="Deadline","◇","◆"),"")</f>
        <v/>
      </c>
      <c r="CC171" s="14" t="str">
        <f>IF(AND(ISNUMBER($I171),OR($K171="Milestone",$K171="Deadline"),$I171&gt;=CC$4,$I171&lt;CC$4+7),IF($K171="Deadline","◇","◆"),"")</f>
        <v/>
      </c>
      <c r="CD171" s="14" t="str">
        <f>IF(AND(ISNUMBER($I171),OR($K171="Milestone",$K171="Deadline"),$I171&gt;=CD$4,$I171&lt;CD$4+7),IF($K171="Deadline","◇","◆"),"")</f>
        <v/>
      </c>
      <c r="CE171" s="14" t="str">
        <f>IF(AND(ISNUMBER($I171),OR($K171="Milestone",$K171="Deadline"),$I171&gt;=CE$4,$I171&lt;CE$4+7),IF($K171="Deadline","◇","◆"),"")</f>
        <v/>
      </c>
      <c r="CF171" s="14" t="str">
        <f>IF(AND(ISNUMBER($I171),OR($K171="Milestone",$K171="Deadline"),$I171&gt;=CF$4,$I171&lt;CF$4+7),IF($K171="Deadline","◇","◆"),"")</f>
        <v/>
      </c>
      <c r="CG171" s="14" t="str">
        <f>IF(AND(ISNUMBER($I171),OR($K171="Milestone",$K171="Deadline"),$I171&gt;=CG$4,$I171&lt;CG$4+7),IF($K171="Deadline","◇","◆"),"")</f>
        <v/>
      </c>
      <c r="CH171" s="14" t="str">
        <f>IF(AND(ISNUMBER($I171),OR($K171="Milestone",$K171="Deadline"),$I171&gt;=CH$4,$I171&lt;CH$4+7),IF($K171="Deadline","◇","◆"),"")</f>
        <v/>
      </c>
      <c r="CI171" s="14" t="str">
        <f>IF(AND(ISNUMBER($I171),OR($K171="Milestone",$K171="Deadline"),$I171&gt;=CI$4,$I171&lt;CI$4+7),IF($K171="Deadline","◇","◆"),"")</f>
        <v/>
      </c>
      <c r="CJ171" s="14" t="str">
        <f>IF(AND(ISNUMBER($I171),OR($K171="Milestone",$K171="Deadline"),$I171&gt;=CJ$4,$I171&lt;CJ$4+7),IF($K171="Deadline","◇","◆"),"")</f>
        <v/>
      </c>
      <c r="CK171" s="14" t="str">
        <f>IF(AND(ISNUMBER($I171),OR($K171="Milestone",$K171="Deadline"),$I171&gt;=CK$4,$I171&lt;CK$4+7),IF($K171="Deadline","◇","◆"),"")</f>
        <v/>
      </c>
      <c r="CL171" s="14" t="str">
        <f>IF(AND(ISNUMBER($I171),OR($K171="Milestone",$K171="Deadline"),$I171&gt;=CL$4,$I171&lt;CL$4+7),IF($K171="Deadline","◇","◆"),"")</f>
        <v/>
      </c>
      <c r="CM171" s="14" t="str">
        <f>IF(AND(ISNUMBER($I171),OR($K171="Milestone",$K171="Deadline"),$I171&gt;=CM$4,$I171&lt;CM$4+7),IF($K171="Deadline","◇","◆"),"")</f>
        <v/>
      </c>
    </row>
    <row r="172" spans="1:91" ht="15" hidden="1" customHeight="1">
      <c r="A172" s="39" t="s">
        <v>404</v>
      </c>
      <c r="B172" s="39" t="s">
        <v>386</v>
      </c>
      <c r="C172" s="39" t="s">
        <v>93</v>
      </c>
      <c r="D172" s="39" t="s">
        <v>348</v>
      </c>
      <c r="E172" s="39" t="s">
        <v>281</v>
      </c>
      <c r="F172" s="39" t="s">
        <v>204</v>
      </c>
      <c r="G172" s="39" t="s">
        <v>176</v>
      </c>
      <c r="H172" s="39">
        <v>7</v>
      </c>
      <c r="I172" s="40">
        <f>MAX($C$2,J170+1,J157+1)</f>
        <v>46386</v>
      </c>
      <c r="J172" s="41">
        <f>IF(AND(ISNUMBER(I172),ISNUMBER(H172)),I172+H172-1,"")</f>
        <v>46392</v>
      </c>
      <c r="K172" s="39" t="s">
        <v>27</v>
      </c>
      <c r="L172" s="39" t="s">
        <v>405</v>
      </c>
      <c r="M172" s="42"/>
      <c r="N172" s="39"/>
      <c r="O172" s="42">
        <f>IF(AND(ISNUMBER(I172),ISNUMBER(J172)),J172-I172+1,"")</f>
        <v>7</v>
      </c>
      <c r="P172" s="13"/>
      <c r="Q172" s="13"/>
      <c r="R172" s="13"/>
      <c r="S172" s="13"/>
      <c r="T172" s="13"/>
      <c r="U172" s="13"/>
      <c r="V172" s="13"/>
      <c r="W172" s="13" t="s">
        <v>140</v>
      </c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4" t="str">
        <f>IF(AND(ISNUMBER($I172),OR($K172="Milestone",$K172="Deadline"),$I172&gt;=AO$4,$I172&lt;AO$4+7),IF($K172="Deadline","◇","◆"),"")</f>
        <v/>
      </c>
      <c r="AP172" s="14" t="str">
        <f>IF(AND(ISNUMBER($I172),OR($K172="Milestone",$K172="Deadline"),$I172&gt;=AP$4,$I172&lt;AP$4+7),IF($K172="Deadline","◇","◆"),"")</f>
        <v/>
      </c>
      <c r="AQ172" s="14" t="str">
        <f>IF(AND(ISNUMBER($I172),OR($K172="Milestone",$K172="Deadline"),$I172&gt;=AQ$4,$I172&lt;AQ$4+7),IF($K172="Deadline","◇","◆"),"")</f>
        <v/>
      </c>
      <c r="AR172" s="14" t="str">
        <f>IF(AND(ISNUMBER($I172),OR($K172="Milestone",$K172="Deadline"),$I172&gt;=AR$4,$I172&lt;AR$4+7),IF($K172="Deadline","◇","◆"),"")</f>
        <v/>
      </c>
      <c r="AS172" s="14" t="str">
        <f>IF(AND(ISNUMBER($I172),OR($K172="Milestone",$K172="Deadline"),$I172&gt;=AS$4,$I172&lt;AS$4+7),IF($K172="Deadline","◇","◆"),"")</f>
        <v/>
      </c>
      <c r="AT172" s="14" t="str">
        <f>IF(AND(ISNUMBER($I172),OR($K172="Milestone",$K172="Deadline"),$I172&gt;=AT$4,$I172&lt;AT$4+7),IF($K172="Deadline","◇","◆"),"")</f>
        <v/>
      </c>
      <c r="AU172" s="14" t="str">
        <f>IF(AND(ISNUMBER($I172),OR($K172="Milestone",$K172="Deadline"),$I172&gt;=AU$4,$I172&lt;AU$4+7),IF($K172="Deadline","◇","◆"),"")</f>
        <v/>
      </c>
      <c r="AV172" s="14" t="str">
        <f>IF(AND(ISNUMBER($I172),OR($K172="Milestone",$K172="Deadline"),$I172&gt;=AV$4,$I172&lt;AV$4+7),IF($K172="Deadline","◇","◆"),"")</f>
        <v/>
      </c>
      <c r="AW172" s="14" t="str">
        <f>IF(AND(ISNUMBER($I172),OR($K172="Milestone",$K172="Deadline"),$I172&gt;=AW$4,$I172&lt;AW$4+7),IF($K172="Deadline","◇","◆"),"")</f>
        <v/>
      </c>
      <c r="AX172" s="14" t="str">
        <f>IF(AND(ISNUMBER($I172),OR($K172="Milestone",$K172="Deadline"),$I172&gt;=AX$4,$I172&lt;AX$4+7),IF($K172="Deadline","◇","◆"),"")</f>
        <v/>
      </c>
      <c r="AY172" s="14" t="str">
        <f>IF(AND(ISNUMBER($I172),OR($K172="Milestone",$K172="Deadline"),$I172&gt;=AY$4,$I172&lt;AY$4+7),IF($K172="Deadline","◇","◆"),"")</f>
        <v/>
      </c>
      <c r="AZ172" s="14" t="str">
        <f>IF(AND(ISNUMBER($I172),OR($K172="Milestone",$K172="Deadline"),$I172&gt;=AZ$4,$I172&lt;AZ$4+7),IF($K172="Deadline","◇","◆"),"")</f>
        <v/>
      </c>
      <c r="BA172" s="14" t="str">
        <f>IF(AND(ISNUMBER($I172),OR($K172="Milestone",$K172="Deadline"),$I172&gt;=BA$4,$I172&lt;BA$4+7),IF($K172="Deadline","◇","◆"),"")</f>
        <v/>
      </c>
      <c r="BB172" s="14" t="str">
        <f>IF(AND(ISNUMBER($I172),OR($K172="Milestone",$K172="Deadline"),$I172&gt;=BB$4,$I172&lt;BB$4+7),IF($K172="Deadline","◇","◆"),"")</f>
        <v/>
      </c>
      <c r="BC172" s="14" t="str">
        <f>IF(AND(ISNUMBER($I172),OR($K172="Milestone",$K172="Deadline"),$I172&gt;=BC$4,$I172&lt;BC$4+7),IF($K172="Deadline","◇","◆"),"")</f>
        <v/>
      </c>
      <c r="BD172" s="14" t="str">
        <f>IF(AND(ISNUMBER($I172),OR($K172="Milestone",$K172="Deadline"),$I172&gt;=BD$4,$I172&lt;BD$4+7),IF($K172="Deadline","◇","◆"),"")</f>
        <v/>
      </c>
      <c r="BE172" s="14" t="str">
        <f>IF(AND(ISNUMBER($I172),OR($K172="Milestone",$K172="Deadline"),$I172&gt;=BE$4,$I172&lt;BE$4+7),IF($K172="Deadline","◇","◆"),"")</f>
        <v/>
      </c>
      <c r="BF172" s="14" t="str">
        <f>IF(AND(ISNUMBER($I172),OR($K172="Milestone",$K172="Deadline"),$I172&gt;=BF$4,$I172&lt;BF$4+7),IF($K172="Deadline","◇","◆"),"")</f>
        <v/>
      </c>
      <c r="BG172" s="14" t="str">
        <f>IF(AND(ISNUMBER($I172),OR($K172="Milestone",$K172="Deadline"),$I172&gt;=BG$4,$I172&lt;BG$4+7),IF($K172="Deadline","◇","◆"),"")</f>
        <v/>
      </c>
      <c r="BH172" s="14" t="str">
        <f>IF(AND(ISNUMBER($I172),OR($K172="Milestone",$K172="Deadline"),$I172&gt;=BH$4,$I172&lt;BH$4+7),IF($K172="Deadline","◇","◆"),"")</f>
        <v/>
      </c>
      <c r="BI172" s="14" t="str">
        <f>IF(AND(ISNUMBER($I172),OR($K172="Milestone",$K172="Deadline"),$I172&gt;=BI$4,$I172&lt;BI$4+7),IF($K172="Deadline","◇","◆"),"")</f>
        <v/>
      </c>
      <c r="BJ172" s="14" t="str">
        <f>IF(AND(ISNUMBER($I172),OR($K172="Milestone",$K172="Deadline"),$I172&gt;=BJ$4,$I172&lt;BJ$4+7),IF($K172="Deadline","◇","◆"),"")</f>
        <v/>
      </c>
      <c r="BK172" s="14" t="str">
        <f>IF(AND(ISNUMBER($I172),OR($K172="Milestone",$K172="Deadline"),$I172&gt;=BK$4,$I172&lt;BK$4+7),IF($K172="Deadline","◇","◆"),"")</f>
        <v/>
      </c>
      <c r="BL172" s="14" t="str">
        <f>IF(AND(ISNUMBER($I172),OR($K172="Milestone",$K172="Deadline"),$I172&gt;=BL$4,$I172&lt;BL$4+7),IF($K172="Deadline","◇","◆"),"")</f>
        <v/>
      </c>
      <c r="BM172" s="14" t="str">
        <f>IF(AND(ISNUMBER($I172),OR($K172="Milestone",$K172="Deadline"),$I172&gt;=BM$4,$I172&lt;BM$4+7),IF($K172="Deadline","◇","◆"),"")</f>
        <v/>
      </c>
      <c r="BN172" s="14" t="str">
        <f>IF(AND(ISNUMBER($I172),OR($K172="Milestone",$K172="Deadline"),$I172&gt;=BN$4,$I172&lt;BN$4+7),IF($K172="Deadline","◇","◆"),"")</f>
        <v/>
      </c>
      <c r="BO172" s="14" t="str">
        <f>IF(AND(ISNUMBER($I172),OR($K172="Milestone",$K172="Deadline"),$I172&gt;=BO$4,$I172&lt;BO$4+7),IF($K172="Deadline","◇","◆"),"")</f>
        <v/>
      </c>
      <c r="BP172" s="14" t="str">
        <f>IF(AND(ISNUMBER($I172),OR($K172="Milestone",$K172="Deadline"),$I172&gt;=BP$4,$I172&lt;BP$4+7),IF($K172="Deadline","◇","◆"),"")</f>
        <v/>
      </c>
      <c r="BQ172" s="14" t="str">
        <f>IF(AND(ISNUMBER($I172),OR($K172="Milestone",$K172="Deadline"),$I172&gt;=BQ$4,$I172&lt;BQ$4+7),IF($K172="Deadline","◇","◆"),"")</f>
        <v/>
      </c>
      <c r="BR172" s="14" t="str">
        <f>IF(AND(ISNUMBER($I172),OR($K172="Milestone",$K172="Deadline"),$I172&gt;=BR$4,$I172&lt;BR$4+7),IF($K172="Deadline","◇","◆"),"")</f>
        <v/>
      </c>
      <c r="BS172" s="14" t="str">
        <f>IF(AND(ISNUMBER($I172),OR($K172="Milestone",$K172="Deadline"),$I172&gt;=BS$4,$I172&lt;BS$4+7),IF($K172="Deadline","◇","◆"),"")</f>
        <v/>
      </c>
      <c r="BT172" s="14" t="str">
        <f>IF(AND(ISNUMBER($I172),OR($K172="Milestone",$K172="Deadline"),$I172&gt;=BT$4,$I172&lt;BT$4+7),IF($K172="Deadline","◇","◆"),"")</f>
        <v/>
      </c>
      <c r="BU172" s="14" t="str">
        <f>IF(AND(ISNUMBER($I172),OR($K172="Milestone",$K172="Deadline"),$I172&gt;=BU$4,$I172&lt;BU$4+7),IF($K172="Deadline","◇","◆"),"")</f>
        <v/>
      </c>
      <c r="BV172" s="14" t="str">
        <f>IF(AND(ISNUMBER($I172),OR($K172="Milestone",$K172="Deadline"),$I172&gt;=BV$4,$I172&lt;BV$4+7),IF($K172="Deadline","◇","◆"),"")</f>
        <v/>
      </c>
      <c r="BW172" s="14" t="str">
        <f>IF(AND(ISNUMBER($I172),OR($K172="Milestone",$K172="Deadline"),$I172&gt;=BW$4,$I172&lt;BW$4+7),IF($K172="Deadline","◇","◆"),"")</f>
        <v/>
      </c>
      <c r="BX172" s="14" t="str">
        <f>IF(AND(ISNUMBER($I172),OR($K172="Milestone",$K172="Deadline"),$I172&gt;=BX$4,$I172&lt;BX$4+7),IF($K172="Deadline","◇","◆"),"")</f>
        <v/>
      </c>
      <c r="BY172" s="14" t="str">
        <f>IF(AND(ISNUMBER($I172),OR($K172="Milestone",$K172="Deadline"),$I172&gt;=BY$4,$I172&lt;BY$4+7),IF($K172="Deadline","◇","◆"),"")</f>
        <v/>
      </c>
      <c r="BZ172" s="14" t="str">
        <f>IF(AND(ISNUMBER($I172),OR($K172="Milestone",$K172="Deadline"),$I172&gt;=BZ$4,$I172&lt;BZ$4+7),IF($K172="Deadline","◇","◆"),"")</f>
        <v/>
      </c>
      <c r="CA172" s="14" t="str">
        <f>IF(AND(ISNUMBER($I172),OR($K172="Milestone",$K172="Deadline"),$I172&gt;=CA$4,$I172&lt;CA$4+7),IF($K172="Deadline","◇","◆"),"")</f>
        <v/>
      </c>
      <c r="CB172" s="14" t="str">
        <f>IF(AND(ISNUMBER($I172),OR($K172="Milestone",$K172="Deadline"),$I172&gt;=CB$4,$I172&lt;CB$4+7),IF($K172="Deadline","◇","◆"),"")</f>
        <v/>
      </c>
      <c r="CC172" s="14" t="str">
        <f>IF(AND(ISNUMBER($I172),OR($K172="Milestone",$K172="Deadline"),$I172&gt;=CC$4,$I172&lt;CC$4+7),IF($K172="Deadline","◇","◆"),"")</f>
        <v/>
      </c>
      <c r="CD172" s="14" t="str">
        <f>IF(AND(ISNUMBER($I172),OR($K172="Milestone",$K172="Deadline"),$I172&gt;=CD$4,$I172&lt;CD$4+7),IF($K172="Deadline","◇","◆"),"")</f>
        <v/>
      </c>
      <c r="CE172" s="14" t="str">
        <f>IF(AND(ISNUMBER($I172),OR($K172="Milestone",$K172="Deadline"),$I172&gt;=CE$4,$I172&lt;CE$4+7),IF($K172="Deadline","◇","◆"),"")</f>
        <v/>
      </c>
      <c r="CF172" s="14" t="str">
        <f>IF(AND(ISNUMBER($I172),OR($K172="Milestone",$K172="Deadline"),$I172&gt;=CF$4,$I172&lt;CF$4+7),IF($K172="Deadline","◇","◆"),"")</f>
        <v/>
      </c>
      <c r="CG172" s="14" t="str">
        <f>IF(AND(ISNUMBER($I172),OR($K172="Milestone",$K172="Deadline"),$I172&gt;=CG$4,$I172&lt;CG$4+7),IF($K172="Deadline","◇","◆"),"")</f>
        <v/>
      </c>
      <c r="CH172" s="14" t="str">
        <f>IF(AND(ISNUMBER($I172),OR($K172="Milestone",$K172="Deadline"),$I172&gt;=CH$4,$I172&lt;CH$4+7),IF($K172="Deadline","◇","◆"),"")</f>
        <v/>
      </c>
      <c r="CI172" s="14" t="str">
        <f>IF(AND(ISNUMBER($I172),OR($K172="Milestone",$K172="Deadline"),$I172&gt;=CI$4,$I172&lt;CI$4+7),IF($K172="Deadline","◇","◆"),"")</f>
        <v/>
      </c>
      <c r="CJ172" s="14" t="str">
        <f>IF(AND(ISNUMBER($I172),OR($K172="Milestone",$K172="Deadline"),$I172&gt;=CJ$4,$I172&lt;CJ$4+7),IF($K172="Deadline","◇","◆"),"")</f>
        <v/>
      </c>
      <c r="CK172" s="14" t="str">
        <f>IF(AND(ISNUMBER($I172),OR($K172="Milestone",$K172="Deadline"),$I172&gt;=CK$4,$I172&lt;CK$4+7),IF($K172="Deadline","◇","◆"),"")</f>
        <v/>
      </c>
      <c r="CL172" s="14" t="str">
        <f>IF(AND(ISNUMBER($I172),OR($K172="Milestone",$K172="Deadline"),$I172&gt;=CL$4,$I172&lt;CL$4+7),IF($K172="Deadline","◇","◆"),"")</f>
        <v/>
      </c>
      <c r="CM172" s="14" t="str">
        <f>IF(AND(ISNUMBER($I172),OR($K172="Milestone",$K172="Deadline"),$I172&gt;=CM$4,$I172&lt;CM$4+7),IF($K172="Deadline","◇","◆"),"")</f>
        <v/>
      </c>
    </row>
    <row r="173" spans="1:91" ht="15" hidden="1" customHeight="1">
      <c r="A173" s="39" t="s">
        <v>276</v>
      </c>
      <c r="B173" s="39" t="s">
        <v>386</v>
      </c>
      <c r="C173" s="39" t="s">
        <v>93</v>
      </c>
      <c r="D173" s="39" t="s">
        <v>348</v>
      </c>
      <c r="E173" s="39" t="s">
        <v>281</v>
      </c>
      <c r="F173" s="39" t="s">
        <v>372</v>
      </c>
      <c r="G173" s="39" t="s">
        <v>184</v>
      </c>
      <c r="H173" s="39">
        <v>7</v>
      </c>
      <c r="I173" s="40">
        <f>MAX($C$2,J166+1,J169+1,J172+1,J288+1)</f>
        <v>46403</v>
      </c>
      <c r="J173" s="41">
        <f>IF(AND(ISNUMBER(I173),ISNUMBER(H173)),I173+H173-1,"")</f>
        <v>46409</v>
      </c>
      <c r="K173" s="39" t="s">
        <v>27</v>
      </c>
      <c r="L173" s="39" t="s">
        <v>406</v>
      </c>
      <c r="M173" s="42" t="s">
        <v>407</v>
      </c>
      <c r="N173" s="39"/>
      <c r="O173" s="42">
        <f>IF(AND(ISNUMBER(I173),ISNUMBER(J173)),J173-I173+1,"")</f>
        <v>7</v>
      </c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 t="s">
        <v>140</v>
      </c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4" t="str">
        <f>IF(AND(ISNUMBER($I173),OR($K173="Milestone",$K173="Deadline"),$I173&gt;=AO$4,$I173&lt;AO$4+7),IF($K173="Deadline","◇","◆"),"")</f>
        <v/>
      </c>
      <c r="AP173" s="14" t="str">
        <f>IF(AND(ISNUMBER($I173),OR($K173="Milestone",$K173="Deadline"),$I173&gt;=AP$4,$I173&lt;AP$4+7),IF($K173="Deadline","◇","◆"),"")</f>
        <v/>
      </c>
      <c r="AQ173" s="14" t="str">
        <f>IF(AND(ISNUMBER($I173),OR($K173="Milestone",$K173="Deadline"),$I173&gt;=AQ$4,$I173&lt;AQ$4+7),IF($K173="Deadline","◇","◆"),"")</f>
        <v/>
      </c>
      <c r="AR173" s="14" t="str">
        <f>IF(AND(ISNUMBER($I173),OR($K173="Milestone",$K173="Deadline"),$I173&gt;=AR$4,$I173&lt;AR$4+7),IF($K173="Deadline","◇","◆"),"")</f>
        <v/>
      </c>
      <c r="AS173" s="14" t="str">
        <f>IF(AND(ISNUMBER($I173),OR($K173="Milestone",$K173="Deadline"),$I173&gt;=AS$4,$I173&lt;AS$4+7),IF($K173="Deadline","◇","◆"),"")</f>
        <v/>
      </c>
      <c r="AT173" s="14" t="str">
        <f>IF(AND(ISNUMBER($I173),OR($K173="Milestone",$K173="Deadline"),$I173&gt;=AT$4,$I173&lt;AT$4+7),IF($K173="Deadline","◇","◆"),"")</f>
        <v/>
      </c>
      <c r="AU173" s="14" t="str">
        <f>IF(AND(ISNUMBER($I173),OR($K173="Milestone",$K173="Deadline"),$I173&gt;=AU$4,$I173&lt;AU$4+7),IF($K173="Deadline","◇","◆"),"")</f>
        <v/>
      </c>
      <c r="AV173" s="14" t="str">
        <f>IF(AND(ISNUMBER($I173),OR($K173="Milestone",$K173="Deadline"),$I173&gt;=AV$4,$I173&lt;AV$4+7),IF($K173="Deadline","◇","◆"),"")</f>
        <v/>
      </c>
      <c r="AW173" s="14" t="str">
        <f>IF(AND(ISNUMBER($I173),OR($K173="Milestone",$K173="Deadline"),$I173&gt;=AW$4,$I173&lt;AW$4+7),IF($K173="Deadline","◇","◆"),"")</f>
        <v/>
      </c>
      <c r="AX173" s="14" t="str">
        <f>IF(AND(ISNUMBER($I173),OR($K173="Milestone",$K173="Deadline"),$I173&gt;=AX$4,$I173&lt;AX$4+7),IF($K173="Deadline","◇","◆"),"")</f>
        <v/>
      </c>
      <c r="AY173" s="14" t="str">
        <f>IF(AND(ISNUMBER($I173),OR($K173="Milestone",$K173="Deadline"),$I173&gt;=AY$4,$I173&lt;AY$4+7),IF($K173="Deadline","◇","◆"),"")</f>
        <v/>
      </c>
      <c r="AZ173" s="14" t="str">
        <f>IF(AND(ISNUMBER($I173),OR($K173="Milestone",$K173="Deadline"),$I173&gt;=AZ$4,$I173&lt;AZ$4+7),IF($K173="Deadline","◇","◆"),"")</f>
        <v/>
      </c>
      <c r="BA173" s="14" t="str">
        <f>IF(AND(ISNUMBER($I173),OR($K173="Milestone",$K173="Deadline"),$I173&gt;=BA$4,$I173&lt;BA$4+7),IF($K173="Deadline","◇","◆"),"")</f>
        <v/>
      </c>
      <c r="BB173" s="14" t="str">
        <f>IF(AND(ISNUMBER($I173),OR($K173="Milestone",$K173="Deadline"),$I173&gt;=BB$4,$I173&lt;BB$4+7),IF($K173="Deadline","◇","◆"),"")</f>
        <v/>
      </c>
      <c r="BC173" s="14" t="str">
        <f>IF(AND(ISNUMBER($I173),OR($K173="Milestone",$K173="Deadline"),$I173&gt;=BC$4,$I173&lt;BC$4+7),IF($K173="Deadline","◇","◆"),"")</f>
        <v/>
      </c>
      <c r="BD173" s="14" t="str">
        <f>IF(AND(ISNUMBER($I173),OR($K173="Milestone",$K173="Deadline"),$I173&gt;=BD$4,$I173&lt;BD$4+7),IF($K173="Deadline","◇","◆"),"")</f>
        <v/>
      </c>
      <c r="BE173" s="14" t="str">
        <f>IF(AND(ISNUMBER($I173),OR($K173="Milestone",$K173="Deadline"),$I173&gt;=BE$4,$I173&lt;BE$4+7),IF($K173="Deadline","◇","◆"),"")</f>
        <v/>
      </c>
      <c r="BF173" s="14" t="str">
        <f>IF(AND(ISNUMBER($I173),OR($K173="Milestone",$K173="Deadline"),$I173&gt;=BF$4,$I173&lt;BF$4+7),IF($K173="Deadline","◇","◆"),"")</f>
        <v/>
      </c>
      <c r="BG173" s="14" t="str">
        <f>IF(AND(ISNUMBER($I173),OR($K173="Milestone",$K173="Deadline"),$I173&gt;=BG$4,$I173&lt;BG$4+7),IF($K173="Deadline","◇","◆"),"")</f>
        <v/>
      </c>
      <c r="BH173" s="14" t="str">
        <f>IF(AND(ISNUMBER($I173),OR($K173="Milestone",$K173="Deadline"),$I173&gt;=BH$4,$I173&lt;BH$4+7),IF($K173="Deadline","◇","◆"),"")</f>
        <v/>
      </c>
      <c r="BI173" s="14" t="str">
        <f>IF(AND(ISNUMBER($I173),OR($K173="Milestone",$K173="Deadline"),$I173&gt;=BI$4,$I173&lt;BI$4+7),IF($K173="Deadline","◇","◆"),"")</f>
        <v/>
      </c>
      <c r="BJ173" s="14" t="str">
        <f>IF(AND(ISNUMBER($I173),OR($K173="Milestone",$K173="Deadline"),$I173&gt;=BJ$4,$I173&lt;BJ$4+7),IF($K173="Deadline","◇","◆"),"")</f>
        <v/>
      </c>
      <c r="BK173" s="14" t="str">
        <f>IF(AND(ISNUMBER($I173),OR($K173="Milestone",$K173="Deadline"),$I173&gt;=BK$4,$I173&lt;BK$4+7),IF($K173="Deadline","◇","◆"),"")</f>
        <v/>
      </c>
      <c r="BL173" s="14" t="str">
        <f>IF(AND(ISNUMBER($I173),OR($K173="Milestone",$K173="Deadline"),$I173&gt;=BL$4,$I173&lt;BL$4+7),IF($K173="Deadline","◇","◆"),"")</f>
        <v/>
      </c>
      <c r="BM173" s="14" t="str">
        <f>IF(AND(ISNUMBER($I173),OR($K173="Milestone",$K173="Deadline"),$I173&gt;=BM$4,$I173&lt;BM$4+7),IF($K173="Deadline","◇","◆"),"")</f>
        <v/>
      </c>
      <c r="BN173" s="14" t="str">
        <f>IF(AND(ISNUMBER($I173),OR($K173="Milestone",$K173="Deadline"),$I173&gt;=BN$4,$I173&lt;BN$4+7),IF($K173="Deadline","◇","◆"),"")</f>
        <v/>
      </c>
      <c r="BO173" s="14" t="str">
        <f>IF(AND(ISNUMBER($I173),OR($K173="Milestone",$K173="Deadline"),$I173&gt;=BO$4,$I173&lt;BO$4+7),IF($K173="Deadline","◇","◆"),"")</f>
        <v/>
      </c>
      <c r="BP173" s="14" t="str">
        <f>IF(AND(ISNUMBER($I173),OR($K173="Milestone",$K173="Deadline"),$I173&gt;=BP$4,$I173&lt;BP$4+7),IF($K173="Deadline","◇","◆"),"")</f>
        <v/>
      </c>
      <c r="BQ173" s="14" t="str">
        <f>IF(AND(ISNUMBER($I173),OR($K173="Milestone",$K173="Deadline"),$I173&gt;=BQ$4,$I173&lt;BQ$4+7),IF($K173="Deadline","◇","◆"),"")</f>
        <v/>
      </c>
      <c r="BR173" s="14" t="str">
        <f>IF(AND(ISNUMBER($I173),OR($K173="Milestone",$K173="Deadline"),$I173&gt;=BR$4,$I173&lt;BR$4+7),IF($K173="Deadline","◇","◆"),"")</f>
        <v/>
      </c>
      <c r="BS173" s="14" t="str">
        <f>IF(AND(ISNUMBER($I173),OR($K173="Milestone",$K173="Deadline"),$I173&gt;=BS$4,$I173&lt;BS$4+7),IF($K173="Deadline","◇","◆"),"")</f>
        <v/>
      </c>
      <c r="BT173" s="14" t="str">
        <f>IF(AND(ISNUMBER($I173),OR($K173="Milestone",$K173="Deadline"),$I173&gt;=BT$4,$I173&lt;BT$4+7),IF($K173="Deadline","◇","◆"),"")</f>
        <v/>
      </c>
      <c r="BU173" s="14" t="str">
        <f>IF(AND(ISNUMBER($I173),OR($K173="Milestone",$K173="Deadline"),$I173&gt;=BU$4,$I173&lt;BU$4+7),IF($K173="Deadline","◇","◆"),"")</f>
        <v/>
      </c>
      <c r="BV173" s="14" t="str">
        <f>IF(AND(ISNUMBER($I173),OR($K173="Milestone",$K173="Deadline"),$I173&gt;=BV$4,$I173&lt;BV$4+7),IF($K173="Deadline","◇","◆"),"")</f>
        <v/>
      </c>
      <c r="BW173" s="14" t="str">
        <f>IF(AND(ISNUMBER($I173),OR($K173="Milestone",$K173="Deadline"),$I173&gt;=BW$4,$I173&lt;BW$4+7),IF($K173="Deadline","◇","◆"),"")</f>
        <v/>
      </c>
      <c r="BX173" s="14" t="str">
        <f>IF(AND(ISNUMBER($I173),OR($K173="Milestone",$K173="Deadline"),$I173&gt;=BX$4,$I173&lt;BX$4+7),IF($K173="Deadline","◇","◆"),"")</f>
        <v/>
      </c>
      <c r="BY173" s="14" t="str">
        <f>IF(AND(ISNUMBER($I173),OR($K173="Milestone",$K173="Deadline"),$I173&gt;=BY$4,$I173&lt;BY$4+7),IF($K173="Deadline","◇","◆"),"")</f>
        <v/>
      </c>
      <c r="BZ173" s="14" t="str">
        <f>IF(AND(ISNUMBER($I173),OR($K173="Milestone",$K173="Deadline"),$I173&gt;=BZ$4,$I173&lt;BZ$4+7),IF($K173="Deadline","◇","◆"),"")</f>
        <v/>
      </c>
      <c r="CA173" s="14" t="str">
        <f>IF(AND(ISNUMBER($I173),OR($K173="Milestone",$K173="Deadline"),$I173&gt;=CA$4,$I173&lt;CA$4+7),IF($K173="Deadline","◇","◆"),"")</f>
        <v/>
      </c>
      <c r="CB173" s="14" t="str">
        <f>IF(AND(ISNUMBER($I173),OR($K173="Milestone",$K173="Deadline"),$I173&gt;=CB$4,$I173&lt;CB$4+7),IF($K173="Deadline","◇","◆"),"")</f>
        <v/>
      </c>
      <c r="CC173" s="14" t="str">
        <f>IF(AND(ISNUMBER($I173),OR($K173="Milestone",$K173="Deadline"),$I173&gt;=CC$4,$I173&lt;CC$4+7),IF($K173="Deadline","◇","◆"),"")</f>
        <v/>
      </c>
      <c r="CD173" s="14" t="str">
        <f>IF(AND(ISNUMBER($I173),OR($K173="Milestone",$K173="Deadline"),$I173&gt;=CD$4,$I173&lt;CD$4+7),IF($K173="Deadline","◇","◆"),"")</f>
        <v/>
      </c>
      <c r="CE173" s="14" t="str">
        <f>IF(AND(ISNUMBER($I173),OR($K173="Milestone",$K173="Deadline"),$I173&gt;=CE$4,$I173&lt;CE$4+7),IF($K173="Deadline","◇","◆"),"")</f>
        <v/>
      </c>
      <c r="CF173" s="14" t="str">
        <f>IF(AND(ISNUMBER($I173),OR($K173="Milestone",$K173="Deadline"),$I173&gt;=CF$4,$I173&lt;CF$4+7),IF($K173="Deadline","◇","◆"),"")</f>
        <v/>
      </c>
      <c r="CG173" s="14" t="str">
        <f>IF(AND(ISNUMBER($I173),OR($K173="Milestone",$K173="Deadline"),$I173&gt;=CG$4,$I173&lt;CG$4+7),IF($K173="Deadline","◇","◆"),"")</f>
        <v/>
      </c>
      <c r="CH173" s="14" t="str">
        <f>IF(AND(ISNUMBER($I173),OR($K173="Milestone",$K173="Deadline"),$I173&gt;=CH$4,$I173&lt;CH$4+7),IF($K173="Deadline","◇","◆"),"")</f>
        <v/>
      </c>
      <c r="CI173" s="14" t="str">
        <f>IF(AND(ISNUMBER($I173),OR($K173="Milestone",$K173="Deadline"),$I173&gt;=CI$4,$I173&lt;CI$4+7),IF($K173="Deadline","◇","◆"),"")</f>
        <v/>
      </c>
      <c r="CJ173" s="14" t="str">
        <f>IF(AND(ISNUMBER($I173),OR($K173="Milestone",$K173="Deadline"),$I173&gt;=CJ$4,$I173&lt;CJ$4+7),IF($K173="Deadline","◇","◆"),"")</f>
        <v/>
      </c>
      <c r="CK173" s="14" t="str">
        <f>IF(AND(ISNUMBER($I173),OR($K173="Milestone",$K173="Deadline"),$I173&gt;=CK$4,$I173&lt;CK$4+7),IF($K173="Deadline","◇","◆"),"")</f>
        <v/>
      </c>
      <c r="CL173" s="14" t="str">
        <f>IF(AND(ISNUMBER($I173),OR($K173="Milestone",$K173="Deadline"),$I173&gt;=CL$4,$I173&lt;CL$4+7),IF($K173="Deadline","◇","◆"),"")</f>
        <v/>
      </c>
      <c r="CM173" s="14" t="str">
        <f>IF(AND(ISNUMBER($I173),OR($K173="Milestone",$K173="Deadline"),$I173&gt;=CM$4,$I173&lt;CM$4+7),IF($K173="Deadline","◇","◆"),"")</f>
        <v/>
      </c>
    </row>
    <row r="174" spans="1:91" ht="15" hidden="1" customHeight="1">
      <c r="A174" s="39" t="s">
        <v>408</v>
      </c>
      <c r="B174" s="39" t="s">
        <v>386</v>
      </c>
      <c r="C174" s="39" t="s">
        <v>93</v>
      </c>
      <c r="D174" s="39" t="s">
        <v>348</v>
      </c>
      <c r="E174" s="39" t="s">
        <v>281</v>
      </c>
      <c r="F174" s="39" t="s">
        <v>372</v>
      </c>
      <c r="G174" s="39" t="s">
        <v>275</v>
      </c>
      <c r="H174" s="39">
        <v>8</v>
      </c>
      <c r="I174" s="40">
        <f>MAX($C$2,J173+1,J111+1)</f>
        <v>46420</v>
      </c>
      <c r="J174" s="41">
        <f>IF(AND(ISNUMBER(I174),ISNUMBER(H174)),I174+H174-1,"")</f>
        <v>46427</v>
      </c>
      <c r="K174" s="39" t="s">
        <v>27</v>
      </c>
      <c r="L174" s="39" t="s">
        <v>276</v>
      </c>
      <c r="M174" s="42" t="s">
        <v>309</v>
      </c>
      <c r="N174" s="39"/>
      <c r="O174" s="42">
        <f>IF(AND(ISNUMBER(I174),ISNUMBER(J174)),J174-I174+1,"")</f>
        <v>8</v>
      </c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 t="s">
        <v>140</v>
      </c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4" t="str">
        <f>IF(AND(ISNUMBER($I174),OR($K174="Milestone",$K174="Deadline"),$I174&gt;=AO$4,$I174&lt;AO$4+7),IF($K174="Deadline","◇","◆"),"")</f>
        <v/>
      </c>
      <c r="AP174" s="14" t="str">
        <f>IF(AND(ISNUMBER($I174),OR($K174="Milestone",$K174="Deadline"),$I174&gt;=AP$4,$I174&lt;AP$4+7),IF($K174="Deadline","◇","◆"),"")</f>
        <v/>
      </c>
      <c r="AQ174" s="14" t="str">
        <f>IF(AND(ISNUMBER($I174),OR($K174="Milestone",$K174="Deadline"),$I174&gt;=AQ$4,$I174&lt;AQ$4+7),IF($K174="Deadline","◇","◆"),"")</f>
        <v/>
      </c>
      <c r="AR174" s="14" t="str">
        <f>IF(AND(ISNUMBER($I174),OR($K174="Milestone",$K174="Deadline"),$I174&gt;=AR$4,$I174&lt;AR$4+7),IF($K174="Deadline","◇","◆"),"")</f>
        <v/>
      </c>
      <c r="AS174" s="14" t="str">
        <f>IF(AND(ISNUMBER($I174),OR($K174="Milestone",$K174="Deadline"),$I174&gt;=AS$4,$I174&lt;AS$4+7),IF($K174="Deadline","◇","◆"),"")</f>
        <v/>
      </c>
      <c r="AT174" s="14" t="str">
        <f>IF(AND(ISNUMBER($I174),OR($K174="Milestone",$K174="Deadline"),$I174&gt;=AT$4,$I174&lt;AT$4+7),IF($K174="Deadline","◇","◆"),"")</f>
        <v/>
      </c>
      <c r="AU174" s="14" t="str">
        <f>IF(AND(ISNUMBER($I174),OR($K174="Milestone",$K174="Deadline"),$I174&gt;=AU$4,$I174&lt;AU$4+7),IF($K174="Deadline","◇","◆"),"")</f>
        <v/>
      </c>
      <c r="AV174" s="14" t="str">
        <f>IF(AND(ISNUMBER($I174),OR($K174="Milestone",$K174="Deadline"),$I174&gt;=AV$4,$I174&lt;AV$4+7),IF($K174="Deadline","◇","◆"),"")</f>
        <v/>
      </c>
      <c r="AW174" s="14" t="str">
        <f>IF(AND(ISNUMBER($I174),OR($K174="Milestone",$K174="Deadline"),$I174&gt;=AW$4,$I174&lt;AW$4+7),IF($K174="Deadline","◇","◆"),"")</f>
        <v/>
      </c>
      <c r="AX174" s="14" t="str">
        <f>IF(AND(ISNUMBER($I174),OR($K174="Milestone",$K174="Deadline"),$I174&gt;=AX$4,$I174&lt;AX$4+7),IF($K174="Deadline","◇","◆"),"")</f>
        <v/>
      </c>
      <c r="AY174" s="14" t="str">
        <f>IF(AND(ISNUMBER($I174),OR($K174="Milestone",$K174="Deadline"),$I174&gt;=AY$4,$I174&lt;AY$4+7),IF($K174="Deadline","◇","◆"),"")</f>
        <v/>
      </c>
      <c r="AZ174" s="14" t="str">
        <f>IF(AND(ISNUMBER($I174),OR($K174="Milestone",$K174="Deadline"),$I174&gt;=AZ$4,$I174&lt;AZ$4+7),IF($K174="Deadline","◇","◆"),"")</f>
        <v/>
      </c>
      <c r="BA174" s="14" t="str">
        <f>IF(AND(ISNUMBER($I174),OR($K174="Milestone",$K174="Deadline"),$I174&gt;=BA$4,$I174&lt;BA$4+7),IF($K174="Deadline","◇","◆"),"")</f>
        <v/>
      </c>
      <c r="BB174" s="14" t="str">
        <f>IF(AND(ISNUMBER($I174),OR($K174="Milestone",$K174="Deadline"),$I174&gt;=BB$4,$I174&lt;BB$4+7),IF($K174="Deadline","◇","◆"),"")</f>
        <v/>
      </c>
      <c r="BC174" s="14" t="str">
        <f>IF(AND(ISNUMBER($I174),OR($K174="Milestone",$K174="Deadline"),$I174&gt;=BC$4,$I174&lt;BC$4+7),IF($K174="Deadline","◇","◆"),"")</f>
        <v/>
      </c>
      <c r="BD174" s="14" t="str">
        <f>IF(AND(ISNUMBER($I174),OR($K174="Milestone",$K174="Deadline"),$I174&gt;=BD$4,$I174&lt;BD$4+7),IF($K174="Deadline","◇","◆"),"")</f>
        <v/>
      </c>
      <c r="BE174" s="14" t="str">
        <f>IF(AND(ISNUMBER($I174),OR($K174="Milestone",$K174="Deadline"),$I174&gt;=BE$4,$I174&lt;BE$4+7),IF($K174="Deadline","◇","◆"),"")</f>
        <v/>
      </c>
      <c r="BF174" s="14" t="str">
        <f>IF(AND(ISNUMBER($I174),OR($K174="Milestone",$K174="Deadline"),$I174&gt;=BF$4,$I174&lt;BF$4+7),IF($K174="Deadline","◇","◆"),"")</f>
        <v/>
      </c>
      <c r="BG174" s="14" t="str">
        <f>IF(AND(ISNUMBER($I174),OR($K174="Milestone",$K174="Deadline"),$I174&gt;=BG$4,$I174&lt;BG$4+7),IF($K174="Deadline","◇","◆"),"")</f>
        <v/>
      </c>
      <c r="BH174" s="14" t="str">
        <f>IF(AND(ISNUMBER($I174),OR($K174="Milestone",$K174="Deadline"),$I174&gt;=BH$4,$I174&lt;BH$4+7),IF($K174="Deadline","◇","◆"),"")</f>
        <v/>
      </c>
      <c r="BI174" s="14" t="str">
        <f>IF(AND(ISNUMBER($I174),OR($K174="Milestone",$K174="Deadline"),$I174&gt;=BI$4,$I174&lt;BI$4+7),IF($K174="Deadline","◇","◆"),"")</f>
        <v/>
      </c>
      <c r="BJ174" s="14" t="str">
        <f>IF(AND(ISNUMBER($I174),OR($K174="Milestone",$K174="Deadline"),$I174&gt;=BJ$4,$I174&lt;BJ$4+7),IF($K174="Deadline","◇","◆"),"")</f>
        <v/>
      </c>
      <c r="BK174" s="14" t="str">
        <f>IF(AND(ISNUMBER($I174),OR($K174="Milestone",$K174="Deadline"),$I174&gt;=BK$4,$I174&lt;BK$4+7),IF($K174="Deadline","◇","◆"),"")</f>
        <v/>
      </c>
      <c r="BL174" s="14" t="str">
        <f>IF(AND(ISNUMBER($I174),OR($K174="Milestone",$K174="Deadline"),$I174&gt;=BL$4,$I174&lt;BL$4+7),IF($K174="Deadline","◇","◆"),"")</f>
        <v/>
      </c>
      <c r="BM174" s="14" t="str">
        <f>IF(AND(ISNUMBER($I174),OR($K174="Milestone",$K174="Deadline"),$I174&gt;=BM$4,$I174&lt;BM$4+7),IF($K174="Deadline","◇","◆"),"")</f>
        <v/>
      </c>
      <c r="BN174" s="14" t="str">
        <f>IF(AND(ISNUMBER($I174),OR($K174="Milestone",$K174="Deadline"),$I174&gt;=BN$4,$I174&lt;BN$4+7),IF($K174="Deadline","◇","◆"),"")</f>
        <v/>
      </c>
      <c r="BO174" s="14" t="str">
        <f>IF(AND(ISNUMBER($I174),OR($K174="Milestone",$K174="Deadline"),$I174&gt;=BO$4,$I174&lt;BO$4+7),IF($K174="Deadline","◇","◆"),"")</f>
        <v/>
      </c>
      <c r="BP174" s="14" t="str">
        <f>IF(AND(ISNUMBER($I174),OR($K174="Milestone",$K174="Deadline"),$I174&gt;=BP$4,$I174&lt;BP$4+7),IF($K174="Deadline","◇","◆"),"")</f>
        <v/>
      </c>
      <c r="BQ174" s="14" t="str">
        <f>IF(AND(ISNUMBER($I174),OR($K174="Milestone",$K174="Deadline"),$I174&gt;=BQ$4,$I174&lt;BQ$4+7),IF($K174="Deadline","◇","◆"),"")</f>
        <v/>
      </c>
      <c r="BR174" s="14" t="str">
        <f>IF(AND(ISNUMBER($I174),OR($K174="Milestone",$K174="Deadline"),$I174&gt;=BR$4,$I174&lt;BR$4+7),IF($K174="Deadline","◇","◆"),"")</f>
        <v/>
      </c>
      <c r="BS174" s="14" t="str">
        <f>IF(AND(ISNUMBER($I174),OR($K174="Milestone",$K174="Deadline"),$I174&gt;=BS$4,$I174&lt;BS$4+7),IF($K174="Deadline","◇","◆"),"")</f>
        <v/>
      </c>
      <c r="BT174" s="14" t="str">
        <f>IF(AND(ISNUMBER($I174),OR($K174="Milestone",$K174="Deadline"),$I174&gt;=BT$4,$I174&lt;BT$4+7),IF($K174="Deadline","◇","◆"),"")</f>
        <v/>
      </c>
      <c r="BU174" s="14" t="str">
        <f>IF(AND(ISNUMBER($I174),OR($K174="Milestone",$K174="Deadline"),$I174&gt;=BU$4,$I174&lt;BU$4+7),IF($K174="Deadline","◇","◆"),"")</f>
        <v/>
      </c>
      <c r="BV174" s="14" t="str">
        <f>IF(AND(ISNUMBER($I174),OR($K174="Milestone",$K174="Deadline"),$I174&gt;=BV$4,$I174&lt;BV$4+7),IF($K174="Deadline","◇","◆"),"")</f>
        <v/>
      </c>
      <c r="BW174" s="14" t="str">
        <f>IF(AND(ISNUMBER($I174),OR($K174="Milestone",$K174="Deadline"),$I174&gt;=BW$4,$I174&lt;BW$4+7),IF($K174="Deadline","◇","◆"),"")</f>
        <v/>
      </c>
      <c r="BX174" s="14" t="str">
        <f>IF(AND(ISNUMBER($I174),OR($K174="Milestone",$K174="Deadline"),$I174&gt;=BX$4,$I174&lt;BX$4+7),IF($K174="Deadline","◇","◆"),"")</f>
        <v/>
      </c>
      <c r="BY174" s="14" t="str">
        <f>IF(AND(ISNUMBER($I174),OR($K174="Milestone",$K174="Deadline"),$I174&gt;=BY$4,$I174&lt;BY$4+7),IF($K174="Deadline","◇","◆"),"")</f>
        <v/>
      </c>
      <c r="BZ174" s="14" t="str">
        <f>IF(AND(ISNUMBER($I174),OR($K174="Milestone",$K174="Deadline"),$I174&gt;=BZ$4,$I174&lt;BZ$4+7),IF($K174="Deadline","◇","◆"),"")</f>
        <v/>
      </c>
      <c r="CA174" s="14" t="str">
        <f>IF(AND(ISNUMBER($I174),OR($K174="Milestone",$K174="Deadline"),$I174&gt;=CA$4,$I174&lt;CA$4+7),IF($K174="Deadline","◇","◆"),"")</f>
        <v/>
      </c>
      <c r="CB174" s="14" t="str">
        <f>IF(AND(ISNUMBER($I174),OR($K174="Milestone",$K174="Deadline"),$I174&gt;=CB$4,$I174&lt;CB$4+7),IF($K174="Deadline","◇","◆"),"")</f>
        <v/>
      </c>
      <c r="CC174" s="14" t="str">
        <f>IF(AND(ISNUMBER($I174),OR($K174="Milestone",$K174="Deadline"),$I174&gt;=CC$4,$I174&lt;CC$4+7),IF($K174="Deadline","◇","◆"),"")</f>
        <v/>
      </c>
      <c r="CD174" s="14" t="str">
        <f>IF(AND(ISNUMBER($I174),OR($K174="Milestone",$K174="Deadline"),$I174&gt;=CD$4,$I174&lt;CD$4+7),IF($K174="Deadline","◇","◆"),"")</f>
        <v/>
      </c>
      <c r="CE174" s="14" t="str">
        <f>IF(AND(ISNUMBER($I174),OR($K174="Milestone",$K174="Deadline"),$I174&gt;=CE$4,$I174&lt;CE$4+7),IF($K174="Deadline","◇","◆"),"")</f>
        <v/>
      </c>
      <c r="CF174" s="14" t="str">
        <f>IF(AND(ISNUMBER($I174),OR($K174="Milestone",$K174="Deadline"),$I174&gt;=CF$4,$I174&lt;CF$4+7),IF($K174="Deadline","◇","◆"),"")</f>
        <v/>
      </c>
      <c r="CG174" s="14" t="str">
        <f>IF(AND(ISNUMBER($I174),OR($K174="Milestone",$K174="Deadline"),$I174&gt;=CG$4,$I174&lt;CG$4+7),IF($K174="Deadline","◇","◆"),"")</f>
        <v/>
      </c>
      <c r="CH174" s="14" t="str">
        <f>IF(AND(ISNUMBER($I174),OR($K174="Milestone",$K174="Deadline"),$I174&gt;=CH$4,$I174&lt;CH$4+7),IF($K174="Deadline","◇","◆"),"")</f>
        <v/>
      </c>
      <c r="CI174" s="14" t="str">
        <f>IF(AND(ISNUMBER($I174),OR($K174="Milestone",$K174="Deadline"),$I174&gt;=CI$4,$I174&lt;CI$4+7),IF($K174="Deadline","◇","◆"),"")</f>
        <v/>
      </c>
      <c r="CJ174" s="14" t="str">
        <f>IF(AND(ISNUMBER($I174),OR($K174="Milestone",$K174="Deadline"),$I174&gt;=CJ$4,$I174&lt;CJ$4+7),IF($K174="Deadline","◇","◆"),"")</f>
        <v/>
      </c>
      <c r="CK174" s="14" t="str">
        <f>IF(AND(ISNUMBER($I174),OR($K174="Milestone",$K174="Deadline"),$I174&gt;=CK$4,$I174&lt;CK$4+7),IF($K174="Deadline","◇","◆"),"")</f>
        <v/>
      </c>
      <c r="CL174" s="14" t="str">
        <f>IF(AND(ISNUMBER($I174),OR($K174="Milestone",$K174="Deadline"),$I174&gt;=CL$4,$I174&lt;CL$4+7),IF($K174="Deadline","◇","◆"),"")</f>
        <v/>
      </c>
      <c r="CM174" s="14" t="str">
        <f>IF(AND(ISNUMBER($I174),OR($K174="Milestone",$K174="Deadline"),$I174&gt;=CM$4,$I174&lt;CM$4+7),IF($K174="Deadline","◇","◆"),"")</f>
        <v/>
      </c>
    </row>
    <row r="175" spans="1:91" ht="15" hidden="1" customHeight="1">
      <c r="A175" s="39" t="s">
        <v>409</v>
      </c>
      <c r="B175" s="39" t="s">
        <v>386</v>
      </c>
      <c r="C175" s="39" t="s">
        <v>191</v>
      </c>
      <c r="D175" s="39" t="s">
        <v>348</v>
      </c>
      <c r="E175" s="39" t="s">
        <v>281</v>
      </c>
      <c r="F175" s="39" t="s">
        <v>372</v>
      </c>
      <c r="G175" s="39" t="s">
        <v>278</v>
      </c>
      <c r="H175" s="39">
        <v>6</v>
      </c>
      <c r="I175" s="40">
        <f>MAX(DATE(2027,3,1),J174+1,J279+1)</f>
        <v>46451</v>
      </c>
      <c r="J175" s="41">
        <f>IF(AND(ISNUMBER(I175),ISNUMBER(H175)),I175+H175-1,"")</f>
        <v>46456</v>
      </c>
      <c r="K175" s="39" t="s">
        <v>27</v>
      </c>
      <c r="L175" s="39" t="s">
        <v>408</v>
      </c>
      <c r="M175" s="42" t="s">
        <v>243</v>
      </c>
      <c r="N175" s="39"/>
      <c r="O175" s="42">
        <f>IF(AND(ISNUMBER(I175),ISNUMBER(J175)),J175-I175+1,"")</f>
        <v>6</v>
      </c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 t="s">
        <v>140</v>
      </c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4" t="str">
        <f>IF(AND(ISNUMBER($I175),OR($K175="Milestone",$K175="Deadline"),$I175&gt;=AO$4,$I175&lt;AO$4+7),IF($K175="Deadline","◇","◆"),"")</f>
        <v/>
      </c>
      <c r="AP175" s="14" t="str">
        <f>IF(AND(ISNUMBER($I175),OR($K175="Milestone",$K175="Deadline"),$I175&gt;=AP$4,$I175&lt;AP$4+7),IF($K175="Deadline","◇","◆"),"")</f>
        <v/>
      </c>
      <c r="AQ175" s="14" t="str">
        <f>IF(AND(ISNUMBER($I175),OR($K175="Milestone",$K175="Deadline"),$I175&gt;=AQ$4,$I175&lt;AQ$4+7),IF($K175="Deadline","◇","◆"),"")</f>
        <v/>
      </c>
      <c r="AR175" s="14" t="str">
        <f>IF(AND(ISNUMBER($I175),OR($K175="Milestone",$K175="Deadline"),$I175&gt;=AR$4,$I175&lt;AR$4+7),IF($K175="Deadline","◇","◆"),"")</f>
        <v/>
      </c>
      <c r="AS175" s="14" t="str">
        <f>IF(AND(ISNUMBER($I175),OR($K175="Milestone",$K175="Deadline"),$I175&gt;=AS$4,$I175&lt;AS$4+7),IF($K175="Deadline","◇","◆"),"")</f>
        <v/>
      </c>
      <c r="AT175" s="14" t="str">
        <f>IF(AND(ISNUMBER($I175),OR($K175="Milestone",$K175="Deadline"),$I175&gt;=AT$4,$I175&lt;AT$4+7),IF($K175="Deadline","◇","◆"),"")</f>
        <v/>
      </c>
      <c r="AU175" s="14" t="str">
        <f>IF(AND(ISNUMBER($I175),OR($K175="Milestone",$K175="Deadline"),$I175&gt;=AU$4,$I175&lt;AU$4+7),IF($K175="Deadline","◇","◆"),"")</f>
        <v/>
      </c>
      <c r="AV175" s="14" t="str">
        <f>IF(AND(ISNUMBER($I175),OR($K175="Milestone",$K175="Deadline"),$I175&gt;=AV$4,$I175&lt;AV$4+7),IF($K175="Deadline","◇","◆"),"")</f>
        <v/>
      </c>
      <c r="AW175" s="14" t="str">
        <f>IF(AND(ISNUMBER($I175),OR($K175="Milestone",$K175="Deadline"),$I175&gt;=AW$4,$I175&lt;AW$4+7),IF($K175="Deadline","◇","◆"),"")</f>
        <v/>
      </c>
      <c r="AX175" s="14" t="str">
        <f>IF(AND(ISNUMBER($I175),OR($K175="Milestone",$K175="Deadline"),$I175&gt;=AX$4,$I175&lt;AX$4+7),IF($K175="Deadline","◇","◆"),"")</f>
        <v/>
      </c>
      <c r="AY175" s="14" t="str">
        <f>IF(AND(ISNUMBER($I175),OR($K175="Milestone",$K175="Deadline"),$I175&gt;=AY$4,$I175&lt;AY$4+7),IF($K175="Deadline","◇","◆"),"")</f>
        <v/>
      </c>
      <c r="AZ175" s="14" t="str">
        <f>IF(AND(ISNUMBER($I175),OR($K175="Milestone",$K175="Deadline"),$I175&gt;=AZ$4,$I175&lt;AZ$4+7),IF($K175="Deadline","◇","◆"),"")</f>
        <v/>
      </c>
      <c r="BA175" s="14" t="str">
        <f>IF(AND(ISNUMBER($I175),OR($K175="Milestone",$K175="Deadline"),$I175&gt;=BA$4,$I175&lt;BA$4+7),IF($K175="Deadline","◇","◆"),"")</f>
        <v/>
      </c>
      <c r="BB175" s="14" t="str">
        <f>IF(AND(ISNUMBER($I175),OR($K175="Milestone",$K175="Deadline"),$I175&gt;=BB$4,$I175&lt;BB$4+7),IF($K175="Deadline","◇","◆"),"")</f>
        <v/>
      </c>
      <c r="BC175" s="14" t="str">
        <f>IF(AND(ISNUMBER($I175),OR($K175="Milestone",$K175="Deadline"),$I175&gt;=BC$4,$I175&lt;BC$4+7),IF($K175="Deadline","◇","◆"),"")</f>
        <v/>
      </c>
      <c r="BD175" s="14" t="str">
        <f>IF(AND(ISNUMBER($I175),OR($K175="Milestone",$K175="Deadline"),$I175&gt;=BD$4,$I175&lt;BD$4+7),IF($K175="Deadline","◇","◆"),"")</f>
        <v/>
      </c>
      <c r="BE175" s="14" t="str">
        <f>IF(AND(ISNUMBER($I175),OR($K175="Milestone",$K175="Deadline"),$I175&gt;=BE$4,$I175&lt;BE$4+7),IF($K175="Deadline","◇","◆"),"")</f>
        <v/>
      </c>
      <c r="BF175" s="14" t="str">
        <f>IF(AND(ISNUMBER($I175),OR($K175="Milestone",$K175="Deadline"),$I175&gt;=BF$4,$I175&lt;BF$4+7),IF($K175="Deadline","◇","◆"),"")</f>
        <v/>
      </c>
      <c r="BG175" s="14" t="str">
        <f>IF(AND(ISNUMBER($I175),OR($K175="Milestone",$K175="Deadline"),$I175&gt;=BG$4,$I175&lt;BG$4+7),IF($K175="Deadline","◇","◆"),"")</f>
        <v/>
      </c>
      <c r="BH175" s="14" t="str">
        <f>IF(AND(ISNUMBER($I175),OR($K175="Milestone",$K175="Deadline"),$I175&gt;=BH$4,$I175&lt;BH$4+7),IF($K175="Deadline","◇","◆"),"")</f>
        <v/>
      </c>
      <c r="BI175" s="14" t="str">
        <f>IF(AND(ISNUMBER($I175),OR($K175="Milestone",$K175="Deadline"),$I175&gt;=BI$4,$I175&lt;BI$4+7),IF($K175="Deadline","◇","◆"),"")</f>
        <v/>
      </c>
      <c r="BJ175" s="14" t="str">
        <f>IF(AND(ISNUMBER($I175),OR($K175="Milestone",$K175="Deadline"),$I175&gt;=BJ$4,$I175&lt;BJ$4+7),IF($K175="Deadline","◇","◆"),"")</f>
        <v/>
      </c>
      <c r="BK175" s="14" t="str">
        <f>IF(AND(ISNUMBER($I175),OR($K175="Milestone",$K175="Deadline"),$I175&gt;=BK$4,$I175&lt;BK$4+7),IF($K175="Deadline","◇","◆"),"")</f>
        <v/>
      </c>
      <c r="BL175" s="14" t="str">
        <f>IF(AND(ISNUMBER($I175),OR($K175="Milestone",$K175="Deadline"),$I175&gt;=BL$4,$I175&lt;BL$4+7),IF($K175="Deadline","◇","◆"),"")</f>
        <v/>
      </c>
      <c r="BM175" s="14" t="str">
        <f>IF(AND(ISNUMBER($I175),OR($K175="Milestone",$K175="Deadline"),$I175&gt;=BM$4,$I175&lt;BM$4+7),IF($K175="Deadline","◇","◆"),"")</f>
        <v/>
      </c>
      <c r="BN175" s="14" t="str">
        <f>IF(AND(ISNUMBER($I175),OR($K175="Milestone",$K175="Deadline"),$I175&gt;=BN$4,$I175&lt;BN$4+7),IF($K175="Deadline","◇","◆"),"")</f>
        <v/>
      </c>
      <c r="BO175" s="14" t="str">
        <f>IF(AND(ISNUMBER($I175),OR($K175="Milestone",$K175="Deadline"),$I175&gt;=BO$4,$I175&lt;BO$4+7),IF($K175="Deadline","◇","◆"),"")</f>
        <v/>
      </c>
      <c r="BP175" s="14" t="str">
        <f>IF(AND(ISNUMBER($I175),OR($K175="Milestone",$K175="Deadline"),$I175&gt;=BP$4,$I175&lt;BP$4+7),IF($K175="Deadline","◇","◆"),"")</f>
        <v/>
      </c>
      <c r="BQ175" s="14" t="str">
        <f>IF(AND(ISNUMBER($I175),OR($K175="Milestone",$K175="Deadline"),$I175&gt;=BQ$4,$I175&lt;BQ$4+7),IF($K175="Deadline","◇","◆"),"")</f>
        <v/>
      </c>
      <c r="BR175" s="14" t="str">
        <f>IF(AND(ISNUMBER($I175),OR($K175="Milestone",$K175="Deadline"),$I175&gt;=BR$4,$I175&lt;BR$4+7),IF($K175="Deadline","◇","◆"),"")</f>
        <v/>
      </c>
      <c r="BS175" s="14" t="str">
        <f>IF(AND(ISNUMBER($I175),OR($K175="Milestone",$K175="Deadline"),$I175&gt;=BS$4,$I175&lt;BS$4+7),IF($K175="Deadline","◇","◆"),"")</f>
        <v/>
      </c>
      <c r="BT175" s="14" t="str">
        <f>IF(AND(ISNUMBER($I175),OR($K175="Milestone",$K175="Deadline"),$I175&gt;=BT$4,$I175&lt;BT$4+7),IF($K175="Deadline","◇","◆"),"")</f>
        <v/>
      </c>
      <c r="BU175" s="14" t="str">
        <f>IF(AND(ISNUMBER($I175),OR($K175="Milestone",$K175="Deadline"),$I175&gt;=BU$4,$I175&lt;BU$4+7),IF($K175="Deadline","◇","◆"),"")</f>
        <v/>
      </c>
      <c r="BV175" s="14" t="str">
        <f>IF(AND(ISNUMBER($I175),OR($K175="Milestone",$K175="Deadline"),$I175&gt;=BV$4,$I175&lt;BV$4+7),IF($K175="Deadline","◇","◆"),"")</f>
        <v/>
      </c>
      <c r="BW175" s="14" t="str">
        <f>IF(AND(ISNUMBER($I175),OR($K175="Milestone",$K175="Deadline"),$I175&gt;=BW$4,$I175&lt;BW$4+7),IF($K175="Deadline","◇","◆"),"")</f>
        <v/>
      </c>
      <c r="BX175" s="14" t="str">
        <f>IF(AND(ISNUMBER($I175),OR($K175="Milestone",$K175="Deadline"),$I175&gt;=BX$4,$I175&lt;BX$4+7),IF($K175="Deadline","◇","◆"),"")</f>
        <v/>
      </c>
      <c r="BY175" s="14" t="str">
        <f>IF(AND(ISNUMBER($I175),OR($K175="Milestone",$K175="Deadline"),$I175&gt;=BY$4,$I175&lt;BY$4+7),IF($K175="Deadline","◇","◆"),"")</f>
        <v/>
      </c>
      <c r="BZ175" s="14" t="str">
        <f>IF(AND(ISNUMBER($I175),OR($K175="Milestone",$K175="Deadline"),$I175&gt;=BZ$4,$I175&lt;BZ$4+7),IF($K175="Deadline","◇","◆"),"")</f>
        <v/>
      </c>
      <c r="CA175" s="14" t="str">
        <f>IF(AND(ISNUMBER($I175),OR($K175="Milestone",$K175="Deadline"),$I175&gt;=CA$4,$I175&lt;CA$4+7),IF($K175="Deadline","◇","◆"),"")</f>
        <v/>
      </c>
      <c r="CB175" s="14" t="str">
        <f>IF(AND(ISNUMBER($I175),OR($K175="Milestone",$K175="Deadline"),$I175&gt;=CB$4,$I175&lt;CB$4+7),IF($K175="Deadline","◇","◆"),"")</f>
        <v/>
      </c>
      <c r="CC175" s="14" t="str">
        <f>IF(AND(ISNUMBER($I175),OR($K175="Milestone",$K175="Deadline"),$I175&gt;=CC$4,$I175&lt;CC$4+7),IF($K175="Deadline","◇","◆"),"")</f>
        <v/>
      </c>
      <c r="CD175" s="14" t="str">
        <f>IF(AND(ISNUMBER($I175),OR($K175="Milestone",$K175="Deadline"),$I175&gt;=CD$4,$I175&lt;CD$4+7),IF($K175="Deadline","◇","◆"),"")</f>
        <v/>
      </c>
      <c r="CE175" s="14" t="str">
        <f>IF(AND(ISNUMBER($I175),OR($K175="Milestone",$K175="Deadline"),$I175&gt;=CE$4,$I175&lt;CE$4+7),IF($K175="Deadline","◇","◆"),"")</f>
        <v/>
      </c>
      <c r="CF175" s="14" t="str">
        <f>IF(AND(ISNUMBER($I175),OR($K175="Milestone",$K175="Deadline"),$I175&gt;=CF$4,$I175&lt;CF$4+7),IF($K175="Deadline","◇","◆"),"")</f>
        <v/>
      </c>
      <c r="CG175" s="14" t="str">
        <f>IF(AND(ISNUMBER($I175),OR($K175="Milestone",$K175="Deadline"),$I175&gt;=CG$4,$I175&lt;CG$4+7),IF($K175="Deadline","◇","◆"),"")</f>
        <v/>
      </c>
      <c r="CH175" s="14" t="str">
        <f>IF(AND(ISNUMBER($I175),OR($K175="Milestone",$K175="Deadline"),$I175&gt;=CH$4,$I175&lt;CH$4+7),IF($K175="Deadline","◇","◆"),"")</f>
        <v/>
      </c>
      <c r="CI175" s="14" t="str">
        <f>IF(AND(ISNUMBER($I175),OR($K175="Milestone",$K175="Deadline"),$I175&gt;=CI$4,$I175&lt;CI$4+7),IF($K175="Deadline","◇","◆"),"")</f>
        <v/>
      </c>
      <c r="CJ175" s="14" t="str">
        <f>IF(AND(ISNUMBER($I175),OR($K175="Milestone",$K175="Deadline"),$I175&gt;=CJ$4,$I175&lt;CJ$4+7),IF($K175="Deadline","◇","◆"),"")</f>
        <v/>
      </c>
      <c r="CK175" s="14" t="str">
        <f>IF(AND(ISNUMBER($I175),OR($K175="Milestone",$K175="Deadline"),$I175&gt;=CK$4,$I175&lt;CK$4+7),IF($K175="Deadline","◇","◆"),"")</f>
        <v/>
      </c>
      <c r="CL175" s="14" t="str">
        <f>IF(AND(ISNUMBER($I175),OR($K175="Milestone",$K175="Deadline"),$I175&gt;=CL$4,$I175&lt;CL$4+7),IF($K175="Deadline","◇","◆"),"")</f>
        <v/>
      </c>
      <c r="CM175" s="14" t="str">
        <f>IF(AND(ISNUMBER($I175),OR($K175="Milestone",$K175="Deadline"),$I175&gt;=CM$4,$I175&lt;CM$4+7),IF($K175="Deadline","◇","◆"),"")</f>
        <v/>
      </c>
    </row>
    <row r="176" spans="1:91" ht="15" hidden="1" customHeight="1">
      <c r="A176" s="39" t="s">
        <v>410</v>
      </c>
      <c r="B176" s="39" t="s">
        <v>386</v>
      </c>
      <c r="C176" s="39" t="s">
        <v>191</v>
      </c>
      <c r="D176" s="39" t="s">
        <v>348</v>
      </c>
      <c r="E176" s="39"/>
      <c r="F176" s="39" t="s">
        <v>216</v>
      </c>
      <c r="G176" s="39" t="s">
        <v>217</v>
      </c>
      <c r="H176" s="39">
        <v>14</v>
      </c>
      <c r="I176" s="40">
        <f>MAX($C$2,J158+1,J164+1,J167+1,J170+1,J153+1)</f>
        <v>46400</v>
      </c>
      <c r="J176" s="41">
        <f>IF(AND(ISNUMBER(I176),ISNUMBER(H176)),I176+H176-1,"")</f>
        <v>46413</v>
      </c>
      <c r="K176" s="39" t="s">
        <v>27</v>
      </c>
      <c r="L176" s="39" t="s">
        <v>411</v>
      </c>
      <c r="M176" s="42" t="s">
        <v>377</v>
      </c>
      <c r="N176" s="39"/>
      <c r="O176" s="42">
        <f>IF(AND(ISNUMBER(I176),ISNUMBER(J176)),J176-I176+1,"")</f>
        <v>14</v>
      </c>
      <c r="P176" s="13"/>
      <c r="Q176" s="13"/>
      <c r="R176" s="13"/>
      <c r="S176" s="13" t="s">
        <v>140</v>
      </c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4" t="str">
        <f>IF(AND(ISNUMBER($I176),OR($K176="Milestone",$K176="Deadline"),$I176&gt;=AO$4,$I176&lt;AO$4+7),IF($K176="Deadline","◇","◆"),"")</f>
        <v/>
      </c>
      <c r="AP176" s="14" t="str">
        <f>IF(AND(ISNUMBER($I176),OR($K176="Milestone",$K176="Deadline"),$I176&gt;=AP$4,$I176&lt;AP$4+7),IF($K176="Deadline","◇","◆"),"")</f>
        <v/>
      </c>
      <c r="AQ176" s="14" t="str">
        <f>IF(AND(ISNUMBER($I176),OR($K176="Milestone",$K176="Deadline"),$I176&gt;=AQ$4,$I176&lt;AQ$4+7),IF($K176="Deadline","◇","◆"),"")</f>
        <v/>
      </c>
      <c r="AR176" s="14" t="str">
        <f>IF(AND(ISNUMBER($I176),OR($K176="Milestone",$K176="Deadline"),$I176&gt;=AR$4,$I176&lt;AR$4+7),IF($K176="Deadline","◇","◆"),"")</f>
        <v/>
      </c>
      <c r="AS176" s="14" t="str">
        <f>IF(AND(ISNUMBER($I176),OR($K176="Milestone",$K176="Deadline"),$I176&gt;=AS$4,$I176&lt;AS$4+7),IF($K176="Deadline","◇","◆"),"")</f>
        <v/>
      </c>
      <c r="AT176" s="14" t="str">
        <f>IF(AND(ISNUMBER($I176),OR($K176="Milestone",$K176="Deadline"),$I176&gt;=AT$4,$I176&lt;AT$4+7),IF($K176="Deadline","◇","◆"),"")</f>
        <v/>
      </c>
      <c r="AU176" s="14" t="str">
        <f>IF(AND(ISNUMBER($I176),OR($K176="Milestone",$K176="Deadline"),$I176&gt;=AU$4,$I176&lt;AU$4+7),IF($K176="Deadline","◇","◆"),"")</f>
        <v/>
      </c>
      <c r="AV176" s="14" t="str">
        <f>IF(AND(ISNUMBER($I176),OR($K176="Milestone",$K176="Deadline"),$I176&gt;=AV$4,$I176&lt;AV$4+7),IF($K176="Deadline","◇","◆"),"")</f>
        <v/>
      </c>
      <c r="AW176" s="14" t="str">
        <f>IF(AND(ISNUMBER($I176),OR($K176="Milestone",$K176="Deadline"),$I176&gt;=AW$4,$I176&lt;AW$4+7),IF($K176="Deadline","◇","◆"),"")</f>
        <v/>
      </c>
      <c r="AX176" s="14" t="str">
        <f>IF(AND(ISNUMBER($I176),OR($K176="Milestone",$K176="Deadline"),$I176&gt;=AX$4,$I176&lt;AX$4+7),IF($K176="Deadline","◇","◆"),"")</f>
        <v/>
      </c>
      <c r="AY176" s="14" t="str">
        <f>IF(AND(ISNUMBER($I176),OR($K176="Milestone",$K176="Deadline"),$I176&gt;=AY$4,$I176&lt;AY$4+7),IF($K176="Deadline","◇","◆"),"")</f>
        <v/>
      </c>
      <c r="AZ176" s="14" t="str">
        <f>IF(AND(ISNUMBER($I176),OR($K176="Milestone",$K176="Deadline"),$I176&gt;=AZ$4,$I176&lt;AZ$4+7),IF($K176="Deadline","◇","◆"),"")</f>
        <v/>
      </c>
      <c r="BA176" s="14" t="str">
        <f>IF(AND(ISNUMBER($I176),OR($K176="Milestone",$K176="Deadline"),$I176&gt;=BA$4,$I176&lt;BA$4+7),IF($K176="Deadline","◇","◆"),"")</f>
        <v/>
      </c>
      <c r="BB176" s="14" t="str">
        <f>IF(AND(ISNUMBER($I176),OR($K176="Milestone",$K176="Deadline"),$I176&gt;=BB$4,$I176&lt;BB$4+7),IF($K176="Deadline","◇","◆"),"")</f>
        <v/>
      </c>
      <c r="BC176" s="14" t="str">
        <f>IF(AND(ISNUMBER($I176),OR($K176="Milestone",$K176="Deadline"),$I176&gt;=BC$4,$I176&lt;BC$4+7),IF($K176="Deadline","◇","◆"),"")</f>
        <v/>
      </c>
      <c r="BD176" s="14" t="str">
        <f>IF(AND(ISNUMBER($I176),OR($K176="Milestone",$K176="Deadline"),$I176&gt;=BD$4,$I176&lt;BD$4+7),IF($K176="Deadline","◇","◆"),"")</f>
        <v/>
      </c>
      <c r="BE176" s="14" t="str">
        <f>IF(AND(ISNUMBER($I176),OR($K176="Milestone",$K176="Deadline"),$I176&gt;=BE$4,$I176&lt;BE$4+7),IF($K176="Deadline","◇","◆"),"")</f>
        <v/>
      </c>
      <c r="BF176" s="14" t="str">
        <f>IF(AND(ISNUMBER($I176),OR($K176="Milestone",$K176="Deadline"),$I176&gt;=BF$4,$I176&lt;BF$4+7),IF($K176="Deadline","◇","◆"),"")</f>
        <v/>
      </c>
      <c r="BG176" s="14" t="str">
        <f>IF(AND(ISNUMBER($I176),OR($K176="Milestone",$K176="Deadline"),$I176&gt;=BG$4,$I176&lt;BG$4+7),IF($K176="Deadline","◇","◆"),"")</f>
        <v/>
      </c>
      <c r="BH176" s="14" t="str">
        <f>IF(AND(ISNUMBER($I176),OR($K176="Milestone",$K176="Deadline"),$I176&gt;=BH$4,$I176&lt;BH$4+7),IF($K176="Deadline","◇","◆"),"")</f>
        <v/>
      </c>
      <c r="BI176" s="14" t="str">
        <f>IF(AND(ISNUMBER($I176),OR($K176="Milestone",$K176="Deadline"),$I176&gt;=BI$4,$I176&lt;BI$4+7),IF($K176="Deadline","◇","◆"),"")</f>
        <v/>
      </c>
      <c r="BJ176" s="14" t="str">
        <f>IF(AND(ISNUMBER($I176),OR($K176="Milestone",$K176="Deadline"),$I176&gt;=BJ$4,$I176&lt;BJ$4+7),IF($K176="Deadline","◇","◆"),"")</f>
        <v/>
      </c>
      <c r="BK176" s="14" t="str">
        <f>IF(AND(ISNUMBER($I176),OR($K176="Milestone",$K176="Deadline"),$I176&gt;=BK$4,$I176&lt;BK$4+7),IF($K176="Deadline","◇","◆"),"")</f>
        <v/>
      </c>
      <c r="BL176" s="14" t="str">
        <f>IF(AND(ISNUMBER($I176),OR($K176="Milestone",$K176="Deadline"),$I176&gt;=BL$4,$I176&lt;BL$4+7),IF($K176="Deadline","◇","◆"),"")</f>
        <v/>
      </c>
      <c r="BM176" s="14" t="str">
        <f>IF(AND(ISNUMBER($I176),OR($K176="Milestone",$K176="Deadline"),$I176&gt;=BM$4,$I176&lt;BM$4+7),IF($K176="Deadline","◇","◆"),"")</f>
        <v/>
      </c>
      <c r="BN176" s="14" t="str">
        <f>IF(AND(ISNUMBER($I176),OR($K176="Milestone",$K176="Deadline"),$I176&gt;=BN$4,$I176&lt;BN$4+7),IF($K176="Deadline","◇","◆"),"")</f>
        <v/>
      </c>
      <c r="BO176" s="14" t="str">
        <f>IF(AND(ISNUMBER($I176),OR($K176="Milestone",$K176="Deadline"),$I176&gt;=BO$4,$I176&lt;BO$4+7),IF($K176="Deadline","◇","◆"),"")</f>
        <v/>
      </c>
      <c r="BP176" s="14" t="str">
        <f>IF(AND(ISNUMBER($I176),OR($K176="Milestone",$K176="Deadline"),$I176&gt;=BP$4,$I176&lt;BP$4+7),IF($K176="Deadline","◇","◆"),"")</f>
        <v/>
      </c>
      <c r="BQ176" s="14" t="str">
        <f>IF(AND(ISNUMBER($I176),OR($K176="Milestone",$K176="Deadline"),$I176&gt;=BQ$4,$I176&lt;BQ$4+7),IF($K176="Deadline","◇","◆"),"")</f>
        <v/>
      </c>
      <c r="BR176" s="14" t="str">
        <f>IF(AND(ISNUMBER($I176),OR($K176="Milestone",$K176="Deadline"),$I176&gt;=BR$4,$I176&lt;BR$4+7),IF($K176="Deadline","◇","◆"),"")</f>
        <v/>
      </c>
      <c r="BS176" s="14" t="str">
        <f>IF(AND(ISNUMBER($I176),OR($K176="Milestone",$K176="Deadline"),$I176&gt;=BS$4,$I176&lt;BS$4+7),IF($K176="Deadline","◇","◆"),"")</f>
        <v/>
      </c>
      <c r="BT176" s="14" t="str">
        <f>IF(AND(ISNUMBER($I176),OR($K176="Milestone",$K176="Deadline"),$I176&gt;=BT$4,$I176&lt;BT$4+7),IF($K176="Deadline","◇","◆"),"")</f>
        <v/>
      </c>
      <c r="BU176" s="14" t="str">
        <f>IF(AND(ISNUMBER($I176),OR($K176="Milestone",$K176="Deadline"),$I176&gt;=BU$4,$I176&lt;BU$4+7),IF($K176="Deadline","◇","◆"),"")</f>
        <v/>
      </c>
      <c r="BV176" s="14" t="str">
        <f>IF(AND(ISNUMBER($I176),OR($K176="Milestone",$K176="Deadline"),$I176&gt;=BV$4,$I176&lt;BV$4+7),IF($K176="Deadline","◇","◆"),"")</f>
        <v/>
      </c>
      <c r="BW176" s="14" t="str">
        <f>IF(AND(ISNUMBER($I176),OR($K176="Milestone",$K176="Deadline"),$I176&gt;=BW$4,$I176&lt;BW$4+7),IF($K176="Deadline","◇","◆"),"")</f>
        <v/>
      </c>
      <c r="BX176" s="14" t="str">
        <f>IF(AND(ISNUMBER($I176),OR($K176="Milestone",$K176="Deadline"),$I176&gt;=BX$4,$I176&lt;BX$4+7),IF($K176="Deadline","◇","◆"),"")</f>
        <v/>
      </c>
      <c r="BY176" s="14" t="str">
        <f>IF(AND(ISNUMBER($I176),OR($K176="Milestone",$K176="Deadline"),$I176&gt;=BY$4,$I176&lt;BY$4+7),IF($K176="Deadline","◇","◆"),"")</f>
        <v/>
      </c>
      <c r="BZ176" s="14" t="str">
        <f>IF(AND(ISNUMBER($I176),OR($K176="Milestone",$K176="Deadline"),$I176&gt;=BZ$4,$I176&lt;BZ$4+7),IF($K176="Deadline","◇","◆"),"")</f>
        <v/>
      </c>
      <c r="CA176" s="14" t="str">
        <f>IF(AND(ISNUMBER($I176),OR($K176="Milestone",$K176="Deadline"),$I176&gt;=CA$4,$I176&lt;CA$4+7),IF($K176="Deadline","◇","◆"),"")</f>
        <v/>
      </c>
      <c r="CB176" s="14" t="str">
        <f>IF(AND(ISNUMBER($I176),OR($K176="Milestone",$K176="Deadline"),$I176&gt;=CB$4,$I176&lt;CB$4+7),IF($K176="Deadline","◇","◆"),"")</f>
        <v/>
      </c>
      <c r="CC176" s="14" t="str">
        <f>IF(AND(ISNUMBER($I176),OR($K176="Milestone",$K176="Deadline"),$I176&gt;=CC$4,$I176&lt;CC$4+7),IF($K176="Deadline","◇","◆"),"")</f>
        <v/>
      </c>
      <c r="CD176" s="14" t="str">
        <f>IF(AND(ISNUMBER($I176),OR($K176="Milestone",$K176="Deadline"),$I176&gt;=CD$4,$I176&lt;CD$4+7),IF($K176="Deadline","◇","◆"),"")</f>
        <v/>
      </c>
      <c r="CE176" s="14" t="str">
        <f>IF(AND(ISNUMBER($I176),OR($K176="Milestone",$K176="Deadline"),$I176&gt;=CE$4,$I176&lt;CE$4+7),IF($K176="Deadline","◇","◆"),"")</f>
        <v/>
      </c>
      <c r="CF176" s="14" t="str">
        <f>IF(AND(ISNUMBER($I176),OR($K176="Milestone",$K176="Deadline"),$I176&gt;=CF$4,$I176&lt;CF$4+7),IF($K176="Deadline","◇","◆"),"")</f>
        <v/>
      </c>
      <c r="CG176" s="14" t="str">
        <f>IF(AND(ISNUMBER($I176),OR($K176="Milestone",$K176="Deadline"),$I176&gt;=CG$4,$I176&lt;CG$4+7),IF($K176="Deadline","◇","◆"),"")</f>
        <v/>
      </c>
      <c r="CH176" s="14" t="str">
        <f>IF(AND(ISNUMBER($I176),OR($K176="Milestone",$K176="Deadline"),$I176&gt;=CH$4,$I176&lt;CH$4+7),IF($K176="Deadline","◇","◆"),"")</f>
        <v/>
      </c>
      <c r="CI176" s="14" t="str">
        <f>IF(AND(ISNUMBER($I176),OR($K176="Milestone",$K176="Deadline"),$I176&gt;=CI$4,$I176&lt;CI$4+7),IF($K176="Deadline","◇","◆"),"")</f>
        <v/>
      </c>
      <c r="CJ176" s="14" t="str">
        <f>IF(AND(ISNUMBER($I176),OR($K176="Milestone",$K176="Deadline"),$I176&gt;=CJ$4,$I176&lt;CJ$4+7),IF($K176="Deadline","◇","◆"),"")</f>
        <v/>
      </c>
      <c r="CK176" s="14" t="str">
        <f>IF(AND(ISNUMBER($I176),OR($K176="Milestone",$K176="Deadline"),$I176&gt;=CK$4,$I176&lt;CK$4+7),IF($K176="Deadline","◇","◆"),"")</f>
        <v/>
      </c>
      <c r="CL176" s="14" t="str">
        <f>IF(AND(ISNUMBER($I176),OR($K176="Milestone",$K176="Deadline"),$I176&gt;=CL$4,$I176&lt;CL$4+7),IF($K176="Deadline","◇","◆"),"")</f>
        <v/>
      </c>
      <c r="CM176" s="14" t="str">
        <f>IF(AND(ISNUMBER($I176),OR($K176="Milestone",$K176="Deadline"),$I176&gt;=CM$4,$I176&lt;CM$4+7),IF($K176="Deadline","◇","◆"),"")</f>
        <v/>
      </c>
    </row>
    <row r="177" spans="1:91" ht="15" hidden="1" customHeight="1">
      <c r="A177" s="39" t="s">
        <v>412</v>
      </c>
      <c r="B177" s="39" t="s">
        <v>386</v>
      </c>
      <c r="C177" s="39" t="s">
        <v>230</v>
      </c>
      <c r="D177" s="39" t="s">
        <v>348</v>
      </c>
      <c r="E177" s="39" t="s">
        <v>281</v>
      </c>
      <c r="F177" s="39" t="s">
        <v>216</v>
      </c>
      <c r="G177" s="39" t="s">
        <v>231</v>
      </c>
      <c r="H177" s="39">
        <v>14</v>
      </c>
      <c r="I177" s="40">
        <f>MAX(DATE(2027,3,8),J113+1)</f>
        <v>46454</v>
      </c>
      <c r="J177" s="41">
        <f>IF(AND(ISNUMBER(I177),ISNUMBER(H177)),I177+H177-1,"")</f>
        <v>46467</v>
      </c>
      <c r="K177" s="39" t="s">
        <v>27</v>
      </c>
      <c r="L177" s="39"/>
      <c r="M177" s="42" t="s">
        <v>312</v>
      </c>
      <c r="N177" s="39"/>
      <c r="O177" s="42">
        <f>IF(AND(ISNUMBER(I177),ISNUMBER(J177)),J177-I177+1,"")</f>
        <v>14</v>
      </c>
      <c r="P177" s="13"/>
      <c r="Q177" s="13"/>
      <c r="R177" s="13" t="s">
        <v>140</v>
      </c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4" t="str">
        <f>IF(AND(ISNUMBER($I177),OR($K177="Milestone",$K177="Deadline"),$I177&gt;=AO$4,$I177&lt;AO$4+7),IF($K177="Deadline","◇","◆"),"")</f>
        <v/>
      </c>
      <c r="AP177" s="14" t="str">
        <f>IF(AND(ISNUMBER($I177),OR($K177="Milestone",$K177="Deadline"),$I177&gt;=AP$4,$I177&lt;AP$4+7),IF($K177="Deadline","◇","◆"),"")</f>
        <v/>
      </c>
      <c r="AQ177" s="14" t="str">
        <f>IF(AND(ISNUMBER($I177),OR($K177="Milestone",$K177="Deadline"),$I177&gt;=AQ$4,$I177&lt;AQ$4+7),IF($K177="Deadline","◇","◆"),"")</f>
        <v/>
      </c>
      <c r="AR177" s="14" t="str">
        <f>IF(AND(ISNUMBER($I177),OR($K177="Milestone",$K177="Deadline"),$I177&gt;=AR$4,$I177&lt;AR$4+7),IF($K177="Deadline","◇","◆"),"")</f>
        <v/>
      </c>
      <c r="AS177" s="14" t="str">
        <f>IF(AND(ISNUMBER($I177),OR($K177="Milestone",$K177="Deadline"),$I177&gt;=AS$4,$I177&lt;AS$4+7),IF($K177="Deadline","◇","◆"),"")</f>
        <v/>
      </c>
      <c r="AT177" s="14" t="str">
        <f>IF(AND(ISNUMBER($I177),OR($K177="Milestone",$K177="Deadline"),$I177&gt;=AT$4,$I177&lt;AT$4+7),IF($K177="Deadline","◇","◆"),"")</f>
        <v/>
      </c>
      <c r="AU177" s="14" t="str">
        <f>IF(AND(ISNUMBER($I177),OR($K177="Milestone",$K177="Deadline"),$I177&gt;=AU$4,$I177&lt;AU$4+7),IF($K177="Deadline","◇","◆"),"")</f>
        <v/>
      </c>
      <c r="AV177" s="14" t="str">
        <f>IF(AND(ISNUMBER($I177),OR($K177="Milestone",$K177="Deadline"),$I177&gt;=AV$4,$I177&lt;AV$4+7),IF($K177="Deadline","◇","◆"),"")</f>
        <v/>
      </c>
      <c r="AW177" s="14" t="str">
        <f>IF(AND(ISNUMBER($I177),OR($K177="Milestone",$K177="Deadline"),$I177&gt;=AW$4,$I177&lt;AW$4+7),IF($K177="Deadline","◇","◆"),"")</f>
        <v/>
      </c>
      <c r="AX177" s="14" t="str">
        <f>IF(AND(ISNUMBER($I177),OR($K177="Milestone",$K177="Deadline"),$I177&gt;=AX$4,$I177&lt;AX$4+7),IF($K177="Deadline","◇","◆"),"")</f>
        <v/>
      </c>
      <c r="AY177" s="14" t="str">
        <f>IF(AND(ISNUMBER($I177),OR($K177="Milestone",$K177="Deadline"),$I177&gt;=AY$4,$I177&lt;AY$4+7),IF($K177="Deadline","◇","◆"),"")</f>
        <v/>
      </c>
      <c r="AZ177" s="14" t="str">
        <f>IF(AND(ISNUMBER($I177),OR($K177="Milestone",$K177="Deadline"),$I177&gt;=AZ$4,$I177&lt;AZ$4+7),IF($K177="Deadline","◇","◆"),"")</f>
        <v/>
      </c>
      <c r="BA177" s="14" t="str">
        <f>IF(AND(ISNUMBER($I177),OR($K177="Milestone",$K177="Deadline"),$I177&gt;=BA$4,$I177&lt;BA$4+7),IF($K177="Deadline","◇","◆"),"")</f>
        <v/>
      </c>
      <c r="BB177" s="14" t="str">
        <f>IF(AND(ISNUMBER($I177),OR($K177="Milestone",$K177="Deadline"),$I177&gt;=BB$4,$I177&lt;BB$4+7),IF($K177="Deadline","◇","◆"),"")</f>
        <v/>
      </c>
      <c r="BC177" s="14" t="str">
        <f>IF(AND(ISNUMBER($I177),OR($K177="Milestone",$K177="Deadline"),$I177&gt;=BC$4,$I177&lt;BC$4+7),IF($K177="Deadline","◇","◆"),"")</f>
        <v/>
      </c>
      <c r="BD177" s="14" t="str">
        <f>IF(AND(ISNUMBER($I177),OR($K177="Milestone",$K177="Deadline"),$I177&gt;=BD$4,$I177&lt;BD$4+7),IF($K177="Deadline","◇","◆"),"")</f>
        <v/>
      </c>
      <c r="BE177" s="14" t="str">
        <f>IF(AND(ISNUMBER($I177),OR($K177="Milestone",$K177="Deadline"),$I177&gt;=BE$4,$I177&lt;BE$4+7),IF($K177="Deadline","◇","◆"),"")</f>
        <v/>
      </c>
      <c r="BF177" s="14" t="str">
        <f>IF(AND(ISNUMBER($I177),OR($K177="Milestone",$K177="Deadline"),$I177&gt;=BF$4,$I177&lt;BF$4+7),IF($K177="Deadline","◇","◆"),"")</f>
        <v/>
      </c>
      <c r="BG177" s="14" t="str">
        <f>IF(AND(ISNUMBER($I177),OR($K177="Milestone",$K177="Deadline"),$I177&gt;=BG$4,$I177&lt;BG$4+7),IF($K177="Deadline","◇","◆"),"")</f>
        <v/>
      </c>
      <c r="BH177" s="14" t="str">
        <f>IF(AND(ISNUMBER($I177),OR($K177="Milestone",$K177="Deadline"),$I177&gt;=BH$4,$I177&lt;BH$4+7),IF($K177="Deadline","◇","◆"),"")</f>
        <v/>
      </c>
      <c r="BI177" s="14" t="str">
        <f>IF(AND(ISNUMBER($I177),OR($K177="Milestone",$K177="Deadline"),$I177&gt;=BI$4,$I177&lt;BI$4+7),IF($K177="Deadline","◇","◆"),"")</f>
        <v/>
      </c>
      <c r="BJ177" s="14" t="str">
        <f>IF(AND(ISNUMBER($I177),OR($K177="Milestone",$K177="Deadline"),$I177&gt;=BJ$4,$I177&lt;BJ$4+7),IF($K177="Deadline","◇","◆"),"")</f>
        <v/>
      </c>
      <c r="BK177" s="14" t="str">
        <f>IF(AND(ISNUMBER($I177),OR($K177="Milestone",$K177="Deadline"),$I177&gt;=BK$4,$I177&lt;BK$4+7),IF($K177="Deadline","◇","◆"),"")</f>
        <v/>
      </c>
      <c r="BL177" s="14" t="str">
        <f>IF(AND(ISNUMBER($I177),OR($K177="Milestone",$K177="Deadline"),$I177&gt;=BL$4,$I177&lt;BL$4+7),IF($K177="Deadline","◇","◆"),"")</f>
        <v/>
      </c>
      <c r="BM177" s="14" t="str">
        <f>IF(AND(ISNUMBER($I177),OR($K177="Milestone",$K177="Deadline"),$I177&gt;=BM$4,$I177&lt;BM$4+7),IF($K177="Deadline","◇","◆"),"")</f>
        <v/>
      </c>
      <c r="BN177" s="14" t="str">
        <f>IF(AND(ISNUMBER($I177),OR($K177="Milestone",$K177="Deadline"),$I177&gt;=BN$4,$I177&lt;BN$4+7),IF($K177="Deadline","◇","◆"),"")</f>
        <v/>
      </c>
      <c r="BO177" s="14" t="str">
        <f>IF(AND(ISNUMBER($I177),OR($K177="Milestone",$K177="Deadline"),$I177&gt;=BO$4,$I177&lt;BO$4+7),IF($K177="Deadline","◇","◆"),"")</f>
        <v/>
      </c>
      <c r="BP177" s="14" t="str">
        <f>IF(AND(ISNUMBER($I177),OR($K177="Milestone",$K177="Deadline"),$I177&gt;=BP$4,$I177&lt;BP$4+7),IF($K177="Deadline","◇","◆"),"")</f>
        <v/>
      </c>
      <c r="BQ177" s="14" t="str">
        <f>IF(AND(ISNUMBER($I177),OR($K177="Milestone",$K177="Deadline"),$I177&gt;=BQ$4,$I177&lt;BQ$4+7),IF($K177="Deadline","◇","◆"),"")</f>
        <v/>
      </c>
      <c r="BR177" s="14" t="str">
        <f>IF(AND(ISNUMBER($I177),OR($K177="Milestone",$K177="Deadline"),$I177&gt;=BR$4,$I177&lt;BR$4+7),IF($K177="Deadline","◇","◆"),"")</f>
        <v/>
      </c>
      <c r="BS177" s="14" t="str">
        <f>IF(AND(ISNUMBER($I177),OR($K177="Milestone",$K177="Deadline"),$I177&gt;=BS$4,$I177&lt;BS$4+7),IF($K177="Deadline","◇","◆"),"")</f>
        <v/>
      </c>
      <c r="BT177" s="14" t="str">
        <f>IF(AND(ISNUMBER($I177),OR($K177="Milestone",$K177="Deadline"),$I177&gt;=BT$4,$I177&lt;BT$4+7),IF($K177="Deadline","◇","◆"),"")</f>
        <v/>
      </c>
      <c r="BU177" s="14" t="str">
        <f>IF(AND(ISNUMBER($I177),OR($K177="Milestone",$K177="Deadline"),$I177&gt;=BU$4,$I177&lt;BU$4+7),IF($K177="Deadline","◇","◆"),"")</f>
        <v/>
      </c>
      <c r="BV177" s="14" t="str">
        <f>IF(AND(ISNUMBER($I177),OR($K177="Milestone",$K177="Deadline"),$I177&gt;=BV$4,$I177&lt;BV$4+7),IF($K177="Deadline","◇","◆"),"")</f>
        <v/>
      </c>
      <c r="BW177" s="14" t="str">
        <f>IF(AND(ISNUMBER($I177),OR($K177="Milestone",$K177="Deadline"),$I177&gt;=BW$4,$I177&lt;BW$4+7),IF($K177="Deadline","◇","◆"),"")</f>
        <v/>
      </c>
      <c r="BX177" s="14" t="str">
        <f>IF(AND(ISNUMBER($I177),OR($K177="Milestone",$K177="Deadline"),$I177&gt;=BX$4,$I177&lt;BX$4+7),IF($K177="Deadline","◇","◆"),"")</f>
        <v/>
      </c>
      <c r="BY177" s="14" t="str">
        <f>IF(AND(ISNUMBER($I177),OR($K177="Milestone",$K177="Deadline"),$I177&gt;=BY$4,$I177&lt;BY$4+7),IF($K177="Deadline","◇","◆"),"")</f>
        <v/>
      </c>
      <c r="BZ177" s="14" t="str">
        <f>IF(AND(ISNUMBER($I177),OR($K177="Milestone",$K177="Deadline"),$I177&gt;=BZ$4,$I177&lt;BZ$4+7),IF($K177="Deadline","◇","◆"),"")</f>
        <v/>
      </c>
      <c r="CA177" s="14" t="str">
        <f>IF(AND(ISNUMBER($I177),OR($K177="Milestone",$K177="Deadline"),$I177&gt;=CA$4,$I177&lt;CA$4+7),IF($K177="Deadline","◇","◆"),"")</f>
        <v/>
      </c>
      <c r="CB177" s="14" t="str">
        <f>IF(AND(ISNUMBER($I177),OR($K177="Milestone",$K177="Deadline"),$I177&gt;=CB$4,$I177&lt;CB$4+7),IF($K177="Deadline","◇","◆"),"")</f>
        <v/>
      </c>
      <c r="CC177" s="14" t="str">
        <f>IF(AND(ISNUMBER($I177),OR($K177="Milestone",$K177="Deadline"),$I177&gt;=CC$4,$I177&lt;CC$4+7),IF($K177="Deadline","◇","◆"),"")</f>
        <v/>
      </c>
      <c r="CD177" s="14" t="str">
        <f>IF(AND(ISNUMBER($I177),OR($K177="Milestone",$K177="Deadline"),$I177&gt;=CD$4,$I177&lt;CD$4+7),IF($K177="Deadline","◇","◆"),"")</f>
        <v/>
      </c>
      <c r="CE177" s="14" t="str">
        <f>IF(AND(ISNUMBER($I177),OR($K177="Milestone",$K177="Deadline"),$I177&gt;=CE$4,$I177&lt;CE$4+7),IF($K177="Deadline","◇","◆"),"")</f>
        <v/>
      </c>
      <c r="CF177" s="14" t="str">
        <f>IF(AND(ISNUMBER($I177),OR($K177="Milestone",$K177="Deadline"),$I177&gt;=CF$4,$I177&lt;CF$4+7),IF($K177="Deadline","◇","◆"),"")</f>
        <v/>
      </c>
      <c r="CG177" s="14" t="str">
        <f>IF(AND(ISNUMBER($I177),OR($K177="Milestone",$K177="Deadline"),$I177&gt;=CG$4,$I177&lt;CG$4+7),IF($K177="Deadline","◇","◆"),"")</f>
        <v/>
      </c>
      <c r="CH177" s="14" t="str">
        <f>IF(AND(ISNUMBER($I177),OR($K177="Milestone",$K177="Deadline"),$I177&gt;=CH$4,$I177&lt;CH$4+7),IF($K177="Deadline","◇","◆"),"")</f>
        <v/>
      </c>
      <c r="CI177" s="14" t="str">
        <f>IF(AND(ISNUMBER($I177),OR($K177="Milestone",$K177="Deadline"),$I177&gt;=CI$4,$I177&lt;CI$4+7),IF($K177="Deadline","◇","◆"),"")</f>
        <v/>
      </c>
      <c r="CJ177" s="14" t="str">
        <f>IF(AND(ISNUMBER($I177),OR($K177="Milestone",$K177="Deadline"),$I177&gt;=CJ$4,$I177&lt;CJ$4+7),IF($K177="Deadline","◇","◆"),"")</f>
        <v/>
      </c>
      <c r="CK177" s="14" t="str">
        <f>IF(AND(ISNUMBER($I177),OR($K177="Milestone",$K177="Deadline"),$I177&gt;=CK$4,$I177&lt;CK$4+7),IF($K177="Deadline","◇","◆"),"")</f>
        <v/>
      </c>
      <c r="CL177" s="14" t="str">
        <f>IF(AND(ISNUMBER($I177),OR($K177="Milestone",$K177="Deadline"),$I177&gt;=CL$4,$I177&lt;CL$4+7),IF($K177="Deadline","◇","◆"),"")</f>
        <v/>
      </c>
      <c r="CM177" s="14" t="str">
        <f>IF(AND(ISNUMBER($I177),OR($K177="Milestone",$K177="Deadline"),$I177&gt;=CM$4,$I177&lt;CM$4+7),IF($K177="Deadline","◇","◆"),"")</f>
        <v/>
      </c>
    </row>
    <row r="178" spans="1:91" ht="15" hidden="1" customHeight="1">
      <c r="A178" s="39" t="s">
        <v>413</v>
      </c>
      <c r="B178" s="39" t="s">
        <v>386</v>
      </c>
      <c r="C178" s="39" t="s">
        <v>226</v>
      </c>
      <c r="D178" s="39" t="s">
        <v>348</v>
      </c>
      <c r="E178" s="39" t="s">
        <v>281</v>
      </c>
      <c r="F178" s="39" t="s">
        <v>216</v>
      </c>
      <c r="G178" s="39" t="s">
        <v>227</v>
      </c>
      <c r="H178" s="39">
        <v>7</v>
      </c>
      <c r="I178" s="40">
        <f>MAX($C$2,J155+1)</f>
        <v>46455</v>
      </c>
      <c r="J178" s="41">
        <f>IF(AND(ISNUMBER(I178),ISNUMBER(H178)),I178+H178-1,"")</f>
        <v>46461</v>
      </c>
      <c r="K178" s="39" t="s">
        <v>27</v>
      </c>
      <c r="L178" s="39"/>
      <c r="M178" s="42" t="s">
        <v>383</v>
      </c>
      <c r="N178" s="39"/>
      <c r="O178" s="42">
        <f>IF(AND(ISNUMBER(I178),ISNUMBER(J178)),J178-I178+1,"")</f>
        <v>7</v>
      </c>
      <c r="P178" s="13" t="s">
        <v>140</v>
      </c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4" t="str">
        <f>IF(AND(ISNUMBER($I178),OR($K178="Milestone",$K178="Deadline"),$I178&gt;=AO$4,$I178&lt;AO$4+7),IF($K178="Deadline","◇","◆"),"")</f>
        <v/>
      </c>
      <c r="AP178" s="14" t="str">
        <f>IF(AND(ISNUMBER($I178),OR($K178="Milestone",$K178="Deadline"),$I178&gt;=AP$4,$I178&lt;AP$4+7),IF($K178="Deadline","◇","◆"),"")</f>
        <v/>
      </c>
      <c r="AQ178" s="14" t="str">
        <f>IF(AND(ISNUMBER($I178),OR($K178="Milestone",$K178="Deadline"),$I178&gt;=AQ$4,$I178&lt;AQ$4+7),IF($K178="Deadline","◇","◆"),"")</f>
        <v/>
      </c>
      <c r="AR178" s="14" t="str">
        <f>IF(AND(ISNUMBER($I178),OR($K178="Milestone",$K178="Deadline"),$I178&gt;=AR$4,$I178&lt;AR$4+7),IF($K178="Deadline","◇","◆"),"")</f>
        <v/>
      </c>
      <c r="AS178" s="14" t="str">
        <f>IF(AND(ISNUMBER($I178),OR($K178="Milestone",$K178="Deadline"),$I178&gt;=AS$4,$I178&lt;AS$4+7),IF($K178="Deadline","◇","◆"),"")</f>
        <v/>
      </c>
      <c r="AT178" s="14" t="str">
        <f>IF(AND(ISNUMBER($I178),OR($K178="Milestone",$K178="Deadline"),$I178&gt;=AT$4,$I178&lt;AT$4+7),IF($K178="Deadline","◇","◆"),"")</f>
        <v/>
      </c>
      <c r="AU178" s="14" t="str">
        <f>IF(AND(ISNUMBER($I178),OR($K178="Milestone",$K178="Deadline"),$I178&gt;=AU$4,$I178&lt;AU$4+7),IF($K178="Deadline","◇","◆"),"")</f>
        <v/>
      </c>
      <c r="AV178" s="14" t="str">
        <f>IF(AND(ISNUMBER($I178),OR($K178="Milestone",$K178="Deadline"),$I178&gt;=AV$4,$I178&lt;AV$4+7),IF($K178="Deadline","◇","◆"),"")</f>
        <v/>
      </c>
      <c r="AW178" s="14" t="str">
        <f>IF(AND(ISNUMBER($I178),OR($K178="Milestone",$K178="Deadline"),$I178&gt;=AW$4,$I178&lt;AW$4+7),IF($K178="Deadline","◇","◆"),"")</f>
        <v/>
      </c>
      <c r="AX178" s="14" t="str">
        <f>IF(AND(ISNUMBER($I178),OR($K178="Milestone",$K178="Deadline"),$I178&gt;=AX$4,$I178&lt;AX$4+7),IF($K178="Deadline","◇","◆"),"")</f>
        <v/>
      </c>
      <c r="AY178" s="14" t="str">
        <f>IF(AND(ISNUMBER($I178),OR($K178="Milestone",$K178="Deadline"),$I178&gt;=AY$4,$I178&lt;AY$4+7),IF($K178="Deadline","◇","◆"),"")</f>
        <v/>
      </c>
      <c r="AZ178" s="14" t="str">
        <f>IF(AND(ISNUMBER($I178),OR($K178="Milestone",$K178="Deadline"),$I178&gt;=AZ$4,$I178&lt;AZ$4+7),IF($K178="Deadline","◇","◆"),"")</f>
        <v/>
      </c>
      <c r="BA178" s="14" t="str">
        <f>IF(AND(ISNUMBER($I178),OR($K178="Milestone",$K178="Deadline"),$I178&gt;=BA$4,$I178&lt;BA$4+7),IF($K178="Deadline","◇","◆"),"")</f>
        <v/>
      </c>
      <c r="BB178" s="14" t="str">
        <f>IF(AND(ISNUMBER($I178),OR($K178="Milestone",$K178="Deadline"),$I178&gt;=BB$4,$I178&lt;BB$4+7),IF($K178="Deadline","◇","◆"),"")</f>
        <v/>
      </c>
      <c r="BC178" s="14" t="str">
        <f>IF(AND(ISNUMBER($I178),OR($K178="Milestone",$K178="Deadline"),$I178&gt;=BC$4,$I178&lt;BC$4+7),IF($K178="Deadline","◇","◆"),"")</f>
        <v/>
      </c>
      <c r="BD178" s="14" t="str">
        <f>IF(AND(ISNUMBER($I178),OR($K178="Milestone",$K178="Deadline"),$I178&gt;=BD$4,$I178&lt;BD$4+7),IF($K178="Deadline","◇","◆"),"")</f>
        <v/>
      </c>
      <c r="BE178" s="14" t="str">
        <f>IF(AND(ISNUMBER($I178),OR($K178="Milestone",$K178="Deadline"),$I178&gt;=BE$4,$I178&lt;BE$4+7),IF($K178="Deadline","◇","◆"),"")</f>
        <v/>
      </c>
      <c r="BF178" s="14" t="str">
        <f>IF(AND(ISNUMBER($I178),OR($K178="Milestone",$K178="Deadline"),$I178&gt;=BF$4,$I178&lt;BF$4+7),IF($K178="Deadline","◇","◆"),"")</f>
        <v/>
      </c>
      <c r="BG178" s="14" t="str">
        <f>IF(AND(ISNUMBER($I178),OR($K178="Milestone",$K178="Deadline"),$I178&gt;=BG$4,$I178&lt;BG$4+7),IF($K178="Deadline","◇","◆"),"")</f>
        <v/>
      </c>
      <c r="BH178" s="14" t="str">
        <f>IF(AND(ISNUMBER($I178),OR($K178="Milestone",$K178="Deadline"),$I178&gt;=BH$4,$I178&lt;BH$4+7),IF($K178="Deadline","◇","◆"),"")</f>
        <v/>
      </c>
      <c r="BI178" s="14" t="str">
        <f>IF(AND(ISNUMBER($I178),OR($K178="Milestone",$K178="Deadline"),$I178&gt;=BI$4,$I178&lt;BI$4+7),IF($K178="Deadline","◇","◆"),"")</f>
        <v/>
      </c>
      <c r="BJ178" s="14" t="str">
        <f>IF(AND(ISNUMBER($I178),OR($K178="Milestone",$K178="Deadline"),$I178&gt;=BJ$4,$I178&lt;BJ$4+7),IF($K178="Deadline","◇","◆"),"")</f>
        <v/>
      </c>
      <c r="BK178" s="14" t="str">
        <f>IF(AND(ISNUMBER($I178),OR($K178="Milestone",$K178="Deadline"),$I178&gt;=BK$4,$I178&lt;BK$4+7),IF($K178="Deadline","◇","◆"),"")</f>
        <v/>
      </c>
      <c r="BL178" s="14" t="str">
        <f>IF(AND(ISNUMBER($I178),OR($K178="Milestone",$K178="Deadline"),$I178&gt;=BL$4,$I178&lt;BL$4+7),IF($K178="Deadline","◇","◆"),"")</f>
        <v/>
      </c>
      <c r="BM178" s="14" t="str">
        <f>IF(AND(ISNUMBER($I178),OR($K178="Milestone",$K178="Deadline"),$I178&gt;=BM$4,$I178&lt;BM$4+7),IF($K178="Deadline","◇","◆"),"")</f>
        <v/>
      </c>
      <c r="BN178" s="14" t="str">
        <f>IF(AND(ISNUMBER($I178),OR($K178="Milestone",$K178="Deadline"),$I178&gt;=BN$4,$I178&lt;BN$4+7),IF($K178="Deadline","◇","◆"),"")</f>
        <v/>
      </c>
      <c r="BO178" s="14" t="str">
        <f>IF(AND(ISNUMBER($I178),OR($K178="Milestone",$K178="Deadline"),$I178&gt;=BO$4,$I178&lt;BO$4+7),IF($K178="Deadline","◇","◆"),"")</f>
        <v/>
      </c>
      <c r="BP178" s="14" t="str">
        <f>IF(AND(ISNUMBER($I178),OR($K178="Milestone",$K178="Deadline"),$I178&gt;=BP$4,$I178&lt;BP$4+7),IF($K178="Deadline","◇","◆"),"")</f>
        <v/>
      </c>
      <c r="BQ178" s="14" t="str">
        <f>IF(AND(ISNUMBER($I178),OR($K178="Milestone",$K178="Deadline"),$I178&gt;=BQ$4,$I178&lt;BQ$4+7),IF($K178="Deadline","◇","◆"),"")</f>
        <v/>
      </c>
      <c r="BR178" s="14" t="str">
        <f>IF(AND(ISNUMBER($I178),OR($K178="Milestone",$K178="Deadline"),$I178&gt;=BR$4,$I178&lt;BR$4+7),IF($K178="Deadline","◇","◆"),"")</f>
        <v/>
      </c>
      <c r="BS178" s="14" t="str">
        <f>IF(AND(ISNUMBER($I178),OR($K178="Milestone",$K178="Deadline"),$I178&gt;=BS$4,$I178&lt;BS$4+7),IF($K178="Deadline","◇","◆"),"")</f>
        <v/>
      </c>
      <c r="BT178" s="14" t="str">
        <f>IF(AND(ISNUMBER($I178),OR($K178="Milestone",$K178="Deadline"),$I178&gt;=BT$4,$I178&lt;BT$4+7),IF($K178="Deadline","◇","◆"),"")</f>
        <v/>
      </c>
      <c r="BU178" s="14" t="str">
        <f>IF(AND(ISNUMBER($I178),OR($K178="Milestone",$K178="Deadline"),$I178&gt;=BU$4,$I178&lt;BU$4+7),IF($K178="Deadline","◇","◆"),"")</f>
        <v/>
      </c>
      <c r="BV178" s="14" t="str">
        <f>IF(AND(ISNUMBER($I178),OR($K178="Milestone",$K178="Deadline"),$I178&gt;=BV$4,$I178&lt;BV$4+7),IF($K178="Deadline","◇","◆"),"")</f>
        <v/>
      </c>
      <c r="BW178" s="14" t="str">
        <f>IF(AND(ISNUMBER($I178),OR($K178="Milestone",$K178="Deadline"),$I178&gt;=BW$4,$I178&lt;BW$4+7),IF($K178="Deadline","◇","◆"),"")</f>
        <v/>
      </c>
      <c r="BX178" s="14" t="str">
        <f>IF(AND(ISNUMBER($I178),OR($K178="Milestone",$K178="Deadline"),$I178&gt;=BX$4,$I178&lt;BX$4+7),IF($K178="Deadline","◇","◆"),"")</f>
        <v/>
      </c>
      <c r="BY178" s="14" t="str">
        <f>IF(AND(ISNUMBER($I178),OR($K178="Milestone",$K178="Deadline"),$I178&gt;=BY$4,$I178&lt;BY$4+7),IF($K178="Deadline","◇","◆"),"")</f>
        <v/>
      </c>
      <c r="BZ178" s="14" t="str">
        <f>IF(AND(ISNUMBER($I178),OR($K178="Milestone",$K178="Deadline"),$I178&gt;=BZ$4,$I178&lt;BZ$4+7),IF($K178="Deadline","◇","◆"),"")</f>
        <v/>
      </c>
      <c r="CA178" s="14" t="str">
        <f>IF(AND(ISNUMBER($I178),OR($K178="Milestone",$K178="Deadline"),$I178&gt;=CA$4,$I178&lt;CA$4+7),IF($K178="Deadline","◇","◆"),"")</f>
        <v/>
      </c>
      <c r="CB178" s="14" t="str">
        <f>IF(AND(ISNUMBER($I178),OR($K178="Milestone",$K178="Deadline"),$I178&gt;=CB$4,$I178&lt;CB$4+7),IF($K178="Deadline","◇","◆"),"")</f>
        <v/>
      </c>
      <c r="CC178" s="14" t="str">
        <f>IF(AND(ISNUMBER($I178),OR($K178="Milestone",$K178="Deadline"),$I178&gt;=CC$4,$I178&lt;CC$4+7),IF($K178="Deadline","◇","◆"),"")</f>
        <v/>
      </c>
      <c r="CD178" s="14" t="str">
        <f>IF(AND(ISNUMBER($I178),OR($K178="Milestone",$K178="Deadline"),$I178&gt;=CD$4,$I178&lt;CD$4+7),IF($K178="Deadline","◇","◆"),"")</f>
        <v/>
      </c>
      <c r="CE178" s="14" t="str">
        <f>IF(AND(ISNUMBER($I178),OR($K178="Milestone",$K178="Deadline"),$I178&gt;=CE$4,$I178&lt;CE$4+7),IF($K178="Deadline","◇","◆"),"")</f>
        <v/>
      </c>
      <c r="CF178" s="14" t="str">
        <f>IF(AND(ISNUMBER($I178),OR($K178="Milestone",$K178="Deadline"),$I178&gt;=CF$4,$I178&lt;CF$4+7),IF($K178="Deadline","◇","◆"),"")</f>
        <v/>
      </c>
      <c r="CG178" s="14" t="str">
        <f>IF(AND(ISNUMBER($I178),OR($K178="Milestone",$K178="Deadline"),$I178&gt;=CG$4,$I178&lt;CG$4+7),IF($K178="Deadline","◇","◆"),"")</f>
        <v/>
      </c>
      <c r="CH178" s="14" t="str">
        <f>IF(AND(ISNUMBER($I178),OR($K178="Milestone",$K178="Deadline"),$I178&gt;=CH$4,$I178&lt;CH$4+7),IF($K178="Deadline","◇","◆"),"")</f>
        <v/>
      </c>
      <c r="CI178" s="14" t="str">
        <f>IF(AND(ISNUMBER($I178),OR($K178="Milestone",$K178="Deadline"),$I178&gt;=CI$4,$I178&lt;CI$4+7),IF($K178="Deadline","◇","◆"),"")</f>
        <v/>
      </c>
      <c r="CJ178" s="14" t="str">
        <f>IF(AND(ISNUMBER($I178),OR($K178="Milestone",$K178="Deadline"),$I178&gt;=CJ$4,$I178&lt;CJ$4+7),IF($K178="Deadline","◇","◆"),"")</f>
        <v/>
      </c>
      <c r="CK178" s="14" t="str">
        <f>IF(AND(ISNUMBER($I178),OR($K178="Milestone",$K178="Deadline"),$I178&gt;=CK$4,$I178&lt;CK$4+7),IF($K178="Deadline","◇","◆"),"")</f>
        <v/>
      </c>
      <c r="CL178" s="14" t="str">
        <f>IF(AND(ISNUMBER($I178),OR($K178="Milestone",$K178="Deadline"),$I178&gt;=CL$4,$I178&lt;CL$4+7),IF($K178="Deadline","◇","◆"),"")</f>
        <v/>
      </c>
      <c r="CM178" s="14" t="str">
        <f>IF(AND(ISNUMBER($I178),OR($K178="Milestone",$K178="Deadline"),$I178&gt;=CM$4,$I178&lt;CM$4+7),IF($K178="Deadline","◇","◆"),"")</f>
        <v/>
      </c>
    </row>
    <row r="179" spans="1:91" ht="15" hidden="1" customHeight="1">
      <c r="A179" s="39" t="s">
        <v>414</v>
      </c>
      <c r="B179" s="39" t="s">
        <v>386</v>
      </c>
      <c r="C179" s="39" t="s">
        <v>221</v>
      </c>
      <c r="D179" s="39" t="s">
        <v>348</v>
      </c>
      <c r="E179" s="39" t="s">
        <v>281</v>
      </c>
      <c r="F179" s="39" t="s">
        <v>216</v>
      </c>
      <c r="G179" s="39" t="s">
        <v>222</v>
      </c>
      <c r="H179" s="39">
        <v>7</v>
      </c>
      <c r="I179" s="40">
        <f>MAX($C$2,J162+1,J174+1,J207+1,J280+1)</f>
        <v>46482</v>
      </c>
      <c r="J179" s="41">
        <f>IF(AND(ISNUMBER(I179),ISNUMBER(H179)),I179+H179-1,"")</f>
        <v>46488</v>
      </c>
      <c r="K179" s="39" t="s">
        <v>27</v>
      </c>
      <c r="L179" s="39" t="s">
        <v>415</v>
      </c>
      <c r="M179" s="42" t="s">
        <v>416</v>
      </c>
      <c r="N179" s="39"/>
      <c r="O179" s="42">
        <f>IF(AND(ISNUMBER(I179),ISNUMBER(J179)),J179-I179+1,"")</f>
        <v>7</v>
      </c>
      <c r="P179" s="13"/>
      <c r="Q179" s="13"/>
      <c r="R179" s="13" t="s">
        <v>140</v>
      </c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 t="s">
        <v>140</v>
      </c>
      <c r="AJ179" s="13"/>
      <c r="AK179" s="13"/>
      <c r="AL179" s="13"/>
      <c r="AM179" s="13"/>
      <c r="AN179" s="13"/>
      <c r="AO179" s="14" t="str">
        <f>IF(AND(ISNUMBER($I179),OR($K179="Milestone",$K179="Deadline"),$I179&gt;=AO$4,$I179&lt;AO$4+7),IF($K179="Deadline","◇","◆"),"")</f>
        <v/>
      </c>
      <c r="AP179" s="14" t="str">
        <f>IF(AND(ISNUMBER($I179),OR($K179="Milestone",$K179="Deadline"),$I179&gt;=AP$4,$I179&lt;AP$4+7),IF($K179="Deadline","◇","◆"),"")</f>
        <v/>
      </c>
      <c r="AQ179" s="14" t="str">
        <f>IF(AND(ISNUMBER($I179),OR($K179="Milestone",$K179="Deadline"),$I179&gt;=AQ$4,$I179&lt;AQ$4+7),IF($K179="Deadline","◇","◆"),"")</f>
        <v/>
      </c>
      <c r="AR179" s="14" t="str">
        <f>IF(AND(ISNUMBER($I179),OR($K179="Milestone",$K179="Deadline"),$I179&gt;=AR$4,$I179&lt;AR$4+7),IF($K179="Deadline","◇","◆"),"")</f>
        <v/>
      </c>
      <c r="AS179" s="14" t="str">
        <f>IF(AND(ISNUMBER($I179),OR($K179="Milestone",$K179="Deadline"),$I179&gt;=AS$4,$I179&lt;AS$4+7),IF($K179="Deadline","◇","◆"),"")</f>
        <v/>
      </c>
      <c r="AT179" s="14" t="str">
        <f>IF(AND(ISNUMBER($I179),OR($K179="Milestone",$K179="Deadline"),$I179&gt;=AT$4,$I179&lt;AT$4+7),IF($K179="Deadline","◇","◆"),"")</f>
        <v/>
      </c>
      <c r="AU179" s="14" t="str">
        <f>IF(AND(ISNUMBER($I179),OR($K179="Milestone",$K179="Deadline"),$I179&gt;=AU$4,$I179&lt;AU$4+7),IF($K179="Deadline","◇","◆"),"")</f>
        <v/>
      </c>
      <c r="AV179" s="14" t="str">
        <f>IF(AND(ISNUMBER($I179),OR($K179="Milestone",$K179="Deadline"),$I179&gt;=AV$4,$I179&lt;AV$4+7),IF($K179="Deadline","◇","◆"),"")</f>
        <v/>
      </c>
      <c r="AW179" s="14" t="str">
        <f>IF(AND(ISNUMBER($I179),OR($K179="Milestone",$K179="Deadline"),$I179&gt;=AW$4,$I179&lt;AW$4+7),IF($K179="Deadline","◇","◆"),"")</f>
        <v/>
      </c>
      <c r="AX179" s="14" t="str">
        <f>IF(AND(ISNUMBER($I179),OR($K179="Milestone",$K179="Deadline"),$I179&gt;=AX$4,$I179&lt;AX$4+7),IF($K179="Deadline","◇","◆"),"")</f>
        <v/>
      </c>
      <c r="AY179" s="14" t="str">
        <f>IF(AND(ISNUMBER($I179),OR($K179="Milestone",$K179="Deadline"),$I179&gt;=AY$4,$I179&lt;AY$4+7),IF($K179="Deadline","◇","◆"),"")</f>
        <v/>
      </c>
      <c r="AZ179" s="14" t="str">
        <f>IF(AND(ISNUMBER($I179),OR($K179="Milestone",$K179="Deadline"),$I179&gt;=AZ$4,$I179&lt;AZ$4+7),IF($K179="Deadline","◇","◆"),"")</f>
        <v/>
      </c>
      <c r="BA179" s="14" t="str">
        <f>IF(AND(ISNUMBER($I179),OR($K179="Milestone",$K179="Deadline"),$I179&gt;=BA$4,$I179&lt;BA$4+7),IF($K179="Deadline","◇","◆"),"")</f>
        <v/>
      </c>
      <c r="BB179" s="14" t="str">
        <f>IF(AND(ISNUMBER($I179),OR($K179="Milestone",$K179="Deadline"),$I179&gt;=BB$4,$I179&lt;BB$4+7),IF($K179="Deadline","◇","◆"),"")</f>
        <v/>
      </c>
      <c r="BC179" s="14" t="str">
        <f>IF(AND(ISNUMBER($I179),OR($K179="Milestone",$K179="Deadline"),$I179&gt;=BC$4,$I179&lt;BC$4+7),IF($K179="Deadline","◇","◆"),"")</f>
        <v/>
      </c>
      <c r="BD179" s="14" t="str">
        <f>IF(AND(ISNUMBER($I179),OR($K179="Milestone",$K179="Deadline"),$I179&gt;=BD$4,$I179&lt;BD$4+7),IF($K179="Deadline","◇","◆"),"")</f>
        <v/>
      </c>
      <c r="BE179" s="14" t="str">
        <f>IF(AND(ISNUMBER($I179),OR($K179="Milestone",$K179="Deadline"),$I179&gt;=BE$4,$I179&lt;BE$4+7),IF($K179="Deadline","◇","◆"),"")</f>
        <v/>
      </c>
      <c r="BF179" s="14" t="str">
        <f>IF(AND(ISNUMBER($I179),OR($K179="Milestone",$K179="Deadline"),$I179&gt;=BF$4,$I179&lt;BF$4+7),IF($K179="Deadline","◇","◆"),"")</f>
        <v/>
      </c>
      <c r="BG179" s="14" t="str">
        <f>IF(AND(ISNUMBER($I179),OR($K179="Milestone",$K179="Deadline"),$I179&gt;=BG$4,$I179&lt;BG$4+7),IF($K179="Deadline","◇","◆"),"")</f>
        <v/>
      </c>
      <c r="BH179" s="14" t="str">
        <f>IF(AND(ISNUMBER($I179),OR($K179="Milestone",$K179="Deadline"),$I179&gt;=BH$4,$I179&lt;BH$4+7),IF($K179="Deadline","◇","◆"),"")</f>
        <v/>
      </c>
      <c r="BI179" s="14" t="str">
        <f>IF(AND(ISNUMBER($I179),OR($K179="Milestone",$K179="Deadline"),$I179&gt;=BI$4,$I179&lt;BI$4+7),IF($K179="Deadline","◇","◆"),"")</f>
        <v/>
      </c>
      <c r="BJ179" s="14" t="str">
        <f>IF(AND(ISNUMBER($I179),OR($K179="Milestone",$K179="Deadline"),$I179&gt;=BJ$4,$I179&lt;BJ$4+7),IF($K179="Deadline","◇","◆"),"")</f>
        <v/>
      </c>
      <c r="BK179" s="14" t="str">
        <f>IF(AND(ISNUMBER($I179),OR($K179="Milestone",$K179="Deadline"),$I179&gt;=BK$4,$I179&lt;BK$4+7),IF($K179="Deadline","◇","◆"),"")</f>
        <v/>
      </c>
      <c r="BL179" s="14" t="str">
        <f>IF(AND(ISNUMBER($I179),OR($K179="Milestone",$K179="Deadline"),$I179&gt;=BL$4,$I179&lt;BL$4+7),IF($K179="Deadline","◇","◆"),"")</f>
        <v/>
      </c>
      <c r="BM179" s="14" t="str">
        <f>IF(AND(ISNUMBER($I179),OR($K179="Milestone",$K179="Deadline"),$I179&gt;=BM$4,$I179&lt;BM$4+7),IF($K179="Deadline","◇","◆"),"")</f>
        <v/>
      </c>
      <c r="BN179" s="14" t="str">
        <f>IF(AND(ISNUMBER($I179),OR($K179="Milestone",$K179="Deadline"),$I179&gt;=BN$4,$I179&lt;BN$4+7),IF($K179="Deadline","◇","◆"),"")</f>
        <v/>
      </c>
      <c r="BO179" s="14" t="str">
        <f>IF(AND(ISNUMBER($I179),OR($K179="Milestone",$K179="Deadline"),$I179&gt;=BO$4,$I179&lt;BO$4+7),IF($K179="Deadline","◇","◆"),"")</f>
        <v/>
      </c>
      <c r="BP179" s="14" t="str">
        <f>IF(AND(ISNUMBER($I179),OR($K179="Milestone",$K179="Deadline"),$I179&gt;=BP$4,$I179&lt;BP$4+7),IF($K179="Deadline","◇","◆"),"")</f>
        <v/>
      </c>
      <c r="BQ179" s="14" t="str">
        <f>IF(AND(ISNUMBER($I179),OR($K179="Milestone",$K179="Deadline"),$I179&gt;=BQ$4,$I179&lt;BQ$4+7),IF($K179="Deadline","◇","◆"),"")</f>
        <v/>
      </c>
      <c r="BR179" s="14" t="str">
        <f>IF(AND(ISNUMBER($I179),OR($K179="Milestone",$K179="Deadline"),$I179&gt;=BR$4,$I179&lt;BR$4+7),IF($K179="Deadline","◇","◆"),"")</f>
        <v/>
      </c>
      <c r="BS179" s="14" t="str">
        <f>IF(AND(ISNUMBER($I179),OR($K179="Milestone",$K179="Deadline"),$I179&gt;=BS$4,$I179&lt;BS$4+7),IF($K179="Deadline","◇","◆"),"")</f>
        <v/>
      </c>
      <c r="BT179" s="14" t="str">
        <f>IF(AND(ISNUMBER($I179),OR($K179="Milestone",$K179="Deadline"),$I179&gt;=BT$4,$I179&lt;BT$4+7),IF($K179="Deadline","◇","◆"),"")</f>
        <v/>
      </c>
      <c r="BU179" s="14" t="str">
        <f>IF(AND(ISNUMBER($I179),OR($K179="Milestone",$K179="Deadline"),$I179&gt;=BU$4,$I179&lt;BU$4+7),IF($K179="Deadline","◇","◆"),"")</f>
        <v/>
      </c>
      <c r="BV179" s="14" t="str">
        <f>IF(AND(ISNUMBER($I179),OR($K179="Milestone",$K179="Deadline"),$I179&gt;=BV$4,$I179&lt;BV$4+7),IF($K179="Deadline","◇","◆"),"")</f>
        <v/>
      </c>
      <c r="BW179" s="14" t="str">
        <f>IF(AND(ISNUMBER($I179),OR($K179="Milestone",$K179="Deadline"),$I179&gt;=BW$4,$I179&lt;BW$4+7),IF($K179="Deadline","◇","◆"),"")</f>
        <v/>
      </c>
      <c r="BX179" s="14" t="str">
        <f>IF(AND(ISNUMBER($I179),OR($K179="Milestone",$K179="Deadline"),$I179&gt;=BX$4,$I179&lt;BX$4+7),IF($K179="Deadline","◇","◆"),"")</f>
        <v/>
      </c>
      <c r="BY179" s="14" t="str">
        <f>IF(AND(ISNUMBER($I179),OR($K179="Milestone",$K179="Deadline"),$I179&gt;=BY$4,$I179&lt;BY$4+7),IF($K179="Deadline","◇","◆"),"")</f>
        <v/>
      </c>
      <c r="BZ179" s="14" t="str">
        <f>IF(AND(ISNUMBER($I179),OR($K179="Milestone",$K179="Deadline"),$I179&gt;=BZ$4,$I179&lt;BZ$4+7),IF($K179="Deadline","◇","◆"),"")</f>
        <v/>
      </c>
      <c r="CA179" s="14" t="str">
        <f>IF(AND(ISNUMBER($I179),OR($K179="Milestone",$K179="Deadline"),$I179&gt;=CA$4,$I179&lt;CA$4+7),IF($K179="Deadline","◇","◆"),"")</f>
        <v/>
      </c>
      <c r="CB179" s="14" t="str">
        <f>IF(AND(ISNUMBER($I179),OR($K179="Milestone",$K179="Deadline"),$I179&gt;=CB$4,$I179&lt;CB$4+7),IF($K179="Deadline","◇","◆"),"")</f>
        <v/>
      </c>
      <c r="CC179" s="14" t="str">
        <f>IF(AND(ISNUMBER($I179),OR($K179="Milestone",$K179="Deadline"),$I179&gt;=CC$4,$I179&lt;CC$4+7),IF($K179="Deadline","◇","◆"),"")</f>
        <v/>
      </c>
      <c r="CD179" s="14" t="str">
        <f>IF(AND(ISNUMBER($I179),OR($K179="Milestone",$K179="Deadline"),$I179&gt;=CD$4,$I179&lt;CD$4+7),IF($K179="Deadline","◇","◆"),"")</f>
        <v/>
      </c>
      <c r="CE179" s="14" t="str">
        <f>IF(AND(ISNUMBER($I179),OR($K179="Milestone",$K179="Deadline"),$I179&gt;=CE$4,$I179&lt;CE$4+7),IF($K179="Deadline","◇","◆"),"")</f>
        <v/>
      </c>
      <c r="CF179" s="14" t="str">
        <f>IF(AND(ISNUMBER($I179),OR($K179="Milestone",$K179="Deadline"),$I179&gt;=CF$4,$I179&lt;CF$4+7),IF($K179="Deadline","◇","◆"),"")</f>
        <v/>
      </c>
      <c r="CG179" s="14" t="str">
        <f>IF(AND(ISNUMBER($I179),OR($K179="Milestone",$K179="Deadline"),$I179&gt;=CG$4,$I179&lt;CG$4+7),IF($K179="Deadline","◇","◆"),"")</f>
        <v/>
      </c>
      <c r="CH179" s="14" t="str">
        <f>IF(AND(ISNUMBER($I179),OR($K179="Milestone",$K179="Deadline"),$I179&gt;=CH$4,$I179&lt;CH$4+7),IF($K179="Deadline","◇","◆"),"")</f>
        <v/>
      </c>
      <c r="CI179" s="14" t="str">
        <f>IF(AND(ISNUMBER($I179),OR($K179="Milestone",$K179="Deadline"),$I179&gt;=CI$4,$I179&lt;CI$4+7),IF($K179="Deadline","◇","◆"),"")</f>
        <v/>
      </c>
      <c r="CJ179" s="14" t="str">
        <f>IF(AND(ISNUMBER($I179),OR($K179="Milestone",$K179="Deadline"),$I179&gt;=CJ$4,$I179&lt;CJ$4+7),IF($K179="Deadline","◇","◆"),"")</f>
        <v/>
      </c>
      <c r="CK179" s="14" t="str">
        <f>IF(AND(ISNUMBER($I179),OR($K179="Milestone",$K179="Deadline"),$I179&gt;=CK$4,$I179&lt;CK$4+7),IF($K179="Deadline","◇","◆"),"")</f>
        <v/>
      </c>
      <c r="CL179" s="14" t="str">
        <f>IF(AND(ISNUMBER($I179),OR($K179="Milestone",$K179="Deadline"),$I179&gt;=CL$4,$I179&lt;CL$4+7),IF($K179="Deadline","◇","◆"),"")</f>
        <v/>
      </c>
      <c r="CM179" s="14" t="str">
        <f>IF(AND(ISNUMBER($I179),OR($K179="Milestone",$K179="Deadline"),$I179&gt;=CM$4,$I179&lt;CM$4+7),IF($K179="Deadline","◇","◆"),"")</f>
        <v/>
      </c>
    </row>
    <row r="180" spans="1:91" ht="15" customHeight="1">
      <c r="A180" s="43" t="s">
        <v>417</v>
      </c>
      <c r="B180" s="43" t="s">
        <v>418</v>
      </c>
      <c r="C180" s="43" t="s">
        <v>93</v>
      </c>
      <c r="D180" s="43" t="s">
        <v>419</v>
      </c>
      <c r="E180" s="43" t="s">
        <v>281</v>
      </c>
      <c r="F180" s="43" t="s">
        <v>302</v>
      </c>
      <c r="G180" s="43" t="s">
        <v>198</v>
      </c>
      <c r="H180" s="43">
        <v>14</v>
      </c>
      <c r="I180" s="44">
        <f>MAX($C$2)</f>
        <v>46335</v>
      </c>
      <c r="J180" s="45">
        <f>IF(AND(ISNUMBER(I180),ISNUMBER(H180)),I180+H180-1,"")</f>
        <v>46348</v>
      </c>
      <c r="K180" s="43" t="s">
        <v>27</v>
      </c>
      <c r="L180" s="43"/>
      <c r="M180" s="46"/>
      <c r="N180" s="43"/>
      <c r="O180" s="46">
        <f>IF(AND(ISNUMBER(I180),ISNUMBER(J180)),J180-I180+1,"")</f>
        <v>14</v>
      </c>
      <c r="P180" s="13"/>
      <c r="Q180" s="13"/>
      <c r="R180" s="13" t="s">
        <v>140</v>
      </c>
      <c r="S180" s="13"/>
      <c r="T180" s="13"/>
      <c r="U180" s="13" t="s">
        <v>140</v>
      </c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4" t="str">
        <f>IF(AND(ISNUMBER($I180),OR($K180="Milestone",$K180="Deadline"),$I180&gt;=AO$4,$I180&lt;AO$4+7),IF($K180="Deadline","◇","◆"),"")</f>
        <v/>
      </c>
      <c r="AP180" s="14" t="str">
        <f>IF(AND(ISNUMBER($I180),OR($K180="Milestone",$K180="Deadline"),$I180&gt;=AP$4,$I180&lt;AP$4+7),IF($K180="Deadline","◇","◆"),"")</f>
        <v/>
      </c>
      <c r="AQ180" s="14" t="str">
        <f>IF(AND(ISNUMBER($I180),OR($K180="Milestone",$K180="Deadline"),$I180&gt;=AQ$4,$I180&lt;AQ$4+7),IF($K180="Deadline","◇","◆"),"")</f>
        <v/>
      </c>
      <c r="AR180" s="14" t="str">
        <f>IF(AND(ISNUMBER($I180),OR($K180="Milestone",$K180="Deadline"),$I180&gt;=AR$4,$I180&lt;AR$4+7),IF($K180="Deadline","◇","◆"),"")</f>
        <v/>
      </c>
      <c r="AS180" s="14" t="str">
        <f>IF(AND(ISNUMBER($I180),OR($K180="Milestone",$K180="Deadline"),$I180&gt;=AS$4,$I180&lt;AS$4+7),IF($K180="Deadline","◇","◆"),"")</f>
        <v/>
      </c>
      <c r="AT180" s="14" t="str">
        <f>IF(AND(ISNUMBER($I180),OR($K180="Milestone",$K180="Deadline"),$I180&gt;=AT$4,$I180&lt;AT$4+7),IF($K180="Deadline","◇","◆"),"")</f>
        <v/>
      </c>
      <c r="AU180" s="14" t="str">
        <f>IF(AND(ISNUMBER($I180),OR($K180="Milestone",$K180="Deadline"),$I180&gt;=AU$4,$I180&lt;AU$4+7),IF($K180="Deadline","◇","◆"),"")</f>
        <v/>
      </c>
      <c r="AV180" s="14" t="str">
        <f>IF(AND(ISNUMBER($I180),OR($K180="Milestone",$K180="Deadline"),$I180&gt;=AV$4,$I180&lt;AV$4+7),IF($K180="Deadline","◇","◆"),"")</f>
        <v/>
      </c>
      <c r="AW180" s="14" t="str">
        <f>IF(AND(ISNUMBER($I180),OR($K180="Milestone",$K180="Deadline"),$I180&gt;=AW$4,$I180&lt;AW$4+7),IF($K180="Deadline","◇","◆"),"")</f>
        <v/>
      </c>
      <c r="AX180" s="14" t="str">
        <f>IF(AND(ISNUMBER($I180),OR($K180="Milestone",$K180="Deadline"),$I180&gt;=AX$4,$I180&lt;AX$4+7),IF($K180="Deadline","◇","◆"),"")</f>
        <v/>
      </c>
      <c r="AY180" s="14" t="str">
        <f>IF(AND(ISNUMBER($I180),OR($K180="Milestone",$K180="Deadline"),$I180&gt;=AY$4,$I180&lt;AY$4+7),IF($K180="Deadline","◇","◆"),"")</f>
        <v/>
      </c>
      <c r="AZ180" s="14" t="str">
        <f>IF(AND(ISNUMBER($I180),OR($K180="Milestone",$K180="Deadline"),$I180&gt;=AZ$4,$I180&lt;AZ$4+7),IF($K180="Deadline","◇","◆"),"")</f>
        <v/>
      </c>
      <c r="BA180" s="14" t="str">
        <f>IF(AND(ISNUMBER($I180),OR($K180="Milestone",$K180="Deadline"),$I180&gt;=BA$4,$I180&lt;BA$4+7),IF($K180="Deadline","◇","◆"),"")</f>
        <v/>
      </c>
      <c r="BB180" s="14" t="str">
        <f>IF(AND(ISNUMBER($I180),OR($K180="Milestone",$K180="Deadline"),$I180&gt;=BB$4,$I180&lt;BB$4+7),IF($K180="Deadline","◇","◆"),"")</f>
        <v/>
      </c>
      <c r="BC180" s="14" t="str">
        <f>IF(AND(ISNUMBER($I180),OR($K180="Milestone",$K180="Deadline"),$I180&gt;=BC$4,$I180&lt;BC$4+7),IF($K180="Deadline","◇","◆"),"")</f>
        <v/>
      </c>
      <c r="BD180" s="14" t="str">
        <f>IF(AND(ISNUMBER($I180),OR($K180="Milestone",$K180="Deadline"),$I180&gt;=BD$4,$I180&lt;BD$4+7),IF($K180="Deadline","◇","◆"),"")</f>
        <v/>
      </c>
      <c r="BE180" s="14" t="str">
        <f>IF(AND(ISNUMBER($I180),OR($K180="Milestone",$K180="Deadline"),$I180&gt;=BE$4,$I180&lt;BE$4+7),IF($K180="Deadline","◇","◆"),"")</f>
        <v/>
      </c>
      <c r="BF180" s="14" t="str">
        <f>IF(AND(ISNUMBER($I180),OR($K180="Milestone",$K180="Deadline"),$I180&gt;=BF$4,$I180&lt;BF$4+7),IF($K180="Deadline","◇","◆"),"")</f>
        <v/>
      </c>
      <c r="BG180" s="14" t="str">
        <f>IF(AND(ISNUMBER($I180),OR($K180="Milestone",$K180="Deadline"),$I180&gt;=BG$4,$I180&lt;BG$4+7),IF($K180="Deadline","◇","◆"),"")</f>
        <v/>
      </c>
      <c r="BH180" s="14" t="str">
        <f>IF(AND(ISNUMBER($I180),OR($K180="Milestone",$K180="Deadline"),$I180&gt;=BH$4,$I180&lt;BH$4+7),IF($K180="Deadline","◇","◆"),"")</f>
        <v/>
      </c>
      <c r="BI180" s="14" t="str">
        <f>IF(AND(ISNUMBER($I180),OR($K180="Milestone",$K180="Deadline"),$I180&gt;=BI$4,$I180&lt;BI$4+7),IF($K180="Deadline","◇","◆"),"")</f>
        <v/>
      </c>
      <c r="BJ180" s="14" t="str">
        <f>IF(AND(ISNUMBER($I180),OR($K180="Milestone",$K180="Deadline"),$I180&gt;=BJ$4,$I180&lt;BJ$4+7),IF($K180="Deadline","◇","◆"),"")</f>
        <v/>
      </c>
      <c r="BK180" s="14" t="str">
        <f>IF(AND(ISNUMBER($I180),OR($K180="Milestone",$K180="Deadline"),$I180&gt;=BK$4,$I180&lt;BK$4+7),IF($K180="Deadline","◇","◆"),"")</f>
        <v/>
      </c>
      <c r="BL180" s="14" t="str">
        <f>IF(AND(ISNUMBER($I180),OR($K180="Milestone",$K180="Deadline"),$I180&gt;=BL$4,$I180&lt;BL$4+7),IF($K180="Deadline","◇","◆"),"")</f>
        <v/>
      </c>
      <c r="BM180" s="14" t="str">
        <f>IF(AND(ISNUMBER($I180),OR($K180="Milestone",$K180="Deadline"),$I180&gt;=BM$4,$I180&lt;BM$4+7),IF($K180="Deadline","◇","◆"),"")</f>
        <v/>
      </c>
      <c r="BN180" s="14" t="str">
        <f>IF(AND(ISNUMBER($I180),OR($K180="Milestone",$K180="Deadline"),$I180&gt;=BN$4,$I180&lt;BN$4+7),IF($K180="Deadline","◇","◆"),"")</f>
        <v/>
      </c>
      <c r="BO180" s="14" t="str">
        <f>IF(AND(ISNUMBER($I180),OR($K180="Milestone",$K180="Deadline"),$I180&gt;=BO$4,$I180&lt;BO$4+7),IF($K180="Deadline","◇","◆"),"")</f>
        <v/>
      </c>
      <c r="BP180" s="14" t="str">
        <f>IF(AND(ISNUMBER($I180),OR($K180="Milestone",$K180="Deadline"),$I180&gt;=BP$4,$I180&lt;BP$4+7),IF($K180="Deadline","◇","◆"),"")</f>
        <v/>
      </c>
      <c r="BQ180" s="14" t="str">
        <f>IF(AND(ISNUMBER($I180),OR($K180="Milestone",$K180="Deadline"),$I180&gt;=BQ$4,$I180&lt;BQ$4+7),IF($K180="Deadline","◇","◆"),"")</f>
        <v/>
      </c>
      <c r="BR180" s="14" t="str">
        <f>IF(AND(ISNUMBER($I180),OR($K180="Milestone",$K180="Deadline"),$I180&gt;=BR$4,$I180&lt;BR$4+7),IF($K180="Deadline","◇","◆"),"")</f>
        <v/>
      </c>
      <c r="BS180" s="14" t="str">
        <f>IF(AND(ISNUMBER($I180),OR($K180="Milestone",$K180="Deadline"),$I180&gt;=BS$4,$I180&lt;BS$4+7),IF($K180="Deadline","◇","◆"),"")</f>
        <v/>
      </c>
      <c r="BT180" s="14" t="str">
        <f>IF(AND(ISNUMBER($I180),OR($K180="Milestone",$K180="Deadline"),$I180&gt;=BT$4,$I180&lt;BT$4+7),IF($K180="Deadline","◇","◆"),"")</f>
        <v/>
      </c>
      <c r="BU180" s="14" t="str">
        <f>IF(AND(ISNUMBER($I180),OR($K180="Milestone",$K180="Deadline"),$I180&gt;=BU$4,$I180&lt;BU$4+7),IF($K180="Deadline","◇","◆"),"")</f>
        <v/>
      </c>
      <c r="BV180" s="14" t="str">
        <f>IF(AND(ISNUMBER($I180),OR($K180="Milestone",$K180="Deadline"),$I180&gt;=BV$4,$I180&lt;BV$4+7),IF($K180="Deadline","◇","◆"),"")</f>
        <v/>
      </c>
      <c r="BW180" s="14" t="str">
        <f>IF(AND(ISNUMBER($I180),OR($K180="Milestone",$K180="Deadline"),$I180&gt;=BW$4,$I180&lt;BW$4+7),IF($K180="Deadline","◇","◆"),"")</f>
        <v/>
      </c>
      <c r="BX180" s="14" t="str">
        <f>IF(AND(ISNUMBER($I180),OR($K180="Milestone",$K180="Deadline"),$I180&gt;=BX$4,$I180&lt;BX$4+7),IF($K180="Deadline","◇","◆"),"")</f>
        <v/>
      </c>
      <c r="BY180" s="14" t="str">
        <f>IF(AND(ISNUMBER($I180),OR($K180="Milestone",$K180="Deadline"),$I180&gt;=BY$4,$I180&lt;BY$4+7),IF($K180="Deadline","◇","◆"),"")</f>
        <v/>
      </c>
      <c r="BZ180" s="14" t="str">
        <f>IF(AND(ISNUMBER($I180),OR($K180="Milestone",$K180="Deadline"),$I180&gt;=BZ$4,$I180&lt;BZ$4+7),IF($K180="Deadline","◇","◆"),"")</f>
        <v/>
      </c>
      <c r="CA180" s="14" t="str">
        <f>IF(AND(ISNUMBER($I180),OR($K180="Milestone",$K180="Deadline"),$I180&gt;=CA$4,$I180&lt;CA$4+7),IF($K180="Deadline","◇","◆"),"")</f>
        <v/>
      </c>
      <c r="CB180" s="14" t="str">
        <f>IF(AND(ISNUMBER($I180),OR($K180="Milestone",$K180="Deadline"),$I180&gt;=CB$4,$I180&lt;CB$4+7),IF($K180="Deadline","◇","◆"),"")</f>
        <v/>
      </c>
      <c r="CC180" s="14" t="str">
        <f>IF(AND(ISNUMBER($I180),OR($K180="Milestone",$K180="Deadline"),$I180&gt;=CC$4,$I180&lt;CC$4+7),IF($K180="Deadline","◇","◆"),"")</f>
        <v/>
      </c>
      <c r="CD180" s="14" t="str">
        <f>IF(AND(ISNUMBER($I180),OR($K180="Milestone",$K180="Deadline"),$I180&gt;=CD$4,$I180&lt;CD$4+7),IF($K180="Deadline","◇","◆"),"")</f>
        <v/>
      </c>
      <c r="CE180" s="14" t="str">
        <f>IF(AND(ISNUMBER($I180),OR($K180="Milestone",$K180="Deadline"),$I180&gt;=CE$4,$I180&lt;CE$4+7),IF($K180="Deadline","◇","◆"),"")</f>
        <v/>
      </c>
      <c r="CF180" s="14" t="str">
        <f>IF(AND(ISNUMBER($I180),OR($K180="Milestone",$K180="Deadline"),$I180&gt;=CF$4,$I180&lt;CF$4+7),IF($K180="Deadline","◇","◆"),"")</f>
        <v/>
      </c>
      <c r="CG180" s="14" t="str">
        <f>IF(AND(ISNUMBER($I180),OR($K180="Milestone",$K180="Deadline"),$I180&gt;=CG$4,$I180&lt;CG$4+7),IF($K180="Deadline","◇","◆"),"")</f>
        <v/>
      </c>
      <c r="CH180" s="14" t="str">
        <f>IF(AND(ISNUMBER($I180),OR($K180="Milestone",$K180="Deadline"),$I180&gt;=CH$4,$I180&lt;CH$4+7),IF($K180="Deadline","◇","◆"),"")</f>
        <v/>
      </c>
      <c r="CI180" s="14" t="str">
        <f>IF(AND(ISNUMBER($I180),OR($K180="Milestone",$K180="Deadline"),$I180&gt;=CI$4,$I180&lt;CI$4+7),IF($K180="Deadline","◇","◆"),"")</f>
        <v/>
      </c>
      <c r="CJ180" s="14" t="str">
        <f>IF(AND(ISNUMBER($I180),OR($K180="Milestone",$K180="Deadline"),$I180&gt;=CJ$4,$I180&lt;CJ$4+7),IF($K180="Deadline","◇","◆"),"")</f>
        <v/>
      </c>
      <c r="CK180" s="14" t="str">
        <f>IF(AND(ISNUMBER($I180),OR($K180="Milestone",$K180="Deadline"),$I180&gt;=CK$4,$I180&lt;CK$4+7),IF($K180="Deadline","◇","◆"),"")</f>
        <v/>
      </c>
      <c r="CL180" s="14" t="str">
        <f>IF(AND(ISNUMBER($I180),OR($K180="Milestone",$K180="Deadline"),$I180&gt;=CL$4,$I180&lt;CL$4+7),IF($K180="Deadline","◇","◆"),"")</f>
        <v/>
      </c>
      <c r="CM180" s="14" t="str">
        <f>IF(AND(ISNUMBER($I180),OR($K180="Milestone",$K180="Deadline"),$I180&gt;=CM$4,$I180&lt;CM$4+7),IF($K180="Deadline","◇","◆"),"")</f>
        <v/>
      </c>
    </row>
    <row r="181" spans="1:91" ht="15" hidden="1" customHeight="1">
      <c r="A181" s="43" t="s">
        <v>420</v>
      </c>
      <c r="B181" s="43" t="s">
        <v>418</v>
      </c>
      <c r="C181" s="43" t="s">
        <v>93</v>
      </c>
      <c r="D181" s="43" t="s">
        <v>419</v>
      </c>
      <c r="E181" s="43" t="s">
        <v>281</v>
      </c>
      <c r="F181" s="43" t="s">
        <v>170</v>
      </c>
      <c r="G181" s="43" t="s">
        <v>173</v>
      </c>
      <c r="H181" s="43">
        <v>14</v>
      </c>
      <c r="I181" s="44">
        <f>MAX($C$2,I180)</f>
        <v>46335</v>
      </c>
      <c r="J181" s="45">
        <f>IF(AND(ISNUMBER(I181),ISNUMBER(H181)),I181+H181-1,"")</f>
        <v>46348</v>
      </c>
      <c r="K181" s="43" t="s">
        <v>27</v>
      </c>
      <c r="L181" s="43" t="s">
        <v>421</v>
      </c>
      <c r="M181" s="46"/>
      <c r="N181" s="43"/>
      <c r="O181" s="46">
        <f>IF(AND(ISNUMBER(I181),ISNUMBER(J181)),J181-I181+1,"")</f>
        <v>14</v>
      </c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4" t="str">
        <f>IF(AND(ISNUMBER($I181),OR($K181="Milestone",$K181="Deadline"),$I181&gt;=AO$4,$I181&lt;AO$4+7),IF($K181="Deadline","◇","◆"),"")</f>
        <v/>
      </c>
      <c r="AP181" s="14" t="str">
        <f>IF(AND(ISNUMBER($I181),OR($K181="Milestone",$K181="Deadline"),$I181&gt;=AP$4,$I181&lt;AP$4+7),IF($K181="Deadline","◇","◆"),"")</f>
        <v/>
      </c>
      <c r="AQ181" s="14" t="str">
        <f>IF(AND(ISNUMBER($I181),OR($K181="Milestone",$K181="Deadline"),$I181&gt;=AQ$4,$I181&lt;AQ$4+7),IF($K181="Deadline","◇","◆"),"")</f>
        <v/>
      </c>
      <c r="AR181" s="14" t="str">
        <f>IF(AND(ISNUMBER($I181),OR($K181="Milestone",$K181="Deadline"),$I181&gt;=AR$4,$I181&lt;AR$4+7),IF($K181="Deadline","◇","◆"),"")</f>
        <v/>
      </c>
      <c r="AS181" s="14" t="str">
        <f>IF(AND(ISNUMBER($I181),OR($K181="Milestone",$K181="Deadline"),$I181&gt;=AS$4,$I181&lt;AS$4+7),IF($K181="Deadline","◇","◆"),"")</f>
        <v/>
      </c>
      <c r="AT181" s="14" t="str">
        <f>IF(AND(ISNUMBER($I181),OR($K181="Milestone",$K181="Deadline"),$I181&gt;=AT$4,$I181&lt;AT$4+7),IF($K181="Deadline","◇","◆"),"")</f>
        <v/>
      </c>
      <c r="AU181" s="14" t="str">
        <f>IF(AND(ISNUMBER($I181),OR($K181="Milestone",$K181="Deadline"),$I181&gt;=AU$4,$I181&lt;AU$4+7),IF($K181="Deadline","◇","◆"),"")</f>
        <v/>
      </c>
      <c r="AV181" s="14" t="str">
        <f>IF(AND(ISNUMBER($I181),OR($K181="Milestone",$K181="Deadline"),$I181&gt;=AV$4,$I181&lt;AV$4+7),IF($K181="Deadline","◇","◆"),"")</f>
        <v/>
      </c>
      <c r="AW181" s="14" t="str">
        <f>IF(AND(ISNUMBER($I181),OR($K181="Milestone",$K181="Deadline"),$I181&gt;=AW$4,$I181&lt;AW$4+7),IF($K181="Deadline","◇","◆"),"")</f>
        <v/>
      </c>
      <c r="AX181" s="14" t="str">
        <f>IF(AND(ISNUMBER($I181),OR($K181="Milestone",$K181="Deadline"),$I181&gt;=AX$4,$I181&lt;AX$4+7),IF($K181="Deadline","◇","◆"),"")</f>
        <v/>
      </c>
      <c r="AY181" s="14" t="str">
        <f>IF(AND(ISNUMBER($I181),OR($K181="Milestone",$K181="Deadline"),$I181&gt;=AY$4,$I181&lt;AY$4+7),IF($K181="Deadline","◇","◆"),"")</f>
        <v/>
      </c>
      <c r="AZ181" s="14" t="str">
        <f>IF(AND(ISNUMBER($I181),OR($K181="Milestone",$K181="Deadline"),$I181&gt;=AZ$4,$I181&lt;AZ$4+7),IF($K181="Deadline","◇","◆"),"")</f>
        <v/>
      </c>
      <c r="BA181" s="14" t="str">
        <f>IF(AND(ISNUMBER($I181),OR($K181="Milestone",$K181="Deadline"),$I181&gt;=BA$4,$I181&lt;BA$4+7),IF($K181="Deadline","◇","◆"),"")</f>
        <v/>
      </c>
      <c r="BB181" s="14" t="str">
        <f>IF(AND(ISNUMBER($I181),OR($K181="Milestone",$K181="Deadline"),$I181&gt;=BB$4,$I181&lt;BB$4+7),IF($K181="Deadline","◇","◆"),"")</f>
        <v/>
      </c>
      <c r="BC181" s="14" t="str">
        <f>IF(AND(ISNUMBER($I181),OR($K181="Milestone",$K181="Deadline"),$I181&gt;=BC$4,$I181&lt;BC$4+7),IF($K181="Deadline","◇","◆"),"")</f>
        <v/>
      </c>
      <c r="BD181" s="14" t="str">
        <f>IF(AND(ISNUMBER($I181),OR($K181="Milestone",$K181="Deadline"),$I181&gt;=BD$4,$I181&lt;BD$4+7),IF($K181="Deadline","◇","◆"),"")</f>
        <v/>
      </c>
      <c r="BE181" s="14" t="str">
        <f>IF(AND(ISNUMBER($I181),OR($K181="Milestone",$K181="Deadline"),$I181&gt;=BE$4,$I181&lt;BE$4+7),IF($K181="Deadline","◇","◆"),"")</f>
        <v/>
      </c>
      <c r="BF181" s="14" t="str">
        <f>IF(AND(ISNUMBER($I181),OR($K181="Milestone",$K181="Deadline"),$I181&gt;=BF$4,$I181&lt;BF$4+7),IF($K181="Deadline","◇","◆"),"")</f>
        <v/>
      </c>
      <c r="BG181" s="14" t="str">
        <f>IF(AND(ISNUMBER($I181),OR($K181="Milestone",$K181="Deadline"),$I181&gt;=BG$4,$I181&lt;BG$4+7),IF($K181="Deadline","◇","◆"),"")</f>
        <v/>
      </c>
      <c r="BH181" s="14" t="str">
        <f>IF(AND(ISNUMBER($I181),OR($K181="Milestone",$K181="Deadline"),$I181&gt;=BH$4,$I181&lt;BH$4+7),IF($K181="Deadline","◇","◆"),"")</f>
        <v/>
      </c>
      <c r="BI181" s="14" t="str">
        <f>IF(AND(ISNUMBER($I181),OR($K181="Milestone",$K181="Deadline"),$I181&gt;=BI$4,$I181&lt;BI$4+7),IF($K181="Deadline","◇","◆"),"")</f>
        <v/>
      </c>
      <c r="BJ181" s="14" t="str">
        <f>IF(AND(ISNUMBER($I181),OR($K181="Milestone",$K181="Deadline"),$I181&gt;=BJ$4,$I181&lt;BJ$4+7),IF($K181="Deadline","◇","◆"),"")</f>
        <v/>
      </c>
      <c r="BK181" s="14" t="str">
        <f>IF(AND(ISNUMBER($I181),OR($K181="Milestone",$K181="Deadline"),$I181&gt;=BK$4,$I181&lt;BK$4+7),IF($K181="Deadline","◇","◆"),"")</f>
        <v/>
      </c>
      <c r="BL181" s="14" t="str">
        <f>IF(AND(ISNUMBER($I181),OR($K181="Milestone",$K181="Deadline"),$I181&gt;=BL$4,$I181&lt;BL$4+7),IF($K181="Deadline","◇","◆"),"")</f>
        <v/>
      </c>
      <c r="BM181" s="14" t="str">
        <f>IF(AND(ISNUMBER($I181),OR($K181="Milestone",$K181="Deadline"),$I181&gt;=BM$4,$I181&lt;BM$4+7),IF($K181="Deadline","◇","◆"),"")</f>
        <v/>
      </c>
      <c r="BN181" s="14" t="str">
        <f>IF(AND(ISNUMBER($I181),OR($K181="Milestone",$K181="Deadline"),$I181&gt;=BN$4,$I181&lt;BN$4+7),IF($K181="Deadline","◇","◆"),"")</f>
        <v/>
      </c>
      <c r="BO181" s="14" t="str">
        <f>IF(AND(ISNUMBER($I181),OR($K181="Milestone",$K181="Deadline"),$I181&gt;=BO$4,$I181&lt;BO$4+7),IF($K181="Deadline","◇","◆"),"")</f>
        <v/>
      </c>
      <c r="BP181" s="14" t="str">
        <f>IF(AND(ISNUMBER($I181),OR($K181="Milestone",$K181="Deadline"),$I181&gt;=BP$4,$I181&lt;BP$4+7),IF($K181="Deadline","◇","◆"),"")</f>
        <v/>
      </c>
      <c r="BQ181" s="14" t="str">
        <f>IF(AND(ISNUMBER($I181),OR($K181="Milestone",$K181="Deadline"),$I181&gt;=BQ$4,$I181&lt;BQ$4+7),IF($K181="Deadline","◇","◆"),"")</f>
        <v/>
      </c>
      <c r="BR181" s="14" t="str">
        <f>IF(AND(ISNUMBER($I181),OR($K181="Milestone",$K181="Deadline"),$I181&gt;=BR$4,$I181&lt;BR$4+7),IF($K181="Deadline","◇","◆"),"")</f>
        <v/>
      </c>
      <c r="BS181" s="14" t="str">
        <f>IF(AND(ISNUMBER($I181),OR($K181="Milestone",$K181="Deadline"),$I181&gt;=BS$4,$I181&lt;BS$4+7),IF($K181="Deadline","◇","◆"),"")</f>
        <v/>
      </c>
      <c r="BT181" s="14" t="str">
        <f>IF(AND(ISNUMBER($I181),OR($K181="Milestone",$K181="Deadline"),$I181&gt;=BT$4,$I181&lt;BT$4+7),IF($K181="Deadline","◇","◆"),"")</f>
        <v/>
      </c>
      <c r="BU181" s="14" t="str">
        <f>IF(AND(ISNUMBER($I181),OR($K181="Milestone",$K181="Deadline"),$I181&gt;=BU$4,$I181&lt;BU$4+7),IF($K181="Deadline","◇","◆"),"")</f>
        <v/>
      </c>
      <c r="BV181" s="14" t="str">
        <f>IF(AND(ISNUMBER($I181),OR($K181="Milestone",$K181="Deadline"),$I181&gt;=BV$4,$I181&lt;BV$4+7),IF($K181="Deadline","◇","◆"),"")</f>
        <v/>
      </c>
      <c r="BW181" s="14" t="str">
        <f>IF(AND(ISNUMBER($I181),OR($K181="Milestone",$K181="Deadline"),$I181&gt;=BW$4,$I181&lt;BW$4+7),IF($K181="Deadline","◇","◆"),"")</f>
        <v/>
      </c>
      <c r="BX181" s="14" t="str">
        <f>IF(AND(ISNUMBER($I181),OR($K181="Milestone",$K181="Deadline"),$I181&gt;=BX$4,$I181&lt;BX$4+7),IF($K181="Deadline","◇","◆"),"")</f>
        <v/>
      </c>
      <c r="BY181" s="14" t="str">
        <f>IF(AND(ISNUMBER($I181),OR($K181="Milestone",$K181="Deadline"),$I181&gt;=BY$4,$I181&lt;BY$4+7),IF($K181="Deadline","◇","◆"),"")</f>
        <v/>
      </c>
      <c r="BZ181" s="14" t="str">
        <f>IF(AND(ISNUMBER($I181),OR($K181="Milestone",$K181="Deadline"),$I181&gt;=BZ$4,$I181&lt;BZ$4+7),IF($K181="Deadline","◇","◆"),"")</f>
        <v/>
      </c>
      <c r="CA181" s="14" t="str">
        <f>IF(AND(ISNUMBER($I181),OR($K181="Milestone",$K181="Deadline"),$I181&gt;=CA$4,$I181&lt;CA$4+7),IF($K181="Deadline","◇","◆"),"")</f>
        <v/>
      </c>
      <c r="CB181" s="14" t="str">
        <f>IF(AND(ISNUMBER($I181),OR($K181="Milestone",$K181="Deadline"),$I181&gt;=CB$4,$I181&lt;CB$4+7),IF($K181="Deadline","◇","◆"),"")</f>
        <v/>
      </c>
      <c r="CC181" s="14" t="str">
        <f>IF(AND(ISNUMBER($I181),OR($K181="Milestone",$K181="Deadline"),$I181&gt;=CC$4,$I181&lt;CC$4+7),IF($K181="Deadline","◇","◆"),"")</f>
        <v/>
      </c>
      <c r="CD181" s="14" t="str">
        <f>IF(AND(ISNUMBER($I181),OR($K181="Milestone",$K181="Deadline"),$I181&gt;=CD$4,$I181&lt;CD$4+7),IF($K181="Deadline","◇","◆"),"")</f>
        <v/>
      </c>
      <c r="CE181" s="14" t="str">
        <f>IF(AND(ISNUMBER($I181),OR($K181="Milestone",$K181="Deadline"),$I181&gt;=CE$4,$I181&lt;CE$4+7),IF($K181="Deadline","◇","◆"),"")</f>
        <v/>
      </c>
      <c r="CF181" s="14" t="str">
        <f>IF(AND(ISNUMBER($I181),OR($K181="Milestone",$K181="Deadline"),$I181&gt;=CF$4,$I181&lt;CF$4+7),IF($K181="Deadline","◇","◆"),"")</f>
        <v/>
      </c>
      <c r="CG181" s="14" t="str">
        <f>IF(AND(ISNUMBER($I181),OR($K181="Milestone",$K181="Deadline"),$I181&gt;=CG$4,$I181&lt;CG$4+7),IF($K181="Deadline","◇","◆"),"")</f>
        <v/>
      </c>
      <c r="CH181" s="14" t="str">
        <f>IF(AND(ISNUMBER($I181),OR($K181="Milestone",$K181="Deadline"),$I181&gt;=CH$4,$I181&lt;CH$4+7),IF($K181="Deadline","◇","◆"),"")</f>
        <v/>
      </c>
      <c r="CI181" s="14" t="str">
        <f>IF(AND(ISNUMBER($I181),OR($K181="Milestone",$K181="Deadline"),$I181&gt;=CI$4,$I181&lt;CI$4+7),IF($K181="Deadline","◇","◆"),"")</f>
        <v/>
      </c>
      <c r="CJ181" s="14" t="str">
        <f>IF(AND(ISNUMBER($I181),OR($K181="Milestone",$K181="Deadline"),$I181&gt;=CJ$4,$I181&lt;CJ$4+7),IF($K181="Deadline","◇","◆"),"")</f>
        <v/>
      </c>
      <c r="CK181" s="14" t="str">
        <f>IF(AND(ISNUMBER($I181),OR($K181="Milestone",$K181="Deadline"),$I181&gt;=CK$4,$I181&lt;CK$4+7),IF($K181="Deadline","◇","◆"),"")</f>
        <v/>
      </c>
      <c r="CL181" s="14" t="str">
        <f>IF(AND(ISNUMBER($I181),OR($K181="Milestone",$K181="Deadline"),$I181&gt;=CL$4,$I181&lt;CL$4+7),IF($K181="Deadline","◇","◆"),"")</f>
        <v/>
      </c>
      <c r="CM181" s="14" t="str">
        <f>IF(AND(ISNUMBER($I181),OR($K181="Milestone",$K181="Deadline"),$I181&gt;=CM$4,$I181&lt;CM$4+7),IF($K181="Deadline","◇","◆"),"")</f>
        <v/>
      </c>
    </row>
    <row r="182" spans="1:91" ht="15" hidden="1" customHeight="1">
      <c r="A182" s="43" t="s">
        <v>422</v>
      </c>
      <c r="B182" s="43" t="s">
        <v>418</v>
      </c>
      <c r="C182" s="43" t="s">
        <v>93</v>
      </c>
      <c r="D182" s="43" t="s">
        <v>419</v>
      </c>
      <c r="E182" s="43" t="s">
        <v>281</v>
      </c>
      <c r="F182" s="43" t="s">
        <v>170</v>
      </c>
      <c r="G182" s="43" t="s">
        <v>176</v>
      </c>
      <c r="H182" s="43">
        <v>7</v>
      </c>
      <c r="I182" s="44">
        <f>MAX($C$2,J180+1)</f>
        <v>46349</v>
      </c>
      <c r="J182" s="45">
        <f>IF(AND(ISNUMBER(I182),ISNUMBER(H182)),I182+H182-1,"")</f>
        <v>46355</v>
      </c>
      <c r="K182" s="43" t="s">
        <v>27</v>
      </c>
      <c r="L182" s="43" t="s">
        <v>417</v>
      </c>
      <c r="M182" s="46"/>
      <c r="N182" s="43"/>
      <c r="O182" s="46">
        <f>IF(AND(ISNUMBER(I182),ISNUMBER(J182)),J182-I182+1,"")</f>
        <v>7</v>
      </c>
      <c r="P182" s="13"/>
      <c r="Q182" s="13"/>
      <c r="R182" s="13"/>
      <c r="S182" s="13"/>
      <c r="T182" s="13"/>
      <c r="U182" s="13"/>
      <c r="V182" s="13"/>
      <c r="W182" s="13" t="s">
        <v>140</v>
      </c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4" t="str">
        <f>IF(AND(ISNUMBER($I182),OR($K182="Milestone",$K182="Deadline"),$I182&gt;=AO$4,$I182&lt;AO$4+7),IF($K182="Deadline","◇","◆"),"")</f>
        <v/>
      </c>
      <c r="AP182" s="14" t="str">
        <f>IF(AND(ISNUMBER($I182),OR($K182="Milestone",$K182="Deadline"),$I182&gt;=AP$4,$I182&lt;AP$4+7),IF($K182="Deadline","◇","◆"),"")</f>
        <v/>
      </c>
      <c r="AQ182" s="14" t="str">
        <f>IF(AND(ISNUMBER($I182),OR($K182="Milestone",$K182="Deadline"),$I182&gt;=AQ$4,$I182&lt;AQ$4+7),IF($K182="Deadline","◇","◆"),"")</f>
        <v/>
      </c>
      <c r="AR182" s="14" t="str">
        <f>IF(AND(ISNUMBER($I182),OR($K182="Milestone",$K182="Deadline"),$I182&gt;=AR$4,$I182&lt;AR$4+7),IF($K182="Deadline","◇","◆"),"")</f>
        <v/>
      </c>
      <c r="AS182" s="14" t="str">
        <f>IF(AND(ISNUMBER($I182),OR($K182="Milestone",$K182="Deadline"),$I182&gt;=AS$4,$I182&lt;AS$4+7),IF($K182="Deadline","◇","◆"),"")</f>
        <v/>
      </c>
      <c r="AT182" s="14" t="str">
        <f>IF(AND(ISNUMBER($I182),OR($K182="Milestone",$K182="Deadline"),$I182&gt;=AT$4,$I182&lt;AT$4+7),IF($K182="Deadline","◇","◆"),"")</f>
        <v/>
      </c>
      <c r="AU182" s="14" t="str">
        <f>IF(AND(ISNUMBER($I182),OR($K182="Milestone",$K182="Deadline"),$I182&gt;=AU$4,$I182&lt;AU$4+7),IF($K182="Deadline","◇","◆"),"")</f>
        <v/>
      </c>
      <c r="AV182" s="14" t="str">
        <f>IF(AND(ISNUMBER($I182),OR($K182="Milestone",$K182="Deadline"),$I182&gt;=AV$4,$I182&lt;AV$4+7),IF($K182="Deadline","◇","◆"),"")</f>
        <v/>
      </c>
      <c r="AW182" s="14" t="str">
        <f>IF(AND(ISNUMBER($I182),OR($K182="Milestone",$K182="Deadline"),$I182&gt;=AW$4,$I182&lt;AW$4+7),IF($K182="Deadline","◇","◆"),"")</f>
        <v/>
      </c>
      <c r="AX182" s="14" t="str">
        <f>IF(AND(ISNUMBER($I182),OR($K182="Milestone",$K182="Deadline"),$I182&gt;=AX$4,$I182&lt;AX$4+7),IF($K182="Deadline","◇","◆"),"")</f>
        <v/>
      </c>
      <c r="AY182" s="14" t="str">
        <f>IF(AND(ISNUMBER($I182),OR($K182="Milestone",$K182="Deadline"),$I182&gt;=AY$4,$I182&lt;AY$4+7),IF($K182="Deadline","◇","◆"),"")</f>
        <v/>
      </c>
      <c r="AZ182" s="14" t="str">
        <f>IF(AND(ISNUMBER($I182),OR($K182="Milestone",$K182="Deadline"),$I182&gt;=AZ$4,$I182&lt;AZ$4+7),IF($K182="Deadline","◇","◆"),"")</f>
        <v/>
      </c>
      <c r="BA182" s="14" t="str">
        <f>IF(AND(ISNUMBER($I182),OR($K182="Milestone",$K182="Deadline"),$I182&gt;=BA$4,$I182&lt;BA$4+7),IF($K182="Deadline","◇","◆"),"")</f>
        <v/>
      </c>
      <c r="BB182" s="14" t="str">
        <f>IF(AND(ISNUMBER($I182),OR($K182="Milestone",$K182="Deadline"),$I182&gt;=BB$4,$I182&lt;BB$4+7),IF($K182="Deadline","◇","◆"),"")</f>
        <v/>
      </c>
      <c r="BC182" s="14" t="str">
        <f>IF(AND(ISNUMBER($I182),OR($K182="Milestone",$K182="Deadline"),$I182&gt;=BC$4,$I182&lt;BC$4+7),IF($K182="Deadline","◇","◆"),"")</f>
        <v/>
      </c>
      <c r="BD182" s="14" t="str">
        <f>IF(AND(ISNUMBER($I182),OR($K182="Milestone",$K182="Deadline"),$I182&gt;=BD$4,$I182&lt;BD$4+7),IF($K182="Deadline","◇","◆"),"")</f>
        <v/>
      </c>
      <c r="BE182" s="14" t="str">
        <f>IF(AND(ISNUMBER($I182),OR($K182="Milestone",$K182="Deadline"),$I182&gt;=BE$4,$I182&lt;BE$4+7),IF($K182="Deadline","◇","◆"),"")</f>
        <v/>
      </c>
      <c r="BF182" s="14" t="str">
        <f>IF(AND(ISNUMBER($I182),OR($K182="Milestone",$K182="Deadline"),$I182&gt;=BF$4,$I182&lt;BF$4+7),IF($K182="Deadline","◇","◆"),"")</f>
        <v/>
      </c>
      <c r="BG182" s="14" t="str">
        <f>IF(AND(ISNUMBER($I182),OR($K182="Milestone",$K182="Deadline"),$I182&gt;=BG$4,$I182&lt;BG$4+7),IF($K182="Deadline","◇","◆"),"")</f>
        <v/>
      </c>
      <c r="BH182" s="14" t="str">
        <f>IF(AND(ISNUMBER($I182),OR($K182="Milestone",$K182="Deadline"),$I182&gt;=BH$4,$I182&lt;BH$4+7),IF($K182="Deadline","◇","◆"),"")</f>
        <v/>
      </c>
      <c r="BI182" s="14" t="str">
        <f>IF(AND(ISNUMBER($I182),OR($K182="Milestone",$K182="Deadline"),$I182&gt;=BI$4,$I182&lt;BI$4+7),IF($K182="Deadline","◇","◆"),"")</f>
        <v/>
      </c>
      <c r="BJ182" s="14" t="str">
        <f>IF(AND(ISNUMBER($I182),OR($K182="Milestone",$K182="Deadline"),$I182&gt;=BJ$4,$I182&lt;BJ$4+7),IF($K182="Deadline","◇","◆"),"")</f>
        <v/>
      </c>
      <c r="BK182" s="14" t="str">
        <f>IF(AND(ISNUMBER($I182),OR($K182="Milestone",$K182="Deadline"),$I182&gt;=BK$4,$I182&lt;BK$4+7),IF($K182="Deadline","◇","◆"),"")</f>
        <v/>
      </c>
      <c r="BL182" s="14" t="str">
        <f>IF(AND(ISNUMBER($I182),OR($K182="Milestone",$K182="Deadline"),$I182&gt;=BL$4,$I182&lt;BL$4+7),IF($K182="Deadline","◇","◆"),"")</f>
        <v/>
      </c>
      <c r="BM182" s="14" t="str">
        <f>IF(AND(ISNUMBER($I182),OR($K182="Milestone",$K182="Deadline"),$I182&gt;=BM$4,$I182&lt;BM$4+7),IF($K182="Deadline","◇","◆"),"")</f>
        <v/>
      </c>
      <c r="BN182" s="14" t="str">
        <f>IF(AND(ISNUMBER($I182),OR($K182="Milestone",$K182="Deadline"),$I182&gt;=BN$4,$I182&lt;BN$4+7),IF($K182="Deadline","◇","◆"),"")</f>
        <v/>
      </c>
      <c r="BO182" s="14" t="str">
        <f>IF(AND(ISNUMBER($I182),OR($K182="Milestone",$K182="Deadline"),$I182&gt;=BO$4,$I182&lt;BO$4+7),IF($K182="Deadline","◇","◆"),"")</f>
        <v/>
      </c>
      <c r="BP182" s="14" t="str">
        <f>IF(AND(ISNUMBER($I182),OR($K182="Milestone",$K182="Deadline"),$I182&gt;=BP$4,$I182&lt;BP$4+7),IF($K182="Deadline","◇","◆"),"")</f>
        <v/>
      </c>
      <c r="BQ182" s="14" t="str">
        <f>IF(AND(ISNUMBER($I182),OR($K182="Milestone",$K182="Deadline"),$I182&gt;=BQ$4,$I182&lt;BQ$4+7),IF($K182="Deadline","◇","◆"),"")</f>
        <v/>
      </c>
      <c r="BR182" s="14" t="str">
        <f>IF(AND(ISNUMBER($I182),OR($K182="Milestone",$K182="Deadline"),$I182&gt;=BR$4,$I182&lt;BR$4+7),IF($K182="Deadline","◇","◆"),"")</f>
        <v/>
      </c>
      <c r="BS182" s="14" t="str">
        <f>IF(AND(ISNUMBER($I182),OR($K182="Milestone",$K182="Deadline"),$I182&gt;=BS$4,$I182&lt;BS$4+7),IF($K182="Deadline","◇","◆"),"")</f>
        <v/>
      </c>
      <c r="BT182" s="14" t="str">
        <f>IF(AND(ISNUMBER($I182),OR($K182="Milestone",$K182="Deadline"),$I182&gt;=BT$4,$I182&lt;BT$4+7),IF($K182="Deadline","◇","◆"),"")</f>
        <v/>
      </c>
      <c r="BU182" s="14" t="str">
        <f>IF(AND(ISNUMBER($I182),OR($K182="Milestone",$K182="Deadline"),$I182&gt;=BU$4,$I182&lt;BU$4+7),IF($K182="Deadline","◇","◆"),"")</f>
        <v/>
      </c>
      <c r="BV182" s="14" t="str">
        <f>IF(AND(ISNUMBER($I182),OR($K182="Milestone",$K182="Deadline"),$I182&gt;=BV$4,$I182&lt;BV$4+7),IF($K182="Deadline","◇","◆"),"")</f>
        <v/>
      </c>
      <c r="BW182" s="14" t="str">
        <f>IF(AND(ISNUMBER($I182),OR($K182="Milestone",$K182="Deadline"),$I182&gt;=BW$4,$I182&lt;BW$4+7),IF($K182="Deadline","◇","◆"),"")</f>
        <v/>
      </c>
      <c r="BX182" s="14" t="str">
        <f>IF(AND(ISNUMBER($I182),OR($K182="Milestone",$K182="Deadline"),$I182&gt;=BX$4,$I182&lt;BX$4+7),IF($K182="Deadline","◇","◆"),"")</f>
        <v/>
      </c>
      <c r="BY182" s="14" t="str">
        <f>IF(AND(ISNUMBER($I182),OR($K182="Milestone",$K182="Deadline"),$I182&gt;=BY$4,$I182&lt;BY$4+7),IF($K182="Deadline","◇","◆"),"")</f>
        <v/>
      </c>
      <c r="BZ182" s="14" t="str">
        <f>IF(AND(ISNUMBER($I182),OR($K182="Milestone",$K182="Deadline"),$I182&gt;=BZ$4,$I182&lt;BZ$4+7),IF($K182="Deadline","◇","◆"),"")</f>
        <v/>
      </c>
      <c r="CA182" s="14" t="str">
        <f>IF(AND(ISNUMBER($I182),OR($K182="Milestone",$K182="Deadline"),$I182&gt;=CA$4,$I182&lt;CA$4+7),IF($K182="Deadline","◇","◆"),"")</f>
        <v/>
      </c>
      <c r="CB182" s="14" t="str">
        <f>IF(AND(ISNUMBER($I182),OR($K182="Milestone",$K182="Deadline"),$I182&gt;=CB$4,$I182&lt;CB$4+7),IF($K182="Deadline","◇","◆"),"")</f>
        <v/>
      </c>
      <c r="CC182" s="14" t="str">
        <f>IF(AND(ISNUMBER($I182),OR($K182="Milestone",$K182="Deadline"),$I182&gt;=CC$4,$I182&lt;CC$4+7),IF($K182="Deadline","◇","◆"),"")</f>
        <v/>
      </c>
      <c r="CD182" s="14" t="str">
        <f>IF(AND(ISNUMBER($I182),OR($K182="Milestone",$K182="Deadline"),$I182&gt;=CD$4,$I182&lt;CD$4+7),IF($K182="Deadline","◇","◆"),"")</f>
        <v/>
      </c>
      <c r="CE182" s="14" t="str">
        <f>IF(AND(ISNUMBER($I182),OR($K182="Milestone",$K182="Deadline"),$I182&gt;=CE$4,$I182&lt;CE$4+7),IF($K182="Deadline","◇","◆"),"")</f>
        <v/>
      </c>
      <c r="CF182" s="14" t="str">
        <f>IF(AND(ISNUMBER($I182),OR($K182="Milestone",$K182="Deadline"),$I182&gt;=CF$4,$I182&lt;CF$4+7),IF($K182="Deadline","◇","◆"),"")</f>
        <v/>
      </c>
      <c r="CG182" s="14" t="str">
        <f>IF(AND(ISNUMBER($I182),OR($K182="Milestone",$K182="Deadline"),$I182&gt;=CG$4,$I182&lt;CG$4+7),IF($K182="Deadline","◇","◆"),"")</f>
        <v/>
      </c>
      <c r="CH182" s="14" t="str">
        <f>IF(AND(ISNUMBER($I182),OR($K182="Milestone",$K182="Deadline"),$I182&gt;=CH$4,$I182&lt;CH$4+7),IF($K182="Deadline","◇","◆"),"")</f>
        <v/>
      </c>
      <c r="CI182" s="14" t="str">
        <f>IF(AND(ISNUMBER($I182),OR($K182="Milestone",$K182="Deadline"),$I182&gt;=CI$4,$I182&lt;CI$4+7),IF($K182="Deadline","◇","◆"),"")</f>
        <v/>
      </c>
      <c r="CJ182" s="14" t="str">
        <f>IF(AND(ISNUMBER($I182),OR($K182="Milestone",$K182="Deadline"),$I182&gt;=CJ$4,$I182&lt;CJ$4+7),IF($K182="Deadline","◇","◆"),"")</f>
        <v/>
      </c>
      <c r="CK182" s="14" t="str">
        <f>IF(AND(ISNUMBER($I182),OR($K182="Milestone",$K182="Deadline"),$I182&gt;=CK$4,$I182&lt;CK$4+7),IF($K182="Deadline","◇","◆"),"")</f>
        <v/>
      </c>
      <c r="CL182" s="14" t="str">
        <f>IF(AND(ISNUMBER($I182),OR($K182="Milestone",$K182="Deadline"),$I182&gt;=CL$4,$I182&lt;CL$4+7),IF($K182="Deadline","◇","◆"),"")</f>
        <v/>
      </c>
      <c r="CM182" s="14" t="str">
        <f>IF(AND(ISNUMBER($I182),OR($K182="Milestone",$K182="Deadline"),$I182&gt;=CM$4,$I182&lt;CM$4+7),IF($K182="Deadline","◇","◆"),"")</f>
        <v/>
      </c>
    </row>
    <row r="183" spans="1:91" ht="15" hidden="1" customHeight="1">
      <c r="A183" s="43" t="s">
        <v>177</v>
      </c>
      <c r="B183" s="43" t="s">
        <v>418</v>
      </c>
      <c r="C183" s="43" t="s">
        <v>93</v>
      </c>
      <c r="D183" s="43" t="s">
        <v>419</v>
      </c>
      <c r="E183" s="43" t="s">
        <v>281</v>
      </c>
      <c r="F183" s="43" t="s">
        <v>170</v>
      </c>
      <c r="G183" s="43" t="s">
        <v>184</v>
      </c>
      <c r="H183" s="43">
        <v>14</v>
      </c>
      <c r="I183" s="44">
        <f>MAX($C$2,J182+1,J34+1)</f>
        <v>46356</v>
      </c>
      <c r="J183" s="45">
        <f>IF(AND(ISNUMBER(I183),ISNUMBER(H183)),I183+H183-1,"")</f>
        <v>46369</v>
      </c>
      <c r="K183" s="43" t="s">
        <v>27</v>
      </c>
      <c r="L183" s="43" t="s">
        <v>422</v>
      </c>
      <c r="M183" s="46" t="s">
        <v>141</v>
      </c>
      <c r="N183" s="43"/>
      <c r="O183" s="46">
        <f>IF(AND(ISNUMBER(I183),ISNUMBER(J183)),J183-I183+1,"")</f>
        <v>14</v>
      </c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 t="s">
        <v>140</v>
      </c>
      <c r="AF183" s="13"/>
      <c r="AG183" s="13"/>
      <c r="AH183" s="13"/>
      <c r="AI183" s="13"/>
      <c r="AJ183" s="13"/>
      <c r="AK183" s="13"/>
      <c r="AL183" s="13"/>
      <c r="AM183" s="13"/>
      <c r="AN183" s="13"/>
      <c r="AO183" s="14" t="str">
        <f>IF(AND(ISNUMBER($I183),OR($K183="Milestone",$K183="Deadline"),$I183&gt;=AO$4,$I183&lt;AO$4+7),IF($K183="Deadline","◇","◆"),"")</f>
        <v/>
      </c>
      <c r="AP183" s="14" t="str">
        <f>IF(AND(ISNUMBER($I183),OR($K183="Milestone",$K183="Deadline"),$I183&gt;=AP$4,$I183&lt;AP$4+7),IF($K183="Deadline","◇","◆"),"")</f>
        <v/>
      </c>
      <c r="AQ183" s="14" t="str">
        <f>IF(AND(ISNUMBER($I183),OR($K183="Milestone",$K183="Deadline"),$I183&gt;=AQ$4,$I183&lt;AQ$4+7),IF($K183="Deadline","◇","◆"),"")</f>
        <v/>
      </c>
      <c r="AR183" s="14" t="str">
        <f>IF(AND(ISNUMBER($I183),OR($K183="Milestone",$K183="Deadline"),$I183&gt;=AR$4,$I183&lt;AR$4+7),IF($K183="Deadline","◇","◆"),"")</f>
        <v/>
      </c>
      <c r="AS183" s="14" t="str">
        <f>IF(AND(ISNUMBER($I183),OR($K183="Milestone",$K183="Deadline"),$I183&gt;=AS$4,$I183&lt;AS$4+7),IF($K183="Deadline","◇","◆"),"")</f>
        <v/>
      </c>
      <c r="AT183" s="14" t="str">
        <f>IF(AND(ISNUMBER($I183),OR($K183="Milestone",$K183="Deadline"),$I183&gt;=AT$4,$I183&lt;AT$4+7),IF($K183="Deadline","◇","◆"),"")</f>
        <v/>
      </c>
      <c r="AU183" s="14" t="str">
        <f>IF(AND(ISNUMBER($I183),OR($K183="Milestone",$K183="Deadline"),$I183&gt;=AU$4,$I183&lt;AU$4+7),IF($K183="Deadline","◇","◆"),"")</f>
        <v/>
      </c>
      <c r="AV183" s="14" t="str">
        <f>IF(AND(ISNUMBER($I183),OR($K183="Milestone",$K183="Deadline"),$I183&gt;=AV$4,$I183&lt;AV$4+7),IF($K183="Deadline","◇","◆"),"")</f>
        <v/>
      </c>
      <c r="AW183" s="14" t="str">
        <f>IF(AND(ISNUMBER($I183),OR($K183="Milestone",$K183="Deadline"),$I183&gt;=AW$4,$I183&lt;AW$4+7),IF($K183="Deadline","◇","◆"),"")</f>
        <v/>
      </c>
      <c r="AX183" s="14" t="str">
        <f>IF(AND(ISNUMBER($I183),OR($K183="Milestone",$K183="Deadline"),$I183&gt;=AX$4,$I183&lt;AX$4+7),IF($K183="Deadline","◇","◆"),"")</f>
        <v/>
      </c>
      <c r="AY183" s="14" t="str">
        <f>IF(AND(ISNUMBER($I183),OR($K183="Milestone",$K183="Deadline"),$I183&gt;=AY$4,$I183&lt;AY$4+7),IF($K183="Deadline","◇","◆"),"")</f>
        <v/>
      </c>
      <c r="AZ183" s="14" t="str">
        <f>IF(AND(ISNUMBER($I183),OR($K183="Milestone",$K183="Deadline"),$I183&gt;=AZ$4,$I183&lt;AZ$4+7),IF($K183="Deadline","◇","◆"),"")</f>
        <v/>
      </c>
      <c r="BA183" s="14" t="str">
        <f>IF(AND(ISNUMBER($I183),OR($K183="Milestone",$K183="Deadline"),$I183&gt;=BA$4,$I183&lt;BA$4+7),IF($K183="Deadline","◇","◆"),"")</f>
        <v/>
      </c>
      <c r="BB183" s="14" t="str">
        <f>IF(AND(ISNUMBER($I183),OR($K183="Milestone",$K183="Deadline"),$I183&gt;=BB$4,$I183&lt;BB$4+7),IF($K183="Deadline","◇","◆"),"")</f>
        <v/>
      </c>
      <c r="BC183" s="14" t="str">
        <f>IF(AND(ISNUMBER($I183),OR($K183="Milestone",$K183="Deadline"),$I183&gt;=BC$4,$I183&lt;BC$4+7),IF($K183="Deadline","◇","◆"),"")</f>
        <v/>
      </c>
      <c r="BD183" s="14" t="str">
        <f>IF(AND(ISNUMBER($I183),OR($K183="Milestone",$K183="Deadline"),$I183&gt;=BD$4,$I183&lt;BD$4+7),IF($K183="Deadline","◇","◆"),"")</f>
        <v/>
      </c>
      <c r="BE183" s="14" t="str">
        <f>IF(AND(ISNUMBER($I183),OR($K183="Milestone",$K183="Deadline"),$I183&gt;=BE$4,$I183&lt;BE$4+7),IF($K183="Deadline","◇","◆"),"")</f>
        <v/>
      </c>
      <c r="BF183" s="14" t="str">
        <f>IF(AND(ISNUMBER($I183),OR($K183="Milestone",$K183="Deadline"),$I183&gt;=BF$4,$I183&lt;BF$4+7),IF($K183="Deadline","◇","◆"),"")</f>
        <v/>
      </c>
      <c r="BG183" s="14" t="str">
        <f>IF(AND(ISNUMBER($I183),OR($K183="Milestone",$K183="Deadline"),$I183&gt;=BG$4,$I183&lt;BG$4+7),IF($K183="Deadline","◇","◆"),"")</f>
        <v/>
      </c>
      <c r="BH183" s="14" t="str">
        <f>IF(AND(ISNUMBER($I183),OR($K183="Milestone",$K183="Deadline"),$I183&gt;=BH$4,$I183&lt;BH$4+7),IF($K183="Deadline","◇","◆"),"")</f>
        <v/>
      </c>
      <c r="BI183" s="14" t="str">
        <f>IF(AND(ISNUMBER($I183),OR($K183="Milestone",$K183="Deadline"),$I183&gt;=BI$4,$I183&lt;BI$4+7),IF($K183="Deadline","◇","◆"),"")</f>
        <v/>
      </c>
      <c r="BJ183" s="14" t="str">
        <f>IF(AND(ISNUMBER($I183),OR($K183="Milestone",$K183="Deadline"),$I183&gt;=BJ$4,$I183&lt;BJ$4+7),IF($K183="Deadline","◇","◆"),"")</f>
        <v/>
      </c>
      <c r="BK183" s="14" t="str">
        <f>IF(AND(ISNUMBER($I183),OR($K183="Milestone",$K183="Deadline"),$I183&gt;=BK$4,$I183&lt;BK$4+7),IF($K183="Deadline","◇","◆"),"")</f>
        <v/>
      </c>
      <c r="BL183" s="14" t="str">
        <f>IF(AND(ISNUMBER($I183),OR($K183="Milestone",$K183="Deadline"),$I183&gt;=BL$4,$I183&lt;BL$4+7),IF($K183="Deadline","◇","◆"),"")</f>
        <v/>
      </c>
      <c r="BM183" s="14" t="str">
        <f>IF(AND(ISNUMBER($I183),OR($K183="Milestone",$K183="Deadline"),$I183&gt;=BM$4,$I183&lt;BM$4+7),IF($K183="Deadline","◇","◆"),"")</f>
        <v/>
      </c>
      <c r="BN183" s="14" t="str">
        <f>IF(AND(ISNUMBER($I183),OR($K183="Milestone",$K183="Deadline"),$I183&gt;=BN$4,$I183&lt;BN$4+7),IF($K183="Deadline","◇","◆"),"")</f>
        <v/>
      </c>
      <c r="BO183" s="14" t="str">
        <f>IF(AND(ISNUMBER($I183),OR($K183="Milestone",$K183="Deadline"),$I183&gt;=BO$4,$I183&lt;BO$4+7),IF($K183="Deadline","◇","◆"),"")</f>
        <v/>
      </c>
      <c r="BP183" s="14" t="str">
        <f>IF(AND(ISNUMBER($I183),OR($K183="Milestone",$K183="Deadline"),$I183&gt;=BP$4,$I183&lt;BP$4+7),IF($K183="Deadline","◇","◆"),"")</f>
        <v/>
      </c>
      <c r="BQ183" s="14" t="str">
        <f>IF(AND(ISNUMBER($I183),OR($K183="Milestone",$K183="Deadline"),$I183&gt;=BQ$4,$I183&lt;BQ$4+7),IF($K183="Deadline","◇","◆"),"")</f>
        <v/>
      </c>
      <c r="BR183" s="14" t="str">
        <f>IF(AND(ISNUMBER($I183),OR($K183="Milestone",$K183="Deadline"),$I183&gt;=BR$4,$I183&lt;BR$4+7),IF($K183="Deadline","◇","◆"),"")</f>
        <v/>
      </c>
      <c r="BS183" s="14" t="str">
        <f>IF(AND(ISNUMBER($I183),OR($K183="Milestone",$K183="Deadline"),$I183&gt;=BS$4,$I183&lt;BS$4+7),IF($K183="Deadline","◇","◆"),"")</f>
        <v/>
      </c>
      <c r="BT183" s="14" t="str">
        <f>IF(AND(ISNUMBER($I183),OR($K183="Milestone",$K183="Deadline"),$I183&gt;=BT$4,$I183&lt;BT$4+7),IF($K183="Deadline","◇","◆"),"")</f>
        <v/>
      </c>
      <c r="BU183" s="14" t="str">
        <f>IF(AND(ISNUMBER($I183),OR($K183="Milestone",$K183="Deadline"),$I183&gt;=BU$4,$I183&lt;BU$4+7),IF($K183="Deadline","◇","◆"),"")</f>
        <v/>
      </c>
      <c r="BV183" s="14" t="str">
        <f>IF(AND(ISNUMBER($I183),OR($K183="Milestone",$K183="Deadline"),$I183&gt;=BV$4,$I183&lt;BV$4+7),IF($K183="Deadline","◇","◆"),"")</f>
        <v/>
      </c>
      <c r="BW183" s="14" t="str">
        <f>IF(AND(ISNUMBER($I183),OR($K183="Milestone",$K183="Deadline"),$I183&gt;=BW$4,$I183&lt;BW$4+7),IF($K183="Deadline","◇","◆"),"")</f>
        <v/>
      </c>
      <c r="BX183" s="14" t="str">
        <f>IF(AND(ISNUMBER($I183),OR($K183="Milestone",$K183="Deadline"),$I183&gt;=BX$4,$I183&lt;BX$4+7),IF($K183="Deadline","◇","◆"),"")</f>
        <v/>
      </c>
      <c r="BY183" s="14" t="str">
        <f>IF(AND(ISNUMBER($I183),OR($K183="Milestone",$K183="Deadline"),$I183&gt;=BY$4,$I183&lt;BY$4+7),IF($K183="Deadline","◇","◆"),"")</f>
        <v/>
      </c>
      <c r="BZ183" s="14" t="str">
        <f>IF(AND(ISNUMBER($I183),OR($K183="Milestone",$K183="Deadline"),$I183&gt;=BZ$4,$I183&lt;BZ$4+7),IF($K183="Deadline","◇","◆"),"")</f>
        <v/>
      </c>
      <c r="CA183" s="14" t="str">
        <f>IF(AND(ISNUMBER($I183),OR($K183="Milestone",$K183="Deadline"),$I183&gt;=CA$4,$I183&lt;CA$4+7),IF($K183="Deadline","◇","◆"),"")</f>
        <v/>
      </c>
      <c r="CB183" s="14" t="str">
        <f>IF(AND(ISNUMBER($I183),OR($K183="Milestone",$K183="Deadline"),$I183&gt;=CB$4,$I183&lt;CB$4+7),IF($K183="Deadline","◇","◆"),"")</f>
        <v/>
      </c>
      <c r="CC183" s="14" t="str">
        <f>IF(AND(ISNUMBER($I183),OR($K183="Milestone",$K183="Deadline"),$I183&gt;=CC$4,$I183&lt;CC$4+7),IF($K183="Deadline","◇","◆"),"")</f>
        <v/>
      </c>
      <c r="CD183" s="14" t="str">
        <f>IF(AND(ISNUMBER($I183),OR($K183="Milestone",$K183="Deadline"),$I183&gt;=CD$4,$I183&lt;CD$4+7),IF($K183="Deadline","◇","◆"),"")</f>
        <v/>
      </c>
      <c r="CE183" s="14" t="str">
        <f>IF(AND(ISNUMBER($I183),OR($K183="Milestone",$K183="Deadline"),$I183&gt;=CE$4,$I183&lt;CE$4+7),IF($K183="Deadline","◇","◆"),"")</f>
        <v/>
      </c>
      <c r="CF183" s="14" t="str">
        <f>IF(AND(ISNUMBER($I183),OR($K183="Milestone",$K183="Deadline"),$I183&gt;=CF$4,$I183&lt;CF$4+7),IF($K183="Deadline","◇","◆"),"")</f>
        <v/>
      </c>
      <c r="CG183" s="14" t="str">
        <f>IF(AND(ISNUMBER($I183),OR($K183="Milestone",$K183="Deadline"),$I183&gt;=CG$4,$I183&lt;CG$4+7),IF($K183="Deadline","◇","◆"),"")</f>
        <v/>
      </c>
      <c r="CH183" s="14" t="str">
        <f>IF(AND(ISNUMBER($I183),OR($K183="Milestone",$K183="Deadline"),$I183&gt;=CH$4,$I183&lt;CH$4+7),IF($K183="Deadline","◇","◆"),"")</f>
        <v/>
      </c>
      <c r="CI183" s="14" t="str">
        <f>IF(AND(ISNUMBER($I183),OR($K183="Milestone",$K183="Deadline"),$I183&gt;=CI$4,$I183&lt;CI$4+7),IF($K183="Deadline","◇","◆"),"")</f>
        <v/>
      </c>
      <c r="CJ183" s="14" t="str">
        <f>IF(AND(ISNUMBER($I183),OR($K183="Milestone",$K183="Deadline"),$I183&gt;=CJ$4,$I183&lt;CJ$4+7),IF($K183="Deadline","◇","◆"),"")</f>
        <v/>
      </c>
      <c r="CK183" s="14" t="str">
        <f>IF(AND(ISNUMBER($I183),OR($K183="Milestone",$K183="Deadline"),$I183&gt;=CK$4,$I183&lt;CK$4+7),IF($K183="Deadline","◇","◆"),"")</f>
        <v/>
      </c>
      <c r="CL183" s="14" t="str">
        <f>IF(AND(ISNUMBER($I183),OR($K183="Milestone",$K183="Deadline"),$I183&gt;=CL$4,$I183&lt;CL$4+7),IF($K183="Deadline","◇","◆"),"")</f>
        <v/>
      </c>
      <c r="CM183" s="14" t="str">
        <f>IF(AND(ISNUMBER($I183),OR($K183="Milestone",$K183="Deadline"),$I183&gt;=CM$4,$I183&lt;CM$4+7),IF($K183="Deadline","◇","◆"),"")</f>
        <v/>
      </c>
    </row>
    <row r="184" spans="1:91" ht="15" hidden="1" customHeight="1">
      <c r="A184" s="43" t="s">
        <v>423</v>
      </c>
      <c r="B184" s="43" t="s">
        <v>418</v>
      </c>
      <c r="C184" s="43" t="s">
        <v>93</v>
      </c>
      <c r="D184" s="43" t="s">
        <v>419</v>
      </c>
      <c r="E184" s="43" t="s">
        <v>281</v>
      </c>
      <c r="F184" s="43" t="s">
        <v>170</v>
      </c>
      <c r="G184" s="43" t="s">
        <v>275</v>
      </c>
      <c r="H184" s="43">
        <v>21</v>
      </c>
      <c r="I184" s="44">
        <f>MAX($C$2,J183+1,J101+1)</f>
        <v>46412</v>
      </c>
      <c r="J184" s="45">
        <f>IF(AND(ISNUMBER(I184),ISNUMBER(H184)),I184+H184-1,"")</f>
        <v>46432</v>
      </c>
      <c r="K184" s="43" t="s">
        <v>27</v>
      </c>
      <c r="L184" s="43" t="s">
        <v>177</v>
      </c>
      <c r="M184" s="46" t="s">
        <v>289</v>
      </c>
      <c r="N184" s="43"/>
      <c r="O184" s="46">
        <f>IF(AND(ISNUMBER(I184),ISNUMBER(J184)),J184-I184+1,"")</f>
        <v>21</v>
      </c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 t="s">
        <v>140</v>
      </c>
      <c r="AI184" s="13"/>
      <c r="AJ184" s="13"/>
      <c r="AK184" s="13"/>
      <c r="AL184" s="13"/>
      <c r="AM184" s="13"/>
      <c r="AN184" s="13"/>
      <c r="AO184" s="14" t="str">
        <f>IF(AND(ISNUMBER($I184),OR($K184="Milestone",$K184="Deadline"),$I184&gt;=AO$4,$I184&lt;AO$4+7),IF($K184="Deadline","◇","◆"),"")</f>
        <v/>
      </c>
      <c r="AP184" s="14" t="str">
        <f>IF(AND(ISNUMBER($I184),OR($K184="Milestone",$K184="Deadline"),$I184&gt;=AP$4,$I184&lt;AP$4+7),IF($K184="Deadline","◇","◆"),"")</f>
        <v/>
      </c>
      <c r="AQ184" s="14" t="str">
        <f>IF(AND(ISNUMBER($I184),OR($K184="Milestone",$K184="Deadline"),$I184&gt;=AQ$4,$I184&lt;AQ$4+7),IF($K184="Deadline","◇","◆"),"")</f>
        <v/>
      </c>
      <c r="AR184" s="14" t="str">
        <f>IF(AND(ISNUMBER($I184),OR($K184="Milestone",$K184="Deadline"),$I184&gt;=AR$4,$I184&lt;AR$4+7),IF($K184="Deadline","◇","◆"),"")</f>
        <v/>
      </c>
      <c r="AS184" s="14" t="str">
        <f>IF(AND(ISNUMBER($I184),OR($K184="Milestone",$K184="Deadline"),$I184&gt;=AS$4,$I184&lt;AS$4+7),IF($K184="Deadline","◇","◆"),"")</f>
        <v/>
      </c>
      <c r="AT184" s="14" t="str">
        <f>IF(AND(ISNUMBER($I184),OR($K184="Milestone",$K184="Deadline"),$I184&gt;=AT$4,$I184&lt;AT$4+7),IF($K184="Deadline","◇","◆"),"")</f>
        <v/>
      </c>
      <c r="AU184" s="14" t="str">
        <f>IF(AND(ISNUMBER($I184),OR($K184="Milestone",$K184="Deadline"),$I184&gt;=AU$4,$I184&lt;AU$4+7),IF($K184="Deadline","◇","◆"),"")</f>
        <v/>
      </c>
      <c r="AV184" s="14" t="str">
        <f>IF(AND(ISNUMBER($I184),OR($K184="Milestone",$K184="Deadline"),$I184&gt;=AV$4,$I184&lt;AV$4+7),IF($K184="Deadline","◇","◆"),"")</f>
        <v/>
      </c>
      <c r="AW184" s="14" t="str">
        <f>IF(AND(ISNUMBER($I184),OR($K184="Milestone",$K184="Deadline"),$I184&gt;=AW$4,$I184&lt;AW$4+7),IF($K184="Deadline","◇","◆"),"")</f>
        <v/>
      </c>
      <c r="AX184" s="14" t="str">
        <f>IF(AND(ISNUMBER($I184),OR($K184="Milestone",$K184="Deadline"),$I184&gt;=AX$4,$I184&lt;AX$4+7),IF($K184="Deadline","◇","◆"),"")</f>
        <v/>
      </c>
      <c r="AY184" s="14" t="str">
        <f>IF(AND(ISNUMBER($I184),OR($K184="Milestone",$K184="Deadline"),$I184&gt;=AY$4,$I184&lt;AY$4+7),IF($K184="Deadline","◇","◆"),"")</f>
        <v/>
      </c>
      <c r="AZ184" s="14" t="str">
        <f>IF(AND(ISNUMBER($I184),OR($K184="Milestone",$K184="Deadline"),$I184&gt;=AZ$4,$I184&lt;AZ$4+7),IF($K184="Deadline","◇","◆"),"")</f>
        <v/>
      </c>
      <c r="BA184" s="14" t="str">
        <f>IF(AND(ISNUMBER($I184),OR($K184="Milestone",$K184="Deadline"),$I184&gt;=BA$4,$I184&lt;BA$4+7),IF($K184="Deadline","◇","◆"),"")</f>
        <v/>
      </c>
      <c r="BB184" s="14" t="str">
        <f>IF(AND(ISNUMBER($I184),OR($K184="Milestone",$K184="Deadline"),$I184&gt;=BB$4,$I184&lt;BB$4+7),IF($K184="Deadline","◇","◆"),"")</f>
        <v/>
      </c>
      <c r="BC184" s="14" t="str">
        <f>IF(AND(ISNUMBER($I184),OR($K184="Milestone",$K184="Deadline"),$I184&gt;=BC$4,$I184&lt;BC$4+7),IF($K184="Deadline","◇","◆"),"")</f>
        <v/>
      </c>
      <c r="BD184" s="14" t="str">
        <f>IF(AND(ISNUMBER($I184),OR($K184="Milestone",$K184="Deadline"),$I184&gt;=BD$4,$I184&lt;BD$4+7),IF($K184="Deadline","◇","◆"),"")</f>
        <v/>
      </c>
      <c r="BE184" s="14" t="str">
        <f>IF(AND(ISNUMBER($I184),OR($K184="Milestone",$K184="Deadline"),$I184&gt;=BE$4,$I184&lt;BE$4+7),IF($K184="Deadline","◇","◆"),"")</f>
        <v/>
      </c>
      <c r="BF184" s="14" t="str">
        <f>IF(AND(ISNUMBER($I184),OR($K184="Milestone",$K184="Deadline"),$I184&gt;=BF$4,$I184&lt;BF$4+7),IF($K184="Deadline","◇","◆"),"")</f>
        <v/>
      </c>
      <c r="BG184" s="14" t="str">
        <f>IF(AND(ISNUMBER($I184),OR($K184="Milestone",$K184="Deadline"),$I184&gt;=BG$4,$I184&lt;BG$4+7),IF($K184="Deadline","◇","◆"),"")</f>
        <v/>
      </c>
      <c r="BH184" s="14" t="str">
        <f>IF(AND(ISNUMBER($I184),OR($K184="Milestone",$K184="Deadline"),$I184&gt;=BH$4,$I184&lt;BH$4+7),IF($K184="Deadline","◇","◆"),"")</f>
        <v/>
      </c>
      <c r="BI184" s="14" t="str">
        <f>IF(AND(ISNUMBER($I184),OR($K184="Milestone",$K184="Deadline"),$I184&gt;=BI$4,$I184&lt;BI$4+7),IF($K184="Deadline","◇","◆"),"")</f>
        <v/>
      </c>
      <c r="BJ184" s="14" t="str">
        <f>IF(AND(ISNUMBER($I184),OR($K184="Milestone",$K184="Deadline"),$I184&gt;=BJ$4,$I184&lt;BJ$4+7),IF($K184="Deadline","◇","◆"),"")</f>
        <v/>
      </c>
      <c r="BK184" s="14" t="str">
        <f>IF(AND(ISNUMBER($I184),OR($K184="Milestone",$K184="Deadline"),$I184&gt;=BK$4,$I184&lt;BK$4+7),IF($K184="Deadline","◇","◆"),"")</f>
        <v/>
      </c>
      <c r="BL184" s="14" t="str">
        <f>IF(AND(ISNUMBER($I184),OR($K184="Milestone",$K184="Deadline"),$I184&gt;=BL$4,$I184&lt;BL$4+7),IF($K184="Deadline","◇","◆"),"")</f>
        <v/>
      </c>
      <c r="BM184" s="14" t="str">
        <f>IF(AND(ISNUMBER($I184),OR($K184="Milestone",$K184="Deadline"),$I184&gt;=BM$4,$I184&lt;BM$4+7),IF($K184="Deadline","◇","◆"),"")</f>
        <v/>
      </c>
      <c r="BN184" s="14" t="str">
        <f>IF(AND(ISNUMBER($I184),OR($K184="Milestone",$K184="Deadline"),$I184&gt;=BN$4,$I184&lt;BN$4+7),IF($K184="Deadline","◇","◆"),"")</f>
        <v/>
      </c>
      <c r="BO184" s="14" t="str">
        <f>IF(AND(ISNUMBER($I184),OR($K184="Milestone",$K184="Deadline"),$I184&gt;=BO$4,$I184&lt;BO$4+7),IF($K184="Deadline","◇","◆"),"")</f>
        <v/>
      </c>
      <c r="BP184" s="14" t="str">
        <f>IF(AND(ISNUMBER($I184),OR($K184="Milestone",$K184="Deadline"),$I184&gt;=BP$4,$I184&lt;BP$4+7),IF($K184="Deadline","◇","◆"),"")</f>
        <v/>
      </c>
      <c r="BQ184" s="14" t="str">
        <f>IF(AND(ISNUMBER($I184),OR($K184="Milestone",$K184="Deadline"),$I184&gt;=BQ$4,$I184&lt;BQ$4+7),IF($K184="Deadline","◇","◆"),"")</f>
        <v/>
      </c>
      <c r="BR184" s="14" t="str">
        <f>IF(AND(ISNUMBER($I184),OR($K184="Milestone",$K184="Deadline"),$I184&gt;=BR$4,$I184&lt;BR$4+7),IF($K184="Deadline","◇","◆"),"")</f>
        <v/>
      </c>
      <c r="BS184" s="14" t="str">
        <f>IF(AND(ISNUMBER($I184),OR($K184="Milestone",$K184="Deadline"),$I184&gt;=BS$4,$I184&lt;BS$4+7),IF($K184="Deadline","◇","◆"),"")</f>
        <v/>
      </c>
      <c r="BT184" s="14" t="str">
        <f>IF(AND(ISNUMBER($I184),OR($K184="Milestone",$K184="Deadline"),$I184&gt;=BT$4,$I184&lt;BT$4+7),IF($K184="Deadline","◇","◆"),"")</f>
        <v/>
      </c>
      <c r="BU184" s="14" t="str">
        <f>IF(AND(ISNUMBER($I184),OR($K184="Milestone",$K184="Deadline"),$I184&gt;=BU$4,$I184&lt;BU$4+7),IF($K184="Deadline","◇","◆"),"")</f>
        <v/>
      </c>
      <c r="BV184" s="14" t="str">
        <f>IF(AND(ISNUMBER($I184),OR($K184="Milestone",$K184="Deadline"),$I184&gt;=BV$4,$I184&lt;BV$4+7),IF($K184="Deadline","◇","◆"),"")</f>
        <v/>
      </c>
      <c r="BW184" s="14" t="str">
        <f>IF(AND(ISNUMBER($I184),OR($K184="Milestone",$K184="Deadline"),$I184&gt;=BW$4,$I184&lt;BW$4+7),IF($K184="Deadline","◇","◆"),"")</f>
        <v/>
      </c>
      <c r="BX184" s="14" t="str">
        <f>IF(AND(ISNUMBER($I184),OR($K184="Milestone",$K184="Deadline"),$I184&gt;=BX$4,$I184&lt;BX$4+7),IF($K184="Deadline","◇","◆"),"")</f>
        <v/>
      </c>
      <c r="BY184" s="14" t="str">
        <f>IF(AND(ISNUMBER($I184),OR($K184="Milestone",$K184="Deadline"),$I184&gt;=BY$4,$I184&lt;BY$4+7),IF($K184="Deadline","◇","◆"),"")</f>
        <v/>
      </c>
      <c r="BZ184" s="14" t="str">
        <f>IF(AND(ISNUMBER($I184),OR($K184="Milestone",$K184="Deadline"),$I184&gt;=BZ$4,$I184&lt;BZ$4+7),IF($K184="Deadline","◇","◆"),"")</f>
        <v/>
      </c>
      <c r="CA184" s="14" t="str">
        <f>IF(AND(ISNUMBER($I184),OR($K184="Milestone",$K184="Deadline"),$I184&gt;=CA$4,$I184&lt;CA$4+7),IF($K184="Deadline","◇","◆"),"")</f>
        <v/>
      </c>
      <c r="CB184" s="14" t="str">
        <f>IF(AND(ISNUMBER($I184),OR($K184="Milestone",$K184="Deadline"),$I184&gt;=CB$4,$I184&lt;CB$4+7),IF($K184="Deadline","◇","◆"),"")</f>
        <v/>
      </c>
      <c r="CC184" s="14" t="str">
        <f>IF(AND(ISNUMBER($I184),OR($K184="Milestone",$K184="Deadline"),$I184&gt;=CC$4,$I184&lt;CC$4+7),IF($K184="Deadline","◇","◆"),"")</f>
        <v/>
      </c>
      <c r="CD184" s="14" t="str">
        <f>IF(AND(ISNUMBER($I184),OR($K184="Milestone",$K184="Deadline"),$I184&gt;=CD$4,$I184&lt;CD$4+7),IF($K184="Deadline","◇","◆"),"")</f>
        <v/>
      </c>
      <c r="CE184" s="14" t="str">
        <f>IF(AND(ISNUMBER($I184),OR($K184="Milestone",$K184="Deadline"),$I184&gt;=CE$4,$I184&lt;CE$4+7),IF($K184="Deadline","◇","◆"),"")</f>
        <v/>
      </c>
      <c r="CF184" s="14" t="str">
        <f>IF(AND(ISNUMBER($I184),OR($K184="Milestone",$K184="Deadline"),$I184&gt;=CF$4,$I184&lt;CF$4+7),IF($K184="Deadline","◇","◆"),"")</f>
        <v/>
      </c>
      <c r="CG184" s="14" t="str">
        <f>IF(AND(ISNUMBER($I184),OR($K184="Milestone",$K184="Deadline"),$I184&gt;=CG$4,$I184&lt;CG$4+7),IF($K184="Deadline","◇","◆"),"")</f>
        <v/>
      </c>
      <c r="CH184" s="14" t="str">
        <f>IF(AND(ISNUMBER($I184),OR($K184="Milestone",$K184="Deadline"),$I184&gt;=CH$4,$I184&lt;CH$4+7),IF($K184="Deadline","◇","◆"),"")</f>
        <v/>
      </c>
      <c r="CI184" s="14" t="str">
        <f>IF(AND(ISNUMBER($I184),OR($K184="Milestone",$K184="Deadline"),$I184&gt;=CI$4,$I184&lt;CI$4+7),IF($K184="Deadline","◇","◆"),"")</f>
        <v/>
      </c>
      <c r="CJ184" s="14" t="str">
        <f>IF(AND(ISNUMBER($I184),OR($K184="Milestone",$K184="Deadline"),$I184&gt;=CJ$4,$I184&lt;CJ$4+7),IF($K184="Deadline","◇","◆"),"")</f>
        <v/>
      </c>
      <c r="CK184" s="14" t="str">
        <f>IF(AND(ISNUMBER($I184),OR($K184="Milestone",$K184="Deadline"),$I184&gt;=CK$4,$I184&lt;CK$4+7),IF($K184="Deadline","◇","◆"),"")</f>
        <v/>
      </c>
      <c r="CL184" s="14" t="str">
        <f>IF(AND(ISNUMBER($I184),OR($K184="Milestone",$K184="Deadline"),$I184&gt;=CL$4,$I184&lt;CL$4+7),IF($K184="Deadline","◇","◆"),"")</f>
        <v/>
      </c>
      <c r="CM184" s="14" t="str">
        <f>IF(AND(ISNUMBER($I184),OR($K184="Milestone",$K184="Deadline"),$I184&gt;=CM$4,$I184&lt;CM$4+7),IF($K184="Deadline","◇","◆"),"")</f>
        <v/>
      </c>
    </row>
    <row r="185" spans="1:91" ht="15" hidden="1" customHeight="1">
      <c r="A185" s="43" t="s">
        <v>424</v>
      </c>
      <c r="B185" s="43" t="s">
        <v>418</v>
      </c>
      <c r="C185" s="43" t="s">
        <v>191</v>
      </c>
      <c r="D185" s="43" t="s">
        <v>419</v>
      </c>
      <c r="E185" s="43" t="s">
        <v>281</v>
      </c>
      <c r="F185" s="43" t="s">
        <v>170</v>
      </c>
      <c r="G185" s="43" t="s">
        <v>278</v>
      </c>
      <c r="H185" s="43">
        <v>14</v>
      </c>
      <c r="I185" s="44">
        <f>MAX(DATE(2027,3,1),J184+1,J152+1)</f>
        <v>46453</v>
      </c>
      <c r="J185" s="45">
        <f>IF(AND(ISNUMBER(I185),ISNUMBER(H185)),I185+H185-1,"")</f>
        <v>46466</v>
      </c>
      <c r="K185" s="43" t="s">
        <v>27</v>
      </c>
      <c r="L185" s="43" t="s">
        <v>423</v>
      </c>
      <c r="M185" s="46" t="s">
        <v>376</v>
      </c>
      <c r="N185" s="43"/>
      <c r="O185" s="46">
        <f>IF(AND(ISNUMBER(I185),ISNUMBER(J185)),J185-I185+1,"")</f>
        <v>14</v>
      </c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 t="s">
        <v>140</v>
      </c>
      <c r="AJ185" s="13"/>
      <c r="AK185" s="13"/>
      <c r="AL185" s="13"/>
      <c r="AM185" s="13"/>
      <c r="AN185" s="13"/>
      <c r="AO185" s="14" t="str">
        <f>IF(AND(ISNUMBER($I185),OR($K185="Milestone",$K185="Deadline"),$I185&gt;=AO$4,$I185&lt;AO$4+7),IF($K185="Deadline","◇","◆"),"")</f>
        <v/>
      </c>
      <c r="AP185" s="14" t="str">
        <f>IF(AND(ISNUMBER($I185),OR($K185="Milestone",$K185="Deadline"),$I185&gt;=AP$4,$I185&lt;AP$4+7),IF($K185="Deadline","◇","◆"),"")</f>
        <v/>
      </c>
      <c r="AQ185" s="14" t="str">
        <f>IF(AND(ISNUMBER($I185),OR($K185="Milestone",$K185="Deadline"),$I185&gt;=AQ$4,$I185&lt;AQ$4+7),IF($K185="Deadline","◇","◆"),"")</f>
        <v/>
      </c>
      <c r="AR185" s="14" t="str">
        <f>IF(AND(ISNUMBER($I185),OR($K185="Milestone",$K185="Deadline"),$I185&gt;=AR$4,$I185&lt;AR$4+7),IF($K185="Deadline","◇","◆"),"")</f>
        <v/>
      </c>
      <c r="AS185" s="14" t="str">
        <f>IF(AND(ISNUMBER($I185),OR($K185="Milestone",$K185="Deadline"),$I185&gt;=AS$4,$I185&lt;AS$4+7),IF($K185="Deadline","◇","◆"),"")</f>
        <v/>
      </c>
      <c r="AT185" s="14" t="str">
        <f>IF(AND(ISNUMBER($I185),OR($K185="Milestone",$K185="Deadline"),$I185&gt;=AT$4,$I185&lt;AT$4+7),IF($K185="Deadline","◇","◆"),"")</f>
        <v/>
      </c>
      <c r="AU185" s="14" t="str">
        <f>IF(AND(ISNUMBER($I185),OR($K185="Milestone",$K185="Deadline"),$I185&gt;=AU$4,$I185&lt;AU$4+7),IF($K185="Deadline","◇","◆"),"")</f>
        <v/>
      </c>
      <c r="AV185" s="14" t="str">
        <f>IF(AND(ISNUMBER($I185),OR($K185="Milestone",$K185="Deadline"),$I185&gt;=AV$4,$I185&lt;AV$4+7),IF($K185="Deadline","◇","◆"),"")</f>
        <v/>
      </c>
      <c r="AW185" s="14" t="str">
        <f>IF(AND(ISNUMBER($I185),OR($K185="Milestone",$K185="Deadline"),$I185&gt;=AW$4,$I185&lt;AW$4+7),IF($K185="Deadline","◇","◆"),"")</f>
        <v/>
      </c>
      <c r="AX185" s="14" t="str">
        <f>IF(AND(ISNUMBER($I185),OR($K185="Milestone",$K185="Deadline"),$I185&gt;=AX$4,$I185&lt;AX$4+7),IF($K185="Deadline","◇","◆"),"")</f>
        <v/>
      </c>
      <c r="AY185" s="14" t="str">
        <f>IF(AND(ISNUMBER($I185),OR($K185="Milestone",$K185="Deadline"),$I185&gt;=AY$4,$I185&lt;AY$4+7),IF($K185="Deadline","◇","◆"),"")</f>
        <v/>
      </c>
      <c r="AZ185" s="14" t="str">
        <f>IF(AND(ISNUMBER($I185),OR($K185="Milestone",$K185="Deadline"),$I185&gt;=AZ$4,$I185&lt;AZ$4+7),IF($K185="Deadline","◇","◆"),"")</f>
        <v/>
      </c>
      <c r="BA185" s="14" t="str">
        <f>IF(AND(ISNUMBER($I185),OR($K185="Milestone",$K185="Deadline"),$I185&gt;=BA$4,$I185&lt;BA$4+7),IF($K185="Deadline","◇","◆"),"")</f>
        <v/>
      </c>
      <c r="BB185" s="14" t="str">
        <f>IF(AND(ISNUMBER($I185),OR($K185="Milestone",$K185="Deadline"),$I185&gt;=BB$4,$I185&lt;BB$4+7),IF($K185="Deadline","◇","◆"),"")</f>
        <v/>
      </c>
      <c r="BC185" s="14" t="str">
        <f>IF(AND(ISNUMBER($I185),OR($K185="Milestone",$K185="Deadline"),$I185&gt;=BC$4,$I185&lt;BC$4+7),IF($K185="Deadline","◇","◆"),"")</f>
        <v/>
      </c>
      <c r="BD185" s="14" t="str">
        <f>IF(AND(ISNUMBER($I185),OR($K185="Milestone",$K185="Deadline"),$I185&gt;=BD$4,$I185&lt;BD$4+7),IF($K185="Deadline","◇","◆"),"")</f>
        <v/>
      </c>
      <c r="BE185" s="14" t="str">
        <f>IF(AND(ISNUMBER($I185),OR($K185="Milestone",$K185="Deadline"),$I185&gt;=BE$4,$I185&lt;BE$4+7),IF($K185="Deadline","◇","◆"),"")</f>
        <v/>
      </c>
      <c r="BF185" s="14" t="str">
        <f>IF(AND(ISNUMBER($I185),OR($K185="Milestone",$K185="Deadline"),$I185&gt;=BF$4,$I185&lt;BF$4+7),IF($K185="Deadline","◇","◆"),"")</f>
        <v/>
      </c>
      <c r="BG185" s="14" t="str">
        <f>IF(AND(ISNUMBER($I185),OR($K185="Milestone",$K185="Deadline"),$I185&gt;=BG$4,$I185&lt;BG$4+7),IF($K185="Deadline","◇","◆"),"")</f>
        <v/>
      </c>
      <c r="BH185" s="14" t="str">
        <f>IF(AND(ISNUMBER($I185),OR($K185="Milestone",$K185="Deadline"),$I185&gt;=BH$4,$I185&lt;BH$4+7),IF($K185="Deadline","◇","◆"),"")</f>
        <v/>
      </c>
      <c r="BI185" s="14" t="str">
        <f>IF(AND(ISNUMBER($I185),OR($K185="Milestone",$K185="Deadline"),$I185&gt;=BI$4,$I185&lt;BI$4+7),IF($K185="Deadline","◇","◆"),"")</f>
        <v/>
      </c>
      <c r="BJ185" s="14" t="str">
        <f>IF(AND(ISNUMBER($I185),OR($K185="Milestone",$K185="Deadline"),$I185&gt;=BJ$4,$I185&lt;BJ$4+7),IF($K185="Deadline","◇","◆"),"")</f>
        <v/>
      </c>
      <c r="BK185" s="14" t="str">
        <f>IF(AND(ISNUMBER($I185),OR($K185="Milestone",$K185="Deadline"),$I185&gt;=BK$4,$I185&lt;BK$4+7),IF($K185="Deadline","◇","◆"),"")</f>
        <v/>
      </c>
      <c r="BL185" s="14" t="str">
        <f>IF(AND(ISNUMBER($I185),OR($K185="Milestone",$K185="Deadline"),$I185&gt;=BL$4,$I185&lt;BL$4+7),IF($K185="Deadline","◇","◆"),"")</f>
        <v/>
      </c>
      <c r="BM185" s="14" t="str">
        <f>IF(AND(ISNUMBER($I185),OR($K185="Milestone",$K185="Deadline"),$I185&gt;=BM$4,$I185&lt;BM$4+7),IF($K185="Deadline","◇","◆"),"")</f>
        <v/>
      </c>
      <c r="BN185" s="14" t="str">
        <f>IF(AND(ISNUMBER($I185),OR($K185="Milestone",$K185="Deadline"),$I185&gt;=BN$4,$I185&lt;BN$4+7),IF($K185="Deadline","◇","◆"),"")</f>
        <v/>
      </c>
      <c r="BO185" s="14" t="str">
        <f>IF(AND(ISNUMBER($I185),OR($K185="Milestone",$K185="Deadline"),$I185&gt;=BO$4,$I185&lt;BO$4+7),IF($K185="Deadline","◇","◆"),"")</f>
        <v/>
      </c>
      <c r="BP185" s="14" t="str">
        <f>IF(AND(ISNUMBER($I185),OR($K185="Milestone",$K185="Deadline"),$I185&gt;=BP$4,$I185&lt;BP$4+7),IF($K185="Deadline","◇","◆"),"")</f>
        <v/>
      </c>
      <c r="BQ185" s="14" t="str">
        <f>IF(AND(ISNUMBER($I185),OR($K185="Milestone",$K185="Deadline"),$I185&gt;=BQ$4,$I185&lt;BQ$4+7),IF($K185="Deadline","◇","◆"),"")</f>
        <v/>
      </c>
      <c r="BR185" s="14" t="str">
        <f>IF(AND(ISNUMBER($I185),OR($K185="Milestone",$K185="Deadline"),$I185&gt;=BR$4,$I185&lt;BR$4+7),IF($K185="Deadline","◇","◆"),"")</f>
        <v/>
      </c>
      <c r="BS185" s="14" t="str">
        <f>IF(AND(ISNUMBER($I185),OR($K185="Milestone",$K185="Deadline"),$I185&gt;=BS$4,$I185&lt;BS$4+7),IF($K185="Deadline","◇","◆"),"")</f>
        <v/>
      </c>
      <c r="BT185" s="14" t="str">
        <f>IF(AND(ISNUMBER($I185),OR($K185="Milestone",$K185="Deadline"),$I185&gt;=BT$4,$I185&lt;BT$4+7),IF($K185="Deadline","◇","◆"),"")</f>
        <v/>
      </c>
      <c r="BU185" s="14" t="str">
        <f>IF(AND(ISNUMBER($I185),OR($K185="Milestone",$K185="Deadline"),$I185&gt;=BU$4,$I185&lt;BU$4+7),IF($K185="Deadline","◇","◆"),"")</f>
        <v/>
      </c>
      <c r="BV185" s="14" t="str">
        <f>IF(AND(ISNUMBER($I185),OR($K185="Milestone",$K185="Deadline"),$I185&gt;=BV$4,$I185&lt;BV$4+7),IF($K185="Deadline","◇","◆"),"")</f>
        <v/>
      </c>
      <c r="BW185" s="14" t="str">
        <f>IF(AND(ISNUMBER($I185),OR($K185="Milestone",$K185="Deadline"),$I185&gt;=BW$4,$I185&lt;BW$4+7),IF($K185="Deadline","◇","◆"),"")</f>
        <v/>
      </c>
      <c r="BX185" s="14" t="str">
        <f>IF(AND(ISNUMBER($I185),OR($K185="Milestone",$K185="Deadline"),$I185&gt;=BX$4,$I185&lt;BX$4+7),IF($K185="Deadline","◇","◆"),"")</f>
        <v/>
      </c>
      <c r="BY185" s="14" t="str">
        <f>IF(AND(ISNUMBER($I185),OR($K185="Milestone",$K185="Deadline"),$I185&gt;=BY$4,$I185&lt;BY$4+7),IF($K185="Deadline","◇","◆"),"")</f>
        <v/>
      </c>
      <c r="BZ185" s="14" t="str">
        <f>IF(AND(ISNUMBER($I185),OR($K185="Milestone",$K185="Deadline"),$I185&gt;=BZ$4,$I185&lt;BZ$4+7),IF($K185="Deadline","◇","◆"),"")</f>
        <v/>
      </c>
      <c r="CA185" s="14" t="str">
        <f>IF(AND(ISNUMBER($I185),OR($K185="Milestone",$K185="Deadline"),$I185&gt;=CA$4,$I185&lt;CA$4+7),IF($K185="Deadline","◇","◆"),"")</f>
        <v/>
      </c>
      <c r="CB185" s="14" t="str">
        <f>IF(AND(ISNUMBER($I185),OR($K185="Milestone",$K185="Deadline"),$I185&gt;=CB$4,$I185&lt;CB$4+7),IF($K185="Deadline","◇","◆"),"")</f>
        <v/>
      </c>
      <c r="CC185" s="14" t="str">
        <f>IF(AND(ISNUMBER($I185),OR($K185="Milestone",$K185="Deadline"),$I185&gt;=CC$4,$I185&lt;CC$4+7),IF($K185="Deadline","◇","◆"),"")</f>
        <v/>
      </c>
      <c r="CD185" s="14" t="str">
        <f>IF(AND(ISNUMBER($I185),OR($K185="Milestone",$K185="Deadline"),$I185&gt;=CD$4,$I185&lt;CD$4+7),IF($K185="Deadline","◇","◆"),"")</f>
        <v/>
      </c>
      <c r="CE185" s="14" t="str">
        <f>IF(AND(ISNUMBER($I185),OR($K185="Milestone",$K185="Deadline"),$I185&gt;=CE$4,$I185&lt;CE$4+7),IF($K185="Deadline","◇","◆"),"")</f>
        <v/>
      </c>
      <c r="CF185" s="14" t="str">
        <f>IF(AND(ISNUMBER($I185),OR($K185="Milestone",$K185="Deadline"),$I185&gt;=CF$4,$I185&lt;CF$4+7),IF($K185="Deadline","◇","◆"),"")</f>
        <v/>
      </c>
      <c r="CG185" s="14" t="str">
        <f>IF(AND(ISNUMBER($I185),OR($K185="Milestone",$K185="Deadline"),$I185&gt;=CG$4,$I185&lt;CG$4+7),IF($K185="Deadline","◇","◆"),"")</f>
        <v/>
      </c>
      <c r="CH185" s="14" t="str">
        <f>IF(AND(ISNUMBER($I185),OR($K185="Milestone",$K185="Deadline"),$I185&gt;=CH$4,$I185&lt;CH$4+7),IF($K185="Deadline","◇","◆"),"")</f>
        <v/>
      </c>
      <c r="CI185" s="14" t="str">
        <f>IF(AND(ISNUMBER($I185),OR($K185="Milestone",$K185="Deadline"),$I185&gt;=CI$4,$I185&lt;CI$4+7),IF($K185="Deadline","◇","◆"),"")</f>
        <v/>
      </c>
      <c r="CJ185" s="14" t="str">
        <f>IF(AND(ISNUMBER($I185),OR($K185="Milestone",$K185="Deadline"),$I185&gt;=CJ$4,$I185&lt;CJ$4+7),IF($K185="Deadline","◇","◆"),"")</f>
        <v/>
      </c>
      <c r="CK185" s="14" t="str">
        <f>IF(AND(ISNUMBER($I185),OR($K185="Milestone",$K185="Deadline"),$I185&gt;=CK$4,$I185&lt;CK$4+7),IF($K185="Deadline","◇","◆"),"")</f>
        <v/>
      </c>
      <c r="CL185" s="14" t="str">
        <f>IF(AND(ISNUMBER($I185),OR($K185="Milestone",$K185="Deadline"),$I185&gt;=CL$4,$I185&lt;CL$4+7),IF($K185="Deadline","◇","◆"),"")</f>
        <v/>
      </c>
      <c r="CM185" s="14" t="str">
        <f>IF(AND(ISNUMBER($I185),OR($K185="Milestone",$K185="Deadline"),$I185&gt;=CM$4,$I185&lt;CM$4+7),IF($K185="Deadline","◇","◆"),"")</f>
        <v/>
      </c>
    </row>
    <row r="186" spans="1:91" ht="15" hidden="1" customHeight="1">
      <c r="A186" s="43" t="s">
        <v>425</v>
      </c>
      <c r="B186" s="43" t="s">
        <v>418</v>
      </c>
      <c r="C186" s="43" t="s">
        <v>93</v>
      </c>
      <c r="D186" s="43" t="s">
        <v>419</v>
      </c>
      <c r="E186" s="43" t="s">
        <v>281</v>
      </c>
      <c r="F186" s="43" t="s">
        <v>179</v>
      </c>
      <c r="G186" s="43" t="s">
        <v>173</v>
      </c>
      <c r="H186" s="43">
        <v>14</v>
      </c>
      <c r="I186" s="44">
        <f>MAX($C$2,I180)</f>
        <v>46335</v>
      </c>
      <c r="J186" s="45">
        <f>IF(AND(ISNUMBER(I186),ISNUMBER(H186)),I186+H186-1,"")</f>
        <v>46348</v>
      </c>
      <c r="K186" s="43" t="s">
        <v>27</v>
      </c>
      <c r="L186" s="43" t="s">
        <v>421</v>
      </c>
      <c r="M186" s="46"/>
      <c r="N186" s="43"/>
      <c r="O186" s="46">
        <f>IF(AND(ISNUMBER(I186),ISNUMBER(J186)),J186-I186+1,"")</f>
        <v>14</v>
      </c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4" t="str">
        <f>IF(AND(ISNUMBER($I186),OR($K186="Milestone",$K186="Deadline"),$I186&gt;=AO$4,$I186&lt;AO$4+7),IF($K186="Deadline","◇","◆"),"")</f>
        <v/>
      </c>
      <c r="AP186" s="14" t="str">
        <f>IF(AND(ISNUMBER($I186),OR($K186="Milestone",$K186="Deadline"),$I186&gt;=AP$4,$I186&lt;AP$4+7),IF($K186="Deadline","◇","◆"),"")</f>
        <v/>
      </c>
      <c r="AQ186" s="14" t="str">
        <f>IF(AND(ISNUMBER($I186),OR($K186="Milestone",$K186="Deadline"),$I186&gt;=AQ$4,$I186&lt;AQ$4+7),IF($K186="Deadline","◇","◆"),"")</f>
        <v/>
      </c>
      <c r="AR186" s="14" t="str">
        <f>IF(AND(ISNUMBER($I186),OR($K186="Milestone",$K186="Deadline"),$I186&gt;=AR$4,$I186&lt;AR$4+7),IF($K186="Deadline","◇","◆"),"")</f>
        <v/>
      </c>
      <c r="AS186" s="14" t="str">
        <f>IF(AND(ISNUMBER($I186),OR($K186="Milestone",$K186="Deadline"),$I186&gt;=AS$4,$I186&lt;AS$4+7),IF($K186="Deadline","◇","◆"),"")</f>
        <v/>
      </c>
      <c r="AT186" s="14" t="str">
        <f>IF(AND(ISNUMBER($I186),OR($K186="Milestone",$K186="Deadline"),$I186&gt;=AT$4,$I186&lt;AT$4+7),IF($K186="Deadline","◇","◆"),"")</f>
        <v/>
      </c>
      <c r="AU186" s="14" t="str">
        <f>IF(AND(ISNUMBER($I186),OR($K186="Milestone",$K186="Deadline"),$I186&gt;=AU$4,$I186&lt;AU$4+7),IF($K186="Deadline","◇","◆"),"")</f>
        <v/>
      </c>
      <c r="AV186" s="14" t="str">
        <f>IF(AND(ISNUMBER($I186),OR($K186="Milestone",$K186="Deadline"),$I186&gt;=AV$4,$I186&lt;AV$4+7),IF($K186="Deadline","◇","◆"),"")</f>
        <v/>
      </c>
      <c r="AW186" s="14" t="str">
        <f>IF(AND(ISNUMBER($I186),OR($K186="Milestone",$K186="Deadline"),$I186&gt;=AW$4,$I186&lt;AW$4+7),IF($K186="Deadline","◇","◆"),"")</f>
        <v/>
      </c>
      <c r="AX186" s="14" t="str">
        <f>IF(AND(ISNUMBER($I186),OR($K186="Milestone",$K186="Deadline"),$I186&gt;=AX$4,$I186&lt;AX$4+7),IF($K186="Deadline","◇","◆"),"")</f>
        <v/>
      </c>
      <c r="AY186" s="14" t="str">
        <f>IF(AND(ISNUMBER($I186),OR($K186="Milestone",$K186="Deadline"),$I186&gt;=AY$4,$I186&lt;AY$4+7),IF($K186="Deadline","◇","◆"),"")</f>
        <v/>
      </c>
      <c r="AZ186" s="14" t="str">
        <f>IF(AND(ISNUMBER($I186),OR($K186="Milestone",$K186="Deadline"),$I186&gt;=AZ$4,$I186&lt;AZ$4+7),IF($K186="Deadline","◇","◆"),"")</f>
        <v/>
      </c>
      <c r="BA186" s="14" t="str">
        <f>IF(AND(ISNUMBER($I186),OR($K186="Milestone",$K186="Deadline"),$I186&gt;=BA$4,$I186&lt;BA$4+7),IF($K186="Deadline","◇","◆"),"")</f>
        <v/>
      </c>
      <c r="BB186" s="14" t="str">
        <f>IF(AND(ISNUMBER($I186),OR($K186="Milestone",$K186="Deadline"),$I186&gt;=BB$4,$I186&lt;BB$4+7),IF($K186="Deadline","◇","◆"),"")</f>
        <v/>
      </c>
      <c r="BC186" s="14" t="str">
        <f>IF(AND(ISNUMBER($I186),OR($K186="Milestone",$K186="Deadline"),$I186&gt;=BC$4,$I186&lt;BC$4+7),IF($K186="Deadline","◇","◆"),"")</f>
        <v/>
      </c>
      <c r="BD186" s="14" t="str">
        <f>IF(AND(ISNUMBER($I186),OR($K186="Milestone",$K186="Deadline"),$I186&gt;=BD$4,$I186&lt;BD$4+7),IF($K186="Deadline","◇","◆"),"")</f>
        <v/>
      </c>
      <c r="BE186" s="14" t="str">
        <f>IF(AND(ISNUMBER($I186),OR($K186="Milestone",$K186="Deadline"),$I186&gt;=BE$4,$I186&lt;BE$4+7),IF($K186="Deadline","◇","◆"),"")</f>
        <v/>
      </c>
      <c r="BF186" s="14" t="str">
        <f>IF(AND(ISNUMBER($I186),OR($K186="Milestone",$K186="Deadline"),$I186&gt;=BF$4,$I186&lt;BF$4+7),IF($K186="Deadline","◇","◆"),"")</f>
        <v/>
      </c>
      <c r="BG186" s="14" t="str">
        <f>IF(AND(ISNUMBER($I186),OR($K186="Milestone",$K186="Deadline"),$I186&gt;=BG$4,$I186&lt;BG$4+7),IF($K186="Deadline","◇","◆"),"")</f>
        <v/>
      </c>
      <c r="BH186" s="14" t="str">
        <f>IF(AND(ISNUMBER($I186),OR($K186="Milestone",$K186="Deadline"),$I186&gt;=BH$4,$I186&lt;BH$4+7),IF($K186="Deadline","◇","◆"),"")</f>
        <v/>
      </c>
      <c r="BI186" s="14" t="str">
        <f>IF(AND(ISNUMBER($I186),OR($K186="Milestone",$K186="Deadline"),$I186&gt;=BI$4,$I186&lt;BI$4+7),IF($K186="Deadline","◇","◆"),"")</f>
        <v/>
      </c>
      <c r="BJ186" s="14" t="str">
        <f>IF(AND(ISNUMBER($I186),OR($K186="Milestone",$K186="Deadline"),$I186&gt;=BJ$4,$I186&lt;BJ$4+7),IF($K186="Deadline","◇","◆"),"")</f>
        <v/>
      </c>
      <c r="BK186" s="14" t="str">
        <f>IF(AND(ISNUMBER($I186),OR($K186="Milestone",$K186="Deadline"),$I186&gt;=BK$4,$I186&lt;BK$4+7),IF($K186="Deadline","◇","◆"),"")</f>
        <v/>
      </c>
      <c r="BL186" s="14" t="str">
        <f>IF(AND(ISNUMBER($I186),OR($K186="Milestone",$K186="Deadline"),$I186&gt;=BL$4,$I186&lt;BL$4+7),IF($K186="Deadline","◇","◆"),"")</f>
        <v/>
      </c>
      <c r="BM186" s="14" t="str">
        <f>IF(AND(ISNUMBER($I186),OR($K186="Milestone",$K186="Deadline"),$I186&gt;=BM$4,$I186&lt;BM$4+7),IF($K186="Deadline","◇","◆"),"")</f>
        <v/>
      </c>
      <c r="BN186" s="14" t="str">
        <f>IF(AND(ISNUMBER($I186),OR($K186="Milestone",$K186="Deadline"),$I186&gt;=BN$4,$I186&lt;BN$4+7),IF($K186="Deadline","◇","◆"),"")</f>
        <v/>
      </c>
      <c r="BO186" s="14" t="str">
        <f>IF(AND(ISNUMBER($I186),OR($K186="Milestone",$K186="Deadline"),$I186&gt;=BO$4,$I186&lt;BO$4+7),IF($K186="Deadline","◇","◆"),"")</f>
        <v/>
      </c>
      <c r="BP186" s="14" t="str">
        <f>IF(AND(ISNUMBER($I186),OR($K186="Milestone",$K186="Deadline"),$I186&gt;=BP$4,$I186&lt;BP$4+7),IF($K186="Deadline","◇","◆"),"")</f>
        <v/>
      </c>
      <c r="BQ186" s="14" t="str">
        <f>IF(AND(ISNUMBER($I186),OR($K186="Milestone",$K186="Deadline"),$I186&gt;=BQ$4,$I186&lt;BQ$4+7),IF($K186="Deadline","◇","◆"),"")</f>
        <v/>
      </c>
      <c r="BR186" s="14" t="str">
        <f>IF(AND(ISNUMBER($I186),OR($K186="Milestone",$K186="Deadline"),$I186&gt;=BR$4,$I186&lt;BR$4+7),IF($K186="Deadline","◇","◆"),"")</f>
        <v/>
      </c>
      <c r="BS186" s="14" t="str">
        <f>IF(AND(ISNUMBER($I186),OR($K186="Milestone",$K186="Deadline"),$I186&gt;=BS$4,$I186&lt;BS$4+7),IF($K186="Deadline","◇","◆"),"")</f>
        <v/>
      </c>
      <c r="BT186" s="14" t="str">
        <f>IF(AND(ISNUMBER($I186),OR($K186="Milestone",$K186="Deadline"),$I186&gt;=BT$4,$I186&lt;BT$4+7),IF($K186="Deadline","◇","◆"),"")</f>
        <v/>
      </c>
      <c r="BU186" s="14" t="str">
        <f>IF(AND(ISNUMBER($I186),OR($K186="Milestone",$K186="Deadline"),$I186&gt;=BU$4,$I186&lt;BU$4+7),IF($K186="Deadline","◇","◆"),"")</f>
        <v/>
      </c>
      <c r="BV186" s="14" t="str">
        <f>IF(AND(ISNUMBER($I186),OR($K186="Milestone",$K186="Deadline"),$I186&gt;=BV$4,$I186&lt;BV$4+7),IF($K186="Deadline","◇","◆"),"")</f>
        <v/>
      </c>
      <c r="BW186" s="14" t="str">
        <f>IF(AND(ISNUMBER($I186),OR($K186="Milestone",$K186="Deadline"),$I186&gt;=BW$4,$I186&lt;BW$4+7),IF($K186="Deadline","◇","◆"),"")</f>
        <v/>
      </c>
      <c r="BX186" s="14" t="str">
        <f>IF(AND(ISNUMBER($I186),OR($K186="Milestone",$K186="Deadline"),$I186&gt;=BX$4,$I186&lt;BX$4+7),IF($K186="Deadline","◇","◆"),"")</f>
        <v/>
      </c>
      <c r="BY186" s="14" t="str">
        <f>IF(AND(ISNUMBER($I186),OR($K186="Milestone",$K186="Deadline"),$I186&gt;=BY$4,$I186&lt;BY$4+7),IF($K186="Deadline","◇","◆"),"")</f>
        <v/>
      </c>
      <c r="BZ186" s="14" t="str">
        <f>IF(AND(ISNUMBER($I186),OR($K186="Milestone",$K186="Deadline"),$I186&gt;=BZ$4,$I186&lt;BZ$4+7),IF($K186="Deadline","◇","◆"),"")</f>
        <v/>
      </c>
      <c r="CA186" s="14" t="str">
        <f>IF(AND(ISNUMBER($I186),OR($K186="Milestone",$K186="Deadline"),$I186&gt;=CA$4,$I186&lt;CA$4+7),IF($K186="Deadline","◇","◆"),"")</f>
        <v/>
      </c>
      <c r="CB186" s="14" t="str">
        <f>IF(AND(ISNUMBER($I186),OR($K186="Milestone",$K186="Deadline"),$I186&gt;=CB$4,$I186&lt;CB$4+7),IF($K186="Deadline","◇","◆"),"")</f>
        <v/>
      </c>
      <c r="CC186" s="14" t="str">
        <f>IF(AND(ISNUMBER($I186),OR($K186="Milestone",$K186="Deadline"),$I186&gt;=CC$4,$I186&lt;CC$4+7),IF($K186="Deadline","◇","◆"),"")</f>
        <v/>
      </c>
      <c r="CD186" s="14" t="str">
        <f>IF(AND(ISNUMBER($I186),OR($K186="Milestone",$K186="Deadline"),$I186&gt;=CD$4,$I186&lt;CD$4+7),IF($K186="Deadline","◇","◆"),"")</f>
        <v/>
      </c>
      <c r="CE186" s="14" t="str">
        <f>IF(AND(ISNUMBER($I186),OR($K186="Milestone",$K186="Deadline"),$I186&gt;=CE$4,$I186&lt;CE$4+7),IF($K186="Deadline","◇","◆"),"")</f>
        <v/>
      </c>
      <c r="CF186" s="14" t="str">
        <f>IF(AND(ISNUMBER($I186),OR($K186="Milestone",$K186="Deadline"),$I186&gt;=CF$4,$I186&lt;CF$4+7),IF($K186="Deadline","◇","◆"),"")</f>
        <v/>
      </c>
      <c r="CG186" s="14" t="str">
        <f>IF(AND(ISNUMBER($I186),OR($K186="Milestone",$K186="Deadline"),$I186&gt;=CG$4,$I186&lt;CG$4+7),IF($K186="Deadline","◇","◆"),"")</f>
        <v/>
      </c>
      <c r="CH186" s="14" t="str">
        <f>IF(AND(ISNUMBER($I186),OR($K186="Milestone",$K186="Deadline"),$I186&gt;=CH$4,$I186&lt;CH$4+7),IF($K186="Deadline","◇","◆"),"")</f>
        <v/>
      </c>
      <c r="CI186" s="14" t="str">
        <f>IF(AND(ISNUMBER($I186),OR($K186="Milestone",$K186="Deadline"),$I186&gt;=CI$4,$I186&lt;CI$4+7),IF($K186="Deadline","◇","◆"),"")</f>
        <v/>
      </c>
      <c r="CJ186" s="14" t="str">
        <f>IF(AND(ISNUMBER($I186),OR($K186="Milestone",$K186="Deadline"),$I186&gt;=CJ$4,$I186&lt;CJ$4+7),IF($K186="Deadline","◇","◆"),"")</f>
        <v/>
      </c>
      <c r="CK186" s="14" t="str">
        <f>IF(AND(ISNUMBER($I186),OR($K186="Milestone",$K186="Deadline"),$I186&gt;=CK$4,$I186&lt;CK$4+7),IF($K186="Deadline","◇","◆"),"")</f>
        <v/>
      </c>
      <c r="CL186" s="14" t="str">
        <f>IF(AND(ISNUMBER($I186),OR($K186="Milestone",$K186="Deadline"),$I186&gt;=CL$4,$I186&lt;CL$4+7),IF($K186="Deadline","◇","◆"),"")</f>
        <v/>
      </c>
      <c r="CM186" s="14" t="str">
        <f>IF(AND(ISNUMBER($I186),OR($K186="Milestone",$K186="Deadline"),$I186&gt;=CM$4,$I186&lt;CM$4+7),IF($K186="Deadline","◇","◆"),"")</f>
        <v/>
      </c>
    </row>
    <row r="187" spans="1:91" ht="15" hidden="1" customHeight="1">
      <c r="A187" s="43" t="s">
        <v>426</v>
      </c>
      <c r="B187" s="43" t="s">
        <v>418</v>
      </c>
      <c r="C187" s="43" t="s">
        <v>93</v>
      </c>
      <c r="D187" s="43" t="s">
        <v>419</v>
      </c>
      <c r="E187" s="43" t="s">
        <v>281</v>
      </c>
      <c r="F187" s="43" t="s">
        <v>179</v>
      </c>
      <c r="G187" s="43" t="s">
        <v>427</v>
      </c>
      <c r="H187" s="43">
        <v>14</v>
      </c>
      <c r="I187" s="44">
        <f>MAX($C$2,J17+1,J35+1)</f>
        <v>46349</v>
      </c>
      <c r="J187" s="45">
        <f>IF(AND(ISNUMBER(I187),ISNUMBER(H187)),I187+H187-1,"")</f>
        <v>46362</v>
      </c>
      <c r="K187" s="43" t="s">
        <v>27</v>
      </c>
      <c r="L187" s="43" t="s">
        <v>97</v>
      </c>
      <c r="M187" s="46" t="s">
        <v>144</v>
      </c>
      <c r="N187" s="43"/>
      <c r="O187" s="46">
        <f>IF(AND(ISNUMBER(I187),ISNUMBER(J187)),J187-I187+1,"")</f>
        <v>14</v>
      </c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 t="s">
        <v>140</v>
      </c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4" t="str">
        <f>IF(AND(ISNUMBER($I187),OR($K187="Milestone",$K187="Deadline"),$I187&gt;=AO$4,$I187&lt;AO$4+7),IF($K187="Deadline","◇","◆"),"")</f>
        <v/>
      </c>
      <c r="AP187" s="14" t="str">
        <f>IF(AND(ISNUMBER($I187),OR($K187="Milestone",$K187="Deadline"),$I187&gt;=AP$4,$I187&lt;AP$4+7),IF($K187="Deadline","◇","◆"),"")</f>
        <v/>
      </c>
      <c r="AQ187" s="14" t="str">
        <f>IF(AND(ISNUMBER($I187),OR($K187="Milestone",$K187="Deadline"),$I187&gt;=AQ$4,$I187&lt;AQ$4+7),IF($K187="Deadline","◇","◆"),"")</f>
        <v/>
      </c>
      <c r="AR187" s="14" t="str">
        <f>IF(AND(ISNUMBER($I187),OR($K187="Milestone",$K187="Deadline"),$I187&gt;=AR$4,$I187&lt;AR$4+7),IF($K187="Deadline","◇","◆"),"")</f>
        <v/>
      </c>
      <c r="AS187" s="14" t="str">
        <f>IF(AND(ISNUMBER($I187),OR($K187="Milestone",$K187="Deadline"),$I187&gt;=AS$4,$I187&lt;AS$4+7),IF($K187="Deadline","◇","◆"),"")</f>
        <v/>
      </c>
      <c r="AT187" s="14" t="str">
        <f>IF(AND(ISNUMBER($I187),OR($K187="Milestone",$K187="Deadline"),$I187&gt;=AT$4,$I187&lt;AT$4+7),IF($K187="Deadline","◇","◆"),"")</f>
        <v/>
      </c>
      <c r="AU187" s="14" t="str">
        <f>IF(AND(ISNUMBER($I187),OR($K187="Milestone",$K187="Deadline"),$I187&gt;=AU$4,$I187&lt;AU$4+7),IF($K187="Deadline","◇","◆"),"")</f>
        <v/>
      </c>
      <c r="AV187" s="14" t="str">
        <f>IF(AND(ISNUMBER($I187),OR($K187="Milestone",$K187="Deadline"),$I187&gt;=AV$4,$I187&lt;AV$4+7),IF($K187="Deadline","◇","◆"),"")</f>
        <v/>
      </c>
      <c r="AW187" s="14" t="str">
        <f>IF(AND(ISNUMBER($I187),OR($K187="Milestone",$K187="Deadline"),$I187&gt;=AW$4,$I187&lt;AW$4+7),IF($K187="Deadline","◇","◆"),"")</f>
        <v/>
      </c>
      <c r="AX187" s="14" t="str">
        <f>IF(AND(ISNUMBER($I187),OR($K187="Milestone",$K187="Deadline"),$I187&gt;=AX$4,$I187&lt;AX$4+7),IF($K187="Deadline","◇","◆"),"")</f>
        <v/>
      </c>
      <c r="AY187" s="14" t="str">
        <f>IF(AND(ISNUMBER($I187),OR($K187="Milestone",$K187="Deadline"),$I187&gt;=AY$4,$I187&lt;AY$4+7),IF($K187="Deadline","◇","◆"),"")</f>
        <v/>
      </c>
      <c r="AZ187" s="14" t="str">
        <f>IF(AND(ISNUMBER($I187),OR($K187="Milestone",$K187="Deadline"),$I187&gt;=AZ$4,$I187&lt;AZ$4+7),IF($K187="Deadline","◇","◆"),"")</f>
        <v/>
      </c>
      <c r="BA187" s="14" t="str">
        <f>IF(AND(ISNUMBER($I187),OR($K187="Milestone",$K187="Deadline"),$I187&gt;=BA$4,$I187&lt;BA$4+7),IF($K187="Deadline","◇","◆"),"")</f>
        <v/>
      </c>
      <c r="BB187" s="14" t="str">
        <f>IF(AND(ISNUMBER($I187),OR($K187="Milestone",$K187="Deadline"),$I187&gt;=BB$4,$I187&lt;BB$4+7),IF($K187="Deadline","◇","◆"),"")</f>
        <v/>
      </c>
      <c r="BC187" s="14" t="str">
        <f>IF(AND(ISNUMBER($I187),OR($K187="Milestone",$K187="Deadline"),$I187&gt;=BC$4,$I187&lt;BC$4+7),IF($K187="Deadline","◇","◆"),"")</f>
        <v/>
      </c>
      <c r="BD187" s="14" t="str">
        <f>IF(AND(ISNUMBER($I187),OR($K187="Milestone",$K187="Deadline"),$I187&gt;=BD$4,$I187&lt;BD$4+7),IF($K187="Deadline","◇","◆"),"")</f>
        <v/>
      </c>
      <c r="BE187" s="14" t="str">
        <f>IF(AND(ISNUMBER($I187),OR($K187="Milestone",$K187="Deadline"),$I187&gt;=BE$4,$I187&lt;BE$4+7),IF($K187="Deadline","◇","◆"),"")</f>
        <v/>
      </c>
      <c r="BF187" s="14" t="str">
        <f>IF(AND(ISNUMBER($I187),OR($K187="Milestone",$K187="Deadline"),$I187&gt;=BF$4,$I187&lt;BF$4+7),IF($K187="Deadline","◇","◆"),"")</f>
        <v/>
      </c>
      <c r="BG187" s="14" t="str">
        <f>IF(AND(ISNUMBER($I187),OR($K187="Milestone",$K187="Deadline"),$I187&gt;=BG$4,$I187&lt;BG$4+7),IF($K187="Deadline","◇","◆"),"")</f>
        <v/>
      </c>
      <c r="BH187" s="14" t="str">
        <f>IF(AND(ISNUMBER($I187),OR($K187="Milestone",$K187="Deadline"),$I187&gt;=BH$4,$I187&lt;BH$4+7),IF($K187="Deadline","◇","◆"),"")</f>
        <v/>
      </c>
      <c r="BI187" s="14" t="str">
        <f>IF(AND(ISNUMBER($I187),OR($K187="Milestone",$K187="Deadline"),$I187&gt;=BI$4,$I187&lt;BI$4+7),IF($K187="Deadline","◇","◆"),"")</f>
        <v/>
      </c>
      <c r="BJ187" s="14" t="str">
        <f>IF(AND(ISNUMBER($I187),OR($K187="Milestone",$K187="Deadline"),$I187&gt;=BJ$4,$I187&lt;BJ$4+7),IF($K187="Deadline","◇","◆"),"")</f>
        <v/>
      </c>
      <c r="BK187" s="14" t="str">
        <f>IF(AND(ISNUMBER($I187),OR($K187="Milestone",$K187="Deadline"),$I187&gt;=BK$4,$I187&lt;BK$4+7),IF($K187="Deadline","◇","◆"),"")</f>
        <v/>
      </c>
      <c r="BL187" s="14" t="str">
        <f>IF(AND(ISNUMBER($I187),OR($K187="Milestone",$K187="Deadline"),$I187&gt;=BL$4,$I187&lt;BL$4+7),IF($K187="Deadline","◇","◆"),"")</f>
        <v/>
      </c>
      <c r="BM187" s="14" t="str">
        <f>IF(AND(ISNUMBER($I187),OR($K187="Milestone",$K187="Deadline"),$I187&gt;=BM$4,$I187&lt;BM$4+7),IF($K187="Deadline","◇","◆"),"")</f>
        <v/>
      </c>
      <c r="BN187" s="14" t="str">
        <f>IF(AND(ISNUMBER($I187),OR($K187="Milestone",$K187="Deadline"),$I187&gt;=BN$4,$I187&lt;BN$4+7),IF($K187="Deadline","◇","◆"),"")</f>
        <v/>
      </c>
      <c r="BO187" s="14" t="str">
        <f>IF(AND(ISNUMBER($I187),OR($K187="Milestone",$K187="Deadline"),$I187&gt;=BO$4,$I187&lt;BO$4+7),IF($K187="Deadline","◇","◆"),"")</f>
        <v/>
      </c>
      <c r="BP187" s="14" t="str">
        <f>IF(AND(ISNUMBER($I187),OR($K187="Milestone",$K187="Deadline"),$I187&gt;=BP$4,$I187&lt;BP$4+7),IF($K187="Deadline","◇","◆"),"")</f>
        <v/>
      </c>
      <c r="BQ187" s="14" t="str">
        <f>IF(AND(ISNUMBER($I187),OR($K187="Milestone",$K187="Deadline"),$I187&gt;=BQ$4,$I187&lt;BQ$4+7),IF($K187="Deadline","◇","◆"),"")</f>
        <v/>
      </c>
      <c r="BR187" s="14" t="str">
        <f>IF(AND(ISNUMBER($I187),OR($K187="Milestone",$K187="Deadline"),$I187&gt;=BR$4,$I187&lt;BR$4+7),IF($K187="Deadline","◇","◆"),"")</f>
        <v/>
      </c>
      <c r="BS187" s="14" t="str">
        <f>IF(AND(ISNUMBER($I187),OR($K187="Milestone",$K187="Deadline"),$I187&gt;=BS$4,$I187&lt;BS$4+7),IF($K187="Deadline","◇","◆"),"")</f>
        <v/>
      </c>
      <c r="BT187" s="14" t="str">
        <f>IF(AND(ISNUMBER($I187),OR($K187="Milestone",$K187="Deadline"),$I187&gt;=BT$4,$I187&lt;BT$4+7),IF($K187="Deadline","◇","◆"),"")</f>
        <v/>
      </c>
      <c r="BU187" s="14" t="str">
        <f>IF(AND(ISNUMBER($I187),OR($K187="Milestone",$K187="Deadline"),$I187&gt;=BU$4,$I187&lt;BU$4+7),IF($K187="Deadline","◇","◆"),"")</f>
        <v/>
      </c>
      <c r="BV187" s="14" t="str">
        <f>IF(AND(ISNUMBER($I187),OR($K187="Milestone",$K187="Deadline"),$I187&gt;=BV$4,$I187&lt;BV$4+7),IF($K187="Deadline","◇","◆"),"")</f>
        <v/>
      </c>
      <c r="BW187" s="14" t="str">
        <f>IF(AND(ISNUMBER($I187),OR($K187="Milestone",$K187="Deadline"),$I187&gt;=BW$4,$I187&lt;BW$4+7),IF($K187="Deadline","◇","◆"),"")</f>
        <v/>
      </c>
      <c r="BX187" s="14" t="str">
        <f>IF(AND(ISNUMBER($I187),OR($K187="Milestone",$K187="Deadline"),$I187&gt;=BX$4,$I187&lt;BX$4+7),IF($K187="Deadline","◇","◆"),"")</f>
        <v/>
      </c>
      <c r="BY187" s="14" t="str">
        <f>IF(AND(ISNUMBER($I187),OR($K187="Milestone",$K187="Deadline"),$I187&gt;=BY$4,$I187&lt;BY$4+7),IF($K187="Deadline","◇","◆"),"")</f>
        <v/>
      </c>
      <c r="BZ187" s="14" t="str">
        <f>IF(AND(ISNUMBER($I187),OR($K187="Milestone",$K187="Deadline"),$I187&gt;=BZ$4,$I187&lt;BZ$4+7),IF($K187="Deadline","◇","◆"),"")</f>
        <v/>
      </c>
      <c r="CA187" s="14" t="str">
        <f>IF(AND(ISNUMBER($I187),OR($K187="Milestone",$K187="Deadline"),$I187&gt;=CA$4,$I187&lt;CA$4+7),IF($K187="Deadline","◇","◆"),"")</f>
        <v/>
      </c>
      <c r="CB187" s="14" t="str">
        <f>IF(AND(ISNUMBER($I187),OR($K187="Milestone",$K187="Deadline"),$I187&gt;=CB$4,$I187&lt;CB$4+7),IF($K187="Deadline","◇","◆"),"")</f>
        <v/>
      </c>
      <c r="CC187" s="14" t="str">
        <f>IF(AND(ISNUMBER($I187),OR($K187="Milestone",$K187="Deadline"),$I187&gt;=CC$4,$I187&lt;CC$4+7),IF($K187="Deadline","◇","◆"),"")</f>
        <v/>
      </c>
      <c r="CD187" s="14" t="str">
        <f>IF(AND(ISNUMBER($I187),OR($K187="Milestone",$K187="Deadline"),$I187&gt;=CD$4,$I187&lt;CD$4+7),IF($K187="Deadline","◇","◆"),"")</f>
        <v/>
      </c>
      <c r="CE187" s="14" t="str">
        <f>IF(AND(ISNUMBER($I187),OR($K187="Milestone",$K187="Deadline"),$I187&gt;=CE$4,$I187&lt;CE$4+7),IF($K187="Deadline","◇","◆"),"")</f>
        <v/>
      </c>
      <c r="CF187" s="14" t="str">
        <f>IF(AND(ISNUMBER($I187),OR($K187="Milestone",$K187="Deadline"),$I187&gt;=CF$4,$I187&lt;CF$4+7),IF($K187="Deadline","◇","◆"),"")</f>
        <v/>
      </c>
      <c r="CG187" s="14" t="str">
        <f>IF(AND(ISNUMBER($I187),OR($K187="Milestone",$K187="Deadline"),$I187&gt;=CG$4,$I187&lt;CG$4+7),IF($K187="Deadline","◇","◆"),"")</f>
        <v/>
      </c>
      <c r="CH187" s="14" t="str">
        <f>IF(AND(ISNUMBER($I187),OR($K187="Milestone",$K187="Deadline"),$I187&gt;=CH$4,$I187&lt;CH$4+7),IF($K187="Deadline","◇","◆"),"")</f>
        <v/>
      </c>
      <c r="CI187" s="14" t="str">
        <f>IF(AND(ISNUMBER($I187),OR($K187="Milestone",$K187="Deadline"),$I187&gt;=CI$4,$I187&lt;CI$4+7),IF($K187="Deadline","◇","◆"),"")</f>
        <v/>
      </c>
      <c r="CJ187" s="14" t="str">
        <f>IF(AND(ISNUMBER($I187),OR($K187="Milestone",$K187="Deadline"),$I187&gt;=CJ$4,$I187&lt;CJ$4+7),IF($K187="Deadline","◇","◆"),"")</f>
        <v/>
      </c>
      <c r="CK187" s="14" t="str">
        <f>IF(AND(ISNUMBER($I187),OR($K187="Milestone",$K187="Deadline"),$I187&gt;=CK$4,$I187&lt;CK$4+7),IF($K187="Deadline","◇","◆"),"")</f>
        <v/>
      </c>
      <c r="CL187" s="14" t="str">
        <f>IF(AND(ISNUMBER($I187),OR($K187="Milestone",$K187="Deadline"),$I187&gt;=CL$4,$I187&lt;CL$4+7),IF($K187="Deadline","◇","◆"),"")</f>
        <v/>
      </c>
      <c r="CM187" s="14" t="str">
        <f>IF(AND(ISNUMBER($I187),OR($K187="Milestone",$K187="Deadline"),$I187&gt;=CM$4,$I187&lt;CM$4+7),IF($K187="Deadline","◇","◆"),"")</f>
        <v/>
      </c>
    </row>
    <row r="188" spans="1:91" ht="15" hidden="1" customHeight="1">
      <c r="A188" s="43" t="s">
        <v>428</v>
      </c>
      <c r="B188" s="43" t="s">
        <v>418</v>
      </c>
      <c r="C188" s="43" t="s">
        <v>93</v>
      </c>
      <c r="D188" s="43" t="s">
        <v>419</v>
      </c>
      <c r="E188" s="43" t="s">
        <v>281</v>
      </c>
      <c r="F188" s="43" t="s">
        <v>179</v>
      </c>
      <c r="G188" s="43" t="s">
        <v>176</v>
      </c>
      <c r="H188" s="43">
        <v>7</v>
      </c>
      <c r="I188" s="44">
        <f>MAX($C$2,J180+1,J182+1)</f>
        <v>46356</v>
      </c>
      <c r="J188" s="45">
        <f>IF(AND(ISNUMBER(I188),ISNUMBER(H188)),I188+H188-1,"")</f>
        <v>46362</v>
      </c>
      <c r="K188" s="43" t="s">
        <v>27</v>
      </c>
      <c r="L188" s="43" t="s">
        <v>429</v>
      </c>
      <c r="M188" s="46"/>
      <c r="N188" s="43"/>
      <c r="O188" s="46">
        <f>IF(AND(ISNUMBER(I188),ISNUMBER(J188)),J188-I188+1,"")</f>
        <v>7</v>
      </c>
      <c r="P188" s="13"/>
      <c r="Q188" s="13"/>
      <c r="R188" s="13"/>
      <c r="S188" s="13"/>
      <c r="T188" s="13"/>
      <c r="U188" s="13"/>
      <c r="V188" s="13"/>
      <c r="W188" s="13" t="s">
        <v>140</v>
      </c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4" t="str">
        <f>IF(AND(ISNUMBER($I188),OR($K188="Milestone",$K188="Deadline"),$I188&gt;=AO$4,$I188&lt;AO$4+7),IF($K188="Deadline","◇","◆"),"")</f>
        <v/>
      </c>
      <c r="AP188" s="14" t="str">
        <f>IF(AND(ISNUMBER($I188),OR($K188="Milestone",$K188="Deadline"),$I188&gt;=AP$4,$I188&lt;AP$4+7),IF($K188="Deadline","◇","◆"),"")</f>
        <v/>
      </c>
      <c r="AQ188" s="14" t="str">
        <f>IF(AND(ISNUMBER($I188),OR($K188="Milestone",$K188="Deadline"),$I188&gt;=AQ$4,$I188&lt;AQ$4+7),IF($K188="Deadline","◇","◆"),"")</f>
        <v/>
      </c>
      <c r="AR188" s="14" t="str">
        <f>IF(AND(ISNUMBER($I188),OR($K188="Milestone",$K188="Deadline"),$I188&gt;=AR$4,$I188&lt;AR$4+7),IF($K188="Deadline","◇","◆"),"")</f>
        <v/>
      </c>
      <c r="AS188" s="14" t="str">
        <f>IF(AND(ISNUMBER($I188),OR($K188="Milestone",$K188="Deadline"),$I188&gt;=AS$4,$I188&lt;AS$4+7),IF($K188="Deadline","◇","◆"),"")</f>
        <v/>
      </c>
      <c r="AT188" s="14" t="str">
        <f>IF(AND(ISNUMBER($I188),OR($K188="Milestone",$K188="Deadline"),$I188&gt;=AT$4,$I188&lt;AT$4+7),IF($K188="Deadline","◇","◆"),"")</f>
        <v/>
      </c>
      <c r="AU188" s="14" t="str">
        <f>IF(AND(ISNUMBER($I188),OR($K188="Milestone",$K188="Deadline"),$I188&gt;=AU$4,$I188&lt;AU$4+7),IF($K188="Deadline","◇","◆"),"")</f>
        <v/>
      </c>
      <c r="AV188" s="14" t="str">
        <f>IF(AND(ISNUMBER($I188),OR($K188="Milestone",$K188="Deadline"),$I188&gt;=AV$4,$I188&lt;AV$4+7),IF($K188="Deadline","◇","◆"),"")</f>
        <v/>
      </c>
      <c r="AW188" s="14" t="str">
        <f>IF(AND(ISNUMBER($I188),OR($K188="Milestone",$K188="Deadline"),$I188&gt;=AW$4,$I188&lt;AW$4+7),IF($K188="Deadline","◇","◆"),"")</f>
        <v/>
      </c>
      <c r="AX188" s="14" t="str">
        <f>IF(AND(ISNUMBER($I188),OR($K188="Milestone",$K188="Deadline"),$I188&gt;=AX$4,$I188&lt;AX$4+7),IF($K188="Deadline","◇","◆"),"")</f>
        <v/>
      </c>
      <c r="AY188" s="14" t="str">
        <f>IF(AND(ISNUMBER($I188),OR($K188="Milestone",$K188="Deadline"),$I188&gt;=AY$4,$I188&lt;AY$4+7),IF($K188="Deadline","◇","◆"),"")</f>
        <v/>
      </c>
      <c r="AZ188" s="14" t="str">
        <f>IF(AND(ISNUMBER($I188),OR($K188="Milestone",$K188="Deadline"),$I188&gt;=AZ$4,$I188&lt;AZ$4+7),IF($K188="Deadline","◇","◆"),"")</f>
        <v/>
      </c>
      <c r="BA188" s="14" t="str">
        <f>IF(AND(ISNUMBER($I188),OR($K188="Milestone",$K188="Deadline"),$I188&gt;=BA$4,$I188&lt;BA$4+7),IF($K188="Deadline","◇","◆"),"")</f>
        <v/>
      </c>
      <c r="BB188" s="14" t="str">
        <f>IF(AND(ISNUMBER($I188),OR($K188="Milestone",$K188="Deadline"),$I188&gt;=BB$4,$I188&lt;BB$4+7),IF($K188="Deadline","◇","◆"),"")</f>
        <v/>
      </c>
      <c r="BC188" s="14" t="str">
        <f>IF(AND(ISNUMBER($I188),OR($K188="Milestone",$K188="Deadline"),$I188&gt;=BC$4,$I188&lt;BC$4+7),IF($K188="Deadline","◇","◆"),"")</f>
        <v/>
      </c>
      <c r="BD188" s="14" t="str">
        <f>IF(AND(ISNUMBER($I188),OR($K188="Milestone",$K188="Deadline"),$I188&gt;=BD$4,$I188&lt;BD$4+7),IF($K188="Deadline","◇","◆"),"")</f>
        <v/>
      </c>
      <c r="BE188" s="14" t="str">
        <f>IF(AND(ISNUMBER($I188),OR($K188="Milestone",$K188="Deadline"),$I188&gt;=BE$4,$I188&lt;BE$4+7),IF($K188="Deadline","◇","◆"),"")</f>
        <v/>
      </c>
      <c r="BF188" s="14" t="str">
        <f>IF(AND(ISNUMBER($I188),OR($K188="Milestone",$K188="Deadline"),$I188&gt;=BF$4,$I188&lt;BF$4+7),IF($K188="Deadline","◇","◆"),"")</f>
        <v/>
      </c>
      <c r="BG188" s="14" t="str">
        <f>IF(AND(ISNUMBER($I188),OR($K188="Milestone",$K188="Deadline"),$I188&gt;=BG$4,$I188&lt;BG$4+7),IF($K188="Deadline","◇","◆"),"")</f>
        <v/>
      </c>
      <c r="BH188" s="14" t="str">
        <f>IF(AND(ISNUMBER($I188),OR($K188="Milestone",$K188="Deadline"),$I188&gt;=BH$4,$I188&lt;BH$4+7),IF($K188="Deadline","◇","◆"),"")</f>
        <v/>
      </c>
      <c r="BI188" s="14" t="str">
        <f>IF(AND(ISNUMBER($I188),OR($K188="Milestone",$K188="Deadline"),$I188&gt;=BI$4,$I188&lt;BI$4+7),IF($K188="Deadline","◇","◆"),"")</f>
        <v/>
      </c>
      <c r="BJ188" s="14" t="str">
        <f>IF(AND(ISNUMBER($I188),OR($K188="Milestone",$K188="Deadline"),$I188&gt;=BJ$4,$I188&lt;BJ$4+7),IF($K188="Deadline","◇","◆"),"")</f>
        <v/>
      </c>
      <c r="BK188" s="14" t="str">
        <f>IF(AND(ISNUMBER($I188),OR($K188="Milestone",$K188="Deadline"),$I188&gt;=BK$4,$I188&lt;BK$4+7),IF($K188="Deadline","◇","◆"),"")</f>
        <v/>
      </c>
      <c r="BL188" s="14" t="str">
        <f>IF(AND(ISNUMBER($I188),OR($K188="Milestone",$K188="Deadline"),$I188&gt;=BL$4,$I188&lt;BL$4+7),IF($K188="Deadline","◇","◆"),"")</f>
        <v/>
      </c>
      <c r="BM188" s="14" t="str">
        <f>IF(AND(ISNUMBER($I188),OR($K188="Milestone",$K188="Deadline"),$I188&gt;=BM$4,$I188&lt;BM$4+7),IF($K188="Deadline","◇","◆"),"")</f>
        <v/>
      </c>
      <c r="BN188" s="14" t="str">
        <f>IF(AND(ISNUMBER($I188),OR($K188="Milestone",$K188="Deadline"),$I188&gt;=BN$4,$I188&lt;BN$4+7),IF($K188="Deadline","◇","◆"),"")</f>
        <v/>
      </c>
      <c r="BO188" s="14" t="str">
        <f>IF(AND(ISNUMBER($I188),OR($K188="Milestone",$K188="Deadline"),$I188&gt;=BO$4,$I188&lt;BO$4+7),IF($K188="Deadline","◇","◆"),"")</f>
        <v/>
      </c>
      <c r="BP188" s="14" t="str">
        <f>IF(AND(ISNUMBER($I188),OR($K188="Milestone",$K188="Deadline"),$I188&gt;=BP$4,$I188&lt;BP$4+7),IF($K188="Deadline","◇","◆"),"")</f>
        <v/>
      </c>
      <c r="BQ188" s="14" t="str">
        <f>IF(AND(ISNUMBER($I188),OR($K188="Milestone",$K188="Deadline"),$I188&gt;=BQ$4,$I188&lt;BQ$4+7),IF($K188="Deadline","◇","◆"),"")</f>
        <v/>
      </c>
      <c r="BR188" s="14" t="str">
        <f>IF(AND(ISNUMBER($I188),OR($K188="Milestone",$K188="Deadline"),$I188&gt;=BR$4,$I188&lt;BR$4+7),IF($K188="Deadline","◇","◆"),"")</f>
        <v/>
      </c>
      <c r="BS188" s="14" t="str">
        <f>IF(AND(ISNUMBER($I188),OR($K188="Milestone",$K188="Deadline"),$I188&gt;=BS$4,$I188&lt;BS$4+7),IF($K188="Deadline","◇","◆"),"")</f>
        <v/>
      </c>
      <c r="BT188" s="14" t="str">
        <f>IF(AND(ISNUMBER($I188),OR($K188="Milestone",$K188="Deadline"),$I188&gt;=BT$4,$I188&lt;BT$4+7),IF($K188="Deadline","◇","◆"),"")</f>
        <v/>
      </c>
      <c r="BU188" s="14" t="str">
        <f>IF(AND(ISNUMBER($I188),OR($K188="Milestone",$K188="Deadline"),$I188&gt;=BU$4,$I188&lt;BU$4+7),IF($K188="Deadline","◇","◆"),"")</f>
        <v/>
      </c>
      <c r="BV188" s="14" t="str">
        <f>IF(AND(ISNUMBER($I188),OR($K188="Milestone",$K188="Deadline"),$I188&gt;=BV$4,$I188&lt;BV$4+7),IF($K188="Deadline","◇","◆"),"")</f>
        <v/>
      </c>
      <c r="BW188" s="14" t="str">
        <f>IF(AND(ISNUMBER($I188),OR($K188="Milestone",$K188="Deadline"),$I188&gt;=BW$4,$I188&lt;BW$4+7),IF($K188="Deadline","◇","◆"),"")</f>
        <v/>
      </c>
      <c r="BX188" s="14" t="str">
        <f>IF(AND(ISNUMBER($I188),OR($K188="Milestone",$K188="Deadline"),$I188&gt;=BX$4,$I188&lt;BX$4+7),IF($K188="Deadline","◇","◆"),"")</f>
        <v/>
      </c>
      <c r="BY188" s="14" t="str">
        <f>IF(AND(ISNUMBER($I188),OR($K188="Milestone",$K188="Deadline"),$I188&gt;=BY$4,$I188&lt;BY$4+7),IF($K188="Deadline","◇","◆"),"")</f>
        <v/>
      </c>
      <c r="BZ188" s="14" t="str">
        <f>IF(AND(ISNUMBER($I188),OR($K188="Milestone",$K188="Deadline"),$I188&gt;=BZ$4,$I188&lt;BZ$4+7),IF($K188="Deadline","◇","◆"),"")</f>
        <v/>
      </c>
      <c r="CA188" s="14" t="str">
        <f>IF(AND(ISNUMBER($I188),OR($K188="Milestone",$K188="Deadline"),$I188&gt;=CA$4,$I188&lt;CA$4+7),IF($K188="Deadline","◇","◆"),"")</f>
        <v/>
      </c>
      <c r="CB188" s="14" t="str">
        <f>IF(AND(ISNUMBER($I188),OR($K188="Milestone",$K188="Deadline"),$I188&gt;=CB$4,$I188&lt;CB$4+7),IF($K188="Deadline","◇","◆"),"")</f>
        <v/>
      </c>
      <c r="CC188" s="14" t="str">
        <f>IF(AND(ISNUMBER($I188),OR($K188="Milestone",$K188="Deadline"),$I188&gt;=CC$4,$I188&lt;CC$4+7),IF($K188="Deadline","◇","◆"),"")</f>
        <v/>
      </c>
      <c r="CD188" s="14" t="str">
        <f>IF(AND(ISNUMBER($I188),OR($K188="Milestone",$K188="Deadline"),$I188&gt;=CD$4,$I188&lt;CD$4+7),IF($K188="Deadline","◇","◆"),"")</f>
        <v/>
      </c>
      <c r="CE188" s="14" t="str">
        <f>IF(AND(ISNUMBER($I188),OR($K188="Milestone",$K188="Deadline"),$I188&gt;=CE$4,$I188&lt;CE$4+7),IF($K188="Deadline","◇","◆"),"")</f>
        <v/>
      </c>
      <c r="CF188" s="14" t="str">
        <f>IF(AND(ISNUMBER($I188),OR($K188="Milestone",$K188="Deadline"),$I188&gt;=CF$4,$I188&lt;CF$4+7),IF($K188="Deadline","◇","◆"),"")</f>
        <v/>
      </c>
      <c r="CG188" s="14" t="str">
        <f>IF(AND(ISNUMBER($I188),OR($K188="Milestone",$K188="Deadline"),$I188&gt;=CG$4,$I188&lt;CG$4+7),IF($K188="Deadline","◇","◆"),"")</f>
        <v/>
      </c>
      <c r="CH188" s="14" t="str">
        <f>IF(AND(ISNUMBER($I188),OR($K188="Milestone",$K188="Deadline"),$I188&gt;=CH$4,$I188&lt;CH$4+7),IF($K188="Deadline","◇","◆"),"")</f>
        <v/>
      </c>
      <c r="CI188" s="14" t="str">
        <f>IF(AND(ISNUMBER($I188),OR($K188="Milestone",$K188="Deadline"),$I188&gt;=CI$4,$I188&lt;CI$4+7),IF($K188="Deadline","◇","◆"),"")</f>
        <v/>
      </c>
      <c r="CJ188" s="14" t="str">
        <f>IF(AND(ISNUMBER($I188),OR($K188="Milestone",$K188="Deadline"),$I188&gt;=CJ$4,$I188&lt;CJ$4+7),IF($K188="Deadline","◇","◆"),"")</f>
        <v/>
      </c>
      <c r="CK188" s="14" t="str">
        <f>IF(AND(ISNUMBER($I188),OR($K188="Milestone",$K188="Deadline"),$I188&gt;=CK$4,$I188&lt;CK$4+7),IF($K188="Deadline","◇","◆"),"")</f>
        <v/>
      </c>
      <c r="CL188" s="14" t="str">
        <f>IF(AND(ISNUMBER($I188),OR($K188="Milestone",$K188="Deadline"),$I188&gt;=CL$4,$I188&lt;CL$4+7),IF($K188="Deadline","◇","◆"),"")</f>
        <v/>
      </c>
      <c r="CM188" s="14" t="str">
        <f>IF(AND(ISNUMBER($I188),OR($K188="Milestone",$K188="Deadline"),$I188&gt;=CM$4,$I188&lt;CM$4+7),IF($K188="Deadline","◇","◆"),"")</f>
        <v/>
      </c>
    </row>
    <row r="189" spans="1:91" ht="15" hidden="1" customHeight="1">
      <c r="A189" s="43" t="s">
        <v>159</v>
      </c>
      <c r="B189" s="43" t="s">
        <v>418</v>
      </c>
      <c r="C189" s="43" t="s">
        <v>93</v>
      </c>
      <c r="D189" s="43" t="s">
        <v>419</v>
      </c>
      <c r="E189" s="43" t="s">
        <v>281</v>
      </c>
      <c r="F189" s="43" t="s">
        <v>179</v>
      </c>
      <c r="G189" s="43" t="s">
        <v>184</v>
      </c>
      <c r="H189" s="43">
        <v>7</v>
      </c>
      <c r="I189" s="44">
        <f>MAX($C$2,J188+1,J36+1)</f>
        <v>46363</v>
      </c>
      <c r="J189" s="45">
        <f>IF(AND(ISNUMBER(I189),ISNUMBER(H189)),I189+H189-1,"")</f>
        <v>46369</v>
      </c>
      <c r="K189" s="43" t="s">
        <v>27</v>
      </c>
      <c r="L189" s="43" t="s">
        <v>428</v>
      </c>
      <c r="M189" s="46" t="s">
        <v>147</v>
      </c>
      <c r="N189" s="43"/>
      <c r="O189" s="46">
        <f>IF(AND(ISNUMBER(I189),ISNUMBER(J189)),J189-I189+1,"")</f>
        <v>7</v>
      </c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 t="s">
        <v>140</v>
      </c>
      <c r="AI189" s="13"/>
      <c r="AJ189" s="13"/>
      <c r="AK189" s="13"/>
      <c r="AL189" s="13"/>
      <c r="AM189" s="13"/>
      <c r="AN189" s="13"/>
      <c r="AO189" s="14" t="str">
        <f>IF(AND(ISNUMBER($I189),OR($K189="Milestone",$K189="Deadline"),$I189&gt;=AO$4,$I189&lt;AO$4+7),IF($K189="Deadline","◇","◆"),"")</f>
        <v/>
      </c>
      <c r="AP189" s="14" t="str">
        <f>IF(AND(ISNUMBER($I189),OR($K189="Milestone",$K189="Deadline"),$I189&gt;=AP$4,$I189&lt;AP$4+7),IF($K189="Deadline","◇","◆"),"")</f>
        <v/>
      </c>
      <c r="AQ189" s="14" t="str">
        <f>IF(AND(ISNUMBER($I189),OR($K189="Milestone",$K189="Deadline"),$I189&gt;=AQ$4,$I189&lt;AQ$4+7),IF($K189="Deadline","◇","◆"),"")</f>
        <v/>
      </c>
      <c r="AR189" s="14" t="str">
        <f>IF(AND(ISNUMBER($I189),OR($K189="Milestone",$K189="Deadline"),$I189&gt;=AR$4,$I189&lt;AR$4+7),IF($K189="Deadline","◇","◆"),"")</f>
        <v/>
      </c>
      <c r="AS189" s="14" t="str">
        <f>IF(AND(ISNUMBER($I189),OR($K189="Milestone",$K189="Deadline"),$I189&gt;=AS$4,$I189&lt;AS$4+7),IF($K189="Deadline","◇","◆"),"")</f>
        <v/>
      </c>
      <c r="AT189" s="14" t="str">
        <f>IF(AND(ISNUMBER($I189),OR($K189="Milestone",$K189="Deadline"),$I189&gt;=AT$4,$I189&lt;AT$4+7),IF($K189="Deadline","◇","◆"),"")</f>
        <v/>
      </c>
      <c r="AU189" s="14" t="str">
        <f>IF(AND(ISNUMBER($I189),OR($K189="Milestone",$K189="Deadline"),$I189&gt;=AU$4,$I189&lt;AU$4+7),IF($K189="Deadline","◇","◆"),"")</f>
        <v/>
      </c>
      <c r="AV189" s="14" t="str">
        <f>IF(AND(ISNUMBER($I189),OR($K189="Milestone",$K189="Deadline"),$I189&gt;=AV$4,$I189&lt;AV$4+7),IF($K189="Deadline","◇","◆"),"")</f>
        <v/>
      </c>
      <c r="AW189" s="14" t="str">
        <f>IF(AND(ISNUMBER($I189),OR($K189="Milestone",$K189="Deadline"),$I189&gt;=AW$4,$I189&lt;AW$4+7),IF($K189="Deadline","◇","◆"),"")</f>
        <v/>
      </c>
      <c r="AX189" s="14" t="str">
        <f>IF(AND(ISNUMBER($I189),OR($K189="Milestone",$K189="Deadline"),$I189&gt;=AX$4,$I189&lt;AX$4+7),IF($K189="Deadline","◇","◆"),"")</f>
        <v/>
      </c>
      <c r="AY189" s="14" t="str">
        <f>IF(AND(ISNUMBER($I189),OR($K189="Milestone",$K189="Deadline"),$I189&gt;=AY$4,$I189&lt;AY$4+7),IF($K189="Deadline","◇","◆"),"")</f>
        <v/>
      </c>
      <c r="AZ189" s="14" t="str">
        <f>IF(AND(ISNUMBER($I189),OR($K189="Milestone",$K189="Deadline"),$I189&gt;=AZ$4,$I189&lt;AZ$4+7),IF($K189="Deadline","◇","◆"),"")</f>
        <v/>
      </c>
      <c r="BA189" s="14" t="str">
        <f>IF(AND(ISNUMBER($I189),OR($K189="Milestone",$K189="Deadline"),$I189&gt;=BA$4,$I189&lt;BA$4+7),IF($K189="Deadline","◇","◆"),"")</f>
        <v/>
      </c>
      <c r="BB189" s="14" t="str">
        <f>IF(AND(ISNUMBER($I189),OR($K189="Milestone",$K189="Deadline"),$I189&gt;=BB$4,$I189&lt;BB$4+7),IF($K189="Deadline","◇","◆"),"")</f>
        <v/>
      </c>
      <c r="BC189" s="14" t="str">
        <f>IF(AND(ISNUMBER($I189),OR($K189="Milestone",$K189="Deadline"),$I189&gt;=BC$4,$I189&lt;BC$4+7),IF($K189="Deadline","◇","◆"),"")</f>
        <v/>
      </c>
      <c r="BD189" s="14" t="str">
        <f>IF(AND(ISNUMBER($I189),OR($K189="Milestone",$K189="Deadline"),$I189&gt;=BD$4,$I189&lt;BD$4+7),IF($K189="Deadline","◇","◆"),"")</f>
        <v/>
      </c>
      <c r="BE189" s="14" t="str">
        <f>IF(AND(ISNUMBER($I189),OR($K189="Milestone",$K189="Deadline"),$I189&gt;=BE$4,$I189&lt;BE$4+7),IF($K189="Deadline","◇","◆"),"")</f>
        <v/>
      </c>
      <c r="BF189" s="14" t="str">
        <f>IF(AND(ISNUMBER($I189),OR($K189="Milestone",$K189="Deadline"),$I189&gt;=BF$4,$I189&lt;BF$4+7),IF($K189="Deadline","◇","◆"),"")</f>
        <v/>
      </c>
      <c r="BG189" s="14" t="str">
        <f>IF(AND(ISNUMBER($I189),OR($K189="Milestone",$K189="Deadline"),$I189&gt;=BG$4,$I189&lt;BG$4+7),IF($K189="Deadline","◇","◆"),"")</f>
        <v/>
      </c>
      <c r="BH189" s="14" t="str">
        <f>IF(AND(ISNUMBER($I189),OR($K189="Milestone",$K189="Deadline"),$I189&gt;=BH$4,$I189&lt;BH$4+7),IF($K189="Deadline","◇","◆"),"")</f>
        <v/>
      </c>
      <c r="BI189" s="14" t="str">
        <f>IF(AND(ISNUMBER($I189),OR($K189="Milestone",$K189="Deadline"),$I189&gt;=BI$4,$I189&lt;BI$4+7),IF($K189="Deadline","◇","◆"),"")</f>
        <v/>
      </c>
      <c r="BJ189" s="14" t="str">
        <f>IF(AND(ISNUMBER($I189),OR($K189="Milestone",$K189="Deadline"),$I189&gt;=BJ$4,$I189&lt;BJ$4+7),IF($K189="Deadline","◇","◆"),"")</f>
        <v/>
      </c>
      <c r="BK189" s="14" t="str">
        <f>IF(AND(ISNUMBER($I189),OR($K189="Milestone",$K189="Deadline"),$I189&gt;=BK$4,$I189&lt;BK$4+7),IF($K189="Deadline","◇","◆"),"")</f>
        <v/>
      </c>
      <c r="BL189" s="14" t="str">
        <f>IF(AND(ISNUMBER($I189),OR($K189="Milestone",$K189="Deadline"),$I189&gt;=BL$4,$I189&lt;BL$4+7),IF($K189="Deadline","◇","◆"),"")</f>
        <v/>
      </c>
      <c r="BM189" s="14" t="str">
        <f>IF(AND(ISNUMBER($I189),OR($K189="Milestone",$K189="Deadline"),$I189&gt;=BM$4,$I189&lt;BM$4+7),IF($K189="Deadline","◇","◆"),"")</f>
        <v/>
      </c>
      <c r="BN189" s="14" t="str">
        <f>IF(AND(ISNUMBER($I189),OR($K189="Milestone",$K189="Deadline"),$I189&gt;=BN$4,$I189&lt;BN$4+7),IF($K189="Deadline","◇","◆"),"")</f>
        <v/>
      </c>
      <c r="BO189" s="14" t="str">
        <f>IF(AND(ISNUMBER($I189),OR($K189="Milestone",$K189="Deadline"),$I189&gt;=BO$4,$I189&lt;BO$4+7),IF($K189="Deadline","◇","◆"),"")</f>
        <v/>
      </c>
      <c r="BP189" s="14" t="str">
        <f>IF(AND(ISNUMBER($I189),OR($K189="Milestone",$K189="Deadline"),$I189&gt;=BP$4,$I189&lt;BP$4+7),IF($K189="Deadline","◇","◆"),"")</f>
        <v/>
      </c>
      <c r="BQ189" s="14" t="str">
        <f>IF(AND(ISNUMBER($I189),OR($K189="Milestone",$K189="Deadline"),$I189&gt;=BQ$4,$I189&lt;BQ$4+7),IF($K189="Deadline","◇","◆"),"")</f>
        <v/>
      </c>
      <c r="BR189" s="14" t="str">
        <f>IF(AND(ISNUMBER($I189),OR($K189="Milestone",$K189="Deadline"),$I189&gt;=BR$4,$I189&lt;BR$4+7),IF($K189="Deadline","◇","◆"),"")</f>
        <v/>
      </c>
      <c r="BS189" s="14" t="str">
        <f>IF(AND(ISNUMBER($I189),OR($K189="Milestone",$K189="Deadline"),$I189&gt;=BS$4,$I189&lt;BS$4+7),IF($K189="Deadline","◇","◆"),"")</f>
        <v/>
      </c>
      <c r="BT189" s="14" t="str">
        <f>IF(AND(ISNUMBER($I189),OR($K189="Milestone",$K189="Deadline"),$I189&gt;=BT$4,$I189&lt;BT$4+7),IF($K189="Deadline","◇","◆"),"")</f>
        <v/>
      </c>
      <c r="BU189" s="14" t="str">
        <f>IF(AND(ISNUMBER($I189),OR($K189="Milestone",$K189="Deadline"),$I189&gt;=BU$4,$I189&lt;BU$4+7),IF($K189="Deadline","◇","◆"),"")</f>
        <v/>
      </c>
      <c r="BV189" s="14" t="str">
        <f>IF(AND(ISNUMBER($I189),OR($K189="Milestone",$K189="Deadline"),$I189&gt;=BV$4,$I189&lt;BV$4+7),IF($K189="Deadline","◇","◆"),"")</f>
        <v/>
      </c>
      <c r="BW189" s="14" t="str">
        <f>IF(AND(ISNUMBER($I189),OR($K189="Milestone",$K189="Deadline"),$I189&gt;=BW$4,$I189&lt;BW$4+7),IF($K189="Deadline","◇","◆"),"")</f>
        <v/>
      </c>
      <c r="BX189" s="14" t="str">
        <f>IF(AND(ISNUMBER($I189),OR($K189="Milestone",$K189="Deadline"),$I189&gt;=BX$4,$I189&lt;BX$4+7),IF($K189="Deadline","◇","◆"),"")</f>
        <v/>
      </c>
      <c r="BY189" s="14" t="str">
        <f>IF(AND(ISNUMBER($I189),OR($K189="Milestone",$K189="Deadline"),$I189&gt;=BY$4,$I189&lt;BY$4+7),IF($K189="Deadline","◇","◆"),"")</f>
        <v/>
      </c>
      <c r="BZ189" s="14" t="str">
        <f>IF(AND(ISNUMBER($I189),OR($K189="Milestone",$K189="Deadline"),$I189&gt;=BZ$4,$I189&lt;BZ$4+7),IF($K189="Deadline","◇","◆"),"")</f>
        <v/>
      </c>
      <c r="CA189" s="14" t="str">
        <f>IF(AND(ISNUMBER($I189),OR($K189="Milestone",$K189="Deadline"),$I189&gt;=CA$4,$I189&lt;CA$4+7),IF($K189="Deadline","◇","◆"),"")</f>
        <v/>
      </c>
      <c r="CB189" s="14" t="str">
        <f>IF(AND(ISNUMBER($I189),OR($K189="Milestone",$K189="Deadline"),$I189&gt;=CB$4,$I189&lt;CB$4+7),IF($K189="Deadline","◇","◆"),"")</f>
        <v/>
      </c>
      <c r="CC189" s="14" t="str">
        <f>IF(AND(ISNUMBER($I189),OR($K189="Milestone",$K189="Deadline"),$I189&gt;=CC$4,$I189&lt;CC$4+7),IF($K189="Deadline","◇","◆"),"")</f>
        <v/>
      </c>
      <c r="CD189" s="14" t="str">
        <f>IF(AND(ISNUMBER($I189),OR($K189="Milestone",$K189="Deadline"),$I189&gt;=CD$4,$I189&lt;CD$4+7),IF($K189="Deadline","◇","◆"),"")</f>
        <v/>
      </c>
      <c r="CE189" s="14" t="str">
        <f>IF(AND(ISNUMBER($I189),OR($K189="Milestone",$K189="Deadline"),$I189&gt;=CE$4,$I189&lt;CE$4+7),IF($K189="Deadline","◇","◆"),"")</f>
        <v/>
      </c>
      <c r="CF189" s="14" t="str">
        <f>IF(AND(ISNUMBER($I189),OR($K189="Milestone",$K189="Deadline"),$I189&gt;=CF$4,$I189&lt;CF$4+7),IF($K189="Deadline","◇","◆"),"")</f>
        <v/>
      </c>
      <c r="CG189" s="14" t="str">
        <f>IF(AND(ISNUMBER($I189),OR($K189="Milestone",$K189="Deadline"),$I189&gt;=CG$4,$I189&lt;CG$4+7),IF($K189="Deadline","◇","◆"),"")</f>
        <v/>
      </c>
      <c r="CH189" s="14" t="str">
        <f>IF(AND(ISNUMBER($I189),OR($K189="Milestone",$K189="Deadline"),$I189&gt;=CH$4,$I189&lt;CH$4+7),IF($K189="Deadline","◇","◆"),"")</f>
        <v/>
      </c>
      <c r="CI189" s="14" t="str">
        <f>IF(AND(ISNUMBER($I189),OR($K189="Milestone",$K189="Deadline"),$I189&gt;=CI$4,$I189&lt;CI$4+7),IF($K189="Deadline","◇","◆"),"")</f>
        <v/>
      </c>
      <c r="CJ189" s="14" t="str">
        <f>IF(AND(ISNUMBER($I189),OR($K189="Milestone",$K189="Deadline"),$I189&gt;=CJ$4,$I189&lt;CJ$4+7),IF($K189="Deadline","◇","◆"),"")</f>
        <v/>
      </c>
      <c r="CK189" s="14" t="str">
        <f>IF(AND(ISNUMBER($I189),OR($K189="Milestone",$K189="Deadline"),$I189&gt;=CK$4,$I189&lt;CK$4+7),IF($K189="Deadline","◇","◆"),"")</f>
        <v/>
      </c>
      <c r="CL189" s="14" t="str">
        <f>IF(AND(ISNUMBER($I189),OR($K189="Milestone",$K189="Deadline"),$I189&gt;=CL$4,$I189&lt;CL$4+7),IF($K189="Deadline","◇","◆"),"")</f>
        <v/>
      </c>
      <c r="CM189" s="14" t="str">
        <f>IF(AND(ISNUMBER($I189),OR($K189="Milestone",$K189="Deadline"),$I189&gt;=CM$4,$I189&lt;CM$4+7),IF($K189="Deadline","◇","◆"),"")</f>
        <v/>
      </c>
    </row>
    <row r="190" spans="1:91" ht="15" hidden="1" customHeight="1">
      <c r="A190" s="43" t="s">
        <v>430</v>
      </c>
      <c r="B190" s="43" t="s">
        <v>418</v>
      </c>
      <c r="C190" s="43" t="s">
        <v>93</v>
      </c>
      <c r="D190" s="43" t="s">
        <v>419</v>
      </c>
      <c r="E190" s="43" t="s">
        <v>281</v>
      </c>
      <c r="F190" s="43" t="s">
        <v>179</v>
      </c>
      <c r="G190" s="43" t="s">
        <v>275</v>
      </c>
      <c r="H190" s="43">
        <v>11</v>
      </c>
      <c r="I190" s="44">
        <f>MAX($C$2,J189+1,J187+1,J291+1,J120+1)</f>
        <v>46415</v>
      </c>
      <c r="J190" s="45">
        <f>IF(AND(ISNUMBER(I190),ISNUMBER(H190)),I190+H190-1,"")</f>
        <v>46425</v>
      </c>
      <c r="K190" s="43" t="s">
        <v>27</v>
      </c>
      <c r="L190" s="43" t="s">
        <v>431</v>
      </c>
      <c r="M190" s="46" t="s">
        <v>432</v>
      </c>
      <c r="N190" s="43"/>
      <c r="O190" s="46">
        <f>IF(AND(ISNUMBER(I190),ISNUMBER(J190)),J190-I190+1,"")</f>
        <v>11</v>
      </c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 t="s">
        <v>140</v>
      </c>
      <c r="AE190" s="13" t="s">
        <v>140</v>
      </c>
      <c r="AF190" s="13"/>
      <c r="AG190" s="13"/>
      <c r="AH190" s="13"/>
      <c r="AI190" s="13"/>
      <c r="AJ190" s="13"/>
      <c r="AK190" s="13"/>
      <c r="AL190" s="13"/>
      <c r="AM190" s="13"/>
      <c r="AN190" s="13"/>
      <c r="AO190" s="14" t="str">
        <f>IF(AND(ISNUMBER($I190),OR($K190="Milestone",$K190="Deadline"),$I190&gt;=AO$4,$I190&lt;AO$4+7),IF($K190="Deadline","◇","◆"),"")</f>
        <v/>
      </c>
      <c r="AP190" s="14" t="str">
        <f>IF(AND(ISNUMBER($I190),OR($K190="Milestone",$K190="Deadline"),$I190&gt;=AP$4,$I190&lt;AP$4+7),IF($K190="Deadline","◇","◆"),"")</f>
        <v/>
      </c>
      <c r="AQ190" s="14" t="str">
        <f>IF(AND(ISNUMBER($I190),OR($K190="Milestone",$K190="Deadline"),$I190&gt;=AQ$4,$I190&lt;AQ$4+7),IF($K190="Deadline","◇","◆"),"")</f>
        <v/>
      </c>
      <c r="AR190" s="14" t="str">
        <f>IF(AND(ISNUMBER($I190),OR($K190="Milestone",$K190="Deadline"),$I190&gt;=AR$4,$I190&lt;AR$4+7),IF($K190="Deadline","◇","◆"),"")</f>
        <v/>
      </c>
      <c r="AS190" s="14" t="str">
        <f>IF(AND(ISNUMBER($I190),OR($K190="Milestone",$K190="Deadline"),$I190&gt;=AS$4,$I190&lt;AS$4+7),IF($K190="Deadline","◇","◆"),"")</f>
        <v/>
      </c>
      <c r="AT190" s="14" t="str">
        <f>IF(AND(ISNUMBER($I190),OR($K190="Milestone",$K190="Deadline"),$I190&gt;=AT$4,$I190&lt;AT$4+7),IF($K190="Deadline","◇","◆"),"")</f>
        <v/>
      </c>
      <c r="AU190" s="14" t="str">
        <f>IF(AND(ISNUMBER($I190),OR($K190="Milestone",$K190="Deadline"),$I190&gt;=AU$4,$I190&lt;AU$4+7),IF($K190="Deadline","◇","◆"),"")</f>
        <v/>
      </c>
      <c r="AV190" s="14" t="str">
        <f>IF(AND(ISNUMBER($I190),OR($K190="Milestone",$K190="Deadline"),$I190&gt;=AV$4,$I190&lt;AV$4+7),IF($K190="Deadline","◇","◆"),"")</f>
        <v/>
      </c>
      <c r="AW190" s="14" t="str">
        <f>IF(AND(ISNUMBER($I190),OR($K190="Milestone",$K190="Deadline"),$I190&gt;=AW$4,$I190&lt;AW$4+7),IF($K190="Deadline","◇","◆"),"")</f>
        <v/>
      </c>
      <c r="AX190" s="14" t="str">
        <f>IF(AND(ISNUMBER($I190),OR($K190="Milestone",$K190="Deadline"),$I190&gt;=AX$4,$I190&lt;AX$4+7),IF($K190="Deadline","◇","◆"),"")</f>
        <v/>
      </c>
      <c r="AY190" s="14" t="str">
        <f>IF(AND(ISNUMBER($I190),OR($K190="Milestone",$K190="Deadline"),$I190&gt;=AY$4,$I190&lt;AY$4+7),IF($K190="Deadline","◇","◆"),"")</f>
        <v/>
      </c>
      <c r="AZ190" s="14" t="str">
        <f>IF(AND(ISNUMBER($I190),OR($K190="Milestone",$K190="Deadline"),$I190&gt;=AZ$4,$I190&lt;AZ$4+7),IF($K190="Deadline","◇","◆"),"")</f>
        <v/>
      </c>
      <c r="BA190" s="14" t="str">
        <f>IF(AND(ISNUMBER($I190),OR($K190="Milestone",$K190="Deadline"),$I190&gt;=BA$4,$I190&lt;BA$4+7),IF($K190="Deadline","◇","◆"),"")</f>
        <v/>
      </c>
      <c r="BB190" s="14" t="str">
        <f>IF(AND(ISNUMBER($I190),OR($K190="Milestone",$K190="Deadline"),$I190&gt;=BB$4,$I190&lt;BB$4+7),IF($K190="Deadline","◇","◆"),"")</f>
        <v/>
      </c>
      <c r="BC190" s="14" t="str">
        <f>IF(AND(ISNUMBER($I190),OR($K190="Milestone",$K190="Deadline"),$I190&gt;=BC$4,$I190&lt;BC$4+7),IF($K190="Deadline","◇","◆"),"")</f>
        <v/>
      </c>
      <c r="BD190" s="14" t="str">
        <f>IF(AND(ISNUMBER($I190),OR($K190="Milestone",$K190="Deadline"),$I190&gt;=BD$4,$I190&lt;BD$4+7),IF($K190="Deadline","◇","◆"),"")</f>
        <v/>
      </c>
      <c r="BE190" s="14" t="str">
        <f>IF(AND(ISNUMBER($I190),OR($K190="Milestone",$K190="Deadline"),$I190&gt;=BE$4,$I190&lt;BE$4+7),IF($K190="Deadline","◇","◆"),"")</f>
        <v/>
      </c>
      <c r="BF190" s="14" t="str">
        <f>IF(AND(ISNUMBER($I190),OR($K190="Milestone",$K190="Deadline"),$I190&gt;=BF$4,$I190&lt;BF$4+7),IF($K190="Deadline","◇","◆"),"")</f>
        <v/>
      </c>
      <c r="BG190" s="14" t="str">
        <f>IF(AND(ISNUMBER($I190),OR($K190="Milestone",$K190="Deadline"),$I190&gt;=BG$4,$I190&lt;BG$4+7),IF($K190="Deadline","◇","◆"),"")</f>
        <v/>
      </c>
      <c r="BH190" s="14" t="str">
        <f>IF(AND(ISNUMBER($I190),OR($K190="Milestone",$K190="Deadline"),$I190&gt;=BH$4,$I190&lt;BH$4+7),IF($K190="Deadline","◇","◆"),"")</f>
        <v/>
      </c>
      <c r="BI190" s="14" t="str">
        <f>IF(AND(ISNUMBER($I190),OR($K190="Milestone",$K190="Deadline"),$I190&gt;=BI$4,$I190&lt;BI$4+7),IF($K190="Deadline","◇","◆"),"")</f>
        <v/>
      </c>
      <c r="BJ190" s="14" t="str">
        <f>IF(AND(ISNUMBER($I190),OR($K190="Milestone",$K190="Deadline"),$I190&gt;=BJ$4,$I190&lt;BJ$4+7),IF($K190="Deadline","◇","◆"),"")</f>
        <v/>
      </c>
      <c r="BK190" s="14" t="str">
        <f>IF(AND(ISNUMBER($I190),OR($K190="Milestone",$K190="Deadline"),$I190&gt;=BK$4,$I190&lt;BK$4+7),IF($K190="Deadline","◇","◆"),"")</f>
        <v/>
      </c>
      <c r="BL190" s="14" t="str">
        <f>IF(AND(ISNUMBER($I190),OR($K190="Milestone",$K190="Deadline"),$I190&gt;=BL$4,$I190&lt;BL$4+7),IF($K190="Deadline","◇","◆"),"")</f>
        <v/>
      </c>
      <c r="BM190" s="14" t="str">
        <f>IF(AND(ISNUMBER($I190),OR($K190="Milestone",$K190="Deadline"),$I190&gt;=BM$4,$I190&lt;BM$4+7),IF($K190="Deadline","◇","◆"),"")</f>
        <v/>
      </c>
      <c r="BN190" s="14" t="str">
        <f>IF(AND(ISNUMBER($I190),OR($K190="Milestone",$K190="Deadline"),$I190&gt;=BN$4,$I190&lt;BN$4+7),IF($K190="Deadline","◇","◆"),"")</f>
        <v/>
      </c>
      <c r="BO190" s="14" t="str">
        <f>IF(AND(ISNUMBER($I190),OR($K190="Milestone",$K190="Deadline"),$I190&gt;=BO$4,$I190&lt;BO$4+7),IF($K190="Deadline","◇","◆"),"")</f>
        <v/>
      </c>
      <c r="BP190" s="14" t="str">
        <f>IF(AND(ISNUMBER($I190),OR($K190="Milestone",$K190="Deadline"),$I190&gt;=BP$4,$I190&lt;BP$4+7),IF($K190="Deadline","◇","◆"),"")</f>
        <v/>
      </c>
      <c r="BQ190" s="14" t="str">
        <f>IF(AND(ISNUMBER($I190),OR($K190="Milestone",$K190="Deadline"),$I190&gt;=BQ$4,$I190&lt;BQ$4+7),IF($K190="Deadline","◇","◆"),"")</f>
        <v/>
      </c>
      <c r="BR190" s="14" t="str">
        <f>IF(AND(ISNUMBER($I190),OR($K190="Milestone",$K190="Deadline"),$I190&gt;=BR$4,$I190&lt;BR$4+7),IF($K190="Deadline","◇","◆"),"")</f>
        <v/>
      </c>
      <c r="BS190" s="14" t="str">
        <f>IF(AND(ISNUMBER($I190),OR($K190="Milestone",$K190="Deadline"),$I190&gt;=BS$4,$I190&lt;BS$4+7),IF($K190="Deadline","◇","◆"),"")</f>
        <v/>
      </c>
      <c r="BT190" s="14" t="str">
        <f>IF(AND(ISNUMBER($I190),OR($K190="Milestone",$K190="Deadline"),$I190&gt;=BT$4,$I190&lt;BT$4+7),IF($K190="Deadline","◇","◆"),"")</f>
        <v/>
      </c>
      <c r="BU190" s="14" t="str">
        <f>IF(AND(ISNUMBER($I190),OR($K190="Milestone",$K190="Deadline"),$I190&gt;=BU$4,$I190&lt;BU$4+7),IF($K190="Deadline","◇","◆"),"")</f>
        <v/>
      </c>
      <c r="BV190" s="14" t="str">
        <f>IF(AND(ISNUMBER($I190),OR($K190="Milestone",$K190="Deadline"),$I190&gt;=BV$4,$I190&lt;BV$4+7),IF($K190="Deadline","◇","◆"),"")</f>
        <v/>
      </c>
      <c r="BW190" s="14" t="str">
        <f>IF(AND(ISNUMBER($I190),OR($K190="Milestone",$K190="Deadline"),$I190&gt;=BW$4,$I190&lt;BW$4+7),IF($K190="Deadline","◇","◆"),"")</f>
        <v/>
      </c>
      <c r="BX190" s="14" t="str">
        <f>IF(AND(ISNUMBER($I190),OR($K190="Milestone",$K190="Deadline"),$I190&gt;=BX$4,$I190&lt;BX$4+7),IF($K190="Deadline","◇","◆"),"")</f>
        <v/>
      </c>
      <c r="BY190" s="14" t="str">
        <f>IF(AND(ISNUMBER($I190),OR($K190="Milestone",$K190="Deadline"),$I190&gt;=BY$4,$I190&lt;BY$4+7),IF($K190="Deadline","◇","◆"),"")</f>
        <v/>
      </c>
      <c r="BZ190" s="14" t="str">
        <f>IF(AND(ISNUMBER($I190),OR($K190="Milestone",$K190="Deadline"),$I190&gt;=BZ$4,$I190&lt;BZ$4+7),IF($K190="Deadline","◇","◆"),"")</f>
        <v/>
      </c>
      <c r="CA190" s="14" t="str">
        <f>IF(AND(ISNUMBER($I190),OR($K190="Milestone",$K190="Deadline"),$I190&gt;=CA$4,$I190&lt;CA$4+7),IF($K190="Deadline","◇","◆"),"")</f>
        <v/>
      </c>
      <c r="CB190" s="14" t="str">
        <f>IF(AND(ISNUMBER($I190),OR($K190="Milestone",$K190="Deadline"),$I190&gt;=CB$4,$I190&lt;CB$4+7),IF($K190="Deadline","◇","◆"),"")</f>
        <v/>
      </c>
      <c r="CC190" s="14" t="str">
        <f>IF(AND(ISNUMBER($I190),OR($K190="Milestone",$K190="Deadline"),$I190&gt;=CC$4,$I190&lt;CC$4+7),IF($K190="Deadline","◇","◆"),"")</f>
        <v/>
      </c>
      <c r="CD190" s="14" t="str">
        <f>IF(AND(ISNUMBER($I190),OR($K190="Milestone",$K190="Deadline"),$I190&gt;=CD$4,$I190&lt;CD$4+7),IF($K190="Deadline","◇","◆"),"")</f>
        <v/>
      </c>
      <c r="CE190" s="14" t="str">
        <f>IF(AND(ISNUMBER($I190),OR($K190="Milestone",$K190="Deadline"),$I190&gt;=CE$4,$I190&lt;CE$4+7),IF($K190="Deadline","◇","◆"),"")</f>
        <v/>
      </c>
      <c r="CF190" s="14" t="str">
        <f>IF(AND(ISNUMBER($I190),OR($K190="Milestone",$K190="Deadline"),$I190&gt;=CF$4,$I190&lt;CF$4+7),IF($K190="Deadline","◇","◆"),"")</f>
        <v/>
      </c>
      <c r="CG190" s="14" t="str">
        <f>IF(AND(ISNUMBER($I190),OR($K190="Milestone",$K190="Deadline"),$I190&gt;=CG$4,$I190&lt;CG$4+7),IF($K190="Deadline","◇","◆"),"")</f>
        <v/>
      </c>
      <c r="CH190" s="14" t="str">
        <f>IF(AND(ISNUMBER($I190),OR($K190="Milestone",$K190="Deadline"),$I190&gt;=CH$4,$I190&lt;CH$4+7),IF($K190="Deadline","◇","◆"),"")</f>
        <v/>
      </c>
      <c r="CI190" s="14" t="str">
        <f>IF(AND(ISNUMBER($I190),OR($K190="Milestone",$K190="Deadline"),$I190&gt;=CI$4,$I190&lt;CI$4+7),IF($K190="Deadline","◇","◆"),"")</f>
        <v/>
      </c>
      <c r="CJ190" s="14" t="str">
        <f>IF(AND(ISNUMBER($I190),OR($K190="Milestone",$K190="Deadline"),$I190&gt;=CJ$4,$I190&lt;CJ$4+7),IF($K190="Deadline","◇","◆"),"")</f>
        <v/>
      </c>
      <c r="CK190" s="14" t="str">
        <f>IF(AND(ISNUMBER($I190),OR($K190="Milestone",$K190="Deadline"),$I190&gt;=CK$4,$I190&lt;CK$4+7),IF($K190="Deadline","◇","◆"),"")</f>
        <v/>
      </c>
      <c r="CL190" s="14" t="str">
        <f>IF(AND(ISNUMBER($I190),OR($K190="Milestone",$K190="Deadline"),$I190&gt;=CL$4,$I190&lt;CL$4+7),IF($K190="Deadline","◇","◆"),"")</f>
        <v/>
      </c>
      <c r="CM190" s="14" t="str">
        <f>IF(AND(ISNUMBER($I190),OR($K190="Milestone",$K190="Deadline"),$I190&gt;=CM$4,$I190&lt;CM$4+7),IF($K190="Deadline","◇","◆"),"")</f>
        <v/>
      </c>
    </row>
    <row r="191" spans="1:91" ht="15" hidden="1" customHeight="1">
      <c r="A191" s="43" t="s">
        <v>433</v>
      </c>
      <c r="B191" s="43" t="s">
        <v>418</v>
      </c>
      <c r="C191" s="43" t="s">
        <v>191</v>
      </c>
      <c r="D191" s="43" t="s">
        <v>419</v>
      </c>
      <c r="E191" s="43" t="s">
        <v>281</v>
      </c>
      <c r="F191" s="43" t="s">
        <v>179</v>
      </c>
      <c r="G191" s="43" t="s">
        <v>278</v>
      </c>
      <c r="H191" s="43">
        <v>7</v>
      </c>
      <c r="I191" s="44">
        <f>MAX(DATE(2027,3,1),J190+1,J175+1,J102+1)</f>
        <v>46457</v>
      </c>
      <c r="J191" s="45">
        <f>IF(AND(ISNUMBER(I191),ISNUMBER(H191)),I191+H191-1,"")</f>
        <v>46463</v>
      </c>
      <c r="K191" s="43" t="s">
        <v>27</v>
      </c>
      <c r="L191" s="43" t="s">
        <v>430</v>
      </c>
      <c r="M191" s="46" t="s">
        <v>434</v>
      </c>
      <c r="N191" s="43"/>
      <c r="O191" s="46">
        <f>IF(AND(ISNUMBER(I191),ISNUMBER(J191)),J191-I191+1,"")</f>
        <v>7</v>
      </c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 t="s">
        <v>140</v>
      </c>
      <c r="AD191" s="13" t="s">
        <v>140</v>
      </c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4" t="str">
        <f>IF(AND(ISNUMBER($I191),OR($K191="Milestone",$K191="Deadline"),$I191&gt;=AO$4,$I191&lt;AO$4+7),IF($K191="Deadline","◇","◆"),"")</f>
        <v/>
      </c>
      <c r="AP191" s="14" t="str">
        <f>IF(AND(ISNUMBER($I191),OR($K191="Milestone",$K191="Deadline"),$I191&gt;=AP$4,$I191&lt;AP$4+7),IF($K191="Deadline","◇","◆"),"")</f>
        <v/>
      </c>
      <c r="AQ191" s="14" t="str">
        <f>IF(AND(ISNUMBER($I191),OR($K191="Milestone",$K191="Deadline"),$I191&gt;=AQ$4,$I191&lt;AQ$4+7),IF($K191="Deadline","◇","◆"),"")</f>
        <v/>
      </c>
      <c r="AR191" s="14" t="str">
        <f>IF(AND(ISNUMBER($I191),OR($K191="Milestone",$K191="Deadline"),$I191&gt;=AR$4,$I191&lt;AR$4+7),IF($K191="Deadline","◇","◆"),"")</f>
        <v/>
      </c>
      <c r="AS191" s="14" t="str">
        <f>IF(AND(ISNUMBER($I191),OR($K191="Milestone",$K191="Deadline"),$I191&gt;=AS$4,$I191&lt;AS$4+7),IF($K191="Deadline","◇","◆"),"")</f>
        <v/>
      </c>
      <c r="AT191" s="14" t="str">
        <f>IF(AND(ISNUMBER($I191),OR($K191="Milestone",$K191="Deadline"),$I191&gt;=AT$4,$I191&lt;AT$4+7),IF($K191="Deadline","◇","◆"),"")</f>
        <v/>
      </c>
      <c r="AU191" s="14" t="str">
        <f>IF(AND(ISNUMBER($I191),OR($K191="Milestone",$K191="Deadline"),$I191&gt;=AU$4,$I191&lt;AU$4+7),IF($K191="Deadline","◇","◆"),"")</f>
        <v/>
      </c>
      <c r="AV191" s="14" t="str">
        <f>IF(AND(ISNUMBER($I191),OR($K191="Milestone",$K191="Deadline"),$I191&gt;=AV$4,$I191&lt;AV$4+7),IF($K191="Deadline","◇","◆"),"")</f>
        <v/>
      </c>
      <c r="AW191" s="14" t="str">
        <f>IF(AND(ISNUMBER($I191),OR($K191="Milestone",$K191="Deadline"),$I191&gt;=AW$4,$I191&lt;AW$4+7),IF($K191="Deadline","◇","◆"),"")</f>
        <v/>
      </c>
      <c r="AX191" s="14" t="str">
        <f>IF(AND(ISNUMBER($I191),OR($K191="Milestone",$K191="Deadline"),$I191&gt;=AX$4,$I191&lt;AX$4+7),IF($K191="Deadline","◇","◆"),"")</f>
        <v/>
      </c>
      <c r="AY191" s="14" t="str">
        <f>IF(AND(ISNUMBER($I191),OR($K191="Milestone",$K191="Deadline"),$I191&gt;=AY$4,$I191&lt;AY$4+7),IF($K191="Deadline","◇","◆"),"")</f>
        <v/>
      </c>
      <c r="AZ191" s="14" t="str">
        <f>IF(AND(ISNUMBER($I191),OR($K191="Milestone",$K191="Deadline"),$I191&gt;=AZ$4,$I191&lt;AZ$4+7),IF($K191="Deadline","◇","◆"),"")</f>
        <v/>
      </c>
      <c r="BA191" s="14" t="str">
        <f>IF(AND(ISNUMBER($I191),OR($K191="Milestone",$K191="Deadline"),$I191&gt;=BA$4,$I191&lt;BA$4+7),IF($K191="Deadline","◇","◆"),"")</f>
        <v/>
      </c>
      <c r="BB191" s="14" t="str">
        <f>IF(AND(ISNUMBER($I191),OR($K191="Milestone",$K191="Deadline"),$I191&gt;=BB$4,$I191&lt;BB$4+7),IF($K191="Deadline","◇","◆"),"")</f>
        <v/>
      </c>
      <c r="BC191" s="14" t="str">
        <f>IF(AND(ISNUMBER($I191),OR($K191="Milestone",$K191="Deadline"),$I191&gt;=BC$4,$I191&lt;BC$4+7),IF($K191="Deadline","◇","◆"),"")</f>
        <v/>
      </c>
      <c r="BD191" s="14" t="str">
        <f>IF(AND(ISNUMBER($I191),OR($K191="Milestone",$K191="Deadline"),$I191&gt;=BD$4,$I191&lt;BD$4+7),IF($K191="Deadline","◇","◆"),"")</f>
        <v/>
      </c>
      <c r="BE191" s="14" t="str">
        <f>IF(AND(ISNUMBER($I191),OR($K191="Milestone",$K191="Deadline"),$I191&gt;=BE$4,$I191&lt;BE$4+7),IF($K191="Deadline","◇","◆"),"")</f>
        <v/>
      </c>
      <c r="BF191" s="14" t="str">
        <f>IF(AND(ISNUMBER($I191),OR($K191="Milestone",$K191="Deadline"),$I191&gt;=BF$4,$I191&lt;BF$4+7),IF($K191="Deadline","◇","◆"),"")</f>
        <v/>
      </c>
      <c r="BG191" s="14" t="str">
        <f>IF(AND(ISNUMBER($I191),OR($K191="Milestone",$K191="Deadline"),$I191&gt;=BG$4,$I191&lt;BG$4+7),IF($K191="Deadline","◇","◆"),"")</f>
        <v/>
      </c>
      <c r="BH191" s="14" t="str">
        <f>IF(AND(ISNUMBER($I191),OR($K191="Milestone",$K191="Deadline"),$I191&gt;=BH$4,$I191&lt;BH$4+7),IF($K191="Deadline","◇","◆"),"")</f>
        <v/>
      </c>
      <c r="BI191" s="14" t="str">
        <f>IF(AND(ISNUMBER($I191),OR($K191="Milestone",$K191="Deadline"),$I191&gt;=BI$4,$I191&lt;BI$4+7),IF($K191="Deadline","◇","◆"),"")</f>
        <v/>
      </c>
      <c r="BJ191" s="14" t="str">
        <f>IF(AND(ISNUMBER($I191),OR($K191="Milestone",$K191="Deadline"),$I191&gt;=BJ$4,$I191&lt;BJ$4+7),IF($K191="Deadline","◇","◆"),"")</f>
        <v/>
      </c>
      <c r="BK191" s="14" t="str">
        <f>IF(AND(ISNUMBER($I191),OR($K191="Milestone",$K191="Deadline"),$I191&gt;=BK$4,$I191&lt;BK$4+7),IF($K191="Deadline","◇","◆"),"")</f>
        <v/>
      </c>
      <c r="BL191" s="14" t="str">
        <f>IF(AND(ISNUMBER($I191),OR($K191="Milestone",$K191="Deadline"),$I191&gt;=BL$4,$I191&lt;BL$4+7),IF($K191="Deadline","◇","◆"),"")</f>
        <v/>
      </c>
      <c r="BM191" s="14" t="str">
        <f>IF(AND(ISNUMBER($I191),OR($K191="Milestone",$K191="Deadline"),$I191&gt;=BM$4,$I191&lt;BM$4+7),IF($K191="Deadline","◇","◆"),"")</f>
        <v/>
      </c>
      <c r="BN191" s="14" t="str">
        <f>IF(AND(ISNUMBER($I191),OR($K191="Milestone",$K191="Deadline"),$I191&gt;=BN$4,$I191&lt;BN$4+7),IF($K191="Deadline","◇","◆"),"")</f>
        <v/>
      </c>
      <c r="BO191" s="14" t="str">
        <f>IF(AND(ISNUMBER($I191),OR($K191="Milestone",$K191="Deadline"),$I191&gt;=BO$4,$I191&lt;BO$4+7),IF($K191="Deadline","◇","◆"),"")</f>
        <v/>
      </c>
      <c r="BP191" s="14" t="str">
        <f>IF(AND(ISNUMBER($I191),OR($K191="Milestone",$K191="Deadline"),$I191&gt;=BP$4,$I191&lt;BP$4+7),IF($K191="Deadline","◇","◆"),"")</f>
        <v/>
      </c>
      <c r="BQ191" s="14" t="str">
        <f>IF(AND(ISNUMBER($I191),OR($K191="Milestone",$K191="Deadline"),$I191&gt;=BQ$4,$I191&lt;BQ$4+7),IF($K191="Deadline","◇","◆"),"")</f>
        <v/>
      </c>
      <c r="BR191" s="14" t="str">
        <f>IF(AND(ISNUMBER($I191),OR($K191="Milestone",$K191="Deadline"),$I191&gt;=BR$4,$I191&lt;BR$4+7),IF($K191="Deadline","◇","◆"),"")</f>
        <v/>
      </c>
      <c r="BS191" s="14" t="str">
        <f>IF(AND(ISNUMBER($I191),OR($K191="Milestone",$K191="Deadline"),$I191&gt;=BS$4,$I191&lt;BS$4+7),IF($K191="Deadline","◇","◆"),"")</f>
        <v/>
      </c>
      <c r="BT191" s="14" t="str">
        <f>IF(AND(ISNUMBER($I191),OR($K191="Milestone",$K191="Deadline"),$I191&gt;=BT$4,$I191&lt;BT$4+7),IF($K191="Deadline","◇","◆"),"")</f>
        <v/>
      </c>
      <c r="BU191" s="14" t="str">
        <f>IF(AND(ISNUMBER($I191),OR($K191="Milestone",$K191="Deadline"),$I191&gt;=BU$4,$I191&lt;BU$4+7),IF($K191="Deadline","◇","◆"),"")</f>
        <v/>
      </c>
      <c r="BV191" s="14" t="str">
        <f>IF(AND(ISNUMBER($I191),OR($K191="Milestone",$K191="Deadline"),$I191&gt;=BV$4,$I191&lt;BV$4+7),IF($K191="Deadline","◇","◆"),"")</f>
        <v/>
      </c>
      <c r="BW191" s="14" t="str">
        <f>IF(AND(ISNUMBER($I191),OR($K191="Milestone",$K191="Deadline"),$I191&gt;=BW$4,$I191&lt;BW$4+7),IF($K191="Deadline","◇","◆"),"")</f>
        <v/>
      </c>
      <c r="BX191" s="14" t="str">
        <f>IF(AND(ISNUMBER($I191),OR($K191="Milestone",$K191="Deadline"),$I191&gt;=BX$4,$I191&lt;BX$4+7),IF($K191="Deadline","◇","◆"),"")</f>
        <v/>
      </c>
      <c r="BY191" s="14" t="str">
        <f>IF(AND(ISNUMBER($I191),OR($K191="Milestone",$K191="Deadline"),$I191&gt;=BY$4,$I191&lt;BY$4+7),IF($K191="Deadline","◇","◆"),"")</f>
        <v/>
      </c>
      <c r="BZ191" s="14" t="str">
        <f>IF(AND(ISNUMBER($I191),OR($K191="Milestone",$K191="Deadline"),$I191&gt;=BZ$4,$I191&lt;BZ$4+7),IF($K191="Deadline","◇","◆"),"")</f>
        <v/>
      </c>
      <c r="CA191" s="14" t="str">
        <f>IF(AND(ISNUMBER($I191),OR($K191="Milestone",$K191="Deadline"),$I191&gt;=CA$4,$I191&lt;CA$4+7),IF($K191="Deadline","◇","◆"),"")</f>
        <v/>
      </c>
      <c r="CB191" s="14" t="str">
        <f>IF(AND(ISNUMBER($I191),OR($K191="Milestone",$K191="Deadline"),$I191&gt;=CB$4,$I191&lt;CB$4+7),IF($K191="Deadline","◇","◆"),"")</f>
        <v/>
      </c>
      <c r="CC191" s="14" t="str">
        <f>IF(AND(ISNUMBER($I191),OR($K191="Milestone",$K191="Deadline"),$I191&gt;=CC$4,$I191&lt;CC$4+7),IF($K191="Deadline","◇","◆"),"")</f>
        <v/>
      </c>
      <c r="CD191" s="14" t="str">
        <f>IF(AND(ISNUMBER($I191),OR($K191="Milestone",$K191="Deadline"),$I191&gt;=CD$4,$I191&lt;CD$4+7),IF($K191="Deadline","◇","◆"),"")</f>
        <v/>
      </c>
      <c r="CE191" s="14" t="str">
        <f>IF(AND(ISNUMBER($I191),OR($K191="Milestone",$K191="Deadline"),$I191&gt;=CE$4,$I191&lt;CE$4+7),IF($K191="Deadline","◇","◆"),"")</f>
        <v/>
      </c>
      <c r="CF191" s="14" t="str">
        <f>IF(AND(ISNUMBER($I191),OR($K191="Milestone",$K191="Deadline"),$I191&gt;=CF$4,$I191&lt;CF$4+7),IF($K191="Deadline","◇","◆"),"")</f>
        <v/>
      </c>
      <c r="CG191" s="14" t="str">
        <f>IF(AND(ISNUMBER($I191),OR($K191="Milestone",$K191="Deadline"),$I191&gt;=CG$4,$I191&lt;CG$4+7),IF($K191="Deadline","◇","◆"),"")</f>
        <v/>
      </c>
      <c r="CH191" s="14" t="str">
        <f>IF(AND(ISNUMBER($I191),OR($K191="Milestone",$K191="Deadline"),$I191&gt;=CH$4,$I191&lt;CH$4+7),IF($K191="Deadline","◇","◆"),"")</f>
        <v/>
      </c>
      <c r="CI191" s="14" t="str">
        <f>IF(AND(ISNUMBER($I191),OR($K191="Milestone",$K191="Deadline"),$I191&gt;=CI$4,$I191&lt;CI$4+7),IF($K191="Deadline","◇","◆"),"")</f>
        <v/>
      </c>
      <c r="CJ191" s="14" t="str">
        <f>IF(AND(ISNUMBER($I191),OR($K191="Milestone",$K191="Deadline"),$I191&gt;=CJ$4,$I191&lt;CJ$4+7),IF($K191="Deadline","◇","◆"),"")</f>
        <v/>
      </c>
      <c r="CK191" s="14" t="str">
        <f>IF(AND(ISNUMBER($I191),OR($K191="Milestone",$K191="Deadline"),$I191&gt;=CK$4,$I191&lt;CK$4+7),IF($K191="Deadline","◇","◆"),"")</f>
        <v/>
      </c>
      <c r="CL191" s="14" t="str">
        <f>IF(AND(ISNUMBER($I191),OR($K191="Milestone",$K191="Deadline"),$I191&gt;=CL$4,$I191&lt;CL$4+7),IF($K191="Deadline","◇","◆"),"")</f>
        <v/>
      </c>
      <c r="CM191" s="14" t="str">
        <f>IF(AND(ISNUMBER($I191),OR($K191="Milestone",$K191="Deadline"),$I191&gt;=CM$4,$I191&lt;CM$4+7),IF($K191="Deadline","◇","◆"),"")</f>
        <v/>
      </c>
    </row>
    <row r="192" spans="1:91" ht="15" hidden="1" customHeight="1">
      <c r="A192" s="43" t="s">
        <v>435</v>
      </c>
      <c r="B192" s="43" t="s">
        <v>418</v>
      </c>
      <c r="C192" s="43" t="s">
        <v>93</v>
      </c>
      <c r="D192" s="43" t="s">
        <v>419</v>
      </c>
      <c r="E192" s="43" t="s">
        <v>281</v>
      </c>
      <c r="F192" s="43" t="s">
        <v>197</v>
      </c>
      <c r="G192" s="43" t="s">
        <v>173</v>
      </c>
      <c r="H192" s="43">
        <v>14</v>
      </c>
      <c r="I192" s="44">
        <f>MAX($C$2,I180)</f>
        <v>46335</v>
      </c>
      <c r="J192" s="45">
        <f>IF(AND(ISNUMBER(I192),ISNUMBER(H192)),I192+H192-1,"")</f>
        <v>46348</v>
      </c>
      <c r="K192" s="43" t="s">
        <v>27</v>
      </c>
      <c r="L192" s="43" t="s">
        <v>421</v>
      </c>
      <c r="M192" s="46"/>
      <c r="N192" s="43"/>
      <c r="O192" s="46">
        <f>IF(AND(ISNUMBER(I192),ISNUMBER(J192)),J192-I192+1,"")</f>
        <v>14</v>
      </c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4" t="str">
        <f>IF(AND(ISNUMBER($I192),OR($K192="Milestone",$K192="Deadline"),$I192&gt;=AO$4,$I192&lt;AO$4+7),IF($K192="Deadline","◇","◆"),"")</f>
        <v/>
      </c>
      <c r="AP192" s="14" t="str">
        <f>IF(AND(ISNUMBER($I192),OR($K192="Milestone",$K192="Deadline"),$I192&gt;=AP$4,$I192&lt;AP$4+7),IF($K192="Deadline","◇","◆"),"")</f>
        <v/>
      </c>
      <c r="AQ192" s="14" t="str">
        <f>IF(AND(ISNUMBER($I192),OR($K192="Milestone",$K192="Deadline"),$I192&gt;=AQ$4,$I192&lt;AQ$4+7),IF($K192="Deadline","◇","◆"),"")</f>
        <v/>
      </c>
      <c r="AR192" s="14" t="str">
        <f>IF(AND(ISNUMBER($I192),OR($K192="Milestone",$K192="Deadline"),$I192&gt;=AR$4,$I192&lt;AR$4+7),IF($K192="Deadline","◇","◆"),"")</f>
        <v/>
      </c>
      <c r="AS192" s="14" t="str">
        <f>IF(AND(ISNUMBER($I192),OR($K192="Milestone",$K192="Deadline"),$I192&gt;=AS$4,$I192&lt;AS$4+7),IF($K192="Deadline","◇","◆"),"")</f>
        <v/>
      </c>
      <c r="AT192" s="14" t="str">
        <f>IF(AND(ISNUMBER($I192),OR($K192="Milestone",$K192="Deadline"),$I192&gt;=AT$4,$I192&lt;AT$4+7),IF($K192="Deadline","◇","◆"),"")</f>
        <v/>
      </c>
      <c r="AU192" s="14" t="str">
        <f>IF(AND(ISNUMBER($I192),OR($K192="Milestone",$K192="Deadline"),$I192&gt;=AU$4,$I192&lt;AU$4+7),IF($K192="Deadline","◇","◆"),"")</f>
        <v/>
      </c>
      <c r="AV192" s="14" t="str">
        <f>IF(AND(ISNUMBER($I192),OR($K192="Milestone",$K192="Deadline"),$I192&gt;=AV$4,$I192&lt;AV$4+7),IF($K192="Deadline","◇","◆"),"")</f>
        <v/>
      </c>
      <c r="AW192" s="14" t="str">
        <f>IF(AND(ISNUMBER($I192),OR($K192="Milestone",$K192="Deadline"),$I192&gt;=AW$4,$I192&lt;AW$4+7),IF($K192="Deadline","◇","◆"),"")</f>
        <v/>
      </c>
      <c r="AX192" s="14" t="str">
        <f>IF(AND(ISNUMBER($I192),OR($K192="Milestone",$K192="Deadline"),$I192&gt;=AX$4,$I192&lt;AX$4+7),IF($K192="Deadline","◇","◆"),"")</f>
        <v/>
      </c>
      <c r="AY192" s="14" t="str">
        <f>IF(AND(ISNUMBER($I192),OR($K192="Milestone",$K192="Deadline"),$I192&gt;=AY$4,$I192&lt;AY$4+7),IF($K192="Deadline","◇","◆"),"")</f>
        <v/>
      </c>
      <c r="AZ192" s="14" t="str">
        <f>IF(AND(ISNUMBER($I192),OR($K192="Milestone",$K192="Deadline"),$I192&gt;=AZ$4,$I192&lt;AZ$4+7),IF($K192="Deadline","◇","◆"),"")</f>
        <v/>
      </c>
      <c r="BA192" s="14" t="str">
        <f>IF(AND(ISNUMBER($I192),OR($K192="Milestone",$K192="Deadline"),$I192&gt;=BA$4,$I192&lt;BA$4+7),IF($K192="Deadline","◇","◆"),"")</f>
        <v/>
      </c>
      <c r="BB192" s="14" t="str">
        <f>IF(AND(ISNUMBER($I192),OR($K192="Milestone",$K192="Deadline"),$I192&gt;=BB$4,$I192&lt;BB$4+7),IF($K192="Deadline","◇","◆"),"")</f>
        <v/>
      </c>
      <c r="BC192" s="14" t="str">
        <f>IF(AND(ISNUMBER($I192),OR($K192="Milestone",$K192="Deadline"),$I192&gt;=BC$4,$I192&lt;BC$4+7),IF($K192="Deadline","◇","◆"),"")</f>
        <v/>
      </c>
      <c r="BD192" s="14" t="str">
        <f>IF(AND(ISNUMBER($I192),OR($K192="Milestone",$K192="Deadline"),$I192&gt;=BD$4,$I192&lt;BD$4+7),IF($K192="Deadline","◇","◆"),"")</f>
        <v/>
      </c>
      <c r="BE192" s="14" t="str">
        <f>IF(AND(ISNUMBER($I192),OR($K192="Milestone",$K192="Deadline"),$I192&gt;=BE$4,$I192&lt;BE$4+7),IF($K192="Deadline","◇","◆"),"")</f>
        <v/>
      </c>
      <c r="BF192" s="14" t="str">
        <f>IF(AND(ISNUMBER($I192),OR($K192="Milestone",$K192="Deadline"),$I192&gt;=BF$4,$I192&lt;BF$4+7),IF($K192="Deadline","◇","◆"),"")</f>
        <v/>
      </c>
      <c r="BG192" s="14" t="str">
        <f>IF(AND(ISNUMBER($I192),OR($K192="Milestone",$K192="Deadline"),$I192&gt;=BG$4,$I192&lt;BG$4+7),IF($K192="Deadline","◇","◆"),"")</f>
        <v/>
      </c>
      <c r="BH192" s="14" t="str">
        <f>IF(AND(ISNUMBER($I192),OR($K192="Milestone",$K192="Deadline"),$I192&gt;=BH$4,$I192&lt;BH$4+7),IF($K192="Deadline","◇","◆"),"")</f>
        <v/>
      </c>
      <c r="BI192" s="14" t="str">
        <f>IF(AND(ISNUMBER($I192),OR($K192="Milestone",$K192="Deadline"),$I192&gt;=BI$4,$I192&lt;BI$4+7),IF($K192="Deadline","◇","◆"),"")</f>
        <v/>
      </c>
      <c r="BJ192" s="14" t="str">
        <f>IF(AND(ISNUMBER($I192),OR($K192="Milestone",$K192="Deadline"),$I192&gt;=BJ$4,$I192&lt;BJ$4+7),IF($K192="Deadline","◇","◆"),"")</f>
        <v/>
      </c>
      <c r="BK192" s="14" t="str">
        <f>IF(AND(ISNUMBER($I192),OR($K192="Milestone",$K192="Deadline"),$I192&gt;=BK$4,$I192&lt;BK$4+7),IF($K192="Deadline","◇","◆"),"")</f>
        <v/>
      </c>
      <c r="BL192" s="14" t="str">
        <f>IF(AND(ISNUMBER($I192),OR($K192="Milestone",$K192="Deadline"),$I192&gt;=BL$4,$I192&lt;BL$4+7),IF($K192="Deadline","◇","◆"),"")</f>
        <v/>
      </c>
      <c r="BM192" s="14" t="str">
        <f>IF(AND(ISNUMBER($I192),OR($K192="Milestone",$K192="Deadline"),$I192&gt;=BM$4,$I192&lt;BM$4+7),IF($K192="Deadline","◇","◆"),"")</f>
        <v/>
      </c>
      <c r="BN192" s="14" t="str">
        <f>IF(AND(ISNUMBER($I192),OR($K192="Milestone",$K192="Deadline"),$I192&gt;=BN$4,$I192&lt;BN$4+7),IF($K192="Deadline","◇","◆"),"")</f>
        <v/>
      </c>
      <c r="BO192" s="14" t="str">
        <f>IF(AND(ISNUMBER($I192),OR($K192="Milestone",$K192="Deadline"),$I192&gt;=BO$4,$I192&lt;BO$4+7),IF($K192="Deadline","◇","◆"),"")</f>
        <v/>
      </c>
      <c r="BP192" s="14" t="str">
        <f>IF(AND(ISNUMBER($I192),OR($K192="Milestone",$K192="Deadline"),$I192&gt;=BP$4,$I192&lt;BP$4+7),IF($K192="Deadline","◇","◆"),"")</f>
        <v/>
      </c>
      <c r="BQ192" s="14" t="str">
        <f>IF(AND(ISNUMBER($I192),OR($K192="Milestone",$K192="Deadline"),$I192&gt;=BQ$4,$I192&lt;BQ$4+7),IF($K192="Deadline","◇","◆"),"")</f>
        <v/>
      </c>
      <c r="BR192" s="14" t="str">
        <f>IF(AND(ISNUMBER($I192),OR($K192="Milestone",$K192="Deadline"),$I192&gt;=BR$4,$I192&lt;BR$4+7),IF($K192="Deadline","◇","◆"),"")</f>
        <v/>
      </c>
      <c r="BS192" s="14" t="str">
        <f>IF(AND(ISNUMBER($I192),OR($K192="Milestone",$K192="Deadline"),$I192&gt;=BS$4,$I192&lt;BS$4+7),IF($K192="Deadline","◇","◆"),"")</f>
        <v/>
      </c>
      <c r="BT192" s="14" t="str">
        <f>IF(AND(ISNUMBER($I192),OR($K192="Milestone",$K192="Deadline"),$I192&gt;=BT$4,$I192&lt;BT$4+7),IF($K192="Deadline","◇","◆"),"")</f>
        <v/>
      </c>
      <c r="BU192" s="14" t="str">
        <f>IF(AND(ISNUMBER($I192),OR($K192="Milestone",$K192="Deadline"),$I192&gt;=BU$4,$I192&lt;BU$4+7),IF($K192="Deadline","◇","◆"),"")</f>
        <v/>
      </c>
      <c r="BV192" s="14" t="str">
        <f>IF(AND(ISNUMBER($I192),OR($K192="Milestone",$K192="Deadline"),$I192&gt;=BV$4,$I192&lt;BV$4+7),IF($K192="Deadline","◇","◆"),"")</f>
        <v/>
      </c>
      <c r="BW192" s="14" t="str">
        <f>IF(AND(ISNUMBER($I192),OR($K192="Milestone",$K192="Deadline"),$I192&gt;=BW$4,$I192&lt;BW$4+7),IF($K192="Deadline","◇","◆"),"")</f>
        <v/>
      </c>
      <c r="BX192" s="14" t="str">
        <f>IF(AND(ISNUMBER($I192),OR($K192="Milestone",$K192="Deadline"),$I192&gt;=BX$4,$I192&lt;BX$4+7),IF($K192="Deadline","◇","◆"),"")</f>
        <v/>
      </c>
      <c r="BY192" s="14" t="str">
        <f>IF(AND(ISNUMBER($I192),OR($K192="Milestone",$K192="Deadline"),$I192&gt;=BY$4,$I192&lt;BY$4+7),IF($K192="Deadline","◇","◆"),"")</f>
        <v/>
      </c>
      <c r="BZ192" s="14" t="str">
        <f>IF(AND(ISNUMBER($I192),OR($K192="Milestone",$K192="Deadline"),$I192&gt;=BZ$4,$I192&lt;BZ$4+7),IF($K192="Deadline","◇","◆"),"")</f>
        <v/>
      </c>
      <c r="CA192" s="14" t="str">
        <f>IF(AND(ISNUMBER($I192),OR($K192="Milestone",$K192="Deadline"),$I192&gt;=CA$4,$I192&lt;CA$4+7),IF($K192="Deadline","◇","◆"),"")</f>
        <v/>
      </c>
      <c r="CB192" s="14" t="str">
        <f>IF(AND(ISNUMBER($I192),OR($K192="Milestone",$K192="Deadline"),$I192&gt;=CB$4,$I192&lt;CB$4+7),IF($K192="Deadline","◇","◆"),"")</f>
        <v/>
      </c>
      <c r="CC192" s="14" t="str">
        <f>IF(AND(ISNUMBER($I192),OR($K192="Milestone",$K192="Deadline"),$I192&gt;=CC$4,$I192&lt;CC$4+7),IF($K192="Deadline","◇","◆"),"")</f>
        <v/>
      </c>
      <c r="CD192" s="14" t="str">
        <f>IF(AND(ISNUMBER($I192),OR($K192="Milestone",$K192="Deadline"),$I192&gt;=CD$4,$I192&lt;CD$4+7),IF($K192="Deadline","◇","◆"),"")</f>
        <v/>
      </c>
      <c r="CE192" s="14" t="str">
        <f>IF(AND(ISNUMBER($I192),OR($K192="Milestone",$K192="Deadline"),$I192&gt;=CE$4,$I192&lt;CE$4+7),IF($K192="Deadline","◇","◆"),"")</f>
        <v/>
      </c>
      <c r="CF192" s="14" t="str">
        <f>IF(AND(ISNUMBER($I192),OR($K192="Milestone",$K192="Deadline"),$I192&gt;=CF$4,$I192&lt;CF$4+7),IF($K192="Deadline","◇","◆"),"")</f>
        <v/>
      </c>
      <c r="CG192" s="14" t="str">
        <f>IF(AND(ISNUMBER($I192),OR($K192="Milestone",$K192="Deadline"),$I192&gt;=CG$4,$I192&lt;CG$4+7),IF($K192="Deadline","◇","◆"),"")</f>
        <v/>
      </c>
      <c r="CH192" s="14" t="str">
        <f>IF(AND(ISNUMBER($I192),OR($K192="Milestone",$K192="Deadline"),$I192&gt;=CH$4,$I192&lt;CH$4+7),IF($K192="Deadline","◇","◆"),"")</f>
        <v/>
      </c>
      <c r="CI192" s="14" t="str">
        <f>IF(AND(ISNUMBER($I192),OR($K192="Milestone",$K192="Deadline"),$I192&gt;=CI$4,$I192&lt;CI$4+7),IF($K192="Deadline","◇","◆"),"")</f>
        <v/>
      </c>
      <c r="CJ192" s="14" t="str">
        <f>IF(AND(ISNUMBER($I192),OR($K192="Milestone",$K192="Deadline"),$I192&gt;=CJ$4,$I192&lt;CJ$4+7),IF($K192="Deadline","◇","◆"),"")</f>
        <v/>
      </c>
      <c r="CK192" s="14" t="str">
        <f>IF(AND(ISNUMBER($I192),OR($K192="Milestone",$K192="Deadline"),$I192&gt;=CK$4,$I192&lt;CK$4+7),IF($K192="Deadline","◇","◆"),"")</f>
        <v/>
      </c>
      <c r="CL192" s="14" t="str">
        <f>IF(AND(ISNUMBER($I192),OR($K192="Milestone",$K192="Deadline"),$I192&gt;=CL$4,$I192&lt;CL$4+7),IF($K192="Deadline","◇","◆"),"")</f>
        <v/>
      </c>
      <c r="CM192" s="14" t="str">
        <f>IF(AND(ISNUMBER($I192),OR($K192="Milestone",$K192="Deadline"),$I192&gt;=CM$4,$I192&lt;CM$4+7),IF($K192="Deadline","◇","◆"),"")</f>
        <v/>
      </c>
    </row>
    <row r="193" spans="1:91" ht="15" hidden="1" customHeight="1">
      <c r="A193" s="43" t="s">
        <v>436</v>
      </c>
      <c r="B193" s="43" t="s">
        <v>418</v>
      </c>
      <c r="C193" s="43" t="s">
        <v>93</v>
      </c>
      <c r="D193" s="43" t="s">
        <v>419</v>
      </c>
      <c r="E193" s="43" t="s">
        <v>281</v>
      </c>
      <c r="F193" s="43" t="s">
        <v>197</v>
      </c>
      <c r="G193" s="43" t="s">
        <v>427</v>
      </c>
      <c r="H193" s="43">
        <v>14</v>
      </c>
      <c r="I193" s="44">
        <f>MAX($C$2,J16+1)</f>
        <v>46335</v>
      </c>
      <c r="J193" s="45">
        <f>IF(AND(ISNUMBER(I193),ISNUMBER(H193)),I193+H193-1,"")</f>
        <v>46348</v>
      </c>
      <c r="K193" s="43" t="s">
        <v>27</v>
      </c>
      <c r="L193" s="43" t="s">
        <v>95</v>
      </c>
      <c r="M193" s="46"/>
      <c r="N193" s="43"/>
      <c r="O193" s="46">
        <f>IF(AND(ISNUMBER(I193),ISNUMBER(J193)),J193-I193+1,"")</f>
        <v>14</v>
      </c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 t="s">
        <v>140</v>
      </c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4" t="str">
        <f>IF(AND(ISNUMBER($I193),OR($K193="Milestone",$K193="Deadline"),$I193&gt;=AO$4,$I193&lt;AO$4+7),IF($K193="Deadline","◇","◆"),"")</f>
        <v/>
      </c>
      <c r="AP193" s="14" t="str">
        <f>IF(AND(ISNUMBER($I193),OR($K193="Milestone",$K193="Deadline"),$I193&gt;=AP$4,$I193&lt;AP$4+7),IF($K193="Deadline","◇","◆"),"")</f>
        <v/>
      </c>
      <c r="AQ193" s="14" t="str">
        <f>IF(AND(ISNUMBER($I193),OR($K193="Milestone",$K193="Deadline"),$I193&gt;=AQ$4,$I193&lt;AQ$4+7),IF($K193="Deadline","◇","◆"),"")</f>
        <v/>
      </c>
      <c r="AR193" s="14" t="str">
        <f>IF(AND(ISNUMBER($I193),OR($K193="Milestone",$K193="Deadline"),$I193&gt;=AR$4,$I193&lt;AR$4+7),IF($K193="Deadline","◇","◆"),"")</f>
        <v/>
      </c>
      <c r="AS193" s="14" t="str">
        <f>IF(AND(ISNUMBER($I193),OR($K193="Milestone",$K193="Deadline"),$I193&gt;=AS$4,$I193&lt;AS$4+7),IF($K193="Deadline","◇","◆"),"")</f>
        <v/>
      </c>
      <c r="AT193" s="14" t="str">
        <f>IF(AND(ISNUMBER($I193),OR($K193="Milestone",$K193="Deadline"),$I193&gt;=AT$4,$I193&lt;AT$4+7),IF($K193="Deadline","◇","◆"),"")</f>
        <v/>
      </c>
      <c r="AU193" s="14" t="str">
        <f>IF(AND(ISNUMBER($I193),OR($K193="Milestone",$K193="Deadline"),$I193&gt;=AU$4,$I193&lt;AU$4+7),IF($K193="Deadline","◇","◆"),"")</f>
        <v/>
      </c>
      <c r="AV193" s="14" t="str">
        <f>IF(AND(ISNUMBER($I193),OR($K193="Milestone",$K193="Deadline"),$I193&gt;=AV$4,$I193&lt;AV$4+7),IF($K193="Deadline","◇","◆"),"")</f>
        <v/>
      </c>
      <c r="AW193" s="14" t="str">
        <f>IF(AND(ISNUMBER($I193),OR($K193="Milestone",$K193="Deadline"),$I193&gt;=AW$4,$I193&lt;AW$4+7),IF($K193="Deadline","◇","◆"),"")</f>
        <v/>
      </c>
      <c r="AX193" s="14" t="str">
        <f>IF(AND(ISNUMBER($I193),OR($K193="Milestone",$K193="Deadline"),$I193&gt;=AX$4,$I193&lt;AX$4+7),IF($K193="Deadline","◇","◆"),"")</f>
        <v/>
      </c>
      <c r="AY193" s="14" t="str">
        <f>IF(AND(ISNUMBER($I193),OR($K193="Milestone",$K193="Deadline"),$I193&gt;=AY$4,$I193&lt;AY$4+7),IF($K193="Deadline","◇","◆"),"")</f>
        <v/>
      </c>
      <c r="AZ193" s="14" t="str">
        <f>IF(AND(ISNUMBER($I193),OR($K193="Milestone",$K193="Deadline"),$I193&gt;=AZ$4,$I193&lt;AZ$4+7),IF($K193="Deadline","◇","◆"),"")</f>
        <v/>
      </c>
      <c r="BA193" s="14" t="str">
        <f>IF(AND(ISNUMBER($I193),OR($K193="Milestone",$K193="Deadline"),$I193&gt;=BA$4,$I193&lt;BA$4+7),IF($K193="Deadline","◇","◆"),"")</f>
        <v/>
      </c>
      <c r="BB193" s="14" t="str">
        <f>IF(AND(ISNUMBER($I193),OR($K193="Milestone",$K193="Deadline"),$I193&gt;=BB$4,$I193&lt;BB$4+7),IF($K193="Deadline","◇","◆"),"")</f>
        <v/>
      </c>
      <c r="BC193" s="14" t="str">
        <f>IF(AND(ISNUMBER($I193),OR($K193="Milestone",$K193="Deadline"),$I193&gt;=BC$4,$I193&lt;BC$4+7),IF($K193="Deadline","◇","◆"),"")</f>
        <v/>
      </c>
      <c r="BD193" s="14" t="str">
        <f>IF(AND(ISNUMBER($I193),OR($K193="Milestone",$K193="Deadline"),$I193&gt;=BD$4,$I193&lt;BD$4+7),IF($K193="Deadline","◇","◆"),"")</f>
        <v/>
      </c>
      <c r="BE193" s="14" t="str">
        <f>IF(AND(ISNUMBER($I193),OR($K193="Milestone",$K193="Deadline"),$I193&gt;=BE$4,$I193&lt;BE$4+7),IF($K193="Deadline","◇","◆"),"")</f>
        <v/>
      </c>
      <c r="BF193" s="14" t="str">
        <f>IF(AND(ISNUMBER($I193),OR($K193="Milestone",$K193="Deadline"),$I193&gt;=BF$4,$I193&lt;BF$4+7),IF($K193="Deadline","◇","◆"),"")</f>
        <v/>
      </c>
      <c r="BG193" s="14" t="str">
        <f>IF(AND(ISNUMBER($I193),OR($K193="Milestone",$K193="Deadline"),$I193&gt;=BG$4,$I193&lt;BG$4+7),IF($K193="Deadline","◇","◆"),"")</f>
        <v/>
      </c>
      <c r="BH193" s="14" t="str">
        <f>IF(AND(ISNUMBER($I193),OR($K193="Milestone",$K193="Deadline"),$I193&gt;=BH$4,$I193&lt;BH$4+7),IF($K193="Deadline","◇","◆"),"")</f>
        <v/>
      </c>
      <c r="BI193" s="14" t="str">
        <f>IF(AND(ISNUMBER($I193),OR($K193="Milestone",$K193="Deadline"),$I193&gt;=BI$4,$I193&lt;BI$4+7),IF($K193="Deadline","◇","◆"),"")</f>
        <v/>
      </c>
      <c r="BJ193" s="14" t="str">
        <f>IF(AND(ISNUMBER($I193),OR($K193="Milestone",$K193="Deadline"),$I193&gt;=BJ$4,$I193&lt;BJ$4+7),IF($K193="Deadline","◇","◆"),"")</f>
        <v/>
      </c>
      <c r="BK193" s="14" t="str">
        <f>IF(AND(ISNUMBER($I193),OR($K193="Milestone",$K193="Deadline"),$I193&gt;=BK$4,$I193&lt;BK$4+7),IF($K193="Deadline","◇","◆"),"")</f>
        <v/>
      </c>
      <c r="BL193" s="14" t="str">
        <f>IF(AND(ISNUMBER($I193),OR($K193="Milestone",$K193="Deadline"),$I193&gt;=BL$4,$I193&lt;BL$4+7),IF($K193="Deadline","◇","◆"),"")</f>
        <v/>
      </c>
      <c r="BM193" s="14" t="str">
        <f>IF(AND(ISNUMBER($I193),OR($K193="Milestone",$K193="Deadline"),$I193&gt;=BM$4,$I193&lt;BM$4+7),IF($K193="Deadline","◇","◆"),"")</f>
        <v/>
      </c>
      <c r="BN193" s="14" t="str">
        <f>IF(AND(ISNUMBER($I193),OR($K193="Milestone",$K193="Deadline"),$I193&gt;=BN$4,$I193&lt;BN$4+7),IF($K193="Deadline","◇","◆"),"")</f>
        <v/>
      </c>
      <c r="BO193" s="14" t="str">
        <f>IF(AND(ISNUMBER($I193),OR($K193="Milestone",$K193="Deadline"),$I193&gt;=BO$4,$I193&lt;BO$4+7),IF($K193="Deadline","◇","◆"),"")</f>
        <v/>
      </c>
      <c r="BP193" s="14" t="str">
        <f>IF(AND(ISNUMBER($I193),OR($K193="Milestone",$K193="Deadline"),$I193&gt;=BP$4,$I193&lt;BP$4+7),IF($K193="Deadline","◇","◆"),"")</f>
        <v/>
      </c>
      <c r="BQ193" s="14" t="str">
        <f>IF(AND(ISNUMBER($I193),OR($K193="Milestone",$K193="Deadline"),$I193&gt;=BQ$4,$I193&lt;BQ$4+7),IF($K193="Deadline","◇","◆"),"")</f>
        <v/>
      </c>
      <c r="BR193" s="14" t="str">
        <f>IF(AND(ISNUMBER($I193),OR($K193="Milestone",$K193="Deadline"),$I193&gt;=BR$4,$I193&lt;BR$4+7),IF($K193="Deadline","◇","◆"),"")</f>
        <v/>
      </c>
      <c r="BS193" s="14" t="str">
        <f>IF(AND(ISNUMBER($I193),OR($K193="Milestone",$K193="Deadline"),$I193&gt;=BS$4,$I193&lt;BS$4+7),IF($K193="Deadline","◇","◆"),"")</f>
        <v/>
      </c>
      <c r="BT193" s="14" t="str">
        <f>IF(AND(ISNUMBER($I193),OR($K193="Milestone",$K193="Deadline"),$I193&gt;=BT$4,$I193&lt;BT$4+7),IF($K193="Deadline","◇","◆"),"")</f>
        <v/>
      </c>
      <c r="BU193" s="14" t="str">
        <f>IF(AND(ISNUMBER($I193),OR($K193="Milestone",$K193="Deadline"),$I193&gt;=BU$4,$I193&lt;BU$4+7),IF($K193="Deadline","◇","◆"),"")</f>
        <v/>
      </c>
      <c r="BV193" s="14" t="str">
        <f>IF(AND(ISNUMBER($I193),OR($K193="Milestone",$K193="Deadline"),$I193&gt;=BV$4,$I193&lt;BV$4+7),IF($K193="Deadline","◇","◆"),"")</f>
        <v/>
      </c>
      <c r="BW193" s="14" t="str">
        <f>IF(AND(ISNUMBER($I193),OR($K193="Milestone",$K193="Deadline"),$I193&gt;=BW$4,$I193&lt;BW$4+7),IF($K193="Deadline","◇","◆"),"")</f>
        <v/>
      </c>
      <c r="BX193" s="14" t="str">
        <f>IF(AND(ISNUMBER($I193),OR($K193="Milestone",$K193="Deadline"),$I193&gt;=BX$4,$I193&lt;BX$4+7),IF($K193="Deadline","◇","◆"),"")</f>
        <v/>
      </c>
      <c r="BY193" s="14" t="str">
        <f>IF(AND(ISNUMBER($I193),OR($K193="Milestone",$K193="Deadline"),$I193&gt;=BY$4,$I193&lt;BY$4+7),IF($K193="Deadline","◇","◆"),"")</f>
        <v/>
      </c>
      <c r="BZ193" s="14" t="str">
        <f>IF(AND(ISNUMBER($I193),OR($K193="Milestone",$K193="Deadline"),$I193&gt;=BZ$4,$I193&lt;BZ$4+7),IF($K193="Deadline","◇","◆"),"")</f>
        <v/>
      </c>
      <c r="CA193" s="14" t="str">
        <f>IF(AND(ISNUMBER($I193),OR($K193="Milestone",$K193="Deadline"),$I193&gt;=CA$4,$I193&lt;CA$4+7),IF($K193="Deadline","◇","◆"),"")</f>
        <v/>
      </c>
      <c r="CB193" s="14" t="str">
        <f>IF(AND(ISNUMBER($I193),OR($K193="Milestone",$K193="Deadline"),$I193&gt;=CB$4,$I193&lt;CB$4+7),IF($K193="Deadline","◇","◆"),"")</f>
        <v/>
      </c>
      <c r="CC193" s="14" t="str">
        <f>IF(AND(ISNUMBER($I193),OR($K193="Milestone",$K193="Deadline"),$I193&gt;=CC$4,$I193&lt;CC$4+7),IF($K193="Deadline","◇","◆"),"")</f>
        <v/>
      </c>
      <c r="CD193" s="14" t="str">
        <f>IF(AND(ISNUMBER($I193),OR($K193="Milestone",$K193="Deadline"),$I193&gt;=CD$4,$I193&lt;CD$4+7),IF($K193="Deadline","◇","◆"),"")</f>
        <v/>
      </c>
      <c r="CE193" s="14" t="str">
        <f>IF(AND(ISNUMBER($I193),OR($K193="Milestone",$K193="Deadline"),$I193&gt;=CE$4,$I193&lt;CE$4+7),IF($K193="Deadline","◇","◆"),"")</f>
        <v/>
      </c>
      <c r="CF193" s="14" t="str">
        <f>IF(AND(ISNUMBER($I193),OR($K193="Milestone",$K193="Deadline"),$I193&gt;=CF$4,$I193&lt;CF$4+7),IF($K193="Deadline","◇","◆"),"")</f>
        <v/>
      </c>
      <c r="CG193" s="14" t="str">
        <f>IF(AND(ISNUMBER($I193),OR($K193="Milestone",$K193="Deadline"),$I193&gt;=CG$4,$I193&lt;CG$4+7),IF($K193="Deadline","◇","◆"),"")</f>
        <v/>
      </c>
      <c r="CH193" s="14" t="str">
        <f>IF(AND(ISNUMBER($I193),OR($K193="Milestone",$K193="Deadline"),$I193&gt;=CH$4,$I193&lt;CH$4+7),IF($K193="Deadline","◇","◆"),"")</f>
        <v/>
      </c>
      <c r="CI193" s="14" t="str">
        <f>IF(AND(ISNUMBER($I193),OR($K193="Milestone",$K193="Deadline"),$I193&gt;=CI$4,$I193&lt;CI$4+7),IF($K193="Deadline","◇","◆"),"")</f>
        <v/>
      </c>
      <c r="CJ193" s="14" t="str">
        <f>IF(AND(ISNUMBER($I193),OR($K193="Milestone",$K193="Deadline"),$I193&gt;=CJ$4,$I193&lt;CJ$4+7),IF($K193="Deadline","◇","◆"),"")</f>
        <v/>
      </c>
      <c r="CK193" s="14" t="str">
        <f>IF(AND(ISNUMBER($I193),OR($K193="Milestone",$K193="Deadline"),$I193&gt;=CK$4,$I193&lt;CK$4+7),IF($K193="Deadline","◇","◆"),"")</f>
        <v/>
      </c>
      <c r="CL193" s="14" t="str">
        <f>IF(AND(ISNUMBER($I193),OR($K193="Milestone",$K193="Deadline"),$I193&gt;=CL$4,$I193&lt;CL$4+7),IF($K193="Deadline","◇","◆"),"")</f>
        <v/>
      </c>
      <c r="CM193" s="14" t="str">
        <f>IF(AND(ISNUMBER($I193),OR($K193="Milestone",$K193="Deadline"),$I193&gt;=CM$4,$I193&lt;CM$4+7),IF($K193="Deadline","◇","◆"),"")</f>
        <v/>
      </c>
    </row>
    <row r="194" spans="1:91" ht="15" hidden="1" customHeight="1">
      <c r="A194" s="43" t="s">
        <v>437</v>
      </c>
      <c r="B194" s="43" t="s">
        <v>418</v>
      </c>
      <c r="C194" s="43" t="s">
        <v>93</v>
      </c>
      <c r="D194" s="43" t="s">
        <v>419</v>
      </c>
      <c r="E194" s="43" t="s">
        <v>281</v>
      </c>
      <c r="F194" s="43" t="s">
        <v>197</v>
      </c>
      <c r="G194" s="43" t="s">
        <v>176</v>
      </c>
      <c r="H194" s="43">
        <v>7</v>
      </c>
      <c r="I194" s="44">
        <f>MAX($C$2,J180+1,J188+1)</f>
        <v>46363</v>
      </c>
      <c r="J194" s="45">
        <f>IF(AND(ISNUMBER(I194),ISNUMBER(H194)),I194+H194-1,"")</f>
        <v>46369</v>
      </c>
      <c r="K194" s="43" t="s">
        <v>27</v>
      </c>
      <c r="L194" s="43" t="s">
        <v>438</v>
      </c>
      <c r="M194" s="46"/>
      <c r="N194" s="43"/>
      <c r="O194" s="46">
        <f>IF(AND(ISNUMBER(I194),ISNUMBER(J194)),J194-I194+1,"")</f>
        <v>7</v>
      </c>
      <c r="P194" s="13"/>
      <c r="Q194" s="13"/>
      <c r="R194" s="13"/>
      <c r="S194" s="13"/>
      <c r="T194" s="13"/>
      <c r="U194" s="13"/>
      <c r="V194" s="13"/>
      <c r="W194" s="13" t="s">
        <v>140</v>
      </c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4" t="str">
        <f>IF(AND(ISNUMBER($I194),OR($K194="Milestone",$K194="Deadline"),$I194&gt;=AO$4,$I194&lt;AO$4+7),IF($K194="Deadline","◇","◆"),"")</f>
        <v/>
      </c>
      <c r="AP194" s="14" t="str">
        <f>IF(AND(ISNUMBER($I194),OR($K194="Milestone",$K194="Deadline"),$I194&gt;=AP$4,$I194&lt;AP$4+7),IF($K194="Deadline","◇","◆"),"")</f>
        <v/>
      </c>
      <c r="AQ194" s="14" t="str">
        <f>IF(AND(ISNUMBER($I194),OR($K194="Milestone",$K194="Deadline"),$I194&gt;=AQ$4,$I194&lt;AQ$4+7),IF($K194="Deadline","◇","◆"),"")</f>
        <v/>
      </c>
      <c r="AR194" s="14" t="str">
        <f>IF(AND(ISNUMBER($I194),OR($K194="Milestone",$K194="Deadline"),$I194&gt;=AR$4,$I194&lt;AR$4+7),IF($K194="Deadline","◇","◆"),"")</f>
        <v/>
      </c>
      <c r="AS194" s="14" t="str">
        <f>IF(AND(ISNUMBER($I194),OR($K194="Milestone",$K194="Deadline"),$I194&gt;=AS$4,$I194&lt;AS$4+7),IF($K194="Deadline","◇","◆"),"")</f>
        <v/>
      </c>
      <c r="AT194" s="14" t="str">
        <f>IF(AND(ISNUMBER($I194),OR($K194="Milestone",$K194="Deadline"),$I194&gt;=AT$4,$I194&lt;AT$4+7),IF($K194="Deadline","◇","◆"),"")</f>
        <v/>
      </c>
      <c r="AU194" s="14" t="str">
        <f>IF(AND(ISNUMBER($I194),OR($K194="Milestone",$K194="Deadline"),$I194&gt;=AU$4,$I194&lt;AU$4+7),IF($K194="Deadline","◇","◆"),"")</f>
        <v/>
      </c>
      <c r="AV194" s="14" t="str">
        <f>IF(AND(ISNUMBER($I194),OR($K194="Milestone",$K194="Deadline"),$I194&gt;=AV$4,$I194&lt;AV$4+7),IF($K194="Deadline","◇","◆"),"")</f>
        <v/>
      </c>
      <c r="AW194" s="14" t="str">
        <f>IF(AND(ISNUMBER($I194),OR($K194="Milestone",$K194="Deadline"),$I194&gt;=AW$4,$I194&lt;AW$4+7),IF($K194="Deadline","◇","◆"),"")</f>
        <v/>
      </c>
      <c r="AX194" s="14" t="str">
        <f>IF(AND(ISNUMBER($I194),OR($K194="Milestone",$K194="Deadline"),$I194&gt;=AX$4,$I194&lt;AX$4+7),IF($K194="Deadline","◇","◆"),"")</f>
        <v/>
      </c>
      <c r="AY194" s="14" t="str">
        <f>IF(AND(ISNUMBER($I194),OR($K194="Milestone",$K194="Deadline"),$I194&gt;=AY$4,$I194&lt;AY$4+7),IF($K194="Deadline","◇","◆"),"")</f>
        <v/>
      </c>
      <c r="AZ194" s="14" t="str">
        <f>IF(AND(ISNUMBER($I194),OR($K194="Milestone",$K194="Deadline"),$I194&gt;=AZ$4,$I194&lt;AZ$4+7),IF($K194="Deadline","◇","◆"),"")</f>
        <v/>
      </c>
      <c r="BA194" s="14" t="str">
        <f>IF(AND(ISNUMBER($I194),OR($K194="Milestone",$K194="Deadline"),$I194&gt;=BA$4,$I194&lt;BA$4+7),IF($K194="Deadline","◇","◆"),"")</f>
        <v/>
      </c>
      <c r="BB194" s="14" t="str">
        <f>IF(AND(ISNUMBER($I194),OR($K194="Milestone",$K194="Deadline"),$I194&gt;=BB$4,$I194&lt;BB$4+7),IF($K194="Deadline","◇","◆"),"")</f>
        <v/>
      </c>
      <c r="BC194" s="14" t="str">
        <f>IF(AND(ISNUMBER($I194),OR($K194="Milestone",$K194="Deadline"),$I194&gt;=BC$4,$I194&lt;BC$4+7),IF($K194="Deadline","◇","◆"),"")</f>
        <v/>
      </c>
      <c r="BD194" s="14" t="str">
        <f>IF(AND(ISNUMBER($I194),OR($K194="Milestone",$K194="Deadline"),$I194&gt;=BD$4,$I194&lt;BD$4+7),IF($K194="Deadline","◇","◆"),"")</f>
        <v/>
      </c>
      <c r="BE194" s="14" t="str">
        <f>IF(AND(ISNUMBER($I194),OR($K194="Milestone",$K194="Deadline"),$I194&gt;=BE$4,$I194&lt;BE$4+7),IF($K194="Deadline","◇","◆"),"")</f>
        <v/>
      </c>
      <c r="BF194" s="14" t="str">
        <f>IF(AND(ISNUMBER($I194),OR($K194="Milestone",$K194="Deadline"),$I194&gt;=BF$4,$I194&lt;BF$4+7),IF($K194="Deadline","◇","◆"),"")</f>
        <v/>
      </c>
      <c r="BG194" s="14" t="str">
        <f>IF(AND(ISNUMBER($I194),OR($K194="Milestone",$K194="Deadline"),$I194&gt;=BG$4,$I194&lt;BG$4+7),IF($K194="Deadline","◇","◆"),"")</f>
        <v/>
      </c>
      <c r="BH194" s="14" t="str">
        <f>IF(AND(ISNUMBER($I194),OR($K194="Milestone",$K194="Deadline"),$I194&gt;=BH$4,$I194&lt;BH$4+7),IF($K194="Deadline","◇","◆"),"")</f>
        <v/>
      </c>
      <c r="BI194" s="14" t="str">
        <f>IF(AND(ISNUMBER($I194),OR($K194="Milestone",$K194="Deadline"),$I194&gt;=BI$4,$I194&lt;BI$4+7),IF($K194="Deadline","◇","◆"),"")</f>
        <v/>
      </c>
      <c r="BJ194" s="14" t="str">
        <f>IF(AND(ISNUMBER($I194),OR($K194="Milestone",$K194="Deadline"),$I194&gt;=BJ$4,$I194&lt;BJ$4+7),IF($K194="Deadline","◇","◆"),"")</f>
        <v/>
      </c>
      <c r="BK194" s="14" t="str">
        <f>IF(AND(ISNUMBER($I194),OR($K194="Milestone",$K194="Deadline"),$I194&gt;=BK$4,$I194&lt;BK$4+7),IF($K194="Deadline","◇","◆"),"")</f>
        <v/>
      </c>
      <c r="BL194" s="14" t="str">
        <f>IF(AND(ISNUMBER($I194),OR($K194="Milestone",$K194="Deadline"),$I194&gt;=BL$4,$I194&lt;BL$4+7),IF($K194="Deadline","◇","◆"),"")</f>
        <v/>
      </c>
      <c r="BM194" s="14" t="str">
        <f>IF(AND(ISNUMBER($I194),OR($K194="Milestone",$K194="Deadline"),$I194&gt;=BM$4,$I194&lt;BM$4+7),IF($K194="Deadline","◇","◆"),"")</f>
        <v/>
      </c>
      <c r="BN194" s="14" t="str">
        <f>IF(AND(ISNUMBER($I194),OR($K194="Milestone",$K194="Deadline"),$I194&gt;=BN$4,$I194&lt;BN$4+7),IF($K194="Deadline","◇","◆"),"")</f>
        <v/>
      </c>
      <c r="BO194" s="14" t="str">
        <f>IF(AND(ISNUMBER($I194),OR($K194="Milestone",$K194="Deadline"),$I194&gt;=BO$4,$I194&lt;BO$4+7),IF($K194="Deadline","◇","◆"),"")</f>
        <v/>
      </c>
      <c r="BP194" s="14" t="str">
        <f>IF(AND(ISNUMBER($I194),OR($K194="Milestone",$K194="Deadline"),$I194&gt;=BP$4,$I194&lt;BP$4+7),IF($K194="Deadline","◇","◆"),"")</f>
        <v/>
      </c>
      <c r="BQ194" s="14" t="str">
        <f>IF(AND(ISNUMBER($I194),OR($K194="Milestone",$K194="Deadline"),$I194&gt;=BQ$4,$I194&lt;BQ$4+7),IF($K194="Deadline","◇","◆"),"")</f>
        <v/>
      </c>
      <c r="BR194" s="14" t="str">
        <f>IF(AND(ISNUMBER($I194),OR($K194="Milestone",$K194="Deadline"),$I194&gt;=BR$4,$I194&lt;BR$4+7),IF($K194="Deadline","◇","◆"),"")</f>
        <v/>
      </c>
      <c r="BS194" s="14" t="str">
        <f>IF(AND(ISNUMBER($I194),OR($K194="Milestone",$K194="Deadline"),$I194&gt;=BS$4,$I194&lt;BS$4+7),IF($K194="Deadline","◇","◆"),"")</f>
        <v/>
      </c>
      <c r="BT194" s="14" t="str">
        <f>IF(AND(ISNUMBER($I194),OR($K194="Milestone",$K194="Deadline"),$I194&gt;=BT$4,$I194&lt;BT$4+7),IF($K194="Deadline","◇","◆"),"")</f>
        <v/>
      </c>
      <c r="BU194" s="14" t="str">
        <f>IF(AND(ISNUMBER($I194),OR($K194="Milestone",$K194="Deadline"),$I194&gt;=BU$4,$I194&lt;BU$4+7),IF($K194="Deadline","◇","◆"),"")</f>
        <v/>
      </c>
      <c r="BV194" s="14" t="str">
        <f>IF(AND(ISNUMBER($I194),OR($K194="Milestone",$K194="Deadline"),$I194&gt;=BV$4,$I194&lt;BV$4+7),IF($K194="Deadline","◇","◆"),"")</f>
        <v/>
      </c>
      <c r="BW194" s="14" t="str">
        <f>IF(AND(ISNUMBER($I194),OR($K194="Milestone",$K194="Deadline"),$I194&gt;=BW$4,$I194&lt;BW$4+7),IF($K194="Deadline","◇","◆"),"")</f>
        <v/>
      </c>
      <c r="BX194" s="14" t="str">
        <f>IF(AND(ISNUMBER($I194),OR($K194="Milestone",$K194="Deadline"),$I194&gt;=BX$4,$I194&lt;BX$4+7),IF($K194="Deadline","◇","◆"),"")</f>
        <v/>
      </c>
      <c r="BY194" s="14" t="str">
        <f>IF(AND(ISNUMBER($I194),OR($K194="Milestone",$K194="Deadline"),$I194&gt;=BY$4,$I194&lt;BY$4+7),IF($K194="Deadline","◇","◆"),"")</f>
        <v/>
      </c>
      <c r="BZ194" s="14" t="str">
        <f>IF(AND(ISNUMBER($I194),OR($K194="Milestone",$K194="Deadline"),$I194&gt;=BZ$4,$I194&lt;BZ$4+7),IF($K194="Deadline","◇","◆"),"")</f>
        <v/>
      </c>
      <c r="CA194" s="14" t="str">
        <f>IF(AND(ISNUMBER($I194),OR($K194="Milestone",$K194="Deadline"),$I194&gt;=CA$4,$I194&lt;CA$4+7),IF($K194="Deadline","◇","◆"),"")</f>
        <v/>
      </c>
      <c r="CB194" s="14" t="str">
        <f>IF(AND(ISNUMBER($I194),OR($K194="Milestone",$K194="Deadline"),$I194&gt;=CB$4,$I194&lt;CB$4+7),IF($K194="Deadline","◇","◆"),"")</f>
        <v/>
      </c>
      <c r="CC194" s="14" t="str">
        <f>IF(AND(ISNUMBER($I194),OR($K194="Milestone",$K194="Deadline"),$I194&gt;=CC$4,$I194&lt;CC$4+7),IF($K194="Deadline","◇","◆"),"")</f>
        <v/>
      </c>
      <c r="CD194" s="14" t="str">
        <f>IF(AND(ISNUMBER($I194),OR($K194="Milestone",$K194="Deadline"),$I194&gt;=CD$4,$I194&lt;CD$4+7),IF($K194="Deadline","◇","◆"),"")</f>
        <v/>
      </c>
      <c r="CE194" s="14" t="str">
        <f>IF(AND(ISNUMBER($I194),OR($K194="Milestone",$K194="Deadline"),$I194&gt;=CE$4,$I194&lt;CE$4+7),IF($K194="Deadline","◇","◆"),"")</f>
        <v/>
      </c>
      <c r="CF194" s="14" t="str">
        <f>IF(AND(ISNUMBER($I194),OR($K194="Milestone",$K194="Deadline"),$I194&gt;=CF$4,$I194&lt;CF$4+7),IF($K194="Deadline","◇","◆"),"")</f>
        <v/>
      </c>
      <c r="CG194" s="14" t="str">
        <f>IF(AND(ISNUMBER($I194),OR($K194="Milestone",$K194="Deadline"),$I194&gt;=CG$4,$I194&lt;CG$4+7),IF($K194="Deadline","◇","◆"),"")</f>
        <v/>
      </c>
      <c r="CH194" s="14" t="str">
        <f>IF(AND(ISNUMBER($I194),OR($K194="Milestone",$K194="Deadline"),$I194&gt;=CH$4,$I194&lt;CH$4+7),IF($K194="Deadline","◇","◆"),"")</f>
        <v/>
      </c>
      <c r="CI194" s="14" t="str">
        <f>IF(AND(ISNUMBER($I194),OR($K194="Milestone",$K194="Deadline"),$I194&gt;=CI$4,$I194&lt;CI$4+7),IF($K194="Deadline","◇","◆"),"")</f>
        <v/>
      </c>
      <c r="CJ194" s="14" t="str">
        <f>IF(AND(ISNUMBER($I194),OR($K194="Milestone",$K194="Deadline"),$I194&gt;=CJ$4,$I194&lt;CJ$4+7),IF($K194="Deadline","◇","◆"),"")</f>
        <v/>
      </c>
      <c r="CK194" s="14" t="str">
        <f>IF(AND(ISNUMBER($I194),OR($K194="Milestone",$K194="Deadline"),$I194&gt;=CK$4,$I194&lt;CK$4+7),IF($K194="Deadline","◇","◆"),"")</f>
        <v/>
      </c>
      <c r="CL194" s="14" t="str">
        <f>IF(AND(ISNUMBER($I194),OR($K194="Milestone",$K194="Deadline"),$I194&gt;=CL$4,$I194&lt;CL$4+7),IF($K194="Deadline","◇","◆"),"")</f>
        <v/>
      </c>
      <c r="CM194" s="14" t="str">
        <f>IF(AND(ISNUMBER($I194),OR($K194="Milestone",$K194="Deadline"),$I194&gt;=CM$4,$I194&lt;CM$4+7),IF($K194="Deadline","◇","◆"),"")</f>
        <v/>
      </c>
    </row>
    <row r="195" spans="1:91" hidden="1">
      <c r="A195" s="43" t="s">
        <v>338</v>
      </c>
      <c r="B195" s="43" t="s">
        <v>418</v>
      </c>
      <c r="C195" s="43" t="s">
        <v>93</v>
      </c>
      <c r="D195" s="43" t="s">
        <v>419</v>
      </c>
      <c r="E195" s="43" t="s">
        <v>281</v>
      </c>
      <c r="F195" s="43" t="s">
        <v>197</v>
      </c>
      <c r="G195" s="43" t="s">
        <v>184</v>
      </c>
      <c r="H195" s="43">
        <v>7</v>
      </c>
      <c r="I195" s="44">
        <f>MAX($C$2,J194+1,J40+1)</f>
        <v>46377</v>
      </c>
      <c r="J195" s="45">
        <f>IF(AND(ISNUMBER(I195),ISNUMBER(H195)),I195+H195-1,"")</f>
        <v>46383</v>
      </c>
      <c r="K195" s="43" t="s">
        <v>27</v>
      </c>
      <c r="L195" s="43" t="s">
        <v>437</v>
      </c>
      <c r="M195" s="46" t="s">
        <v>157</v>
      </c>
      <c r="N195" s="43"/>
      <c r="O195" s="46">
        <f>IF(AND(ISNUMBER(I195),ISNUMBER(J195)),J195-I195+1,"")</f>
        <v>7</v>
      </c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 t="s">
        <v>140</v>
      </c>
      <c r="AI195" s="13"/>
      <c r="AJ195" s="13"/>
      <c r="AK195" s="13"/>
      <c r="AL195" s="13"/>
      <c r="AM195" s="13"/>
      <c r="AN195" s="13"/>
      <c r="AO195" s="14" t="str">
        <f>IF(AND(ISNUMBER($I195),OR($K195="Milestone",$K195="Deadline"),$I195&gt;=AO$4,$I195&lt;AO$4+7),IF($K195="Deadline","◇","◆"),"")</f>
        <v/>
      </c>
      <c r="AP195" s="14" t="str">
        <f>IF(AND(ISNUMBER($I195),OR($K195="Milestone",$K195="Deadline"),$I195&gt;=AP$4,$I195&lt;AP$4+7),IF($K195="Deadline","◇","◆"),"")</f>
        <v/>
      </c>
      <c r="AQ195" s="14" t="str">
        <f>IF(AND(ISNUMBER($I195),OR($K195="Milestone",$K195="Deadline"),$I195&gt;=AQ$4,$I195&lt;AQ$4+7),IF($K195="Deadline","◇","◆"),"")</f>
        <v/>
      </c>
      <c r="AR195" s="14" t="str">
        <f>IF(AND(ISNUMBER($I195),OR($K195="Milestone",$K195="Deadline"),$I195&gt;=AR$4,$I195&lt;AR$4+7),IF($K195="Deadline","◇","◆"),"")</f>
        <v/>
      </c>
      <c r="AS195" s="14" t="str">
        <f>IF(AND(ISNUMBER($I195),OR($K195="Milestone",$K195="Deadline"),$I195&gt;=AS$4,$I195&lt;AS$4+7),IF($K195="Deadline","◇","◆"),"")</f>
        <v/>
      </c>
      <c r="AT195" s="14" t="str">
        <f>IF(AND(ISNUMBER($I195),OR($K195="Milestone",$K195="Deadline"),$I195&gt;=AT$4,$I195&lt;AT$4+7),IF($K195="Deadline","◇","◆"),"")</f>
        <v/>
      </c>
      <c r="AU195" s="14" t="str">
        <f>IF(AND(ISNUMBER($I195),OR($K195="Milestone",$K195="Deadline"),$I195&gt;=AU$4,$I195&lt;AU$4+7),IF($K195="Deadline","◇","◆"),"")</f>
        <v/>
      </c>
      <c r="AV195" s="14" t="str">
        <f>IF(AND(ISNUMBER($I195),OR($K195="Milestone",$K195="Deadline"),$I195&gt;=AV$4,$I195&lt;AV$4+7),IF($K195="Deadline","◇","◆"),"")</f>
        <v/>
      </c>
      <c r="AW195" s="14" t="str">
        <f>IF(AND(ISNUMBER($I195),OR($K195="Milestone",$K195="Deadline"),$I195&gt;=AW$4,$I195&lt;AW$4+7),IF($K195="Deadline","◇","◆"),"")</f>
        <v/>
      </c>
      <c r="AX195" s="14" t="str">
        <f>IF(AND(ISNUMBER($I195),OR($K195="Milestone",$K195="Deadline"),$I195&gt;=AX$4,$I195&lt;AX$4+7),IF($K195="Deadline","◇","◆"),"")</f>
        <v/>
      </c>
      <c r="AY195" s="14" t="str">
        <f>IF(AND(ISNUMBER($I195),OR($K195="Milestone",$K195="Deadline"),$I195&gt;=AY$4,$I195&lt;AY$4+7),IF($K195="Deadline","◇","◆"),"")</f>
        <v/>
      </c>
      <c r="AZ195" s="14" t="str">
        <f>IF(AND(ISNUMBER($I195),OR($K195="Milestone",$K195="Deadline"),$I195&gt;=AZ$4,$I195&lt;AZ$4+7),IF($K195="Deadline","◇","◆"),"")</f>
        <v/>
      </c>
      <c r="BA195" s="14" t="str">
        <f>IF(AND(ISNUMBER($I195),OR($K195="Milestone",$K195="Deadline"),$I195&gt;=BA$4,$I195&lt;BA$4+7),IF($K195="Deadline","◇","◆"),"")</f>
        <v/>
      </c>
      <c r="BB195" s="14" t="str">
        <f>IF(AND(ISNUMBER($I195),OR($K195="Milestone",$K195="Deadline"),$I195&gt;=BB$4,$I195&lt;BB$4+7),IF($K195="Deadline","◇","◆"),"")</f>
        <v/>
      </c>
      <c r="BC195" s="14" t="str">
        <f>IF(AND(ISNUMBER($I195),OR($K195="Milestone",$K195="Deadline"),$I195&gt;=BC$4,$I195&lt;BC$4+7),IF($K195="Deadline","◇","◆"),"")</f>
        <v/>
      </c>
      <c r="BD195" s="14" t="str">
        <f>IF(AND(ISNUMBER($I195),OR($K195="Milestone",$K195="Deadline"),$I195&gt;=BD$4,$I195&lt;BD$4+7),IF($K195="Deadline","◇","◆"),"")</f>
        <v/>
      </c>
      <c r="BE195" s="14" t="str">
        <f>IF(AND(ISNUMBER($I195),OR($K195="Milestone",$K195="Deadline"),$I195&gt;=BE$4,$I195&lt;BE$4+7),IF($K195="Deadline","◇","◆"),"")</f>
        <v/>
      </c>
      <c r="BF195" s="14" t="str">
        <f>IF(AND(ISNUMBER($I195),OR($K195="Milestone",$K195="Deadline"),$I195&gt;=BF$4,$I195&lt;BF$4+7),IF($K195="Deadline","◇","◆"),"")</f>
        <v/>
      </c>
      <c r="BG195" s="14" t="str">
        <f>IF(AND(ISNUMBER($I195),OR($K195="Milestone",$K195="Deadline"),$I195&gt;=BG$4,$I195&lt;BG$4+7),IF($K195="Deadline","◇","◆"),"")</f>
        <v/>
      </c>
      <c r="BH195" s="14" t="str">
        <f>IF(AND(ISNUMBER($I195),OR($K195="Milestone",$K195="Deadline"),$I195&gt;=BH$4,$I195&lt;BH$4+7),IF($K195="Deadline","◇","◆"),"")</f>
        <v/>
      </c>
      <c r="BI195" s="14" t="str">
        <f>IF(AND(ISNUMBER($I195),OR($K195="Milestone",$K195="Deadline"),$I195&gt;=BI$4,$I195&lt;BI$4+7),IF($K195="Deadline","◇","◆"),"")</f>
        <v/>
      </c>
      <c r="BJ195" s="14" t="str">
        <f>IF(AND(ISNUMBER($I195),OR($K195="Milestone",$K195="Deadline"),$I195&gt;=BJ$4,$I195&lt;BJ$4+7),IF($K195="Deadline","◇","◆"),"")</f>
        <v/>
      </c>
      <c r="BK195" s="14" t="str">
        <f>IF(AND(ISNUMBER($I195),OR($K195="Milestone",$K195="Deadline"),$I195&gt;=BK$4,$I195&lt;BK$4+7),IF($K195="Deadline","◇","◆"),"")</f>
        <v/>
      </c>
      <c r="BL195" s="14" t="str">
        <f>IF(AND(ISNUMBER($I195),OR($K195="Milestone",$K195="Deadline"),$I195&gt;=BL$4,$I195&lt;BL$4+7),IF($K195="Deadline","◇","◆"),"")</f>
        <v/>
      </c>
      <c r="BM195" s="14" t="str">
        <f>IF(AND(ISNUMBER($I195),OR($K195="Milestone",$K195="Deadline"),$I195&gt;=BM$4,$I195&lt;BM$4+7),IF($K195="Deadline","◇","◆"),"")</f>
        <v/>
      </c>
      <c r="BN195" s="14" t="str">
        <f>IF(AND(ISNUMBER($I195),OR($K195="Milestone",$K195="Deadline"),$I195&gt;=BN$4,$I195&lt;BN$4+7),IF($K195="Deadline","◇","◆"),"")</f>
        <v/>
      </c>
      <c r="BO195" s="14" t="str">
        <f>IF(AND(ISNUMBER($I195),OR($K195="Milestone",$K195="Deadline"),$I195&gt;=BO$4,$I195&lt;BO$4+7),IF($K195="Deadline","◇","◆"),"")</f>
        <v/>
      </c>
      <c r="BP195" s="14" t="str">
        <f>IF(AND(ISNUMBER($I195),OR($K195="Milestone",$K195="Deadline"),$I195&gt;=BP$4,$I195&lt;BP$4+7),IF($K195="Deadline","◇","◆"),"")</f>
        <v/>
      </c>
      <c r="BQ195" s="14" t="str">
        <f>IF(AND(ISNUMBER($I195),OR($K195="Milestone",$K195="Deadline"),$I195&gt;=BQ$4,$I195&lt;BQ$4+7),IF($K195="Deadline","◇","◆"),"")</f>
        <v/>
      </c>
      <c r="BR195" s="14" t="str">
        <f>IF(AND(ISNUMBER($I195),OR($K195="Milestone",$K195="Deadline"),$I195&gt;=BR$4,$I195&lt;BR$4+7),IF($K195="Deadline","◇","◆"),"")</f>
        <v/>
      </c>
      <c r="BS195" s="14" t="str">
        <f>IF(AND(ISNUMBER($I195),OR($K195="Milestone",$K195="Deadline"),$I195&gt;=BS$4,$I195&lt;BS$4+7),IF($K195="Deadline","◇","◆"),"")</f>
        <v/>
      </c>
      <c r="BT195" s="14" t="str">
        <f>IF(AND(ISNUMBER($I195),OR($K195="Milestone",$K195="Deadline"),$I195&gt;=BT$4,$I195&lt;BT$4+7),IF($K195="Deadline","◇","◆"),"")</f>
        <v/>
      </c>
      <c r="BU195" s="14" t="str">
        <f>IF(AND(ISNUMBER($I195),OR($K195="Milestone",$K195="Deadline"),$I195&gt;=BU$4,$I195&lt;BU$4+7),IF($K195="Deadline","◇","◆"),"")</f>
        <v/>
      </c>
      <c r="BV195" s="14" t="str">
        <f>IF(AND(ISNUMBER($I195),OR($K195="Milestone",$K195="Deadline"),$I195&gt;=BV$4,$I195&lt;BV$4+7),IF($K195="Deadline","◇","◆"),"")</f>
        <v/>
      </c>
      <c r="BW195" s="14" t="str">
        <f>IF(AND(ISNUMBER($I195),OR($K195="Milestone",$K195="Deadline"),$I195&gt;=BW$4,$I195&lt;BW$4+7),IF($K195="Deadline","◇","◆"),"")</f>
        <v/>
      </c>
      <c r="BX195" s="14" t="str">
        <f>IF(AND(ISNUMBER($I195),OR($K195="Milestone",$K195="Deadline"),$I195&gt;=BX$4,$I195&lt;BX$4+7),IF($K195="Deadline","◇","◆"),"")</f>
        <v/>
      </c>
      <c r="BY195" s="14" t="str">
        <f>IF(AND(ISNUMBER($I195),OR($K195="Milestone",$K195="Deadline"),$I195&gt;=BY$4,$I195&lt;BY$4+7),IF($K195="Deadline","◇","◆"),"")</f>
        <v/>
      </c>
      <c r="BZ195" s="14" t="str">
        <f>IF(AND(ISNUMBER($I195),OR($K195="Milestone",$K195="Deadline"),$I195&gt;=BZ$4,$I195&lt;BZ$4+7),IF($K195="Deadline","◇","◆"),"")</f>
        <v/>
      </c>
      <c r="CA195" s="14" t="str">
        <f>IF(AND(ISNUMBER($I195),OR($K195="Milestone",$K195="Deadline"),$I195&gt;=CA$4,$I195&lt;CA$4+7),IF($K195="Deadline","◇","◆"),"")</f>
        <v/>
      </c>
      <c r="CB195" s="14" t="str">
        <f>IF(AND(ISNUMBER($I195),OR($K195="Milestone",$K195="Deadline"),$I195&gt;=CB$4,$I195&lt;CB$4+7),IF($K195="Deadline","◇","◆"),"")</f>
        <v/>
      </c>
      <c r="CC195" s="14" t="str">
        <f>IF(AND(ISNUMBER($I195),OR($K195="Milestone",$K195="Deadline"),$I195&gt;=CC$4,$I195&lt;CC$4+7),IF($K195="Deadline","◇","◆"),"")</f>
        <v/>
      </c>
      <c r="CD195" s="14" t="str">
        <f>IF(AND(ISNUMBER($I195),OR($K195="Milestone",$K195="Deadline"),$I195&gt;=CD$4,$I195&lt;CD$4+7),IF($K195="Deadline","◇","◆"),"")</f>
        <v/>
      </c>
      <c r="CE195" s="14" t="str">
        <f>IF(AND(ISNUMBER($I195),OR($K195="Milestone",$K195="Deadline"),$I195&gt;=CE$4,$I195&lt;CE$4+7),IF($K195="Deadline","◇","◆"),"")</f>
        <v/>
      </c>
      <c r="CF195" s="14" t="str">
        <f>IF(AND(ISNUMBER($I195),OR($K195="Milestone",$K195="Deadline"),$I195&gt;=CF$4,$I195&lt;CF$4+7),IF($K195="Deadline","◇","◆"),"")</f>
        <v/>
      </c>
      <c r="CG195" s="14" t="str">
        <f>IF(AND(ISNUMBER($I195),OR($K195="Milestone",$K195="Deadline"),$I195&gt;=CG$4,$I195&lt;CG$4+7),IF($K195="Deadline","◇","◆"),"")</f>
        <v/>
      </c>
      <c r="CH195" s="14" t="str">
        <f>IF(AND(ISNUMBER($I195),OR($K195="Milestone",$K195="Deadline"),$I195&gt;=CH$4,$I195&lt;CH$4+7),IF($K195="Deadline","◇","◆"),"")</f>
        <v/>
      </c>
      <c r="CI195" s="14" t="str">
        <f>IF(AND(ISNUMBER($I195),OR($K195="Milestone",$K195="Deadline"),$I195&gt;=CI$4,$I195&lt;CI$4+7),IF($K195="Deadline","◇","◆"),"")</f>
        <v/>
      </c>
      <c r="CJ195" s="14" t="str">
        <f>IF(AND(ISNUMBER($I195),OR($K195="Milestone",$K195="Deadline"),$I195&gt;=CJ$4,$I195&lt;CJ$4+7),IF($K195="Deadline","◇","◆"),"")</f>
        <v/>
      </c>
      <c r="CK195" s="14" t="str">
        <f>IF(AND(ISNUMBER($I195),OR($K195="Milestone",$K195="Deadline"),$I195&gt;=CK$4,$I195&lt;CK$4+7),IF($K195="Deadline","◇","◆"),"")</f>
        <v/>
      </c>
      <c r="CL195" s="14" t="str">
        <f>IF(AND(ISNUMBER($I195),OR($K195="Milestone",$K195="Deadline"),$I195&gt;=CL$4,$I195&lt;CL$4+7),IF($K195="Deadline","◇","◆"),"")</f>
        <v/>
      </c>
      <c r="CM195" s="14" t="str">
        <f>IF(AND(ISNUMBER($I195),OR($K195="Milestone",$K195="Deadline"),$I195&gt;=CM$4,$I195&lt;CM$4+7),IF($K195="Deadline","◇","◆"),"")</f>
        <v/>
      </c>
    </row>
    <row r="196" spans="1:91" ht="15" hidden="1" customHeight="1">
      <c r="A196" s="43" t="s">
        <v>439</v>
      </c>
      <c r="B196" s="43" t="s">
        <v>418</v>
      </c>
      <c r="C196" s="43" t="s">
        <v>93</v>
      </c>
      <c r="D196" s="43" t="s">
        <v>419</v>
      </c>
      <c r="E196" s="43" t="s">
        <v>281</v>
      </c>
      <c r="F196" s="43" t="s">
        <v>197</v>
      </c>
      <c r="G196" s="43" t="s">
        <v>275</v>
      </c>
      <c r="H196" s="43">
        <v>8</v>
      </c>
      <c r="I196" s="44">
        <f>MAX($C$2,J195+1,J193+1,J61+1,J190+1)</f>
        <v>46426</v>
      </c>
      <c r="J196" s="45">
        <f>IF(AND(ISNUMBER(I196),ISNUMBER(H196)),I196+H196-1,"")</f>
        <v>46433</v>
      </c>
      <c r="K196" s="43" t="s">
        <v>27</v>
      </c>
      <c r="L196" s="43" t="s">
        <v>440</v>
      </c>
      <c r="M196" s="46" t="s">
        <v>441</v>
      </c>
      <c r="N196" s="43"/>
      <c r="O196" s="46">
        <f>IF(AND(ISNUMBER(I196),ISNUMBER(J196)),J196-I196+1,"")</f>
        <v>8</v>
      </c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 t="s">
        <v>140</v>
      </c>
      <c r="AE196" s="13"/>
      <c r="AF196" s="13"/>
      <c r="AG196" s="13" t="s">
        <v>140</v>
      </c>
      <c r="AH196" s="13"/>
      <c r="AI196" s="13"/>
      <c r="AJ196" s="13"/>
      <c r="AK196" s="13"/>
      <c r="AL196" s="13"/>
      <c r="AM196" s="13"/>
      <c r="AN196" s="13"/>
      <c r="AO196" s="14" t="str">
        <f>IF(AND(ISNUMBER($I196),OR($K196="Milestone",$K196="Deadline"),$I196&gt;=AO$4,$I196&lt;AO$4+7),IF($K196="Deadline","◇","◆"),"")</f>
        <v/>
      </c>
      <c r="AP196" s="14" t="str">
        <f>IF(AND(ISNUMBER($I196),OR($K196="Milestone",$K196="Deadline"),$I196&gt;=AP$4,$I196&lt;AP$4+7),IF($K196="Deadline","◇","◆"),"")</f>
        <v/>
      </c>
      <c r="AQ196" s="14" t="str">
        <f>IF(AND(ISNUMBER($I196),OR($K196="Milestone",$K196="Deadline"),$I196&gt;=AQ$4,$I196&lt;AQ$4+7),IF($K196="Deadline","◇","◆"),"")</f>
        <v/>
      </c>
      <c r="AR196" s="14" t="str">
        <f>IF(AND(ISNUMBER($I196),OR($K196="Milestone",$K196="Deadline"),$I196&gt;=AR$4,$I196&lt;AR$4+7),IF($K196="Deadline","◇","◆"),"")</f>
        <v/>
      </c>
      <c r="AS196" s="14" t="str">
        <f>IF(AND(ISNUMBER($I196),OR($K196="Milestone",$K196="Deadline"),$I196&gt;=AS$4,$I196&lt;AS$4+7),IF($K196="Deadline","◇","◆"),"")</f>
        <v/>
      </c>
      <c r="AT196" s="14" t="str">
        <f>IF(AND(ISNUMBER($I196),OR($K196="Milestone",$K196="Deadline"),$I196&gt;=AT$4,$I196&lt;AT$4+7),IF($K196="Deadline","◇","◆"),"")</f>
        <v/>
      </c>
      <c r="AU196" s="14" t="str">
        <f>IF(AND(ISNUMBER($I196),OR($K196="Milestone",$K196="Deadline"),$I196&gt;=AU$4,$I196&lt;AU$4+7),IF($K196="Deadline","◇","◆"),"")</f>
        <v/>
      </c>
      <c r="AV196" s="14" t="str">
        <f>IF(AND(ISNUMBER($I196),OR($K196="Milestone",$K196="Deadline"),$I196&gt;=AV$4,$I196&lt;AV$4+7),IF($K196="Deadline","◇","◆"),"")</f>
        <v/>
      </c>
      <c r="AW196" s="14" t="str">
        <f>IF(AND(ISNUMBER($I196),OR($K196="Milestone",$K196="Deadline"),$I196&gt;=AW$4,$I196&lt;AW$4+7),IF($K196="Deadline","◇","◆"),"")</f>
        <v/>
      </c>
      <c r="AX196" s="14" t="str">
        <f>IF(AND(ISNUMBER($I196),OR($K196="Milestone",$K196="Deadline"),$I196&gt;=AX$4,$I196&lt;AX$4+7),IF($K196="Deadline","◇","◆"),"")</f>
        <v/>
      </c>
      <c r="AY196" s="14" t="str">
        <f>IF(AND(ISNUMBER($I196),OR($K196="Milestone",$K196="Deadline"),$I196&gt;=AY$4,$I196&lt;AY$4+7),IF($K196="Deadline","◇","◆"),"")</f>
        <v/>
      </c>
      <c r="AZ196" s="14" t="str">
        <f>IF(AND(ISNUMBER($I196),OR($K196="Milestone",$K196="Deadline"),$I196&gt;=AZ$4,$I196&lt;AZ$4+7),IF($K196="Deadline","◇","◆"),"")</f>
        <v/>
      </c>
      <c r="BA196" s="14" t="str">
        <f>IF(AND(ISNUMBER($I196),OR($K196="Milestone",$K196="Deadline"),$I196&gt;=BA$4,$I196&lt;BA$4+7),IF($K196="Deadline","◇","◆"),"")</f>
        <v/>
      </c>
      <c r="BB196" s="14" t="str">
        <f>IF(AND(ISNUMBER($I196),OR($K196="Milestone",$K196="Deadline"),$I196&gt;=BB$4,$I196&lt;BB$4+7),IF($K196="Deadline","◇","◆"),"")</f>
        <v/>
      </c>
      <c r="BC196" s="14" t="str">
        <f>IF(AND(ISNUMBER($I196),OR($K196="Milestone",$K196="Deadline"),$I196&gt;=BC$4,$I196&lt;BC$4+7),IF($K196="Deadline","◇","◆"),"")</f>
        <v/>
      </c>
      <c r="BD196" s="14" t="str">
        <f>IF(AND(ISNUMBER($I196),OR($K196="Milestone",$K196="Deadline"),$I196&gt;=BD$4,$I196&lt;BD$4+7),IF($K196="Deadline","◇","◆"),"")</f>
        <v/>
      </c>
      <c r="BE196" s="14" t="str">
        <f>IF(AND(ISNUMBER($I196),OR($K196="Milestone",$K196="Deadline"),$I196&gt;=BE$4,$I196&lt;BE$4+7),IF($K196="Deadline","◇","◆"),"")</f>
        <v/>
      </c>
      <c r="BF196" s="14" t="str">
        <f>IF(AND(ISNUMBER($I196),OR($K196="Milestone",$K196="Deadline"),$I196&gt;=BF$4,$I196&lt;BF$4+7),IF($K196="Deadline","◇","◆"),"")</f>
        <v/>
      </c>
      <c r="BG196" s="14" t="str">
        <f>IF(AND(ISNUMBER($I196),OR($K196="Milestone",$K196="Deadline"),$I196&gt;=BG$4,$I196&lt;BG$4+7),IF($K196="Deadline","◇","◆"),"")</f>
        <v/>
      </c>
      <c r="BH196" s="14" t="str">
        <f>IF(AND(ISNUMBER($I196),OR($K196="Milestone",$K196="Deadline"),$I196&gt;=BH$4,$I196&lt;BH$4+7),IF($K196="Deadline","◇","◆"),"")</f>
        <v/>
      </c>
      <c r="BI196" s="14" t="str">
        <f>IF(AND(ISNUMBER($I196),OR($K196="Milestone",$K196="Deadline"),$I196&gt;=BI$4,$I196&lt;BI$4+7),IF($K196="Deadline","◇","◆"),"")</f>
        <v/>
      </c>
      <c r="BJ196" s="14" t="str">
        <f>IF(AND(ISNUMBER($I196),OR($K196="Milestone",$K196="Deadline"),$I196&gt;=BJ$4,$I196&lt;BJ$4+7),IF($K196="Deadline","◇","◆"),"")</f>
        <v/>
      </c>
      <c r="BK196" s="14" t="str">
        <f>IF(AND(ISNUMBER($I196),OR($K196="Milestone",$K196="Deadline"),$I196&gt;=BK$4,$I196&lt;BK$4+7),IF($K196="Deadline","◇","◆"),"")</f>
        <v/>
      </c>
      <c r="BL196" s="14" t="str">
        <f>IF(AND(ISNUMBER($I196),OR($K196="Milestone",$K196="Deadline"),$I196&gt;=BL$4,$I196&lt;BL$4+7),IF($K196="Deadline","◇","◆"),"")</f>
        <v/>
      </c>
      <c r="BM196" s="14" t="str">
        <f>IF(AND(ISNUMBER($I196),OR($K196="Milestone",$K196="Deadline"),$I196&gt;=BM$4,$I196&lt;BM$4+7),IF($K196="Deadline","◇","◆"),"")</f>
        <v/>
      </c>
      <c r="BN196" s="14" t="str">
        <f>IF(AND(ISNUMBER($I196),OR($K196="Milestone",$K196="Deadline"),$I196&gt;=BN$4,$I196&lt;BN$4+7),IF($K196="Deadline","◇","◆"),"")</f>
        <v/>
      </c>
      <c r="BO196" s="14" t="str">
        <f>IF(AND(ISNUMBER($I196),OR($K196="Milestone",$K196="Deadline"),$I196&gt;=BO$4,$I196&lt;BO$4+7),IF($K196="Deadline","◇","◆"),"")</f>
        <v/>
      </c>
      <c r="BP196" s="14" t="str">
        <f>IF(AND(ISNUMBER($I196),OR($K196="Milestone",$K196="Deadline"),$I196&gt;=BP$4,$I196&lt;BP$4+7),IF($K196="Deadline","◇","◆"),"")</f>
        <v/>
      </c>
      <c r="BQ196" s="14" t="str">
        <f>IF(AND(ISNUMBER($I196),OR($K196="Milestone",$K196="Deadline"),$I196&gt;=BQ$4,$I196&lt;BQ$4+7),IF($K196="Deadline","◇","◆"),"")</f>
        <v/>
      </c>
      <c r="BR196" s="14" t="str">
        <f>IF(AND(ISNUMBER($I196),OR($K196="Milestone",$K196="Deadline"),$I196&gt;=BR$4,$I196&lt;BR$4+7),IF($K196="Deadline","◇","◆"),"")</f>
        <v/>
      </c>
      <c r="BS196" s="14" t="str">
        <f>IF(AND(ISNUMBER($I196),OR($K196="Milestone",$K196="Deadline"),$I196&gt;=BS$4,$I196&lt;BS$4+7),IF($K196="Deadline","◇","◆"),"")</f>
        <v/>
      </c>
      <c r="BT196" s="14" t="str">
        <f>IF(AND(ISNUMBER($I196),OR($K196="Milestone",$K196="Deadline"),$I196&gt;=BT$4,$I196&lt;BT$4+7),IF($K196="Deadline","◇","◆"),"")</f>
        <v/>
      </c>
      <c r="BU196" s="14" t="str">
        <f>IF(AND(ISNUMBER($I196),OR($K196="Milestone",$K196="Deadline"),$I196&gt;=BU$4,$I196&lt;BU$4+7),IF($K196="Deadline","◇","◆"),"")</f>
        <v/>
      </c>
      <c r="BV196" s="14" t="str">
        <f>IF(AND(ISNUMBER($I196),OR($K196="Milestone",$K196="Deadline"),$I196&gt;=BV$4,$I196&lt;BV$4+7),IF($K196="Deadline","◇","◆"),"")</f>
        <v/>
      </c>
      <c r="BW196" s="14" t="str">
        <f>IF(AND(ISNUMBER($I196),OR($K196="Milestone",$K196="Deadline"),$I196&gt;=BW$4,$I196&lt;BW$4+7),IF($K196="Deadline","◇","◆"),"")</f>
        <v/>
      </c>
      <c r="BX196" s="14" t="str">
        <f>IF(AND(ISNUMBER($I196),OR($K196="Milestone",$K196="Deadline"),$I196&gt;=BX$4,$I196&lt;BX$4+7),IF($K196="Deadline","◇","◆"),"")</f>
        <v/>
      </c>
      <c r="BY196" s="14" t="str">
        <f>IF(AND(ISNUMBER($I196),OR($K196="Milestone",$K196="Deadline"),$I196&gt;=BY$4,$I196&lt;BY$4+7),IF($K196="Deadline","◇","◆"),"")</f>
        <v/>
      </c>
      <c r="BZ196" s="14" t="str">
        <f>IF(AND(ISNUMBER($I196),OR($K196="Milestone",$K196="Deadline"),$I196&gt;=BZ$4,$I196&lt;BZ$4+7),IF($K196="Deadline","◇","◆"),"")</f>
        <v/>
      </c>
      <c r="CA196" s="14" t="str">
        <f>IF(AND(ISNUMBER($I196),OR($K196="Milestone",$K196="Deadline"),$I196&gt;=CA$4,$I196&lt;CA$4+7),IF($K196="Deadline","◇","◆"),"")</f>
        <v/>
      </c>
      <c r="CB196" s="14" t="str">
        <f>IF(AND(ISNUMBER($I196),OR($K196="Milestone",$K196="Deadline"),$I196&gt;=CB$4,$I196&lt;CB$4+7),IF($K196="Deadline","◇","◆"),"")</f>
        <v/>
      </c>
      <c r="CC196" s="14" t="str">
        <f>IF(AND(ISNUMBER($I196),OR($K196="Milestone",$K196="Deadline"),$I196&gt;=CC$4,$I196&lt;CC$4+7),IF($K196="Deadline","◇","◆"),"")</f>
        <v/>
      </c>
      <c r="CD196" s="14" t="str">
        <f>IF(AND(ISNUMBER($I196),OR($K196="Milestone",$K196="Deadline"),$I196&gt;=CD$4,$I196&lt;CD$4+7),IF($K196="Deadline","◇","◆"),"")</f>
        <v/>
      </c>
      <c r="CE196" s="14" t="str">
        <f>IF(AND(ISNUMBER($I196),OR($K196="Milestone",$K196="Deadline"),$I196&gt;=CE$4,$I196&lt;CE$4+7),IF($K196="Deadline","◇","◆"),"")</f>
        <v/>
      </c>
      <c r="CF196" s="14" t="str">
        <f>IF(AND(ISNUMBER($I196),OR($K196="Milestone",$K196="Deadline"),$I196&gt;=CF$4,$I196&lt;CF$4+7),IF($K196="Deadline","◇","◆"),"")</f>
        <v/>
      </c>
      <c r="CG196" s="14" t="str">
        <f>IF(AND(ISNUMBER($I196),OR($K196="Milestone",$K196="Deadline"),$I196&gt;=CG$4,$I196&lt;CG$4+7),IF($K196="Deadline","◇","◆"),"")</f>
        <v/>
      </c>
      <c r="CH196" s="14" t="str">
        <f>IF(AND(ISNUMBER($I196),OR($K196="Milestone",$K196="Deadline"),$I196&gt;=CH$4,$I196&lt;CH$4+7),IF($K196="Deadline","◇","◆"),"")</f>
        <v/>
      </c>
      <c r="CI196" s="14" t="str">
        <f>IF(AND(ISNUMBER($I196),OR($K196="Milestone",$K196="Deadline"),$I196&gt;=CI$4,$I196&lt;CI$4+7),IF($K196="Deadline","◇","◆"),"")</f>
        <v/>
      </c>
      <c r="CJ196" s="14" t="str">
        <f>IF(AND(ISNUMBER($I196),OR($K196="Milestone",$K196="Deadline"),$I196&gt;=CJ$4,$I196&lt;CJ$4+7),IF($K196="Deadline","◇","◆"),"")</f>
        <v/>
      </c>
      <c r="CK196" s="14" t="str">
        <f>IF(AND(ISNUMBER($I196),OR($K196="Milestone",$K196="Deadline"),$I196&gt;=CK$4,$I196&lt;CK$4+7),IF($K196="Deadline","◇","◆"),"")</f>
        <v/>
      </c>
      <c r="CL196" s="14" t="str">
        <f>IF(AND(ISNUMBER($I196),OR($K196="Milestone",$K196="Deadline"),$I196&gt;=CL$4,$I196&lt;CL$4+7),IF($K196="Deadline","◇","◆"),"")</f>
        <v/>
      </c>
      <c r="CM196" s="14" t="str">
        <f>IF(AND(ISNUMBER($I196),OR($K196="Milestone",$K196="Deadline"),$I196&gt;=CM$4,$I196&lt;CM$4+7),IF($K196="Deadline","◇","◆"),"")</f>
        <v/>
      </c>
    </row>
    <row r="197" spans="1:91" ht="15" hidden="1" customHeight="1">
      <c r="A197" s="43" t="s">
        <v>442</v>
      </c>
      <c r="B197" s="43" t="s">
        <v>418</v>
      </c>
      <c r="C197" s="43" t="s">
        <v>191</v>
      </c>
      <c r="D197" s="43" t="s">
        <v>419</v>
      </c>
      <c r="E197" s="43" t="s">
        <v>281</v>
      </c>
      <c r="F197" s="43" t="s">
        <v>197</v>
      </c>
      <c r="G197" s="43" t="s">
        <v>278</v>
      </c>
      <c r="H197" s="43">
        <v>6</v>
      </c>
      <c r="I197" s="44">
        <f>MAX(DATE(2027,3,1),J196+1,J225+1,J112+1)</f>
        <v>46469</v>
      </c>
      <c r="J197" s="45">
        <f>IF(AND(ISNUMBER(I197),ISNUMBER(H197)),I197+H197-1,"")</f>
        <v>46474</v>
      </c>
      <c r="K197" s="43" t="s">
        <v>27</v>
      </c>
      <c r="L197" s="43" t="s">
        <v>439</v>
      </c>
      <c r="M197" s="46" t="s">
        <v>443</v>
      </c>
      <c r="N197" s="43"/>
      <c r="O197" s="46">
        <f>IF(AND(ISNUMBER(I197),ISNUMBER(J197)),J197-I197+1,"")</f>
        <v>6</v>
      </c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 t="s">
        <v>140</v>
      </c>
      <c r="AG197" s="13"/>
      <c r="AH197" s="13" t="s">
        <v>140</v>
      </c>
      <c r="AI197" s="13"/>
      <c r="AJ197" s="13"/>
      <c r="AK197" s="13"/>
      <c r="AL197" s="13"/>
      <c r="AM197" s="13"/>
      <c r="AN197" s="13"/>
      <c r="AO197" s="14" t="str">
        <f>IF(AND(ISNUMBER($I197),OR($K197="Milestone",$K197="Deadline"),$I197&gt;=AO$4,$I197&lt;AO$4+7),IF($K197="Deadline","◇","◆"),"")</f>
        <v/>
      </c>
      <c r="AP197" s="14" t="str">
        <f>IF(AND(ISNUMBER($I197),OR($K197="Milestone",$K197="Deadline"),$I197&gt;=AP$4,$I197&lt;AP$4+7),IF($K197="Deadline","◇","◆"),"")</f>
        <v/>
      </c>
      <c r="AQ197" s="14" t="str">
        <f>IF(AND(ISNUMBER($I197),OR($K197="Milestone",$K197="Deadline"),$I197&gt;=AQ$4,$I197&lt;AQ$4+7),IF($K197="Deadline","◇","◆"),"")</f>
        <v/>
      </c>
      <c r="AR197" s="14" t="str">
        <f>IF(AND(ISNUMBER($I197),OR($K197="Milestone",$K197="Deadline"),$I197&gt;=AR$4,$I197&lt;AR$4+7),IF($K197="Deadline","◇","◆"),"")</f>
        <v/>
      </c>
      <c r="AS197" s="14" t="str">
        <f>IF(AND(ISNUMBER($I197),OR($K197="Milestone",$K197="Deadline"),$I197&gt;=AS$4,$I197&lt;AS$4+7),IF($K197="Deadline","◇","◆"),"")</f>
        <v/>
      </c>
      <c r="AT197" s="14" t="str">
        <f>IF(AND(ISNUMBER($I197),OR($K197="Milestone",$K197="Deadline"),$I197&gt;=AT$4,$I197&lt;AT$4+7),IF($K197="Deadline","◇","◆"),"")</f>
        <v/>
      </c>
      <c r="AU197" s="14" t="str">
        <f>IF(AND(ISNUMBER($I197),OR($K197="Milestone",$K197="Deadline"),$I197&gt;=AU$4,$I197&lt;AU$4+7),IF($K197="Deadline","◇","◆"),"")</f>
        <v/>
      </c>
      <c r="AV197" s="14" t="str">
        <f>IF(AND(ISNUMBER($I197),OR($K197="Milestone",$K197="Deadline"),$I197&gt;=AV$4,$I197&lt;AV$4+7),IF($K197="Deadline","◇","◆"),"")</f>
        <v/>
      </c>
      <c r="AW197" s="14" t="str">
        <f>IF(AND(ISNUMBER($I197),OR($K197="Milestone",$K197="Deadline"),$I197&gt;=AW$4,$I197&lt;AW$4+7),IF($K197="Deadline","◇","◆"),"")</f>
        <v/>
      </c>
      <c r="AX197" s="14" t="str">
        <f>IF(AND(ISNUMBER($I197),OR($K197="Milestone",$K197="Deadline"),$I197&gt;=AX$4,$I197&lt;AX$4+7),IF($K197="Deadline","◇","◆"),"")</f>
        <v/>
      </c>
      <c r="AY197" s="14" t="str">
        <f>IF(AND(ISNUMBER($I197),OR($K197="Milestone",$K197="Deadline"),$I197&gt;=AY$4,$I197&lt;AY$4+7),IF($K197="Deadline","◇","◆"),"")</f>
        <v/>
      </c>
      <c r="AZ197" s="14" t="str">
        <f>IF(AND(ISNUMBER($I197),OR($K197="Milestone",$K197="Deadline"),$I197&gt;=AZ$4,$I197&lt;AZ$4+7),IF($K197="Deadline","◇","◆"),"")</f>
        <v/>
      </c>
      <c r="BA197" s="14" t="str">
        <f>IF(AND(ISNUMBER($I197),OR($K197="Milestone",$K197="Deadline"),$I197&gt;=BA$4,$I197&lt;BA$4+7),IF($K197="Deadline","◇","◆"),"")</f>
        <v/>
      </c>
      <c r="BB197" s="14" t="str">
        <f>IF(AND(ISNUMBER($I197),OR($K197="Milestone",$K197="Deadline"),$I197&gt;=BB$4,$I197&lt;BB$4+7),IF($K197="Deadline","◇","◆"),"")</f>
        <v/>
      </c>
      <c r="BC197" s="14" t="str">
        <f>IF(AND(ISNUMBER($I197),OR($K197="Milestone",$K197="Deadline"),$I197&gt;=BC$4,$I197&lt;BC$4+7),IF($K197="Deadline","◇","◆"),"")</f>
        <v/>
      </c>
      <c r="BD197" s="14" t="str">
        <f>IF(AND(ISNUMBER($I197),OR($K197="Milestone",$K197="Deadline"),$I197&gt;=BD$4,$I197&lt;BD$4+7),IF($K197="Deadline","◇","◆"),"")</f>
        <v/>
      </c>
      <c r="BE197" s="14" t="str">
        <f>IF(AND(ISNUMBER($I197),OR($K197="Milestone",$K197="Deadline"),$I197&gt;=BE$4,$I197&lt;BE$4+7),IF($K197="Deadline","◇","◆"),"")</f>
        <v/>
      </c>
      <c r="BF197" s="14" t="str">
        <f>IF(AND(ISNUMBER($I197),OR($K197="Milestone",$K197="Deadline"),$I197&gt;=BF$4,$I197&lt;BF$4+7),IF($K197="Deadline","◇","◆"),"")</f>
        <v/>
      </c>
      <c r="BG197" s="14" t="str">
        <f>IF(AND(ISNUMBER($I197),OR($K197="Milestone",$K197="Deadline"),$I197&gt;=BG$4,$I197&lt;BG$4+7),IF($K197="Deadline","◇","◆"),"")</f>
        <v/>
      </c>
      <c r="BH197" s="14" t="str">
        <f>IF(AND(ISNUMBER($I197),OR($K197="Milestone",$K197="Deadline"),$I197&gt;=BH$4,$I197&lt;BH$4+7),IF($K197="Deadline","◇","◆"),"")</f>
        <v/>
      </c>
      <c r="BI197" s="14" t="str">
        <f>IF(AND(ISNUMBER($I197),OR($K197="Milestone",$K197="Deadline"),$I197&gt;=BI$4,$I197&lt;BI$4+7),IF($K197="Deadline","◇","◆"),"")</f>
        <v/>
      </c>
      <c r="BJ197" s="14" t="str">
        <f>IF(AND(ISNUMBER($I197),OR($K197="Milestone",$K197="Deadline"),$I197&gt;=BJ$4,$I197&lt;BJ$4+7),IF($K197="Deadline","◇","◆"),"")</f>
        <v/>
      </c>
      <c r="BK197" s="14" t="str">
        <f>IF(AND(ISNUMBER($I197),OR($K197="Milestone",$K197="Deadline"),$I197&gt;=BK$4,$I197&lt;BK$4+7),IF($K197="Deadline","◇","◆"),"")</f>
        <v/>
      </c>
      <c r="BL197" s="14" t="str">
        <f>IF(AND(ISNUMBER($I197),OR($K197="Milestone",$K197="Deadline"),$I197&gt;=BL$4,$I197&lt;BL$4+7),IF($K197="Deadline","◇","◆"),"")</f>
        <v/>
      </c>
      <c r="BM197" s="14" t="str">
        <f>IF(AND(ISNUMBER($I197),OR($K197="Milestone",$K197="Deadline"),$I197&gt;=BM$4,$I197&lt;BM$4+7),IF($K197="Deadline","◇","◆"),"")</f>
        <v/>
      </c>
      <c r="BN197" s="14" t="str">
        <f>IF(AND(ISNUMBER($I197),OR($K197="Milestone",$K197="Deadline"),$I197&gt;=BN$4,$I197&lt;BN$4+7),IF($K197="Deadline","◇","◆"),"")</f>
        <v/>
      </c>
      <c r="BO197" s="14" t="str">
        <f>IF(AND(ISNUMBER($I197),OR($K197="Milestone",$K197="Deadline"),$I197&gt;=BO$4,$I197&lt;BO$4+7),IF($K197="Deadline","◇","◆"),"")</f>
        <v/>
      </c>
      <c r="BP197" s="14" t="str">
        <f>IF(AND(ISNUMBER($I197),OR($K197="Milestone",$K197="Deadline"),$I197&gt;=BP$4,$I197&lt;BP$4+7),IF($K197="Deadline","◇","◆"),"")</f>
        <v/>
      </c>
      <c r="BQ197" s="14" t="str">
        <f>IF(AND(ISNUMBER($I197),OR($K197="Milestone",$K197="Deadline"),$I197&gt;=BQ$4,$I197&lt;BQ$4+7),IF($K197="Deadline","◇","◆"),"")</f>
        <v/>
      </c>
      <c r="BR197" s="14" t="str">
        <f>IF(AND(ISNUMBER($I197),OR($K197="Milestone",$K197="Deadline"),$I197&gt;=BR$4,$I197&lt;BR$4+7),IF($K197="Deadline","◇","◆"),"")</f>
        <v/>
      </c>
      <c r="BS197" s="14" t="str">
        <f>IF(AND(ISNUMBER($I197),OR($K197="Milestone",$K197="Deadline"),$I197&gt;=BS$4,$I197&lt;BS$4+7),IF($K197="Deadline","◇","◆"),"")</f>
        <v/>
      </c>
      <c r="BT197" s="14" t="str">
        <f>IF(AND(ISNUMBER($I197),OR($K197="Milestone",$K197="Deadline"),$I197&gt;=BT$4,$I197&lt;BT$4+7),IF($K197="Deadline","◇","◆"),"")</f>
        <v/>
      </c>
      <c r="BU197" s="14" t="str">
        <f>IF(AND(ISNUMBER($I197),OR($K197="Milestone",$K197="Deadline"),$I197&gt;=BU$4,$I197&lt;BU$4+7),IF($K197="Deadline","◇","◆"),"")</f>
        <v/>
      </c>
      <c r="BV197" s="14" t="str">
        <f>IF(AND(ISNUMBER($I197),OR($K197="Milestone",$K197="Deadline"),$I197&gt;=BV$4,$I197&lt;BV$4+7),IF($K197="Deadline","◇","◆"),"")</f>
        <v/>
      </c>
      <c r="BW197" s="14" t="str">
        <f>IF(AND(ISNUMBER($I197),OR($K197="Milestone",$K197="Deadline"),$I197&gt;=BW$4,$I197&lt;BW$4+7),IF($K197="Deadline","◇","◆"),"")</f>
        <v/>
      </c>
      <c r="BX197" s="14" t="str">
        <f>IF(AND(ISNUMBER($I197),OR($K197="Milestone",$K197="Deadline"),$I197&gt;=BX$4,$I197&lt;BX$4+7),IF($K197="Deadline","◇","◆"),"")</f>
        <v/>
      </c>
      <c r="BY197" s="14" t="str">
        <f>IF(AND(ISNUMBER($I197),OR($K197="Milestone",$K197="Deadline"),$I197&gt;=BY$4,$I197&lt;BY$4+7),IF($K197="Deadline","◇","◆"),"")</f>
        <v/>
      </c>
      <c r="BZ197" s="14" t="str">
        <f>IF(AND(ISNUMBER($I197),OR($K197="Milestone",$K197="Deadline"),$I197&gt;=BZ$4,$I197&lt;BZ$4+7),IF($K197="Deadline","◇","◆"),"")</f>
        <v/>
      </c>
      <c r="CA197" s="14" t="str">
        <f>IF(AND(ISNUMBER($I197),OR($K197="Milestone",$K197="Deadline"),$I197&gt;=CA$4,$I197&lt;CA$4+7),IF($K197="Deadline","◇","◆"),"")</f>
        <v/>
      </c>
      <c r="CB197" s="14" t="str">
        <f>IF(AND(ISNUMBER($I197),OR($K197="Milestone",$K197="Deadline"),$I197&gt;=CB$4,$I197&lt;CB$4+7),IF($K197="Deadline","◇","◆"),"")</f>
        <v/>
      </c>
      <c r="CC197" s="14" t="str">
        <f>IF(AND(ISNUMBER($I197),OR($K197="Milestone",$K197="Deadline"),$I197&gt;=CC$4,$I197&lt;CC$4+7),IF($K197="Deadline","◇","◆"),"")</f>
        <v/>
      </c>
      <c r="CD197" s="14" t="str">
        <f>IF(AND(ISNUMBER($I197),OR($K197="Milestone",$K197="Deadline"),$I197&gt;=CD$4,$I197&lt;CD$4+7),IF($K197="Deadline","◇","◆"),"")</f>
        <v/>
      </c>
      <c r="CE197" s="14" t="str">
        <f>IF(AND(ISNUMBER($I197),OR($K197="Milestone",$K197="Deadline"),$I197&gt;=CE$4,$I197&lt;CE$4+7),IF($K197="Deadline","◇","◆"),"")</f>
        <v/>
      </c>
      <c r="CF197" s="14" t="str">
        <f>IF(AND(ISNUMBER($I197),OR($K197="Milestone",$K197="Deadline"),$I197&gt;=CF$4,$I197&lt;CF$4+7),IF($K197="Deadline","◇","◆"),"")</f>
        <v/>
      </c>
      <c r="CG197" s="14" t="str">
        <f>IF(AND(ISNUMBER($I197),OR($K197="Milestone",$K197="Deadline"),$I197&gt;=CG$4,$I197&lt;CG$4+7),IF($K197="Deadline","◇","◆"),"")</f>
        <v/>
      </c>
      <c r="CH197" s="14" t="str">
        <f>IF(AND(ISNUMBER($I197),OR($K197="Milestone",$K197="Deadline"),$I197&gt;=CH$4,$I197&lt;CH$4+7),IF($K197="Deadline","◇","◆"),"")</f>
        <v/>
      </c>
      <c r="CI197" s="14" t="str">
        <f>IF(AND(ISNUMBER($I197),OR($K197="Milestone",$K197="Deadline"),$I197&gt;=CI$4,$I197&lt;CI$4+7),IF($K197="Deadline","◇","◆"),"")</f>
        <v/>
      </c>
      <c r="CJ197" s="14" t="str">
        <f>IF(AND(ISNUMBER($I197),OR($K197="Milestone",$K197="Deadline"),$I197&gt;=CJ$4,$I197&lt;CJ$4+7),IF($K197="Deadline","◇","◆"),"")</f>
        <v/>
      </c>
      <c r="CK197" s="14" t="str">
        <f>IF(AND(ISNUMBER($I197),OR($K197="Milestone",$K197="Deadline"),$I197&gt;=CK$4,$I197&lt;CK$4+7),IF($K197="Deadline","◇","◆"),"")</f>
        <v/>
      </c>
      <c r="CL197" s="14" t="str">
        <f>IF(AND(ISNUMBER($I197),OR($K197="Milestone",$K197="Deadline"),$I197&gt;=CL$4,$I197&lt;CL$4+7),IF($K197="Deadline","◇","◆"),"")</f>
        <v/>
      </c>
      <c r="CM197" s="14" t="str">
        <f>IF(AND(ISNUMBER($I197),OR($K197="Milestone",$K197="Deadline"),$I197&gt;=CM$4,$I197&lt;CM$4+7),IF($K197="Deadline","◇","◆"),"")</f>
        <v/>
      </c>
    </row>
    <row r="198" spans="1:91" ht="15" hidden="1" customHeight="1">
      <c r="A198" s="43" t="s">
        <v>444</v>
      </c>
      <c r="B198" s="43" t="s">
        <v>418</v>
      </c>
      <c r="C198" s="43" t="s">
        <v>93</v>
      </c>
      <c r="D198" s="43" t="s">
        <v>419</v>
      </c>
      <c r="E198" s="43" t="s">
        <v>281</v>
      </c>
      <c r="F198" s="43" t="s">
        <v>204</v>
      </c>
      <c r="G198" s="43" t="s">
        <v>173</v>
      </c>
      <c r="H198" s="43">
        <v>14</v>
      </c>
      <c r="I198" s="44">
        <f>MAX($C$2,I180)</f>
        <v>46335</v>
      </c>
      <c r="J198" s="45">
        <f>IF(AND(ISNUMBER(I198),ISNUMBER(H198)),I198+H198-1,"")</f>
        <v>46348</v>
      </c>
      <c r="K198" s="43" t="s">
        <v>27</v>
      </c>
      <c r="L198" s="43" t="s">
        <v>421</v>
      </c>
      <c r="M198" s="46"/>
      <c r="N198" s="43"/>
      <c r="O198" s="46">
        <f>IF(AND(ISNUMBER(I198),ISNUMBER(J198)),J198-I198+1,"")</f>
        <v>14</v>
      </c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4" t="str">
        <f>IF(AND(ISNUMBER($I198),OR($K198="Milestone",$K198="Deadline"),$I198&gt;=AO$4,$I198&lt;AO$4+7),IF($K198="Deadline","◇","◆"),"")</f>
        <v/>
      </c>
      <c r="AP198" s="14" t="str">
        <f>IF(AND(ISNUMBER($I198),OR($K198="Milestone",$K198="Deadline"),$I198&gt;=AP$4,$I198&lt;AP$4+7),IF($K198="Deadline","◇","◆"),"")</f>
        <v/>
      </c>
      <c r="AQ198" s="14" t="str">
        <f>IF(AND(ISNUMBER($I198),OR($K198="Milestone",$K198="Deadline"),$I198&gt;=AQ$4,$I198&lt;AQ$4+7),IF($K198="Deadline","◇","◆"),"")</f>
        <v/>
      </c>
      <c r="AR198" s="14" t="str">
        <f>IF(AND(ISNUMBER($I198),OR($K198="Milestone",$K198="Deadline"),$I198&gt;=AR$4,$I198&lt;AR$4+7),IF($K198="Deadline","◇","◆"),"")</f>
        <v/>
      </c>
      <c r="AS198" s="14" t="str">
        <f>IF(AND(ISNUMBER($I198),OR($K198="Milestone",$K198="Deadline"),$I198&gt;=AS$4,$I198&lt;AS$4+7),IF($K198="Deadline","◇","◆"),"")</f>
        <v/>
      </c>
      <c r="AT198" s="14" t="str">
        <f>IF(AND(ISNUMBER($I198),OR($K198="Milestone",$K198="Deadline"),$I198&gt;=AT$4,$I198&lt;AT$4+7),IF($K198="Deadline","◇","◆"),"")</f>
        <v/>
      </c>
      <c r="AU198" s="14" t="str">
        <f>IF(AND(ISNUMBER($I198),OR($K198="Milestone",$K198="Deadline"),$I198&gt;=AU$4,$I198&lt;AU$4+7),IF($K198="Deadline","◇","◆"),"")</f>
        <v/>
      </c>
      <c r="AV198" s="14" t="str">
        <f>IF(AND(ISNUMBER($I198),OR($K198="Milestone",$K198="Deadline"),$I198&gt;=AV$4,$I198&lt;AV$4+7),IF($K198="Deadline","◇","◆"),"")</f>
        <v/>
      </c>
      <c r="AW198" s="14" t="str">
        <f>IF(AND(ISNUMBER($I198),OR($K198="Milestone",$K198="Deadline"),$I198&gt;=AW$4,$I198&lt;AW$4+7),IF($K198="Deadline","◇","◆"),"")</f>
        <v/>
      </c>
      <c r="AX198" s="14" t="str">
        <f>IF(AND(ISNUMBER($I198),OR($K198="Milestone",$K198="Deadline"),$I198&gt;=AX$4,$I198&lt;AX$4+7),IF($K198="Deadline","◇","◆"),"")</f>
        <v/>
      </c>
      <c r="AY198" s="14" t="str">
        <f>IF(AND(ISNUMBER($I198),OR($K198="Milestone",$K198="Deadline"),$I198&gt;=AY$4,$I198&lt;AY$4+7),IF($K198="Deadline","◇","◆"),"")</f>
        <v/>
      </c>
      <c r="AZ198" s="14" t="str">
        <f>IF(AND(ISNUMBER($I198),OR($K198="Milestone",$K198="Deadline"),$I198&gt;=AZ$4,$I198&lt;AZ$4+7),IF($K198="Deadline","◇","◆"),"")</f>
        <v/>
      </c>
      <c r="BA198" s="14" t="str">
        <f>IF(AND(ISNUMBER($I198),OR($K198="Milestone",$K198="Deadline"),$I198&gt;=BA$4,$I198&lt;BA$4+7),IF($K198="Deadline","◇","◆"),"")</f>
        <v/>
      </c>
      <c r="BB198" s="14" t="str">
        <f>IF(AND(ISNUMBER($I198),OR($K198="Milestone",$K198="Deadline"),$I198&gt;=BB$4,$I198&lt;BB$4+7),IF($K198="Deadline","◇","◆"),"")</f>
        <v/>
      </c>
      <c r="BC198" s="14" t="str">
        <f>IF(AND(ISNUMBER($I198),OR($K198="Milestone",$K198="Deadline"),$I198&gt;=BC$4,$I198&lt;BC$4+7),IF($K198="Deadline","◇","◆"),"")</f>
        <v/>
      </c>
      <c r="BD198" s="14" t="str">
        <f>IF(AND(ISNUMBER($I198),OR($K198="Milestone",$K198="Deadline"),$I198&gt;=BD$4,$I198&lt;BD$4+7),IF($K198="Deadline","◇","◆"),"")</f>
        <v/>
      </c>
      <c r="BE198" s="14" t="str">
        <f>IF(AND(ISNUMBER($I198),OR($K198="Milestone",$K198="Deadline"),$I198&gt;=BE$4,$I198&lt;BE$4+7),IF($K198="Deadline","◇","◆"),"")</f>
        <v/>
      </c>
      <c r="BF198" s="14" t="str">
        <f>IF(AND(ISNUMBER($I198),OR($K198="Milestone",$K198="Deadline"),$I198&gt;=BF$4,$I198&lt;BF$4+7),IF($K198="Deadline","◇","◆"),"")</f>
        <v/>
      </c>
      <c r="BG198" s="14" t="str">
        <f>IF(AND(ISNUMBER($I198),OR($K198="Milestone",$K198="Deadline"),$I198&gt;=BG$4,$I198&lt;BG$4+7),IF($K198="Deadline","◇","◆"),"")</f>
        <v/>
      </c>
      <c r="BH198" s="14" t="str">
        <f>IF(AND(ISNUMBER($I198),OR($K198="Milestone",$K198="Deadline"),$I198&gt;=BH$4,$I198&lt;BH$4+7),IF($K198="Deadline","◇","◆"),"")</f>
        <v/>
      </c>
      <c r="BI198" s="14" t="str">
        <f>IF(AND(ISNUMBER($I198),OR($K198="Milestone",$K198="Deadline"),$I198&gt;=BI$4,$I198&lt;BI$4+7),IF($K198="Deadline","◇","◆"),"")</f>
        <v/>
      </c>
      <c r="BJ198" s="14" t="str">
        <f>IF(AND(ISNUMBER($I198),OR($K198="Milestone",$K198="Deadline"),$I198&gt;=BJ$4,$I198&lt;BJ$4+7),IF($K198="Deadline","◇","◆"),"")</f>
        <v/>
      </c>
      <c r="BK198" s="14" t="str">
        <f>IF(AND(ISNUMBER($I198),OR($K198="Milestone",$K198="Deadline"),$I198&gt;=BK$4,$I198&lt;BK$4+7),IF($K198="Deadline","◇","◆"),"")</f>
        <v/>
      </c>
      <c r="BL198" s="14" t="str">
        <f>IF(AND(ISNUMBER($I198),OR($K198="Milestone",$K198="Deadline"),$I198&gt;=BL$4,$I198&lt;BL$4+7),IF($K198="Deadline","◇","◆"),"")</f>
        <v/>
      </c>
      <c r="BM198" s="14" t="str">
        <f>IF(AND(ISNUMBER($I198),OR($K198="Milestone",$K198="Deadline"),$I198&gt;=BM$4,$I198&lt;BM$4+7),IF($K198="Deadline","◇","◆"),"")</f>
        <v/>
      </c>
      <c r="BN198" s="14" t="str">
        <f>IF(AND(ISNUMBER($I198),OR($K198="Milestone",$K198="Deadline"),$I198&gt;=BN$4,$I198&lt;BN$4+7),IF($K198="Deadline","◇","◆"),"")</f>
        <v/>
      </c>
      <c r="BO198" s="14" t="str">
        <f>IF(AND(ISNUMBER($I198),OR($K198="Milestone",$K198="Deadline"),$I198&gt;=BO$4,$I198&lt;BO$4+7),IF($K198="Deadline","◇","◆"),"")</f>
        <v/>
      </c>
      <c r="BP198" s="14" t="str">
        <f>IF(AND(ISNUMBER($I198),OR($K198="Milestone",$K198="Deadline"),$I198&gt;=BP$4,$I198&lt;BP$4+7),IF($K198="Deadline","◇","◆"),"")</f>
        <v/>
      </c>
      <c r="BQ198" s="14" t="str">
        <f>IF(AND(ISNUMBER($I198),OR($K198="Milestone",$K198="Deadline"),$I198&gt;=BQ$4,$I198&lt;BQ$4+7),IF($K198="Deadline","◇","◆"),"")</f>
        <v/>
      </c>
      <c r="BR198" s="14" t="str">
        <f>IF(AND(ISNUMBER($I198),OR($K198="Milestone",$K198="Deadline"),$I198&gt;=BR$4,$I198&lt;BR$4+7),IF($K198="Deadline","◇","◆"),"")</f>
        <v/>
      </c>
      <c r="BS198" s="14" t="str">
        <f>IF(AND(ISNUMBER($I198),OR($K198="Milestone",$K198="Deadline"),$I198&gt;=BS$4,$I198&lt;BS$4+7),IF($K198="Deadline","◇","◆"),"")</f>
        <v/>
      </c>
      <c r="BT198" s="14" t="str">
        <f>IF(AND(ISNUMBER($I198),OR($K198="Milestone",$K198="Deadline"),$I198&gt;=BT$4,$I198&lt;BT$4+7),IF($K198="Deadline","◇","◆"),"")</f>
        <v/>
      </c>
      <c r="BU198" s="14" t="str">
        <f>IF(AND(ISNUMBER($I198),OR($K198="Milestone",$K198="Deadline"),$I198&gt;=BU$4,$I198&lt;BU$4+7),IF($K198="Deadline","◇","◆"),"")</f>
        <v/>
      </c>
      <c r="BV198" s="14" t="str">
        <f>IF(AND(ISNUMBER($I198),OR($K198="Milestone",$K198="Deadline"),$I198&gt;=BV$4,$I198&lt;BV$4+7),IF($K198="Deadline","◇","◆"),"")</f>
        <v/>
      </c>
      <c r="BW198" s="14" t="str">
        <f>IF(AND(ISNUMBER($I198),OR($K198="Milestone",$K198="Deadline"),$I198&gt;=BW$4,$I198&lt;BW$4+7),IF($K198="Deadline","◇","◆"),"")</f>
        <v/>
      </c>
      <c r="BX198" s="14" t="str">
        <f>IF(AND(ISNUMBER($I198),OR($K198="Milestone",$K198="Deadline"),$I198&gt;=BX$4,$I198&lt;BX$4+7),IF($K198="Deadline","◇","◆"),"")</f>
        <v/>
      </c>
      <c r="BY198" s="14" t="str">
        <f>IF(AND(ISNUMBER($I198),OR($K198="Milestone",$K198="Deadline"),$I198&gt;=BY$4,$I198&lt;BY$4+7),IF($K198="Deadline","◇","◆"),"")</f>
        <v/>
      </c>
      <c r="BZ198" s="14" t="str">
        <f>IF(AND(ISNUMBER($I198),OR($K198="Milestone",$K198="Deadline"),$I198&gt;=BZ$4,$I198&lt;BZ$4+7),IF($K198="Deadline","◇","◆"),"")</f>
        <v/>
      </c>
      <c r="CA198" s="14" t="str">
        <f>IF(AND(ISNUMBER($I198),OR($K198="Milestone",$K198="Deadline"),$I198&gt;=CA$4,$I198&lt;CA$4+7),IF($K198="Deadline","◇","◆"),"")</f>
        <v/>
      </c>
      <c r="CB198" s="14" t="str">
        <f>IF(AND(ISNUMBER($I198),OR($K198="Milestone",$K198="Deadline"),$I198&gt;=CB$4,$I198&lt;CB$4+7),IF($K198="Deadline","◇","◆"),"")</f>
        <v/>
      </c>
      <c r="CC198" s="14" t="str">
        <f>IF(AND(ISNUMBER($I198),OR($K198="Milestone",$K198="Deadline"),$I198&gt;=CC$4,$I198&lt;CC$4+7),IF($K198="Deadline","◇","◆"),"")</f>
        <v/>
      </c>
      <c r="CD198" s="14" t="str">
        <f>IF(AND(ISNUMBER($I198),OR($K198="Milestone",$K198="Deadline"),$I198&gt;=CD$4,$I198&lt;CD$4+7),IF($K198="Deadline","◇","◆"),"")</f>
        <v/>
      </c>
      <c r="CE198" s="14" t="str">
        <f>IF(AND(ISNUMBER($I198),OR($K198="Milestone",$K198="Deadline"),$I198&gt;=CE$4,$I198&lt;CE$4+7),IF($K198="Deadline","◇","◆"),"")</f>
        <v/>
      </c>
      <c r="CF198" s="14" t="str">
        <f>IF(AND(ISNUMBER($I198),OR($K198="Milestone",$K198="Deadline"),$I198&gt;=CF$4,$I198&lt;CF$4+7),IF($K198="Deadline","◇","◆"),"")</f>
        <v/>
      </c>
      <c r="CG198" s="14" t="str">
        <f>IF(AND(ISNUMBER($I198),OR($K198="Milestone",$K198="Deadline"),$I198&gt;=CG$4,$I198&lt;CG$4+7),IF($K198="Deadline","◇","◆"),"")</f>
        <v/>
      </c>
      <c r="CH198" s="14" t="str">
        <f>IF(AND(ISNUMBER($I198),OR($K198="Milestone",$K198="Deadline"),$I198&gt;=CH$4,$I198&lt;CH$4+7),IF($K198="Deadline","◇","◆"),"")</f>
        <v/>
      </c>
      <c r="CI198" s="14" t="str">
        <f>IF(AND(ISNUMBER($I198),OR($K198="Milestone",$K198="Deadline"),$I198&gt;=CI$4,$I198&lt;CI$4+7),IF($K198="Deadline","◇","◆"),"")</f>
        <v/>
      </c>
      <c r="CJ198" s="14" t="str">
        <f>IF(AND(ISNUMBER($I198),OR($K198="Milestone",$K198="Deadline"),$I198&gt;=CJ$4,$I198&lt;CJ$4+7),IF($K198="Deadline","◇","◆"),"")</f>
        <v/>
      </c>
      <c r="CK198" s="14" t="str">
        <f>IF(AND(ISNUMBER($I198),OR($K198="Milestone",$K198="Deadline"),$I198&gt;=CK$4,$I198&lt;CK$4+7),IF($K198="Deadline","◇","◆"),"")</f>
        <v/>
      </c>
      <c r="CL198" s="14" t="str">
        <f>IF(AND(ISNUMBER($I198),OR($K198="Milestone",$K198="Deadline"),$I198&gt;=CL$4,$I198&lt;CL$4+7),IF($K198="Deadline","◇","◆"),"")</f>
        <v/>
      </c>
      <c r="CM198" s="14" t="str">
        <f>IF(AND(ISNUMBER($I198),OR($K198="Milestone",$K198="Deadline"),$I198&gt;=CM$4,$I198&lt;CM$4+7),IF($K198="Deadline","◇","◆"),"")</f>
        <v/>
      </c>
    </row>
    <row r="199" spans="1:91" ht="15" hidden="1" customHeight="1">
      <c r="A199" s="43" t="s">
        <v>151</v>
      </c>
      <c r="B199" s="43" t="s">
        <v>418</v>
      </c>
      <c r="C199" s="43" t="s">
        <v>93</v>
      </c>
      <c r="D199" s="43" t="s">
        <v>419</v>
      </c>
      <c r="E199" s="43" t="s">
        <v>281</v>
      </c>
      <c r="F199" s="43" t="s">
        <v>204</v>
      </c>
      <c r="G199" s="43" t="s">
        <v>427</v>
      </c>
      <c r="H199" s="43">
        <v>14</v>
      </c>
      <c r="I199" s="44">
        <f>MAX($C$2,J15+1)</f>
        <v>46335</v>
      </c>
      <c r="J199" s="45">
        <f>IF(AND(ISNUMBER(I199),ISNUMBER(H199)),I199+H199-1,"")</f>
        <v>46348</v>
      </c>
      <c r="K199" s="43" t="s">
        <v>27</v>
      </c>
      <c r="L199" s="43" t="s">
        <v>92</v>
      </c>
      <c r="M199" s="46"/>
      <c r="N199" s="43"/>
      <c r="O199" s="46">
        <f>IF(AND(ISNUMBER(I199),ISNUMBER(J199)),J199-I199+1,"")</f>
        <v>14</v>
      </c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 t="s">
        <v>140</v>
      </c>
      <c r="AJ199" s="13"/>
      <c r="AK199" s="13"/>
      <c r="AL199" s="13"/>
      <c r="AM199" s="13"/>
      <c r="AN199" s="13"/>
      <c r="AO199" s="14" t="str">
        <f>IF(AND(ISNUMBER($I199),OR($K199="Milestone",$K199="Deadline"),$I199&gt;=AO$4,$I199&lt;AO$4+7),IF($K199="Deadline","◇","◆"),"")</f>
        <v/>
      </c>
      <c r="AP199" s="14" t="str">
        <f>IF(AND(ISNUMBER($I199),OR($K199="Milestone",$K199="Deadline"),$I199&gt;=AP$4,$I199&lt;AP$4+7),IF($K199="Deadline","◇","◆"),"")</f>
        <v/>
      </c>
      <c r="AQ199" s="14" t="str">
        <f>IF(AND(ISNUMBER($I199),OR($K199="Milestone",$K199="Deadline"),$I199&gt;=AQ$4,$I199&lt;AQ$4+7),IF($K199="Deadline","◇","◆"),"")</f>
        <v/>
      </c>
      <c r="AR199" s="14" t="str">
        <f>IF(AND(ISNUMBER($I199),OR($K199="Milestone",$K199="Deadline"),$I199&gt;=AR$4,$I199&lt;AR$4+7),IF($K199="Deadline","◇","◆"),"")</f>
        <v/>
      </c>
      <c r="AS199" s="14" t="str">
        <f>IF(AND(ISNUMBER($I199),OR($K199="Milestone",$K199="Deadline"),$I199&gt;=AS$4,$I199&lt;AS$4+7),IF($K199="Deadline","◇","◆"),"")</f>
        <v/>
      </c>
      <c r="AT199" s="14" t="str">
        <f>IF(AND(ISNUMBER($I199),OR($K199="Milestone",$K199="Deadline"),$I199&gt;=AT$4,$I199&lt;AT$4+7),IF($K199="Deadline","◇","◆"),"")</f>
        <v/>
      </c>
      <c r="AU199" s="14" t="str">
        <f>IF(AND(ISNUMBER($I199),OR($K199="Milestone",$K199="Deadline"),$I199&gt;=AU$4,$I199&lt;AU$4+7),IF($K199="Deadline","◇","◆"),"")</f>
        <v/>
      </c>
      <c r="AV199" s="14" t="str">
        <f>IF(AND(ISNUMBER($I199),OR($K199="Milestone",$K199="Deadline"),$I199&gt;=AV$4,$I199&lt;AV$4+7),IF($K199="Deadline","◇","◆"),"")</f>
        <v/>
      </c>
      <c r="AW199" s="14" t="str">
        <f>IF(AND(ISNUMBER($I199),OR($K199="Milestone",$K199="Deadline"),$I199&gt;=AW$4,$I199&lt;AW$4+7),IF($K199="Deadline","◇","◆"),"")</f>
        <v/>
      </c>
      <c r="AX199" s="14" t="str">
        <f>IF(AND(ISNUMBER($I199),OR($K199="Milestone",$K199="Deadline"),$I199&gt;=AX$4,$I199&lt;AX$4+7),IF($K199="Deadline","◇","◆"),"")</f>
        <v/>
      </c>
      <c r="AY199" s="14" t="str">
        <f>IF(AND(ISNUMBER($I199),OR($K199="Milestone",$K199="Deadline"),$I199&gt;=AY$4,$I199&lt;AY$4+7),IF($K199="Deadline","◇","◆"),"")</f>
        <v/>
      </c>
      <c r="AZ199" s="14" t="str">
        <f>IF(AND(ISNUMBER($I199),OR($K199="Milestone",$K199="Deadline"),$I199&gt;=AZ$4,$I199&lt;AZ$4+7),IF($K199="Deadline","◇","◆"),"")</f>
        <v/>
      </c>
      <c r="BA199" s="14" t="str">
        <f>IF(AND(ISNUMBER($I199),OR($K199="Milestone",$K199="Deadline"),$I199&gt;=BA$4,$I199&lt;BA$4+7),IF($K199="Deadline","◇","◆"),"")</f>
        <v/>
      </c>
      <c r="BB199" s="14" t="str">
        <f>IF(AND(ISNUMBER($I199),OR($K199="Milestone",$K199="Deadline"),$I199&gt;=BB$4,$I199&lt;BB$4+7),IF($K199="Deadline","◇","◆"),"")</f>
        <v/>
      </c>
      <c r="BC199" s="14" t="str">
        <f>IF(AND(ISNUMBER($I199),OR($K199="Milestone",$K199="Deadline"),$I199&gt;=BC$4,$I199&lt;BC$4+7),IF($K199="Deadline","◇","◆"),"")</f>
        <v/>
      </c>
      <c r="BD199" s="14" t="str">
        <f>IF(AND(ISNUMBER($I199),OR($K199="Milestone",$K199="Deadline"),$I199&gt;=BD$4,$I199&lt;BD$4+7),IF($K199="Deadline","◇","◆"),"")</f>
        <v/>
      </c>
      <c r="BE199" s="14" t="str">
        <f>IF(AND(ISNUMBER($I199),OR($K199="Milestone",$K199="Deadline"),$I199&gt;=BE$4,$I199&lt;BE$4+7),IF($K199="Deadline","◇","◆"),"")</f>
        <v/>
      </c>
      <c r="BF199" s="14" t="str">
        <f>IF(AND(ISNUMBER($I199),OR($K199="Milestone",$K199="Deadline"),$I199&gt;=BF$4,$I199&lt;BF$4+7),IF($K199="Deadline","◇","◆"),"")</f>
        <v/>
      </c>
      <c r="BG199" s="14" t="str">
        <f>IF(AND(ISNUMBER($I199),OR($K199="Milestone",$K199="Deadline"),$I199&gt;=BG$4,$I199&lt;BG$4+7),IF($K199="Deadline","◇","◆"),"")</f>
        <v/>
      </c>
      <c r="BH199" s="14" t="str">
        <f>IF(AND(ISNUMBER($I199),OR($K199="Milestone",$K199="Deadline"),$I199&gt;=BH$4,$I199&lt;BH$4+7),IF($K199="Deadline","◇","◆"),"")</f>
        <v/>
      </c>
      <c r="BI199" s="14" t="str">
        <f>IF(AND(ISNUMBER($I199),OR($K199="Milestone",$K199="Deadline"),$I199&gt;=BI$4,$I199&lt;BI$4+7),IF($K199="Deadline","◇","◆"),"")</f>
        <v/>
      </c>
      <c r="BJ199" s="14" t="str">
        <f>IF(AND(ISNUMBER($I199),OR($K199="Milestone",$K199="Deadline"),$I199&gt;=BJ$4,$I199&lt;BJ$4+7),IF($K199="Deadline","◇","◆"),"")</f>
        <v/>
      </c>
      <c r="BK199" s="14" t="str">
        <f>IF(AND(ISNUMBER($I199),OR($K199="Milestone",$K199="Deadline"),$I199&gt;=BK$4,$I199&lt;BK$4+7),IF($K199="Deadline","◇","◆"),"")</f>
        <v/>
      </c>
      <c r="BL199" s="14" t="str">
        <f>IF(AND(ISNUMBER($I199),OR($K199="Milestone",$K199="Deadline"),$I199&gt;=BL$4,$I199&lt;BL$4+7),IF($K199="Deadline","◇","◆"),"")</f>
        <v/>
      </c>
      <c r="BM199" s="14" t="str">
        <f>IF(AND(ISNUMBER($I199),OR($K199="Milestone",$K199="Deadline"),$I199&gt;=BM$4,$I199&lt;BM$4+7),IF($K199="Deadline","◇","◆"),"")</f>
        <v/>
      </c>
      <c r="BN199" s="14" t="str">
        <f>IF(AND(ISNUMBER($I199),OR($K199="Milestone",$K199="Deadline"),$I199&gt;=BN$4,$I199&lt;BN$4+7),IF($K199="Deadline","◇","◆"),"")</f>
        <v/>
      </c>
      <c r="BO199" s="14" t="str">
        <f>IF(AND(ISNUMBER($I199),OR($K199="Milestone",$K199="Deadline"),$I199&gt;=BO$4,$I199&lt;BO$4+7),IF($K199="Deadline","◇","◆"),"")</f>
        <v/>
      </c>
      <c r="BP199" s="14" t="str">
        <f>IF(AND(ISNUMBER($I199),OR($K199="Milestone",$K199="Deadline"),$I199&gt;=BP$4,$I199&lt;BP$4+7),IF($K199="Deadline","◇","◆"),"")</f>
        <v/>
      </c>
      <c r="BQ199" s="14" t="str">
        <f>IF(AND(ISNUMBER($I199),OR($K199="Milestone",$K199="Deadline"),$I199&gt;=BQ$4,$I199&lt;BQ$4+7),IF($K199="Deadline","◇","◆"),"")</f>
        <v/>
      </c>
      <c r="BR199" s="14" t="str">
        <f>IF(AND(ISNUMBER($I199),OR($K199="Milestone",$K199="Deadline"),$I199&gt;=BR$4,$I199&lt;BR$4+7),IF($K199="Deadline","◇","◆"),"")</f>
        <v/>
      </c>
      <c r="BS199" s="14" t="str">
        <f>IF(AND(ISNUMBER($I199),OR($K199="Milestone",$K199="Deadline"),$I199&gt;=BS$4,$I199&lt;BS$4+7),IF($K199="Deadline","◇","◆"),"")</f>
        <v/>
      </c>
      <c r="BT199" s="14" t="str">
        <f>IF(AND(ISNUMBER($I199),OR($K199="Milestone",$K199="Deadline"),$I199&gt;=BT$4,$I199&lt;BT$4+7),IF($K199="Deadline","◇","◆"),"")</f>
        <v/>
      </c>
      <c r="BU199" s="14" t="str">
        <f>IF(AND(ISNUMBER($I199),OR($K199="Milestone",$K199="Deadline"),$I199&gt;=BU$4,$I199&lt;BU$4+7),IF($K199="Deadline","◇","◆"),"")</f>
        <v/>
      </c>
      <c r="BV199" s="14" t="str">
        <f>IF(AND(ISNUMBER($I199),OR($K199="Milestone",$K199="Deadline"),$I199&gt;=BV$4,$I199&lt;BV$4+7),IF($K199="Deadline","◇","◆"),"")</f>
        <v/>
      </c>
      <c r="BW199" s="14" t="str">
        <f>IF(AND(ISNUMBER($I199),OR($K199="Milestone",$K199="Deadline"),$I199&gt;=BW$4,$I199&lt;BW$4+7),IF($K199="Deadline","◇","◆"),"")</f>
        <v/>
      </c>
      <c r="BX199" s="14" t="str">
        <f>IF(AND(ISNUMBER($I199),OR($K199="Milestone",$K199="Deadline"),$I199&gt;=BX$4,$I199&lt;BX$4+7),IF($K199="Deadline","◇","◆"),"")</f>
        <v/>
      </c>
      <c r="BY199" s="14" t="str">
        <f>IF(AND(ISNUMBER($I199),OR($K199="Milestone",$K199="Deadline"),$I199&gt;=BY$4,$I199&lt;BY$4+7),IF($K199="Deadline","◇","◆"),"")</f>
        <v/>
      </c>
      <c r="BZ199" s="14" t="str">
        <f>IF(AND(ISNUMBER($I199),OR($K199="Milestone",$K199="Deadline"),$I199&gt;=BZ$4,$I199&lt;BZ$4+7),IF($K199="Deadline","◇","◆"),"")</f>
        <v/>
      </c>
      <c r="CA199" s="14" t="str">
        <f>IF(AND(ISNUMBER($I199),OR($K199="Milestone",$K199="Deadline"),$I199&gt;=CA$4,$I199&lt;CA$4+7),IF($K199="Deadline","◇","◆"),"")</f>
        <v/>
      </c>
      <c r="CB199" s="14" t="str">
        <f>IF(AND(ISNUMBER($I199),OR($K199="Milestone",$K199="Deadline"),$I199&gt;=CB$4,$I199&lt;CB$4+7),IF($K199="Deadline","◇","◆"),"")</f>
        <v/>
      </c>
      <c r="CC199" s="14" t="str">
        <f>IF(AND(ISNUMBER($I199),OR($K199="Milestone",$K199="Deadline"),$I199&gt;=CC$4,$I199&lt;CC$4+7),IF($K199="Deadline","◇","◆"),"")</f>
        <v/>
      </c>
      <c r="CD199" s="14" t="str">
        <f>IF(AND(ISNUMBER($I199),OR($K199="Milestone",$K199="Deadline"),$I199&gt;=CD$4,$I199&lt;CD$4+7),IF($K199="Deadline","◇","◆"),"")</f>
        <v/>
      </c>
      <c r="CE199" s="14" t="str">
        <f>IF(AND(ISNUMBER($I199),OR($K199="Milestone",$K199="Deadline"),$I199&gt;=CE$4,$I199&lt;CE$4+7),IF($K199="Deadline","◇","◆"),"")</f>
        <v/>
      </c>
      <c r="CF199" s="14" t="str">
        <f>IF(AND(ISNUMBER($I199),OR($K199="Milestone",$K199="Deadline"),$I199&gt;=CF$4,$I199&lt;CF$4+7),IF($K199="Deadline","◇","◆"),"")</f>
        <v/>
      </c>
      <c r="CG199" s="14" t="str">
        <f>IF(AND(ISNUMBER($I199),OR($K199="Milestone",$K199="Deadline"),$I199&gt;=CG$4,$I199&lt;CG$4+7),IF($K199="Deadline","◇","◆"),"")</f>
        <v/>
      </c>
      <c r="CH199" s="14" t="str">
        <f>IF(AND(ISNUMBER($I199),OR($K199="Milestone",$K199="Deadline"),$I199&gt;=CH$4,$I199&lt;CH$4+7),IF($K199="Deadline","◇","◆"),"")</f>
        <v/>
      </c>
      <c r="CI199" s="14" t="str">
        <f>IF(AND(ISNUMBER($I199),OR($K199="Milestone",$K199="Deadline"),$I199&gt;=CI$4,$I199&lt;CI$4+7),IF($K199="Deadline","◇","◆"),"")</f>
        <v/>
      </c>
      <c r="CJ199" s="14" t="str">
        <f>IF(AND(ISNUMBER($I199),OR($K199="Milestone",$K199="Deadline"),$I199&gt;=CJ$4,$I199&lt;CJ$4+7),IF($K199="Deadline","◇","◆"),"")</f>
        <v/>
      </c>
      <c r="CK199" s="14" t="str">
        <f>IF(AND(ISNUMBER($I199),OR($K199="Milestone",$K199="Deadline"),$I199&gt;=CK$4,$I199&lt;CK$4+7),IF($K199="Deadline","◇","◆"),"")</f>
        <v/>
      </c>
      <c r="CL199" s="14" t="str">
        <f>IF(AND(ISNUMBER($I199),OR($K199="Milestone",$K199="Deadline"),$I199&gt;=CL$4,$I199&lt;CL$4+7),IF($K199="Deadline","◇","◆"),"")</f>
        <v/>
      </c>
      <c r="CM199" s="14" t="str">
        <f>IF(AND(ISNUMBER($I199),OR($K199="Milestone",$K199="Deadline"),$I199&gt;=CM$4,$I199&lt;CM$4+7),IF($K199="Deadline","◇","◆"),"")</f>
        <v/>
      </c>
    </row>
    <row r="200" spans="1:91" ht="15" hidden="1" customHeight="1">
      <c r="A200" s="43" t="s">
        <v>445</v>
      </c>
      <c r="B200" s="43" t="s">
        <v>418</v>
      </c>
      <c r="C200" s="43" t="s">
        <v>93</v>
      </c>
      <c r="D200" s="43" t="s">
        <v>419</v>
      </c>
      <c r="E200" s="43" t="s">
        <v>281</v>
      </c>
      <c r="F200" s="43" t="s">
        <v>204</v>
      </c>
      <c r="G200" s="43" t="s">
        <v>176</v>
      </c>
      <c r="H200" s="43">
        <v>7</v>
      </c>
      <c r="I200" s="44">
        <f>MAX($C$2,J180+1,J194+1)</f>
        <v>46370</v>
      </c>
      <c r="J200" s="45">
        <f>IF(AND(ISNUMBER(I200),ISNUMBER(H200)),I200+H200-1,"")</f>
        <v>46376</v>
      </c>
      <c r="K200" s="43" t="s">
        <v>27</v>
      </c>
      <c r="L200" s="43" t="s">
        <v>446</v>
      </c>
      <c r="M200" s="46"/>
      <c r="N200" s="43"/>
      <c r="O200" s="46">
        <f>IF(AND(ISNUMBER(I200),ISNUMBER(J200)),J200-I200+1,"")</f>
        <v>7</v>
      </c>
      <c r="P200" s="13"/>
      <c r="Q200" s="13"/>
      <c r="R200" s="13"/>
      <c r="S200" s="13"/>
      <c r="T200" s="13"/>
      <c r="U200" s="13"/>
      <c r="V200" s="13"/>
      <c r="W200" s="13" t="s">
        <v>140</v>
      </c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4" t="str">
        <f>IF(AND(ISNUMBER($I200),OR($K200="Milestone",$K200="Deadline"),$I200&gt;=AO$4,$I200&lt;AO$4+7),IF($K200="Deadline","◇","◆"),"")</f>
        <v/>
      </c>
      <c r="AP200" s="14" t="str">
        <f>IF(AND(ISNUMBER($I200),OR($K200="Milestone",$K200="Deadline"),$I200&gt;=AP$4,$I200&lt;AP$4+7),IF($K200="Deadline","◇","◆"),"")</f>
        <v/>
      </c>
      <c r="AQ200" s="14" t="str">
        <f>IF(AND(ISNUMBER($I200),OR($K200="Milestone",$K200="Deadline"),$I200&gt;=AQ$4,$I200&lt;AQ$4+7),IF($K200="Deadline","◇","◆"),"")</f>
        <v/>
      </c>
      <c r="AR200" s="14" t="str">
        <f>IF(AND(ISNUMBER($I200),OR($K200="Milestone",$K200="Deadline"),$I200&gt;=AR$4,$I200&lt;AR$4+7),IF($K200="Deadline","◇","◆"),"")</f>
        <v/>
      </c>
      <c r="AS200" s="14" t="str">
        <f>IF(AND(ISNUMBER($I200),OR($K200="Milestone",$K200="Deadline"),$I200&gt;=AS$4,$I200&lt;AS$4+7),IF($K200="Deadline","◇","◆"),"")</f>
        <v/>
      </c>
      <c r="AT200" s="14" t="str">
        <f>IF(AND(ISNUMBER($I200),OR($K200="Milestone",$K200="Deadline"),$I200&gt;=AT$4,$I200&lt;AT$4+7),IF($K200="Deadline","◇","◆"),"")</f>
        <v/>
      </c>
      <c r="AU200" s="14" t="str">
        <f>IF(AND(ISNUMBER($I200),OR($K200="Milestone",$K200="Deadline"),$I200&gt;=AU$4,$I200&lt;AU$4+7),IF($K200="Deadline","◇","◆"),"")</f>
        <v/>
      </c>
      <c r="AV200" s="14" t="str">
        <f>IF(AND(ISNUMBER($I200),OR($K200="Milestone",$K200="Deadline"),$I200&gt;=AV$4,$I200&lt;AV$4+7),IF($K200="Deadline","◇","◆"),"")</f>
        <v/>
      </c>
      <c r="AW200" s="14" t="str">
        <f>IF(AND(ISNUMBER($I200),OR($K200="Milestone",$K200="Deadline"),$I200&gt;=AW$4,$I200&lt;AW$4+7),IF($K200="Deadline","◇","◆"),"")</f>
        <v/>
      </c>
      <c r="AX200" s="14" t="str">
        <f>IF(AND(ISNUMBER($I200),OR($K200="Milestone",$K200="Deadline"),$I200&gt;=AX$4,$I200&lt;AX$4+7),IF($K200="Deadline","◇","◆"),"")</f>
        <v/>
      </c>
      <c r="AY200" s="14" t="str">
        <f>IF(AND(ISNUMBER($I200),OR($K200="Milestone",$K200="Deadline"),$I200&gt;=AY$4,$I200&lt;AY$4+7),IF($K200="Deadline","◇","◆"),"")</f>
        <v/>
      </c>
      <c r="AZ200" s="14" t="str">
        <f>IF(AND(ISNUMBER($I200),OR($K200="Milestone",$K200="Deadline"),$I200&gt;=AZ$4,$I200&lt;AZ$4+7),IF($K200="Deadline","◇","◆"),"")</f>
        <v/>
      </c>
      <c r="BA200" s="14" t="str">
        <f>IF(AND(ISNUMBER($I200),OR($K200="Milestone",$K200="Deadline"),$I200&gt;=BA$4,$I200&lt;BA$4+7),IF($K200="Deadline","◇","◆"),"")</f>
        <v/>
      </c>
      <c r="BB200" s="14" t="str">
        <f>IF(AND(ISNUMBER($I200),OR($K200="Milestone",$K200="Deadline"),$I200&gt;=BB$4,$I200&lt;BB$4+7),IF($K200="Deadline","◇","◆"),"")</f>
        <v/>
      </c>
      <c r="BC200" s="14" t="str">
        <f>IF(AND(ISNUMBER($I200),OR($K200="Milestone",$K200="Deadline"),$I200&gt;=BC$4,$I200&lt;BC$4+7),IF($K200="Deadline","◇","◆"),"")</f>
        <v/>
      </c>
      <c r="BD200" s="14" t="str">
        <f>IF(AND(ISNUMBER($I200),OR($K200="Milestone",$K200="Deadline"),$I200&gt;=BD$4,$I200&lt;BD$4+7),IF($K200="Deadline","◇","◆"),"")</f>
        <v/>
      </c>
      <c r="BE200" s="14" t="str">
        <f>IF(AND(ISNUMBER($I200),OR($K200="Milestone",$K200="Deadline"),$I200&gt;=BE$4,$I200&lt;BE$4+7),IF($K200="Deadline","◇","◆"),"")</f>
        <v/>
      </c>
      <c r="BF200" s="14" t="str">
        <f>IF(AND(ISNUMBER($I200),OR($K200="Milestone",$K200="Deadline"),$I200&gt;=BF$4,$I200&lt;BF$4+7),IF($K200="Deadline","◇","◆"),"")</f>
        <v/>
      </c>
      <c r="BG200" s="14" t="str">
        <f>IF(AND(ISNUMBER($I200),OR($K200="Milestone",$K200="Deadline"),$I200&gt;=BG$4,$I200&lt;BG$4+7),IF($K200="Deadline","◇","◆"),"")</f>
        <v/>
      </c>
      <c r="BH200" s="14" t="str">
        <f>IF(AND(ISNUMBER($I200),OR($K200="Milestone",$K200="Deadline"),$I200&gt;=BH$4,$I200&lt;BH$4+7),IF($K200="Deadline","◇","◆"),"")</f>
        <v/>
      </c>
      <c r="BI200" s="14" t="str">
        <f>IF(AND(ISNUMBER($I200),OR($K200="Milestone",$K200="Deadline"),$I200&gt;=BI$4,$I200&lt;BI$4+7),IF($K200="Deadline","◇","◆"),"")</f>
        <v/>
      </c>
      <c r="BJ200" s="14" t="str">
        <f>IF(AND(ISNUMBER($I200),OR($K200="Milestone",$K200="Deadline"),$I200&gt;=BJ$4,$I200&lt;BJ$4+7),IF($K200="Deadline","◇","◆"),"")</f>
        <v/>
      </c>
      <c r="BK200" s="14" t="str">
        <f>IF(AND(ISNUMBER($I200),OR($K200="Milestone",$K200="Deadline"),$I200&gt;=BK$4,$I200&lt;BK$4+7),IF($K200="Deadline","◇","◆"),"")</f>
        <v/>
      </c>
      <c r="BL200" s="14" t="str">
        <f>IF(AND(ISNUMBER($I200),OR($K200="Milestone",$K200="Deadline"),$I200&gt;=BL$4,$I200&lt;BL$4+7),IF($K200="Deadline","◇","◆"),"")</f>
        <v/>
      </c>
      <c r="BM200" s="14" t="str">
        <f>IF(AND(ISNUMBER($I200),OR($K200="Milestone",$K200="Deadline"),$I200&gt;=BM$4,$I200&lt;BM$4+7),IF($K200="Deadline","◇","◆"),"")</f>
        <v/>
      </c>
      <c r="BN200" s="14" t="str">
        <f>IF(AND(ISNUMBER($I200),OR($K200="Milestone",$K200="Deadline"),$I200&gt;=BN$4,$I200&lt;BN$4+7),IF($K200="Deadline","◇","◆"),"")</f>
        <v/>
      </c>
      <c r="BO200" s="14" t="str">
        <f>IF(AND(ISNUMBER($I200),OR($K200="Milestone",$K200="Deadline"),$I200&gt;=BO$4,$I200&lt;BO$4+7),IF($K200="Deadline","◇","◆"),"")</f>
        <v/>
      </c>
      <c r="BP200" s="14" t="str">
        <f>IF(AND(ISNUMBER($I200),OR($K200="Milestone",$K200="Deadline"),$I200&gt;=BP$4,$I200&lt;BP$4+7),IF($K200="Deadline","◇","◆"),"")</f>
        <v/>
      </c>
      <c r="BQ200" s="14" t="str">
        <f>IF(AND(ISNUMBER($I200),OR($K200="Milestone",$K200="Deadline"),$I200&gt;=BQ$4,$I200&lt;BQ$4+7),IF($K200="Deadline","◇","◆"),"")</f>
        <v/>
      </c>
      <c r="BR200" s="14" t="str">
        <f>IF(AND(ISNUMBER($I200),OR($K200="Milestone",$K200="Deadline"),$I200&gt;=BR$4,$I200&lt;BR$4+7),IF($K200="Deadline","◇","◆"),"")</f>
        <v/>
      </c>
      <c r="BS200" s="14" t="str">
        <f>IF(AND(ISNUMBER($I200),OR($K200="Milestone",$K200="Deadline"),$I200&gt;=BS$4,$I200&lt;BS$4+7),IF($K200="Deadline","◇","◆"),"")</f>
        <v/>
      </c>
      <c r="BT200" s="14" t="str">
        <f>IF(AND(ISNUMBER($I200),OR($K200="Milestone",$K200="Deadline"),$I200&gt;=BT$4,$I200&lt;BT$4+7),IF($K200="Deadline","◇","◆"),"")</f>
        <v/>
      </c>
      <c r="BU200" s="14" t="str">
        <f>IF(AND(ISNUMBER($I200),OR($K200="Milestone",$K200="Deadline"),$I200&gt;=BU$4,$I200&lt;BU$4+7),IF($K200="Deadline","◇","◆"),"")</f>
        <v/>
      </c>
      <c r="BV200" s="14" t="str">
        <f>IF(AND(ISNUMBER($I200),OR($K200="Milestone",$K200="Deadline"),$I200&gt;=BV$4,$I200&lt;BV$4+7),IF($K200="Deadline","◇","◆"),"")</f>
        <v/>
      </c>
      <c r="BW200" s="14" t="str">
        <f>IF(AND(ISNUMBER($I200),OR($K200="Milestone",$K200="Deadline"),$I200&gt;=BW$4,$I200&lt;BW$4+7),IF($K200="Deadline","◇","◆"),"")</f>
        <v/>
      </c>
      <c r="BX200" s="14" t="str">
        <f>IF(AND(ISNUMBER($I200),OR($K200="Milestone",$K200="Deadline"),$I200&gt;=BX$4,$I200&lt;BX$4+7),IF($K200="Deadline","◇","◆"),"")</f>
        <v/>
      </c>
      <c r="BY200" s="14" t="str">
        <f>IF(AND(ISNUMBER($I200),OR($K200="Milestone",$K200="Deadline"),$I200&gt;=BY$4,$I200&lt;BY$4+7),IF($K200="Deadline","◇","◆"),"")</f>
        <v/>
      </c>
      <c r="BZ200" s="14" t="str">
        <f>IF(AND(ISNUMBER($I200),OR($K200="Milestone",$K200="Deadline"),$I200&gt;=BZ$4,$I200&lt;BZ$4+7),IF($K200="Deadline","◇","◆"),"")</f>
        <v/>
      </c>
      <c r="CA200" s="14" t="str">
        <f>IF(AND(ISNUMBER($I200),OR($K200="Milestone",$K200="Deadline"),$I200&gt;=CA$4,$I200&lt;CA$4+7),IF($K200="Deadline","◇","◆"),"")</f>
        <v/>
      </c>
      <c r="CB200" s="14" t="str">
        <f>IF(AND(ISNUMBER($I200),OR($K200="Milestone",$K200="Deadline"),$I200&gt;=CB$4,$I200&lt;CB$4+7),IF($K200="Deadline","◇","◆"),"")</f>
        <v/>
      </c>
      <c r="CC200" s="14" t="str">
        <f>IF(AND(ISNUMBER($I200),OR($K200="Milestone",$K200="Deadline"),$I200&gt;=CC$4,$I200&lt;CC$4+7),IF($K200="Deadline","◇","◆"),"")</f>
        <v/>
      </c>
      <c r="CD200" s="14" t="str">
        <f>IF(AND(ISNUMBER($I200),OR($K200="Milestone",$K200="Deadline"),$I200&gt;=CD$4,$I200&lt;CD$4+7),IF($K200="Deadline","◇","◆"),"")</f>
        <v/>
      </c>
      <c r="CE200" s="14" t="str">
        <f>IF(AND(ISNUMBER($I200),OR($K200="Milestone",$K200="Deadline"),$I200&gt;=CE$4,$I200&lt;CE$4+7),IF($K200="Deadline","◇","◆"),"")</f>
        <v/>
      </c>
      <c r="CF200" s="14" t="str">
        <f>IF(AND(ISNUMBER($I200),OR($K200="Milestone",$K200="Deadline"),$I200&gt;=CF$4,$I200&lt;CF$4+7),IF($K200="Deadline","◇","◆"),"")</f>
        <v/>
      </c>
      <c r="CG200" s="14" t="str">
        <f>IF(AND(ISNUMBER($I200),OR($K200="Milestone",$K200="Deadline"),$I200&gt;=CG$4,$I200&lt;CG$4+7),IF($K200="Deadline","◇","◆"),"")</f>
        <v/>
      </c>
      <c r="CH200" s="14" t="str">
        <f>IF(AND(ISNUMBER($I200),OR($K200="Milestone",$K200="Deadline"),$I200&gt;=CH$4,$I200&lt;CH$4+7),IF($K200="Deadline","◇","◆"),"")</f>
        <v/>
      </c>
      <c r="CI200" s="14" t="str">
        <f>IF(AND(ISNUMBER($I200),OR($K200="Milestone",$K200="Deadline"),$I200&gt;=CI$4,$I200&lt;CI$4+7),IF($K200="Deadline","◇","◆"),"")</f>
        <v/>
      </c>
      <c r="CJ200" s="14" t="str">
        <f>IF(AND(ISNUMBER($I200),OR($K200="Milestone",$K200="Deadline"),$I200&gt;=CJ$4,$I200&lt;CJ$4+7),IF($K200="Deadline","◇","◆"),"")</f>
        <v/>
      </c>
      <c r="CK200" s="14" t="str">
        <f>IF(AND(ISNUMBER($I200),OR($K200="Milestone",$K200="Deadline"),$I200&gt;=CK$4,$I200&lt;CK$4+7),IF($K200="Deadline","◇","◆"),"")</f>
        <v/>
      </c>
      <c r="CL200" s="14" t="str">
        <f>IF(AND(ISNUMBER($I200),OR($K200="Milestone",$K200="Deadline"),$I200&gt;=CL$4,$I200&lt;CL$4+7),IF($K200="Deadline","◇","◆"),"")</f>
        <v/>
      </c>
      <c r="CM200" s="14" t="str">
        <f>IF(AND(ISNUMBER($I200),OR($K200="Milestone",$K200="Deadline"),$I200&gt;=CM$4,$I200&lt;CM$4+7),IF($K200="Deadline","◇","◆"),"")</f>
        <v/>
      </c>
    </row>
    <row r="201" spans="1:91" ht="15" hidden="1" customHeight="1">
      <c r="A201" s="43" t="s">
        <v>189</v>
      </c>
      <c r="B201" s="43" t="s">
        <v>418</v>
      </c>
      <c r="C201" s="43" t="s">
        <v>93</v>
      </c>
      <c r="D201" s="43" t="s">
        <v>419</v>
      </c>
      <c r="E201" s="43" t="s">
        <v>281</v>
      </c>
      <c r="F201" s="43" t="s">
        <v>204</v>
      </c>
      <c r="G201" s="43" t="s">
        <v>184</v>
      </c>
      <c r="H201" s="43">
        <v>7</v>
      </c>
      <c r="I201" s="44">
        <f>MAX($C$2,J200+1,J45+1)</f>
        <v>46385</v>
      </c>
      <c r="J201" s="45">
        <f>IF(AND(ISNUMBER(I201),ISNUMBER(H201)),I201+H201-1,"")</f>
        <v>46391</v>
      </c>
      <c r="K201" s="43" t="s">
        <v>27</v>
      </c>
      <c r="L201" s="43" t="s">
        <v>445</v>
      </c>
      <c r="M201" s="46" t="s">
        <v>175</v>
      </c>
      <c r="N201" s="43"/>
      <c r="O201" s="46">
        <f>IF(AND(ISNUMBER(I201),ISNUMBER(J201)),J201-I201+1,"")</f>
        <v>7</v>
      </c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 t="s">
        <v>140</v>
      </c>
      <c r="AF201" s="13"/>
      <c r="AG201" s="13"/>
      <c r="AH201" s="13"/>
      <c r="AI201" s="13"/>
      <c r="AJ201" s="13"/>
      <c r="AK201" s="13"/>
      <c r="AL201" s="13"/>
      <c r="AM201" s="13"/>
      <c r="AN201" s="13"/>
      <c r="AO201" s="14" t="str">
        <f>IF(AND(ISNUMBER($I201),OR($K201="Milestone",$K201="Deadline"),$I201&gt;=AO$4,$I201&lt;AO$4+7),IF($K201="Deadline","◇","◆"),"")</f>
        <v/>
      </c>
      <c r="AP201" s="14" t="str">
        <f>IF(AND(ISNUMBER($I201),OR($K201="Milestone",$K201="Deadline"),$I201&gt;=AP$4,$I201&lt;AP$4+7),IF($K201="Deadline","◇","◆"),"")</f>
        <v/>
      </c>
      <c r="AQ201" s="14" t="str">
        <f>IF(AND(ISNUMBER($I201),OR($K201="Milestone",$K201="Deadline"),$I201&gt;=AQ$4,$I201&lt;AQ$4+7),IF($K201="Deadline","◇","◆"),"")</f>
        <v/>
      </c>
      <c r="AR201" s="14" t="str">
        <f>IF(AND(ISNUMBER($I201),OR($K201="Milestone",$K201="Deadline"),$I201&gt;=AR$4,$I201&lt;AR$4+7),IF($K201="Deadline","◇","◆"),"")</f>
        <v/>
      </c>
      <c r="AS201" s="14" t="str">
        <f>IF(AND(ISNUMBER($I201),OR($K201="Milestone",$K201="Deadline"),$I201&gt;=AS$4,$I201&lt;AS$4+7),IF($K201="Deadline","◇","◆"),"")</f>
        <v/>
      </c>
      <c r="AT201" s="14" t="str">
        <f>IF(AND(ISNUMBER($I201),OR($K201="Milestone",$K201="Deadline"),$I201&gt;=AT$4,$I201&lt;AT$4+7),IF($K201="Deadline","◇","◆"),"")</f>
        <v/>
      </c>
      <c r="AU201" s="14" t="str">
        <f>IF(AND(ISNUMBER($I201),OR($K201="Milestone",$K201="Deadline"),$I201&gt;=AU$4,$I201&lt;AU$4+7),IF($K201="Deadline","◇","◆"),"")</f>
        <v/>
      </c>
      <c r="AV201" s="14" t="str">
        <f>IF(AND(ISNUMBER($I201),OR($K201="Milestone",$K201="Deadline"),$I201&gt;=AV$4,$I201&lt;AV$4+7),IF($K201="Deadline","◇","◆"),"")</f>
        <v/>
      </c>
      <c r="AW201" s="14" t="str">
        <f>IF(AND(ISNUMBER($I201),OR($K201="Milestone",$K201="Deadline"),$I201&gt;=AW$4,$I201&lt;AW$4+7),IF($K201="Deadline","◇","◆"),"")</f>
        <v/>
      </c>
      <c r="AX201" s="14" t="str">
        <f>IF(AND(ISNUMBER($I201),OR($K201="Milestone",$K201="Deadline"),$I201&gt;=AX$4,$I201&lt;AX$4+7),IF($K201="Deadline","◇","◆"),"")</f>
        <v/>
      </c>
      <c r="AY201" s="14" t="str">
        <f>IF(AND(ISNUMBER($I201),OR($K201="Milestone",$K201="Deadline"),$I201&gt;=AY$4,$I201&lt;AY$4+7),IF($K201="Deadline","◇","◆"),"")</f>
        <v/>
      </c>
      <c r="AZ201" s="14" t="str">
        <f>IF(AND(ISNUMBER($I201),OR($K201="Milestone",$K201="Deadline"),$I201&gt;=AZ$4,$I201&lt;AZ$4+7),IF($K201="Deadline","◇","◆"),"")</f>
        <v/>
      </c>
      <c r="BA201" s="14" t="str">
        <f>IF(AND(ISNUMBER($I201),OR($K201="Milestone",$K201="Deadline"),$I201&gt;=BA$4,$I201&lt;BA$4+7),IF($K201="Deadline","◇","◆"),"")</f>
        <v/>
      </c>
      <c r="BB201" s="14" t="str">
        <f>IF(AND(ISNUMBER($I201),OR($K201="Milestone",$K201="Deadline"),$I201&gt;=BB$4,$I201&lt;BB$4+7),IF($K201="Deadline","◇","◆"),"")</f>
        <v/>
      </c>
      <c r="BC201" s="14" t="str">
        <f>IF(AND(ISNUMBER($I201),OR($K201="Milestone",$K201="Deadline"),$I201&gt;=BC$4,$I201&lt;BC$4+7),IF($K201="Deadline","◇","◆"),"")</f>
        <v/>
      </c>
      <c r="BD201" s="14" t="str">
        <f>IF(AND(ISNUMBER($I201),OR($K201="Milestone",$K201="Deadline"),$I201&gt;=BD$4,$I201&lt;BD$4+7),IF($K201="Deadline","◇","◆"),"")</f>
        <v/>
      </c>
      <c r="BE201" s="14" t="str">
        <f>IF(AND(ISNUMBER($I201),OR($K201="Milestone",$K201="Deadline"),$I201&gt;=BE$4,$I201&lt;BE$4+7),IF($K201="Deadline","◇","◆"),"")</f>
        <v/>
      </c>
      <c r="BF201" s="14" t="str">
        <f>IF(AND(ISNUMBER($I201),OR($K201="Milestone",$K201="Deadline"),$I201&gt;=BF$4,$I201&lt;BF$4+7),IF($K201="Deadline","◇","◆"),"")</f>
        <v/>
      </c>
      <c r="BG201" s="14" t="str">
        <f>IF(AND(ISNUMBER($I201),OR($K201="Milestone",$K201="Deadline"),$I201&gt;=BG$4,$I201&lt;BG$4+7),IF($K201="Deadline","◇","◆"),"")</f>
        <v/>
      </c>
      <c r="BH201" s="14" t="str">
        <f>IF(AND(ISNUMBER($I201),OR($K201="Milestone",$K201="Deadline"),$I201&gt;=BH$4,$I201&lt;BH$4+7),IF($K201="Deadline","◇","◆"),"")</f>
        <v/>
      </c>
      <c r="BI201" s="14" t="str">
        <f>IF(AND(ISNUMBER($I201),OR($K201="Milestone",$K201="Deadline"),$I201&gt;=BI$4,$I201&lt;BI$4+7),IF($K201="Deadline","◇","◆"),"")</f>
        <v/>
      </c>
      <c r="BJ201" s="14" t="str">
        <f>IF(AND(ISNUMBER($I201),OR($K201="Milestone",$K201="Deadline"),$I201&gt;=BJ$4,$I201&lt;BJ$4+7),IF($K201="Deadline","◇","◆"),"")</f>
        <v/>
      </c>
      <c r="BK201" s="14" t="str">
        <f>IF(AND(ISNUMBER($I201),OR($K201="Milestone",$K201="Deadline"),$I201&gt;=BK$4,$I201&lt;BK$4+7),IF($K201="Deadline","◇","◆"),"")</f>
        <v/>
      </c>
      <c r="BL201" s="14" t="str">
        <f>IF(AND(ISNUMBER($I201),OR($K201="Milestone",$K201="Deadline"),$I201&gt;=BL$4,$I201&lt;BL$4+7),IF($K201="Deadline","◇","◆"),"")</f>
        <v/>
      </c>
      <c r="BM201" s="14" t="str">
        <f>IF(AND(ISNUMBER($I201),OR($K201="Milestone",$K201="Deadline"),$I201&gt;=BM$4,$I201&lt;BM$4+7),IF($K201="Deadline","◇","◆"),"")</f>
        <v/>
      </c>
      <c r="BN201" s="14" t="str">
        <f>IF(AND(ISNUMBER($I201),OR($K201="Milestone",$K201="Deadline"),$I201&gt;=BN$4,$I201&lt;BN$4+7),IF($K201="Deadline","◇","◆"),"")</f>
        <v/>
      </c>
      <c r="BO201" s="14" t="str">
        <f>IF(AND(ISNUMBER($I201),OR($K201="Milestone",$K201="Deadline"),$I201&gt;=BO$4,$I201&lt;BO$4+7),IF($K201="Deadline","◇","◆"),"")</f>
        <v/>
      </c>
      <c r="BP201" s="14" t="str">
        <f>IF(AND(ISNUMBER($I201),OR($K201="Milestone",$K201="Deadline"),$I201&gt;=BP$4,$I201&lt;BP$4+7),IF($K201="Deadline","◇","◆"),"")</f>
        <v/>
      </c>
      <c r="BQ201" s="14" t="str">
        <f>IF(AND(ISNUMBER($I201),OR($K201="Milestone",$K201="Deadline"),$I201&gt;=BQ$4,$I201&lt;BQ$4+7),IF($K201="Deadline","◇","◆"),"")</f>
        <v/>
      </c>
      <c r="BR201" s="14" t="str">
        <f>IF(AND(ISNUMBER($I201),OR($K201="Milestone",$K201="Deadline"),$I201&gt;=BR$4,$I201&lt;BR$4+7),IF($K201="Deadline","◇","◆"),"")</f>
        <v/>
      </c>
      <c r="BS201" s="14" t="str">
        <f>IF(AND(ISNUMBER($I201),OR($K201="Milestone",$K201="Deadline"),$I201&gt;=BS$4,$I201&lt;BS$4+7),IF($K201="Deadline","◇","◆"),"")</f>
        <v/>
      </c>
      <c r="BT201" s="14" t="str">
        <f>IF(AND(ISNUMBER($I201),OR($K201="Milestone",$K201="Deadline"),$I201&gt;=BT$4,$I201&lt;BT$4+7),IF($K201="Deadline","◇","◆"),"")</f>
        <v/>
      </c>
      <c r="BU201" s="14" t="str">
        <f>IF(AND(ISNUMBER($I201),OR($K201="Milestone",$K201="Deadline"),$I201&gt;=BU$4,$I201&lt;BU$4+7),IF($K201="Deadline","◇","◆"),"")</f>
        <v/>
      </c>
      <c r="BV201" s="14" t="str">
        <f>IF(AND(ISNUMBER($I201),OR($K201="Milestone",$K201="Deadline"),$I201&gt;=BV$4,$I201&lt;BV$4+7),IF($K201="Deadline","◇","◆"),"")</f>
        <v/>
      </c>
      <c r="BW201" s="14" t="str">
        <f>IF(AND(ISNUMBER($I201),OR($K201="Milestone",$K201="Deadline"),$I201&gt;=BW$4,$I201&lt;BW$4+7),IF($K201="Deadline","◇","◆"),"")</f>
        <v/>
      </c>
      <c r="BX201" s="14" t="str">
        <f>IF(AND(ISNUMBER($I201),OR($K201="Milestone",$K201="Deadline"),$I201&gt;=BX$4,$I201&lt;BX$4+7),IF($K201="Deadline","◇","◆"),"")</f>
        <v/>
      </c>
      <c r="BY201" s="14" t="str">
        <f>IF(AND(ISNUMBER($I201),OR($K201="Milestone",$K201="Deadline"),$I201&gt;=BY$4,$I201&lt;BY$4+7),IF($K201="Deadline","◇","◆"),"")</f>
        <v/>
      </c>
      <c r="BZ201" s="14" t="str">
        <f>IF(AND(ISNUMBER($I201),OR($K201="Milestone",$K201="Deadline"),$I201&gt;=BZ$4,$I201&lt;BZ$4+7),IF($K201="Deadline","◇","◆"),"")</f>
        <v/>
      </c>
      <c r="CA201" s="14" t="str">
        <f>IF(AND(ISNUMBER($I201),OR($K201="Milestone",$K201="Deadline"),$I201&gt;=CA$4,$I201&lt;CA$4+7),IF($K201="Deadline","◇","◆"),"")</f>
        <v/>
      </c>
      <c r="CB201" s="14" t="str">
        <f>IF(AND(ISNUMBER($I201),OR($K201="Milestone",$K201="Deadline"),$I201&gt;=CB$4,$I201&lt;CB$4+7),IF($K201="Deadline","◇","◆"),"")</f>
        <v/>
      </c>
      <c r="CC201" s="14" t="str">
        <f>IF(AND(ISNUMBER($I201),OR($K201="Milestone",$K201="Deadline"),$I201&gt;=CC$4,$I201&lt;CC$4+7),IF($K201="Deadline","◇","◆"),"")</f>
        <v/>
      </c>
      <c r="CD201" s="14" t="str">
        <f>IF(AND(ISNUMBER($I201),OR($K201="Milestone",$K201="Deadline"),$I201&gt;=CD$4,$I201&lt;CD$4+7),IF($K201="Deadline","◇","◆"),"")</f>
        <v/>
      </c>
      <c r="CE201" s="14" t="str">
        <f>IF(AND(ISNUMBER($I201),OR($K201="Milestone",$K201="Deadline"),$I201&gt;=CE$4,$I201&lt;CE$4+7),IF($K201="Deadline","◇","◆"),"")</f>
        <v/>
      </c>
      <c r="CF201" s="14" t="str">
        <f>IF(AND(ISNUMBER($I201),OR($K201="Milestone",$K201="Deadline"),$I201&gt;=CF$4,$I201&lt;CF$4+7),IF($K201="Deadline","◇","◆"),"")</f>
        <v/>
      </c>
      <c r="CG201" s="14" t="str">
        <f>IF(AND(ISNUMBER($I201),OR($K201="Milestone",$K201="Deadline"),$I201&gt;=CG$4,$I201&lt;CG$4+7),IF($K201="Deadline","◇","◆"),"")</f>
        <v/>
      </c>
      <c r="CH201" s="14" t="str">
        <f>IF(AND(ISNUMBER($I201),OR($K201="Milestone",$K201="Deadline"),$I201&gt;=CH$4,$I201&lt;CH$4+7),IF($K201="Deadline","◇","◆"),"")</f>
        <v/>
      </c>
      <c r="CI201" s="14" t="str">
        <f>IF(AND(ISNUMBER($I201),OR($K201="Milestone",$K201="Deadline"),$I201&gt;=CI$4,$I201&lt;CI$4+7),IF($K201="Deadline","◇","◆"),"")</f>
        <v/>
      </c>
      <c r="CJ201" s="14" t="str">
        <f>IF(AND(ISNUMBER($I201),OR($K201="Milestone",$K201="Deadline"),$I201&gt;=CJ$4,$I201&lt;CJ$4+7),IF($K201="Deadline","◇","◆"),"")</f>
        <v/>
      </c>
      <c r="CK201" s="14" t="str">
        <f>IF(AND(ISNUMBER($I201),OR($K201="Milestone",$K201="Deadline"),$I201&gt;=CK$4,$I201&lt;CK$4+7),IF($K201="Deadline","◇","◆"),"")</f>
        <v/>
      </c>
      <c r="CL201" s="14" t="str">
        <f>IF(AND(ISNUMBER($I201),OR($K201="Milestone",$K201="Deadline"),$I201&gt;=CL$4,$I201&lt;CL$4+7),IF($K201="Deadline","◇","◆"),"")</f>
        <v/>
      </c>
      <c r="CM201" s="14" t="str">
        <f>IF(AND(ISNUMBER($I201),OR($K201="Milestone",$K201="Deadline"),$I201&gt;=CM$4,$I201&lt;CM$4+7),IF($K201="Deadline","◇","◆"),"")</f>
        <v/>
      </c>
    </row>
    <row r="202" spans="1:91" ht="15" hidden="1" customHeight="1">
      <c r="A202" s="43" t="s">
        <v>279</v>
      </c>
      <c r="B202" s="43" t="s">
        <v>418</v>
      </c>
      <c r="C202" s="43" t="s">
        <v>93</v>
      </c>
      <c r="D202" s="43" t="s">
        <v>419</v>
      </c>
      <c r="E202" s="43" t="s">
        <v>281</v>
      </c>
      <c r="F202" s="43" t="s">
        <v>204</v>
      </c>
      <c r="G202" s="43" t="s">
        <v>275</v>
      </c>
      <c r="H202" s="43">
        <v>8</v>
      </c>
      <c r="I202" s="44">
        <f>MAX($C$2,J201+1,J199+1,J184+1,J196+1)</f>
        <v>46434</v>
      </c>
      <c r="J202" s="45">
        <f>IF(AND(ISNUMBER(I202),ISNUMBER(H202)),I202+H202-1,"")</f>
        <v>46441</v>
      </c>
      <c r="K202" s="43" t="s">
        <v>27</v>
      </c>
      <c r="L202" s="43" t="s">
        <v>447</v>
      </c>
      <c r="M202" s="46" t="s">
        <v>448</v>
      </c>
      <c r="N202" s="43"/>
      <c r="O202" s="46">
        <f>IF(AND(ISNUMBER(I202),ISNUMBER(J202)),J202-I202+1,"")</f>
        <v>8</v>
      </c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 t="s">
        <v>140</v>
      </c>
      <c r="AH202" s="13" t="s">
        <v>140</v>
      </c>
      <c r="AI202" s="13"/>
      <c r="AJ202" s="13"/>
      <c r="AK202" s="13"/>
      <c r="AL202" s="13"/>
      <c r="AM202" s="13"/>
      <c r="AN202" s="13"/>
      <c r="AO202" s="14" t="str">
        <f>IF(AND(ISNUMBER($I202),OR($K202="Milestone",$K202="Deadline"),$I202&gt;=AO$4,$I202&lt;AO$4+7),IF($K202="Deadline","◇","◆"),"")</f>
        <v/>
      </c>
      <c r="AP202" s="14" t="str">
        <f>IF(AND(ISNUMBER($I202),OR($K202="Milestone",$K202="Deadline"),$I202&gt;=AP$4,$I202&lt;AP$4+7),IF($K202="Deadline","◇","◆"),"")</f>
        <v/>
      </c>
      <c r="AQ202" s="14" t="str">
        <f>IF(AND(ISNUMBER($I202),OR($K202="Milestone",$K202="Deadline"),$I202&gt;=AQ$4,$I202&lt;AQ$4+7),IF($K202="Deadline","◇","◆"),"")</f>
        <v/>
      </c>
      <c r="AR202" s="14" t="str">
        <f>IF(AND(ISNUMBER($I202),OR($K202="Milestone",$K202="Deadline"),$I202&gt;=AR$4,$I202&lt;AR$4+7),IF($K202="Deadline","◇","◆"),"")</f>
        <v/>
      </c>
      <c r="AS202" s="14" t="str">
        <f>IF(AND(ISNUMBER($I202),OR($K202="Milestone",$K202="Deadline"),$I202&gt;=AS$4,$I202&lt;AS$4+7),IF($K202="Deadline","◇","◆"),"")</f>
        <v/>
      </c>
      <c r="AT202" s="14" t="str">
        <f>IF(AND(ISNUMBER($I202),OR($K202="Milestone",$K202="Deadline"),$I202&gt;=AT$4,$I202&lt;AT$4+7),IF($K202="Deadline","◇","◆"),"")</f>
        <v/>
      </c>
      <c r="AU202" s="14" t="str">
        <f>IF(AND(ISNUMBER($I202),OR($K202="Milestone",$K202="Deadline"),$I202&gt;=AU$4,$I202&lt;AU$4+7),IF($K202="Deadline","◇","◆"),"")</f>
        <v/>
      </c>
      <c r="AV202" s="14" t="str">
        <f>IF(AND(ISNUMBER($I202),OR($K202="Milestone",$K202="Deadline"),$I202&gt;=AV$4,$I202&lt;AV$4+7),IF($K202="Deadline","◇","◆"),"")</f>
        <v/>
      </c>
      <c r="AW202" s="14" t="str">
        <f>IF(AND(ISNUMBER($I202),OR($K202="Milestone",$K202="Deadline"),$I202&gt;=AW$4,$I202&lt;AW$4+7),IF($K202="Deadline","◇","◆"),"")</f>
        <v/>
      </c>
      <c r="AX202" s="14" t="str">
        <f>IF(AND(ISNUMBER($I202),OR($K202="Milestone",$K202="Deadline"),$I202&gt;=AX$4,$I202&lt;AX$4+7),IF($K202="Deadline","◇","◆"),"")</f>
        <v/>
      </c>
      <c r="AY202" s="14" t="str">
        <f>IF(AND(ISNUMBER($I202),OR($K202="Milestone",$K202="Deadline"),$I202&gt;=AY$4,$I202&lt;AY$4+7),IF($K202="Deadline","◇","◆"),"")</f>
        <v/>
      </c>
      <c r="AZ202" s="14" t="str">
        <f>IF(AND(ISNUMBER($I202),OR($K202="Milestone",$K202="Deadline"),$I202&gt;=AZ$4,$I202&lt;AZ$4+7),IF($K202="Deadline","◇","◆"),"")</f>
        <v/>
      </c>
      <c r="BA202" s="14" t="str">
        <f>IF(AND(ISNUMBER($I202),OR($K202="Milestone",$K202="Deadline"),$I202&gt;=BA$4,$I202&lt;BA$4+7),IF($K202="Deadline","◇","◆"),"")</f>
        <v/>
      </c>
      <c r="BB202" s="14" t="str">
        <f>IF(AND(ISNUMBER($I202),OR($K202="Milestone",$K202="Deadline"),$I202&gt;=BB$4,$I202&lt;BB$4+7),IF($K202="Deadline","◇","◆"),"")</f>
        <v/>
      </c>
      <c r="BC202" s="14" t="str">
        <f>IF(AND(ISNUMBER($I202),OR($K202="Milestone",$K202="Deadline"),$I202&gt;=BC$4,$I202&lt;BC$4+7),IF($K202="Deadline","◇","◆"),"")</f>
        <v/>
      </c>
      <c r="BD202" s="14" t="str">
        <f>IF(AND(ISNUMBER($I202),OR($K202="Milestone",$K202="Deadline"),$I202&gt;=BD$4,$I202&lt;BD$4+7),IF($K202="Deadline","◇","◆"),"")</f>
        <v/>
      </c>
      <c r="BE202" s="14" t="str">
        <f>IF(AND(ISNUMBER($I202),OR($K202="Milestone",$K202="Deadline"),$I202&gt;=BE$4,$I202&lt;BE$4+7),IF($K202="Deadline","◇","◆"),"")</f>
        <v/>
      </c>
      <c r="BF202" s="14" t="str">
        <f>IF(AND(ISNUMBER($I202),OR($K202="Milestone",$K202="Deadline"),$I202&gt;=BF$4,$I202&lt;BF$4+7),IF($K202="Deadline","◇","◆"),"")</f>
        <v/>
      </c>
      <c r="BG202" s="14" t="str">
        <f>IF(AND(ISNUMBER($I202),OR($K202="Milestone",$K202="Deadline"),$I202&gt;=BG$4,$I202&lt;BG$4+7),IF($K202="Deadline","◇","◆"),"")</f>
        <v/>
      </c>
      <c r="BH202" s="14" t="str">
        <f>IF(AND(ISNUMBER($I202),OR($K202="Milestone",$K202="Deadline"),$I202&gt;=BH$4,$I202&lt;BH$4+7),IF($K202="Deadline","◇","◆"),"")</f>
        <v/>
      </c>
      <c r="BI202" s="14" t="str">
        <f>IF(AND(ISNUMBER($I202),OR($K202="Milestone",$K202="Deadline"),$I202&gt;=BI$4,$I202&lt;BI$4+7),IF($K202="Deadline","◇","◆"),"")</f>
        <v/>
      </c>
      <c r="BJ202" s="14" t="str">
        <f>IF(AND(ISNUMBER($I202),OR($K202="Milestone",$K202="Deadline"),$I202&gt;=BJ$4,$I202&lt;BJ$4+7),IF($K202="Deadline","◇","◆"),"")</f>
        <v/>
      </c>
      <c r="BK202" s="14" t="str">
        <f>IF(AND(ISNUMBER($I202),OR($K202="Milestone",$K202="Deadline"),$I202&gt;=BK$4,$I202&lt;BK$4+7),IF($K202="Deadline","◇","◆"),"")</f>
        <v/>
      </c>
      <c r="BL202" s="14" t="str">
        <f>IF(AND(ISNUMBER($I202),OR($K202="Milestone",$K202="Deadline"),$I202&gt;=BL$4,$I202&lt;BL$4+7),IF($K202="Deadline","◇","◆"),"")</f>
        <v/>
      </c>
      <c r="BM202" s="14" t="str">
        <f>IF(AND(ISNUMBER($I202),OR($K202="Milestone",$K202="Deadline"),$I202&gt;=BM$4,$I202&lt;BM$4+7),IF($K202="Deadline","◇","◆"),"")</f>
        <v/>
      </c>
      <c r="BN202" s="14" t="str">
        <f>IF(AND(ISNUMBER($I202),OR($K202="Milestone",$K202="Deadline"),$I202&gt;=BN$4,$I202&lt;BN$4+7),IF($K202="Deadline","◇","◆"),"")</f>
        <v/>
      </c>
      <c r="BO202" s="14" t="str">
        <f>IF(AND(ISNUMBER($I202),OR($K202="Milestone",$K202="Deadline"),$I202&gt;=BO$4,$I202&lt;BO$4+7),IF($K202="Deadline","◇","◆"),"")</f>
        <v/>
      </c>
      <c r="BP202" s="14" t="str">
        <f>IF(AND(ISNUMBER($I202),OR($K202="Milestone",$K202="Deadline"),$I202&gt;=BP$4,$I202&lt;BP$4+7),IF($K202="Deadline","◇","◆"),"")</f>
        <v/>
      </c>
      <c r="BQ202" s="14" t="str">
        <f>IF(AND(ISNUMBER($I202),OR($K202="Milestone",$K202="Deadline"),$I202&gt;=BQ$4,$I202&lt;BQ$4+7),IF($K202="Deadline","◇","◆"),"")</f>
        <v/>
      </c>
      <c r="BR202" s="14" t="str">
        <f>IF(AND(ISNUMBER($I202),OR($K202="Milestone",$K202="Deadline"),$I202&gt;=BR$4,$I202&lt;BR$4+7),IF($K202="Deadline","◇","◆"),"")</f>
        <v/>
      </c>
      <c r="BS202" s="14" t="str">
        <f>IF(AND(ISNUMBER($I202),OR($K202="Milestone",$K202="Deadline"),$I202&gt;=BS$4,$I202&lt;BS$4+7),IF($K202="Deadline","◇","◆"),"")</f>
        <v/>
      </c>
      <c r="BT202" s="14" t="str">
        <f>IF(AND(ISNUMBER($I202),OR($K202="Milestone",$K202="Deadline"),$I202&gt;=BT$4,$I202&lt;BT$4+7),IF($K202="Deadline","◇","◆"),"")</f>
        <v/>
      </c>
      <c r="BU202" s="14" t="str">
        <f>IF(AND(ISNUMBER($I202),OR($K202="Milestone",$K202="Deadline"),$I202&gt;=BU$4,$I202&lt;BU$4+7),IF($K202="Deadline","◇","◆"),"")</f>
        <v/>
      </c>
      <c r="BV202" s="14" t="str">
        <f>IF(AND(ISNUMBER($I202),OR($K202="Milestone",$K202="Deadline"),$I202&gt;=BV$4,$I202&lt;BV$4+7),IF($K202="Deadline","◇","◆"),"")</f>
        <v/>
      </c>
      <c r="BW202" s="14" t="str">
        <f>IF(AND(ISNUMBER($I202),OR($K202="Milestone",$K202="Deadline"),$I202&gt;=BW$4,$I202&lt;BW$4+7),IF($K202="Deadline","◇","◆"),"")</f>
        <v/>
      </c>
      <c r="BX202" s="14" t="str">
        <f>IF(AND(ISNUMBER($I202),OR($K202="Milestone",$K202="Deadline"),$I202&gt;=BX$4,$I202&lt;BX$4+7),IF($K202="Deadline","◇","◆"),"")</f>
        <v/>
      </c>
      <c r="BY202" s="14" t="str">
        <f>IF(AND(ISNUMBER($I202),OR($K202="Milestone",$K202="Deadline"),$I202&gt;=BY$4,$I202&lt;BY$4+7),IF($K202="Deadline","◇","◆"),"")</f>
        <v/>
      </c>
      <c r="BZ202" s="14" t="str">
        <f>IF(AND(ISNUMBER($I202),OR($K202="Milestone",$K202="Deadline"),$I202&gt;=BZ$4,$I202&lt;BZ$4+7),IF($K202="Deadline","◇","◆"),"")</f>
        <v/>
      </c>
      <c r="CA202" s="14" t="str">
        <f>IF(AND(ISNUMBER($I202),OR($K202="Milestone",$K202="Deadline"),$I202&gt;=CA$4,$I202&lt;CA$4+7),IF($K202="Deadline","◇","◆"),"")</f>
        <v/>
      </c>
      <c r="CB202" s="14" t="str">
        <f>IF(AND(ISNUMBER($I202),OR($K202="Milestone",$K202="Deadline"),$I202&gt;=CB$4,$I202&lt;CB$4+7),IF($K202="Deadline","◇","◆"),"")</f>
        <v/>
      </c>
      <c r="CC202" s="14" t="str">
        <f>IF(AND(ISNUMBER($I202),OR($K202="Milestone",$K202="Deadline"),$I202&gt;=CC$4,$I202&lt;CC$4+7),IF($K202="Deadline","◇","◆"),"")</f>
        <v/>
      </c>
      <c r="CD202" s="14" t="str">
        <f>IF(AND(ISNUMBER($I202),OR($K202="Milestone",$K202="Deadline"),$I202&gt;=CD$4,$I202&lt;CD$4+7),IF($K202="Deadline","◇","◆"),"")</f>
        <v/>
      </c>
      <c r="CE202" s="14" t="str">
        <f>IF(AND(ISNUMBER($I202),OR($K202="Milestone",$K202="Deadline"),$I202&gt;=CE$4,$I202&lt;CE$4+7),IF($K202="Deadline","◇","◆"),"")</f>
        <v/>
      </c>
      <c r="CF202" s="14" t="str">
        <f>IF(AND(ISNUMBER($I202),OR($K202="Milestone",$K202="Deadline"),$I202&gt;=CF$4,$I202&lt;CF$4+7),IF($K202="Deadline","◇","◆"),"")</f>
        <v/>
      </c>
      <c r="CG202" s="14" t="str">
        <f>IF(AND(ISNUMBER($I202),OR($K202="Milestone",$K202="Deadline"),$I202&gt;=CG$4,$I202&lt;CG$4+7),IF($K202="Deadline","◇","◆"),"")</f>
        <v/>
      </c>
      <c r="CH202" s="14" t="str">
        <f>IF(AND(ISNUMBER($I202),OR($K202="Milestone",$K202="Deadline"),$I202&gt;=CH$4,$I202&lt;CH$4+7),IF($K202="Deadline","◇","◆"),"")</f>
        <v/>
      </c>
      <c r="CI202" s="14" t="str">
        <f>IF(AND(ISNUMBER($I202),OR($K202="Milestone",$K202="Deadline"),$I202&gt;=CI$4,$I202&lt;CI$4+7),IF($K202="Deadline","◇","◆"),"")</f>
        <v/>
      </c>
      <c r="CJ202" s="14" t="str">
        <f>IF(AND(ISNUMBER($I202),OR($K202="Milestone",$K202="Deadline"),$I202&gt;=CJ$4,$I202&lt;CJ$4+7),IF($K202="Deadline","◇","◆"),"")</f>
        <v/>
      </c>
      <c r="CK202" s="14" t="str">
        <f>IF(AND(ISNUMBER($I202),OR($K202="Milestone",$K202="Deadline"),$I202&gt;=CK$4,$I202&lt;CK$4+7),IF($K202="Deadline","◇","◆"),"")</f>
        <v/>
      </c>
      <c r="CL202" s="14" t="str">
        <f>IF(AND(ISNUMBER($I202),OR($K202="Milestone",$K202="Deadline"),$I202&gt;=CL$4,$I202&lt;CL$4+7),IF($K202="Deadline","◇","◆"),"")</f>
        <v/>
      </c>
      <c r="CM202" s="14" t="str">
        <f>IF(AND(ISNUMBER($I202),OR($K202="Milestone",$K202="Deadline"),$I202&gt;=CM$4,$I202&lt;CM$4+7),IF($K202="Deadline","◇","◆"),"")</f>
        <v/>
      </c>
    </row>
    <row r="203" spans="1:91" ht="15" hidden="1" customHeight="1">
      <c r="A203" s="43" t="s">
        <v>449</v>
      </c>
      <c r="B203" s="43" t="s">
        <v>418</v>
      </c>
      <c r="C203" s="43" t="s">
        <v>191</v>
      </c>
      <c r="D203" s="43" t="s">
        <v>419</v>
      </c>
      <c r="E203" s="43" t="s">
        <v>281</v>
      </c>
      <c r="F203" s="43" t="s">
        <v>204</v>
      </c>
      <c r="G203" s="43" t="s">
        <v>278</v>
      </c>
      <c r="H203" s="43">
        <v>6</v>
      </c>
      <c r="I203" s="44">
        <f>MAX(DATE(2027,3,1),J202+1,J236+1,J140+1)</f>
        <v>46471</v>
      </c>
      <c r="J203" s="45">
        <f>IF(AND(ISNUMBER(I203),ISNUMBER(H203)),I203+H203-1,"")</f>
        <v>46476</v>
      </c>
      <c r="K203" s="43" t="s">
        <v>27</v>
      </c>
      <c r="L203" s="43" t="s">
        <v>279</v>
      </c>
      <c r="M203" s="46" t="s">
        <v>450</v>
      </c>
      <c r="N203" s="43"/>
      <c r="O203" s="46">
        <f>IF(AND(ISNUMBER(I203),ISNUMBER(J203)),J203-I203+1,"")</f>
        <v>6</v>
      </c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 t="s">
        <v>140</v>
      </c>
      <c r="AC203" s="13" t="s">
        <v>140</v>
      </c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4" t="str">
        <f>IF(AND(ISNUMBER($I203),OR($K203="Milestone",$K203="Deadline"),$I203&gt;=AO$4,$I203&lt;AO$4+7),IF($K203="Deadline","◇","◆"),"")</f>
        <v/>
      </c>
      <c r="AP203" s="14" t="str">
        <f>IF(AND(ISNUMBER($I203),OR($K203="Milestone",$K203="Deadline"),$I203&gt;=AP$4,$I203&lt;AP$4+7),IF($K203="Deadline","◇","◆"),"")</f>
        <v/>
      </c>
      <c r="AQ203" s="14" t="str">
        <f>IF(AND(ISNUMBER($I203),OR($K203="Milestone",$K203="Deadline"),$I203&gt;=AQ$4,$I203&lt;AQ$4+7),IF($K203="Deadline","◇","◆"),"")</f>
        <v/>
      </c>
      <c r="AR203" s="14" t="str">
        <f>IF(AND(ISNUMBER($I203),OR($K203="Milestone",$K203="Deadline"),$I203&gt;=AR$4,$I203&lt;AR$4+7),IF($K203="Deadline","◇","◆"),"")</f>
        <v/>
      </c>
      <c r="AS203" s="14" t="str">
        <f>IF(AND(ISNUMBER($I203),OR($K203="Milestone",$K203="Deadline"),$I203&gt;=AS$4,$I203&lt;AS$4+7),IF($K203="Deadline","◇","◆"),"")</f>
        <v/>
      </c>
      <c r="AT203" s="14" t="str">
        <f>IF(AND(ISNUMBER($I203),OR($K203="Milestone",$K203="Deadline"),$I203&gt;=AT$4,$I203&lt;AT$4+7),IF($K203="Deadline","◇","◆"),"")</f>
        <v/>
      </c>
      <c r="AU203" s="14" t="str">
        <f>IF(AND(ISNUMBER($I203),OR($K203="Milestone",$K203="Deadline"),$I203&gt;=AU$4,$I203&lt;AU$4+7),IF($K203="Deadline","◇","◆"),"")</f>
        <v/>
      </c>
      <c r="AV203" s="14" t="str">
        <f>IF(AND(ISNUMBER($I203),OR($K203="Milestone",$K203="Deadline"),$I203&gt;=AV$4,$I203&lt;AV$4+7),IF($K203="Deadline","◇","◆"),"")</f>
        <v/>
      </c>
      <c r="AW203" s="14" t="str">
        <f>IF(AND(ISNUMBER($I203),OR($K203="Milestone",$K203="Deadline"),$I203&gt;=AW$4,$I203&lt;AW$4+7),IF($K203="Deadline","◇","◆"),"")</f>
        <v/>
      </c>
      <c r="AX203" s="14" t="str">
        <f>IF(AND(ISNUMBER($I203),OR($K203="Milestone",$K203="Deadline"),$I203&gt;=AX$4,$I203&lt;AX$4+7),IF($K203="Deadline","◇","◆"),"")</f>
        <v/>
      </c>
      <c r="AY203" s="14" t="str">
        <f>IF(AND(ISNUMBER($I203),OR($K203="Milestone",$K203="Deadline"),$I203&gt;=AY$4,$I203&lt;AY$4+7),IF($K203="Deadline","◇","◆"),"")</f>
        <v/>
      </c>
      <c r="AZ203" s="14" t="str">
        <f>IF(AND(ISNUMBER($I203),OR($K203="Milestone",$K203="Deadline"),$I203&gt;=AZ$4,$I203&lt;AZ$4+7),IF($K203="Deadline","◇","◆"),"")</f>
        <v/>
      </c>
      <c r="BA203" s="14" t="str">
        <f>IF(AND(ISNUMBER($I203),OR($K203="Milestone",$K203="Deadline"),$I203&gt;=BA$4,$I203&lt;BA$4+7),IF($K203="Deadline","◇","◆"),"")</f>
        <v/>
      </c>
      <c r="BB203" s="14" t="str">
        <f>IF(AND(ISNUMBER($I203),OR($K203="Milestone",$K203="Deadline"),$I203&gt;=BB$4,$I203&lt;BB$4+7),IF($K203="Deadline","◇","◆"),"")</f>
        <v/>
      </c>
      <c r="BC203" s="14" t="str">
        <f>IF(AND(ISNUMBER($I203),OR($K203="Milestone",$K203="Deadline"),$I203&gt;=BC$4,$I203&lt;BC$4+7),IF($K203="Deadline","◇","◆"),"")</f>
        <v/>
      </c>
      <c r="BD203" s="14" t="str">
        <f>IF(AND(ISNUMBER($I203),OR($K203="Milestone",$K203="Deadline"),$I203&gt;=BD$4,$I203&lt;BD$4+7),IF($K203="Deadline","◇","◆"),"")</f>
        <v/>
      </c>
      <c r="BE203" s="14" t="str">
        <f>IF(AND(ISNUMBER($I203),OR($K203="Milestone",$K203="Deadline"),$I203&gt;=BE$4,$I203&lt;BE$4+7),IF($K203="Deadline","◇","◆"),"")</f>
        <v/>
      </c>
      <c r="BF203" s="14" t="str">
        <f>IF(AND(ISNUMBER($I203),OR($K203="Milestone",$K203="Deadline"),$I203&gt;=BF$4,$I203&lt;BF$4+7),IF($K203="Deadline","◇","◆"),"")</f>
        <v/>
      </c>
      <c r="BG203" s="14" t="str">
        <f>IF(AND(ISNUMBER($I203),OR($K203="Milestone",$K203="Deadline"),$I203&gt;=BG$4,$I203&lt;BG$4+7),IF($K203="Deadline","◇","◆"),"")</f>
        <v/>
      </c>
      <c r="BH203" s="14" t="str">
        <f>IF(AND(ISNUMBER($I203),OR($K203="Milestone",$K203="Deadline"),$I203&gt;=BH$4,$I203&lt;BH$4+7),IF($K203="Deadline","◇","◆"),"")</f>
        <v/>
      </c>
      <c r="BI203" s="14" t="str">
        <f>IF(AND(ISNUMBER($I203),OR($K203="Milestone",$K203="Deadline"),$I203&gt;=BI$4,$I203&lt;BI$4+7),IF($K203="Deadline","◇","◆"),"")</f>
        <v/>
      </c>
      <c r="BJ203" s="14" t="str">
        <f>IF(AND(ISNUMBER($I203),OR($K203="Milestone",$K203="Deadline"),$I203&gt;=BJ$4,$I203&lt;BJ$4+7),IF($K203="Deadline","◇","◆"),"")</f>
        <v/>
      </c>
      <c r="BK203" s="14" t="str">
        <f>IF(AND(ISNUMBER($I203),OR($K203="Milestone",$K203="Deadline"),$I203&gt;=BK$4,$I203&lt;BK$4+7),IF($K203="Deadline","◇","◆"),"")</f>
        <v/>
      </c>
      <c r="BL203" s="14" t="str">
        <f>IF(AND(ISNUMBER($I203),OR($K203="Milestone",$K203="Deadline"),$I203&gt;=BL$4,$I203&lt;BL$4+7),IF($K203="Deadline","◇","◆"),"")</f>
        <v/>
      </c>
      <c r="BM203" s="14" t="str">
        <f>IF(AND(ISNUMBER($I203),OR($K203="Milestone",$K203="Deadline"),$I203&gt;=BM$4,$I203&lt;BM$4+7),IF($K203="Deadline","◇","◆"),"")</f>
        <v/>
      </c>
      <c r="BN203" s="14" t="str">
        <f>IF(AND(ISNUMBER($I203),OR($K203="Milestone",$K203="Deadline"),$I203&gt;=BN$4,$I203&lt;BN$4+7),IF($K203="Deadline","◇","◆"),"")</f>
        <v/>
      </c>
      <c r="BO203" s="14" t="str">
        <f>IF(AND(ISNUMBER($I203),OR($K203="Milestone",$K203="Deadline"),$I203&gt;=BO$4,$I203&lt;BO$4+7),IF($K203="Deadline","◇","◆"),"")</f>
        <v/>
      </c>
      <c r="BP203" s="14" t="str">
        <f>IF(AND(ISNUMBER($I203),OR($K203="Milestone",$K203="Deadline"),$I203&gt;=BP$4,$I203&lt;BP$4+7),IF($K203="Deadline","◇","◆"),"")</f>
        <v/>
      </c>
      <c r="BQ203" s="14" t="str">
        <f>IF(AND(ISNUMBER($I203),OR($K203="Milestone",$K203="Deadline"),$I203&gt;=BQ$4,$I203&lt;BQ$4+7),IF($K203="Deadline","◇","◆"),"")</f>
        <v/>
      </c>
      <c r="BR203" s="14" t="str">
        <f>IF(AND(ISNUMBER($I203),OR($K203="Milestone",$K203="Deadline"),$I203&gt;=BR$4,$I203&lt;BR$4+7),IF($K203="Deadline","◇","◆"),"")</f>
        <v/>
      </c>
      <c r="BS203" s="14" t="str">
        <f>IF(AND(ISNUMBER($I203),OR($K203="Milestone",$K203="Deadline"),$I203&gt;=BS$4,$I203&lt;BS$4+7),IF($K203="Deadline","◇","◆"),"")</f>
        <v/>
      </c>
      <c r="BT203" s="14" t="str">
        <f>IF(AND(ISNUMBER($I203),OR($K203="Milestone",$K203="Deadline"),$I203&gt;=BT$4,$I203&lt;BT$4+7),IF($K203="Deadline","◇","◆"),"")</f>
        <v/>
      </c>
      <c r="BU203" s="14" t="str">
        <f>IF(AND(ISNUMBER($I203),OR($K203="Milestone",$K203="Deadline"),$I203&gt;=BU$4,$I203&lt;BU$4+7),IF($K203="Deadline","◇","◆"),"")</f>
        <v/>
      </c>
      <c r="BV203" s="14" t="str">
        <f>IF(AND(ISNUMBER($I203),OR($K203="Milestone",$K203="Deadline"),$I203&gt;=BV$4,$I203&lt;BV$4+7),IF($K203="Deadline","◇","◆"),"")</f>
        <v/>
      </c>
      <c r="BW203" s="14" t="str">
        <f>IF(AND(ISNUMBER($I203),OR($K203="Milestone",$K203="Deadline"),$I203&gt;=BW$4,$I203&lt;BW$4+7),IF($K203="Deadline","◇","◆"),"")</f>
        <v/>
      </c>
      <c r="BX203" s="14" t="str">
        <f>IF(AND(ISNUMBER($I203),OR($K203="Milestone",$K203="Deadline"),$I203&gt;=BX$4,$I203&lt;BX$4+7),IF($K203="Deadline","◇","◆"),"")</f>
        <v/>
      </c>
      <c r="BY203" s="14" t="str">
        <f>IF(AND(ISNUMBER($I203),OR($K203="Milestone",$K203="Deadline"),$I203&gt;=BY$4,$I203&lt;BY$4+7),IF($K203="Deadline","◇","◆"),"")</f>
        <v/>
      </c>
      <c r="BZ203" s="14" t="str">
        <f>IF(AND(ISNUMBER($I203),OR($K203="Milestone",$K203="Deadline"),$I203&gt;=BZ$4,$I203&lt;BZ$4+7),IF($K203="Deadline","◇","◆"),"")</f>
        <v/>
      </c>
      <c r="CA203" s="14" t="str">
        <f>IF(AND(ISNUMBER($I203),OR($K203="Milestone",$K203="Deadline"),$I203&gt;=CA$4,$I203&lt;CA$4+7),IF($K203="Deadline","◇","◆"),"")</f>
        <v/>
      </c>
      <c r="CB203" s="14" t="str">
        <f>IF(AND(ISNUMBER($I203),OR($K203="Milestone",$K203="Deadline"),$I203&gt;=CB$4,$I203&lt;CB$4+7),IF($K203="Deadline","◇","◆"),"")</f>
        <v/>
      </c>
      <c r="CC203" s="14" t="str">
        <f>IF(AND(ISNUMBER($I203),OR($K203="Milestone",$K203="Deadline"),$I203&gt;=CC$4,$I203&lt;CC$4+7),IF($K203="Deadline","◇","◆"),"")</f>
        <v/>
      </c>
      <c r="CD203" s="14" t="str">
        <f>IF(AND(ISNUMBER($I203),OR($K203="Milestone",$K203="Deadline"),$I203&gt;=CD$4,$I203&lt;CD$4+7),IF($K203="Deadline","◇","◆"),"")</f>
        <v/>
      </c>
      <c r="CE203" s="14" t="str">
        <f>IF(AND(ISNUMBER($I203),OR($K203="Milestone",$K203="Deadline"),$I203&gt;=CE$4,$I203&lt;CE$4+7),IF($K203="Deadline","◇","◆"),"")</f>
        <v/>
      </c>
      <c r="CF203" s="14" t="str">
        <f>IF(AND(ISNUMBER($I203),OR($K203="Milestone",$K203="Deadline"),$I203&gt;=CF$4,$I203&lt;CF$4+7),IF($K203="Deadline","◇","◆"),"")</f>
        <v/>
      </c>
      <c r="CG203" s="14" t="str">
        <f>IF(AND(ISNUMBER($I203),OR($K203="Milestone",$K203="Deadline"),$I203&gt;=CG$4,$I203&lt;CG$4+7),IF($K203="Deadline","◇","◆"),"")</f>
        <v/>
      </c>
      <c r="CH203" s="14" t="str">
        <f>IF(AND(ISNUMBER($I203),OR($K203="Milestone",$K203="Deadline"),$I203&gt;=CH$4,$I203&lt;CH$4+7),IF($K203="Deadline","◇","◆"),"")</f>
        <v/>
      </c>
      <c r="CI203" s="14" t="str">
        <f>IF(AND(ISNUMBER($I203),OR($K203="Milestone",$K203="Deadline"),$I203&gt;=CI$4,$I203&lt;CI$4+7),IF($K203="Deadline","◇","◆"),"")</f>
        <v/>
      </c>
      <c r="CJ203" s="14" t="str">
        <f>IF(AND(ISNUMBER($I203),OR($K203="Milestone",$K203="Deadline"),$I203&gt;=CJ$4,$I203&lt;CJ$4+7),IF($K203="Deadline","◇","◆"),"")</f>
        <v/>
      </c>
      <c r="CK203" s="14" t="str">
        <f>IF(AND(ISNUMBER($I203),OR($K203="Milestone",$K203="Deadline"),$I203&gt;=CK$4,$I203&lt;CK$4+7),IF($K203="Deadline","◇","◆"),"")</f>
        <v/>
      </c>
      <c r="CL203" s="14" t="str">
        <f>IF(AND(ISNUMBER($I203),OR($K203="Milestone",$K203="Deadline"),$I203&gt;=CL$4,$I203&lt;CL$4+7),IF($K203="Deadline","◇","◆"),"")</f>
        <v/>
      </c>
      <c r="CM203" s="14" t="str">
        <f>IF(AND(ISNUMBER($I203),OR($K203="Milestone",$K203="Deadline"),$I203&gt;=CM$4,$I203&lt;CM$4+7),IF($K203="Deadline","◇","◆"),"")</f>
        <v/>
      </c>
    </row>
    <row r="204" spans="1:91" ht="15" hidden="1" customHeight="1">
      <c r="A204" s="43" t="s">
        <v>451</v>
      </c>
      <c r="B204" s="43" t="s">
        <v>418</v>
      </c>
      <c r="C204" s="43" t="s">
        <v>191</v>
      </c>
      <c r="D204" s="43" t="s">
        <v>419</v>
      </c>
      <c r="E204" s="43"/>
      <c r="F204" s="43" t="s">
        <v>216</v>
      </c>
      <c r="G204" s="43" t="s">
        <v>217</v>
      </c>
      <c r="H204" s="43">
        <v>14</v>
      </c>
      <c r="I204" s="44">
        <f>MAX($C$2,J180+1,J213+1)</f>
        <v>46363</v>
      </c>
      <c r="J204" s="45">
        <f>IF(AND(ISNUMBER(I204),ISNUMBER(H204)),I204+H204-1,"")</f>
        <v>46376</v>
      </c>
      <c r="K204" s="43" t="s">
        <v>27</v>
      </c>
      <c r="L204" s="43" t="s">
        <v>417</v>
      </c>
      <c r="M204" s="46" t="s">
        <v>452</v>
      </c>
      <c r="N204" s="43"/>
      <c r="O204" s="46">
        <f>IF(AND(ISNUMBER(I204),ISNUMBER(J204)),J204-I204+1,"")</f>
        <v>14</v>
      </c>
      <c r="P204" s="13"/>
      <c r="Q204" s="13"/>
      <c r="R204" s="13" t="s">
        <v>140</v>
      </c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4" t="str">
        <f>IF(AND(ISNUMBER($I204),OR($K204="Milestone",$K204="Deadline"),$I204&gt;=AO$4,$I204&lt;AO$4+7),IF($K204="Deadline","◇","◆"),"")</f>
        <v/>
      </c>
      <c r="AP204" s="14" t="str">
        <f>IF(AND(ISNUMBER($I204),OR($K204="Milestone",$K204="Deadline"),$I204&gt;=AP$4,$I204&lt;AP$4+7),IF($K204="Deadline","◇","◆"),"")</f>
        <v/>
      </c>
      <c r="AQ204" s="14" t="str">
        <f>IF(AND(ISNUMBER($I204),OR($K204="Milestone",$K204="Deadline"),$I204&gt;=AQ$4,$I204&lt;AQ$4+7),IF($K204="Deadline","◇","◆"),"")</f>
        <v/>
      </c>
      <c r="AR204" s="14" t="str">
        <f>IF(AND(ISNUMBER($I204),OR($K204="Milestone",$K204="Deadline"),$I204&gt;=AR$4,$I204&lt;AR$4+7),IF($K204="Deadline","◇","◆"),"")</f>
        <v/>
      </c>
      <c r="AS204" s="14" t="str">
        <f>IF(AND(ISNUMBER($I204),OR($K204="Milestone",$K204="Deadline"),$I204&gt;=AS$4,$I204&lt;AS$4+7),IF($K204="Deadline","◇","◆"),"")</f>
        <v/>
      </c>
      <c r="AT204" s="14" t="str">
        <f>IF(AND(ISNUMBER($I204),OR($K204="Milestone",$K204="Deadline"),$I204&gt;=AT$4,$I204&lt;AT$4+7),IF($K204="Deadline","◇","◆"),"")</f>
        <v/>
      </c>
      <c r="AU204" s="14" t="str">
        <f>IF(AND(ISNUMBER($I204),OR($K204="Milestone",$K204="Deadline"),$I204&gt;=AU$4,$I204&lt;AU$4+7),IF($K204="Deadline","◇","◆"),"")</f>
        <v/>
      </c>
      <c r="AV204" s="14" t="str">
        <f>IF(AND(ISNUMBER($I204),OR($K204="Milestone",$K204="Deadline"),$I204&gt;=AV$4,$I204&lt;AV$4+7),IF($K204="Deadline","◇","◆"),"")</f>
        <v/>
      </c>
      <c r="AW204" s="14" t="str">
        <f>IF(AND(ISNUMBER($I204),OR($K204="Milestone",$K204="Deadline"),$I204&gt;=AW$4,$I204&lt;AW$4+7),IF($K204="Deadline","◇","◆"),"")</f>
        <v/>
      </c>
      <c r="AX204" s="14" t="str">
        <f>IF(AND(ISNUMBER($I204),OR($K204="Milestone",$K204="Deadline"),$I204&gt;=AX$4,$I204&lt;AX$4+7),IF($K204="Deadline","◇","◆"),"")</f>
        <v/>
      </c>
      <c r="AY204" s="14" t="str">
        <f>IF(AND(ISNUMBER($I204),OR($K204="Milestone",$K204="Deadline"),$I204&gt;=AY$4,$I204&lt;AY$4+7),IF($K204="Deadline","◇","◆"),"")</f>
        <v/>
      </c>
      <c r="AZ204" s="14" t="str">
        <f>IF(AND(ISNUMBER($I204),OR($K204="Milestone",$K204="Deadline"),$I204&gt;=AZ$4,$I204&lt;AZ$4+7),IF($K204="Deadline","◇","◆"),"")</f>
        <v/>
      </c>
      <c r="BA204" s="14" t="str">
        <f>IF(AND(ISNUMBER($I204),OR($K204="Milestone",$K204="Deadline"),$I204&gt;=BA$4,$I204&lt;BA$4+7),IF($K204="Deadline","◇","◆"),"")</f>
        <v/>
      </c>
      <c r="BB204" s="14" t="str">
        <f>IF(AND(ISNUMBER($I204),OR($K204="Milestone",$K204="Deadline"),$I204&gt;=BB$4,$I204&lt;BB$4+7),IF($K204="Deadline","◇","◆"),"")</f>
        <v/>
      </c>
      <c r="BC204" s="14" t="str">
        <f>IF(AND(ISNUMBER($I204),OR($K204="Milestone",$K204="Deadline"),$I204&gt;=BC$4,$I204&lt;BC$4+7),IF($K204="Deadline","◇","◆"),"")</f>
        <v/>
      </c>
      <c r="BD204" s="14" t="str">
        <f>IF(AND(ISNUMBER($I204),OR($K204="Milestone",$K204="Deadline"),$I204&gt;=BD$4,$I204&lt;BD$4+7),IF($K204="Deadline","◇","◆"),"")</f>
        <v/>
      </c>
      <c r="BE204" s="14" t="str">
        <f>IF(AND(ISNUMBER($I204),OR($K204="Milestone",$K204="Deadline"),$I204&gt;=BE$4,$I204&lt;BE$4+7),IF($K204="Deadline","◇","◆"),"")</f>
        <v/>
      </c>
      <c r="BF204" s="14" t="str">
        <f>IF(AND(ISNUMBER($I204),OR($K204="Milestone",$K204="Deadline"),$I204&gt;=BF$4,$I204&lt;BF$4+7),IF($K204="Deadline","◇","◆"),"")</f>
        <v/>
      </c>
      <c r="BG204" s="14" t="str">
        <f>IF(AND(ISNUMBER($I204),OR($K204="Milestone",$K204="Deadline"),$I204&gt;=BG$4,$I204&lt;BG$4+7),IF($K204="Deadline","◇","◆"),"")</f>
        <v/>
      </c>
      <c r="BH204" s="14" t="str">
        <f>IF(AND(ISNUMBER($I204),OR($K204="Milestone",$K204="Deadline"),$I204&gt;=BH$4,$I204&lt;BH$4+7),IF($K204="Deadline","◇","◆"),"")</f>
        <v/>
      </c>
      <c r="BI204" s="14" t="str">
        <f>IF(AND(ISNUMBER($I204),OR($K204="Milestone",$K204="Deadline"),$I204&gt;=BI$4,$I204&lt;BI$4+7),IF($K204="Deadline","◇","◆"),"")</f>
        <v/>
      </c>
      <c r="BJ204" s="14" t="str">
        <f>IF(AND(ISNUMBER($I204),OR($K204="Milestone",$K204="Deadline"),$I204&gt;=BJ$4,$I204&lt;BJ$4+7),IF($K204="Deadline","◇","◆"),"")</f>
        <v/>
      </c>
      <c r="BK204" s="14" t="str">
        <f>IF(AND(ISNUMBER($I204),OR($K204="Milestone",$K204="Deadline"),$I204&gt;=BK$4,$I204&lt;BK$4+7),IF($K204="Deadline","◇","◆"),"")</f>
        <v/>
      </c>
      <c r="BL204" s="14" t="str">
        <f>IF(AND(ISNUMBER($I204),OR($K204="Milestone",$K204="Deadline"),$I204&gt;=BL$4,$I204&lt;BL$4+7),IF($K204="Deadline","◇","◆"),"")</f>
        <v/>
      </c>
      <c r="BM204" s="14" t="str">
        <f>IF(AND(ISNUMBER($I204),OR($K204="Milestone",$K204="Deadline"),$I204&gt;=BM$4,$I204&lt;BM$4+7),IF($K204="Deadline","◇","◆"),"")</f>
        <v/>
      </c>
      <c r="BN204" s="14" t="str">
        <f>IF(AND(ISNUMBER($I204),OR($K204="Milestone",$K204="Deadline"),$I204&gt;=BN$4,$I204&lt;BN$4+7),IF($K204="Deadline","◇","◆"),"")</f>
        <v/>
      </c>
      <c r="BO204" s="14" t="str">
        <f>IF(AND(ISNUMBER($I204),OR($K204="Milestone",$K204="Deadline"),$I204&gt;=BO$4,$I204&lt;BO$4+7),IF($K204="Deadline","◇","◆"),"")</f>
        <v/>
      </c>
      <c r="BP204" s="14" t="str">
        <f>IF(AND(ISNUMBER($I204),OR($K204="Milestone",$K204="Deadline"),$I204&gt;=BP$4,$I204&lt;BP$4+7),IF($K204="Deadline","◇","◆"),"")</f>
        <v/>
      </c>
      <c r="BQ204" s="14" t="str">
        <f>IF(AND(ISNUMBER($I204),OR($K204="Milestone",$K204="Deadline"),$I204&gt;=BQ$4,$I204&lt;BQ$4+7),IF($K204="Deadline","◇","◆"),"")</f>
        <v/>
      </c>
      <c r="BR204" s="14" t="str">
        <f>IF(AND(ISNUMBER($I204),OR($K204="Milestone",$K204="Deadline"),$I204&gt;=BR$4,$I204&lt;BR$4+7),IF($K204="Deadline","◇","◆"),"")</f>
        <v/>
      </c>
      <c r="BS204" s="14" t="str">
        <f>IF(AND(ISNUMBER($I204),OR($K204="Milestone",$K204="Deadline"),$I204&gt;=BS$4,$I204&lt;BS$4+7),IF($K204="Deadline","◇","◆"),"")</f>
        <v/>
      </c>
      <c r="BT204" s="14" t="str">
        <f>IF(AND(ISNUMBER($I204),OR($K204="Milestone",$K204="Deadline"),$I204&gt;=BT$4,$I204&lt;BT$4+7),IF($K204="Deadline","◇","◆"),"")</f>
        <v/>
      </c>
      <c r="BU204" s="14" t="str">
        <f>IF(AND(ISNUMBER($I204),OR($K204="Milestone",$K204="Deadline"),$I204&gt;=BU$4,$I204&lt;BU$4+7),IF($K204="Deadline","◇","◆"),"")</f>
        <v/>
      </c>
      <c r="BV204" s="14" t="str">
        <f>IF(AND(ISNUMBER($I204),OR($K204="Milestone",$K204="Deadline"),$I204&gt;=BV$4,$I204&lt;BV$4+7),IF($K204="Deadline","◇","◆"),"")</f>
        <v/>
      </c>
      <c r="BW204" s="14" t="str">
        <f>IF(AND(ISNUMBER($I204),OR($K204="Milestone",$K204="Deadline"),$I204&gt;=BW$4,$I204&lt;BW$4+7),IF($K204="Deadline","◇","◆"),"")</f>
        <v/>
      </c>
      <c r="BX204" s="14" t="str">
        <f>IF(AND(ISNUMBER($I204),OR($K204="Milestone",$K204="Deadline"),$I204&gt;=BX$4,$I204&lt;BX$4+7),IF($K204="Deadline","◇","◆"),"")</f>
        <v/>
      </c>
      <c r="BY204" s="14" t="str">
        <f>IF(AND(ISNUMBER($I204),OR($K204="Milestone",$K204="Deadline"),$I204&gt;=BY$4,$I204&lt;BY$4+7),IF($K204="Deadline","◇","◆"),"")</f>
        <v/>
      </c>
      <c r="BZ204" s="14" t="str">
        <f>IF(AND(ISNUMBER($I204),OR($K204="Milestone",$K204="Deadline"),$I204&gt;=BZ$4,$I204&lt;BZ$4+7),IF($K204="Deadline","◇","◆"),"")</f>
        <v/>
      </c>
      <c r="CA204" s="14" t="str">
        <f>IF(AND(ISNUMBER($I204),OR($K204="Milestone",$K204="Deadline"),$I204&gt;=CA$4,$I204&lt;CA$4+7),IF($K204="Deadline","◇","◆"),"")</f>
        <v/>
      </c>
      <c r="CB204" s="14" t="str">
        <f>IF(AND(ISNUMBER($I204),OR($K204="Milestone",$K204="Deadline"),$I204&gt;=CB$4,$I204&lt;CB$4+7),IF($K204="Deadline","◇","◆"),"")</f>
        <v/>
      </c>
      <c r="CC204" s="14" t="str">
        <f>IF(AND(ISNUMBER($I204),OR($K204="Milestone",$K204="Deadline"),$I204&gt;=CC$4,$I204&lt;CC$4+7),IF($K204="Deadline","◇","◆"),"")</f>
        <v/>
      </c>
      <c r="CD204" s="14" t="str">
        <f>IF(AND(ISNUMBER($I204),OR($K204="Milestone",$K204="Deadline"),$I204&gt;=CD$4,$I204&lt;CD$4+7),IF($K204="Deadline","◇","◆"),"")</f>
        <v/>
      </c>
      <c r="CE204" s="14" t="str">
        <f>IF(AND(ISNUMBER($I204),OR($K204="Milestone",$K204="Deadline"),$I204&gt;=CE$4,$I204&lt;CE$4+7),IF($K204="Deadline","◇","◆"),"")</f>
        <v/>
      </c>
      <c r="CF204" s="14" t="str">
        <f>IF(AND(ISNUMBER($I204),OR($K204="Milestone",$K204="Deadline"),$I204&gt;=CF$4,$I204&lt;CF$4+7),IF($K204="Deadline","◇","◆"),"")</f>
        <v/>
      </c>
      <c r="CG204" s="14" t="str">
        <f>IF(AND(ISNUMBER($I204),OR($K204="Milestone",$K204="Deadline"),$I204&gt;=CG$4,$I204&lt;CG$4+7),IF($K204="Deadline","◇","◆"),"")</f>
        <v/>
      </c>
      <c r="CH204" s="14" t="str">
        <f>IF(AND(ISNUMBER($I204),OR($K204="Milestone",$K204="Deadline"),$I204&gt;=CH$4,$I204&lt;CH$4+7),IF($K204="Deadline","◇","◆"),"")</f>
        <v/>
      </c>
      <c r="CI204" s="14" t="str">
        <f>IF(AND(ISNUMBER($I204),OR($K204="Milestone",$K204="Deadline"),$I204&gt;=CI$4,$I204&lt;CI$4+7),IF($K204="Deadline","◇","◆"),"")</f>
        <v/>
      </c>
      <c r="CJ204" s="14" t="str">
        <f>IF(AND(ISNUMBER($I204),OR($K204="Milestone",$K204="Deadline"),$I204&gt;=CJ$4,$I204&lt;CJ$4+7),IF($K204="Deadline","◇","◆"),"")</f>
        <v/>
      </c>
      <c r="CK204" s="14" t="str">
        <f>IF(AND(ISNUMBER($I204),OR($K204="Milestone",$K204="Deadline"),$I204&gt;=CK$4,$I204&lt;CK$4+7),IF($K204="Deadline","◇","◆"),"")</f>
        <v/>
      </c>
      <c r="CL204" s="14" t="str">
        <f>IF(AND(ISNUMBER($I204),OR($K204="Milestone",$K204="Deadline"),$I204&gt;=CL$4,$I204&lt;CL$4+7),IF($K204="Deadline","◇","◆"),"")</f>
        <v/>
      </c>
      <c r="CM204" s="14" t="str">
        <f>IF(AND(ISNUMBER($I204),OR($K204="Milestone",$K204="Deadline"),$I204&gt;=CM$4,$I204&lt;CM$4+7),IF($K204="Deadline","◇","◆"),"")</f>
        <v/>
      </c>
    </row>
    <row r="205" spans="1:91" hidden="1">
      <c r="A205" s="43" t="s">
        <v>453</v>
      </c>
      <c r="B205" s="43" t="s">
        <v>418</v>
      </c>
      <c r="C205" s="43" t="s">
        <v>221</v>
      </c>
      <c r="D205" s="43" t="s">
        <v>419</v>
      </c>
      <c r="E205" s="43"/>
      <c r="F205" s="43" t="s">
        <v>216</v>
      </c>
      <c r="G205" s="43" t="s">
        <v>222</v>
      </c>
      <c r="H205" s="43">
        <v>7</v>
      </c>
      <c r="I205" s="44">
        <f>MAX($C$2,J184+1,J190+1,J196+1,J202+1,J179+1)</f>
        <v>46489</v>
      </c>
      <c r="J205" s="45">
        <f>IF(AND(ISNUMBER(I205),ISNUMBER(H205)),I205+H205-1,"")</f>
        <v>46495</v>
      </c>
      <c r="K205" s="43" t="s">
        <v>27</v>
      </c>
      <c r="L205" s="43" t="s">
        <v>454</v>
      </c>
      <c r="M205" s="46" t="s">
        <v>414</v>
      </c>
      <c r="N205" s="43"/>
      <c r="O205" s="46">
        <f>IF(AND(ISNUMBER(I205),ISNUMBER(J205)),J205-I205+1,"")</f>
        <v>7</v>
      </c>
      <c r="P205" s="13"/>
      <c r="Q205" s="13"/>
      <c r="R205" s="13" t="s">
        <v>140</v>
      </c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 t="s">
        <v>140</v>
      </c>
      <c r="AJ205" s="13"/>
      <c r="AK205" s="13"/>
      <c r="AL205" s="13"/>
      <c r="AM205" s="13"/>
      <c r="AN205" s="13"/>
      <c r="AO205" s="14" t="str">
        <f>IF(AND(ISNUMBER($I205),OR($K205="Milestone",$K205="Deadline"),$I205&gt;=AO$4,$I205&lt;AO$4+7),IF($K205="Deadline","◇","◆"),"")</f>
        <v/>
      </c>
      <c r="AP205" s="14" t="str">
        <f>IF(AND(ISNUMBER($I205),OR($K205="Milestone",$K205="Deadline"),$I205&gt;=AP$4,$I205&lt;AP$4+7),IF($K205="Deadline","◇","◆"),"")</f>
        <v/>
      </c>
      <c r="AQ205" s="14" t="str">
        <f>IF(AND(ISNUMBER($I205),OR($K205="Milestone",$K205="Deadline"),$I205&gt;=AQ$4,$I205&lt;AQ$4+7),IF($K205="Deadline","◇","◆"),"")</f>
        <v/>
      </c>
      <c r="AR205" s="14" t="str">
        <f>IF(AND(ISNUMBER($I205),OR($K205="Milestone",$K205="Deadline"),$I205&gt;=AR$4,$I205&lt;AR$4+7),IF($K205="Deadline","◇","◆"),"")</f>
        <v/>
      </c>
      <c r="AS205" s="14" t="str">
        <f>IF(AND(ISNUMBER($I205),OR($K205="Milestone",$K205="Deadline"),$I205&gt;=AS$4,$I205&lt;AS$4+7),IF($K205="Deadline","◇","◆"),"")</f>
        <v/>
      </c>
      <c r="AT205" s="14" t="str">
        <f>IF(AND(ISNUMBER($I205),OR($K205="Milestone",$K205="Deadline"),$I205&gt;=AT$4,$I205&lt;AT$4+7),IF($K205="Deadline","◇","◆"),"")</f>
        <v/>
      </c>
      <c r="AU205" s="14" t="str">
        <f>IF(AND(ISNUMBER($I205),OR($K205="Milestone",$K205="Deadline"),$I205&gt;=AU$4,$I205&lt;AU$4+7),IF($K205="Deadline","◇","◆"),"")</f>
        <v/>
      </c>
      <c r="AV205" s="14" t="str">
        <f>IF(AND(ISNUMBER($I205),OR($K205="Milestone",$K205="Deadline"),$I205&gt;=AV$4,$I205&lt;AV$4+7),IF($K205="Deadline","◇","◆"),"")</f>
        <v/>
      </c>
      <c r="AW205" s="14" t="str">
        <f>IF(AND(ISNUMBER($I205),OR($K205="Milestone",$K205="Deadline"),$I205&gt;=AW$4,$I205&lt;AW$4+7),IF($K205="Deadline","◇","◆"),"")</f>
        <v/>
      </c>
      <c r="AX205" s="14" t="str">
        <f>IF(AND(ISNUMBER($I205),OR($K205="Milestone",$K205="Deadline"),$I205&gt;=AX$4,$I205&lt;AX$4+7),IF($K205="Deadline","◇","◆"),"")</f>
        <v/>
      </c>
      <c r="AY205" s="14" t="str">
        <f>IF(AND(ISNUMBER($I205),OR($K205="Milestone",$K205="Deadline"),$I205&gt;=AY$4,$I205&lt;AY$4+7),IF($K205="Deadline","◇","◆"),"")</f>
        <v/>
      </c>
      <c r="AZ205" s="14" t="str">
        <f>IF(AND(ISNUMBER($I205),OR($K205="Milestone",$K205="Deadline"),$I205&gt;=AZ$4,$I205&lt;AZ$4+7),IF($K205="Deadline","◇","◆"),"")</f>
        <v/>
      </c>
      <c r="BA205" s="14" t="str">
        <f>IF(AND(ISNUMBER($I205),OR($K205="Milestone",$K205="Deadline"),$I205&gt;=BA$4,$I205&lt;BA$4+7),IF($K205="Deadline","◇","◆"),"")</f>
        <v/>
      </c>
      <c r="BB205" s="14" t="str">
        <f>IF(AND(ISNUMBER($I205),OR($K205="Milestone",$K205="Deadline"),$I205&gt;=BB$4,$I205&lt;BB$4+7),IF($K205="Deadline","◇","◆"),"")</f>
        <v/>
      </c>
      <c r="BC205" s="14" t="str">
        <f>IF(AND(ISNUMBER($I205),OR($K205="Milestone",$K205="Deadline"),$I205&gt;=BC$4,$I205&lt;BC$4+7),IF($K205="Deadline","◇","◆"),"")</f>
        <v/>
      </c>
      <c r="BD205" s="14" t="str">
        <f>IF(AND(ISNUMBER($I205),OR($K205="Milestone",$K205="Deadline"),$I205&gt;=BD$4,$I205&lt;BD$4+7),IF($K205="Deadline","◇","◆"),"")</f>
        <v/>
      </c>
      <c r="BE205" s="14" t="str">
        <f>IF(AND(ISNUMBER($I205),OR($K205="Milestone",$K205="Deadline"),$I205&gt;=BE$4,$I205&lt;BE$4+7),IF($K205="Deadline","◇","◆"),"")</f>
        <v/>
      </c>
      <c r="BF205" s="14" t="str">
        <f>IF(AND(ISNUMBER($I205),OR($K205="Milestone",$K205="Deadline"),$I205&gt;=BF$4,$I205&lt;BF$4+7),IF($K205="Deadline","◇","◆"),"")</f>
        <v/>
      </c>
      <c r="BG205" s="14" t="str">
        <f>IF(AND(ISNUMBER($I205),OR($K205="Milestone",$K205="Deadline"),$I205&gt;=BG$4,$I205&lt;BG$4+7),IF($K205="Deadline","◇","◆"),"")</f>
        <v/>
      </c>
      <c r="BH205" s="14" t="str">
        <f>IF(AND(ISNUMBER($I205),OR($K205="Milestone",$K205="Deadline"),$I205&gt;=BH$4,$I205&lt;BH$4+7),IF($K205="Deadline","◇","◆"),"")</f>
        <v/>
      </c>
      <c r="BI205" s="14" t="str">
        <f>IF(AND(ISNUMBER($I205),OR($K205="Milestone",$K205="Deadline"),$I205&gt;=BI$4,$I205&lt;BI$4+7),IF($K205="Deadline","◇","◆"),"")</f>
        <v/>
      </c>
      <c r="BJ205" s="14" t="str">
        <f>IF(AND(ISNUMBER($I205),OR($K205="Milestone",$K205="Deadline"),$I205&gt;=BJ$4,$I205&lt;BJ$4+7),IF($K205="Deadline","◇","◆"),"")</f>
        <v/>
      </c>
      <c r="BK205" s="14" t="str">
        <f>IF(AND(ISNUMBER($I205),OR($K205="Milestone",$K205="Deadline"),$I205&gt;=BK$4,$I205&lt;BK$4+7),IF($K205="Deadline","◇","◆"),"")</f>
        <v/>
      </c>
      <c r="BL205" s="14" t="str">
        <f>IF(AND(ISNUMBER($I205),OR($K205="Milestone",$K205="Deadline"),$I205&gt;=BL$4,$I205&lt;BL$4+7),IF($K205="Deadline","◇","◆"),"")</f>
        <v/>
      </c>
      <c r="BM205" s="14" t="str">
        <f>IF(AND(ISNUMBER($I205),OR($K205="Milestone",$K205="Deadline"),$I205&gt;=BM$4,$I205&lt;BM$4+7),IF($K205="Deadline","◇","◆"),"")</f>
        <v/>
      </c>
      <c r="BN205" s="14" t="str">
        <f>IF(AND(ISNUMBER($I205),OR($K205="Milestone",$K205="Deadline"),$I205&gt;=BN$4,$I205&lt;BN$4+7),IF($K205="Deadline","◇","◆"),"")</f>
        <v/>
      </c>
      <c r="BO205" s="14" t="str">
        <f>IF(AND(ISNUMBER($I205),OR($K205="Milestone",$K205="Deadline"),$I205&gt;=BO$4,$I205&lt;BO$4+7),IF($K205="Deadline","◇","◆"),"")</f>
        <v/>
      </c>
      <c r="BP205" s="14" t="str">
        <f>IF(AND(ISNUMBER($I205),OR($K205="Milestone",$K205="Deadline"),$I205&gt;=BP$4,$I205&lt;BP$4+7),IF($K205="Deadline","◇","◆"),"")</f>
        <v/>
      </c>
      <c r="BQ205" s="14" t="str">
        <f>IF(AND(ISNUMBER($I205),OR($K205="Milestone",$K205="Deadline"),$I205&gt;=BQ$4,$I205&lt;BQ$4+7),IF($K205="Deadline","◇","◆"),"")</f>
        <v/>
      </c>
      <c r="BR205" s="14" t="str">
        <f>IF(AND(ISNUMBER($I205),OR($K205="Milestone",$K205="Deadline"),$I205&gt;=BR$4,$I205&lt;BR$4+7),IF($K205="Deadline","◇","◆"),"")</f>
        <v/>
      </c>
      <c r="BS205" s="14" t="str">
        <f>IF(AND(ISNUMBER($I205),OR($K205="Milestone",$K205="Deadline"),$I205&gt;=BS$4,$I205&lt;BS$4+7),IF($K205="Deadline","◇","◆"),"")</f>
        <v/>
      </c>
      <c r="BT205" s="14" t="str">
        <f>IF(AND(ISNUMBER($I205),OR($K205="Milestone",$K205="Deadline"),$I205&gt;=BT$4,$I205&lt;BT$4+7),IF($K205="Deadline","◇","◆"),"")</f>
        <v/>
      </c>
      <c r="BU205" s="14" t="str">
        <f>IF(AND(ISNUMBER($I205),OR($K205="Milestone",$K205="Deadline"),$I205&gt;=BU$4,$I205&lt;BU$4+7),IF($K205="Deadline","◇","◆"),"")</f>
        <v/>
      </c>
      <c r="BV205" s="14" t="str">
        <f>IF(AND(ISNUMBER($I205),OR($K205="Milestone",$K205="Deadline"),$I205&gt;=BV$4,$I205&lt;BV$4+7),IF($K205="Deadline","◇","◆"),"")</f>
        <v/>
      </c>
      <c r="BW205" s="14" t="str">
        <f>IF(AND(ISNUMBER($I205),OR($K205="Milestone",$K205="Deadline"),$I205&gt;=BW$4,$I205&lt;BW$4+7),IF($K205="Deadline","◇","◆"),"")</f>
        <v/>
      </c>
      <c r="BX205" s="14" t="str">
        <f>IF(AND(ISNUMBER($I205),OR($K205="Milestone",$K205="Deadline"),$I205&gt;=BX$4,$I205&lt;BX$4+7),IF($K205="Deadline","◇","◆"),"")</f>
        <v/>
      </c>
      <c r="BY205" s="14" t="str">
        <f>IF(AND(ISNUMBER($I205),OR($K205="Milestone",$K205="Deadline"),$I205&gt;=BY$4,$I205&lt;BY$4+7),IF($K205="Deadline","◇","◆"),"")</f>
        <v/>
      </c>
      <c r="BZ205" s="14" t="str">
        <f>IF(AND(ISNUMBER($I205),OR($K205="Milestone",$K205="Deadline"),$I205&gt;=BZ$4,$I205&lt;BZ$4+7),IF($K205="Deadline","◇","◆"),"")</f>
        <v/>
      </c>
      <c r="CA205" s="14" t="str">
        <f>IF(AND(ISNUMBER($I205),OR($K205="Milestone",$K205="Deadline"),$I205&gt;=CA$4,$I205&lt;CA$4+7),IF($K205="Deadline","◇","◆"),"")</f>
        <v/>
      </c>
      <c r="CB205" s="14" t="str">
        <f>IF(AND(ISNUMBER($I205),OR($K205="Milestone",$K205="Deadline"),$I205&gt;=CB$4,$I205&lt;CB$4+7),IF($K205="Deadline","◇","◆"),"")</f>
        <v/>
      </c>
      <c r="CC205" s="14" t="str">
        <f>IF(AND(ISNUMBER($I205),OR($K205="Milestone",$K205="Deadline"),$I205&gt;=CC$4,$I205&lt;CC$4+7),IF($K205="Deadline","◇","◆"),"")</f>
        <v/>
      </c>
      <c r="CD205" s="14" t="str">
        <f>IF(AND(ISNUMBER($I205),OR($K205="Milestone",$K205="Deadline"),$I205&gt;=CD$4,$I205&lt;CD$4+7),IF($K205="Deadline","◇","◆"),"")</f>
        <v/>
      </c>
      <c r="CE205" s="14" t="str">
        <f>IF(AND(ISNUMBER($I205),OR($K205="Milestone",$K205="Deadline"),$I205&gt;=CE$4,$I205&lt;CE$4+7),IF($K205="Deadline","◇","◆"),"")</f>
        <v/>
      </c>
      <c r="CF205" s="14" t="str">
        <f>IF(AND(ISNUMBER($I205),OR($K205="Milestone",$K205="Deadline"),$I205&gt;=CF$4,$I205&lt;CF$4+7),IF($K205="Deadline","◇","◆"),"")</f>
        <v/>
      </c>
      <c r="CG205" s="14" t="str">
        <f>IF(AND(ISNUMBER($I205),OR($K205="Milestone",$K205="Deadline"),$I205&gt;=CG$4,$I205&lt;CG$4+7),IF($K205="Deadline","◇","◆"),"")</f>
        <v/>
      </c>
      <c r="CH205" s="14" t="str">
        <f>IF(AND(ISNUMBER($I205),OR($K205="Milestone",$K205="Deadline"),$I205&gt;=CH$4,$I205&lt;CH$4+7),IF($K205="Deadline","◇","◆"),"")</f>
        <v/>
      </c>
      <c r="CI205" s="14" t="str">
        <f>IF(AND(ISNUMBER($I205),OR($K205="Milestone",$K205="Deadline"),$I205&gt;=CI$4,$I205&lt;CI$4+7),IF($K205="Deadline","◇","◆"),"")</f>
        <v/>
      </c>
      <c r="CJ205" s="14" t="str">
        <f>IF(AND(ISNUMBER($I205),OR($K205="Milestone",$K205="Deadline"),$I205&gt;=CJ$4,$I205&lt;CJ$4+7),IF($K205="Deadline","◇","◆"),"")</f>
        <v/>
      </c>
      <c r="CK205" s="14" t="str">
        <f>IF(AND(ISNUMBER($I205),OR($K205="Milestone",$K205="Deadline"),$I205&gt;=CK$4,$I205&lt;CK$4+7),IF($K205="Deadline","◇","◆"),"")</f>
        <v/>
      </c>
      <c r="CL205" s="14" t="str">
        <f>IF(AND(ISNUMBER($I205),OR($K205="Milestone",$K205="Deadline"),$I205&gt;=CL$4,$I205&lt;CL$4+7),IF($K205="Deadline","◇","◆"),"")</f>
        <v/>
      </c>
      <c r="CM205" s="14" t="str">
        <f>IF(AND(ISNUMBER($I205),OR($K205="Milestone",$K205="Deadline"),$I205&gt;=CM$4,$I205&lt;CM$4+7),IF($K205="Deadline","◇","◆"),"")</f>
        <v/>
      </c>
    </row>
    <row r="206" spans="1:91" ht="15" hidden="1" customHeight="1">
      <c r="A206" s="43" t="s">
        <v>455</v>
      </c>
      <c r="B206" s="43" t="s">
        <v>418</v>
      </c>
      <c r="C206" s="43" t="s">
        <v>226</v>
      </c>
      <c r="D206" s="43" t="s">
        <v>419</v>
      </c>
      <c r="E206" s="43"/>
      <c r="F206" s="43" t="s">
        <v>216</v>
      </c>
      <c r="G206" s="43" t="s">
        <v>227</v>
      </c>
      <c r="H206" s="43">
        <v>7</v>
      </c>
      <c r="I206" s="44">
        <f>MAX($C$2,J178+1)</f>
        <v>46462</v>
      </c>
      <c r="J206" s="45">
        <f>IF(AND(ISNUMBER(I206),ISNUMBER(H206)),I206+H206-1,"")</f>
        <v>46468</v>
      </c>
      <c r="K206" s="43" t="s">
        <v>27</v>
      </c>
      <c r="L206" s="43"/>
      <c r="M206" s="46" t="s">
        <v>413</v>
      </c>
      <c r="N206" s="43"/>
      <c r="O206" s="46">
        <f>IF(AND(ISNUMBER(I206),ISNUMBER(J206)),J206-I206+1,"")</f>
        <v>7</v>
      </c>
      <c r="P206" s="13" t="s">
        <v>140</v>
      </c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4" t="str">
        <f>IF(AND(ISNUMBER($I206),OR($K206="Milestone",$K206="Deadline"),$I206&gt;=AO$4,$I206&lt;AO$4+7),IF($K206="Deadline","◇","◆"),"")</f>
        <v/>
      </c>
      <c r="AP206" s="14" t="str">
        <f>IF(AND(ISNUMBER($I206),OR($K206="Milestone",$K206="Deadline"),$I206&gt;=AP$4,$I206&lt;AP$4+7),IF($K206="Deadline","◇","◆"),"")</f>
        <v/>
      </c>
      <c r="AQ206" s="14" t="str">
        <f>IF(AND(ISNUMBER($I206),OR($K206="Milestone",$K206="Deadline"),$I206&gt;=AQ$4,$I206&lt;AQ$4+7),IF($K206="Deadline","◇","◆"),"")</f>
        <v/>
      </c>
      <c r="AR206" s="14" t="str">
        <f>IF(AND(ISNUMBER($I206),OR($K206="Milestone",$K206="Deadline"),$I206&gt;=AR$4,$I206&lt;AR$4+7),IF($K206="Deadline","◇","◆"),"")</f>
        <v/>
      </c>
      <c r="AS206" s="14" t="str">
        <f>IF(AND(ISNUMBER($I206),OR($K206="Milestone",$K206="Deadline"),$I206&gt;=AS$4,$I206&lt;AS$4+7),IF($K206="Deadline","◇","◆"),"")</f>
        <v/>
      </c>
      <c r="AT206" s="14" t="str">
        <f>IF(AND(ISNUMBER($I206),OR($K206="Milestone",$K206="Deadline"),$I206&gt;=AT$4,$I206&lt;AT$4+7),IF($K206="Deadline","◇","◆"),"")</f>
        <v/>
      </c>
      <c r="AU206" s="14" t="str">
        <f>IF(AND(ISNUMBER($I206),OR($K206="Milestone",$K206="Deadline"),$I206&gt;=AU$4,$I206&lt;AU$4+7),IF($K206="Deadline","◇","◆"),"")</f>
        <v/>
      </c>
      <c r="AV206" s="14" t="str">
        <f>IF(AND(ISNUMBER($I206),OR($K206="Milestone",$K206="Deadline"),$I206&gt;=AV$4,$I206&lt;AV$4+7),IF($K206="Deadline","◇","◆"),"")</f>
        <v/>
      </c>
      <c r="AW206" s="14" t="str">
        <f>IF(AND(ISNUMBER($I206),OR($K206="Milestone",$K206="Deadline"),$I206&gt;=AW$4,$I206&lt;AW$4+7),IF($K206="Deadline","◇","◆"),"")</f>
        <v/>
      </c>
      <c r="AX206" s="14" t="str">
        <f>IF(AND(ISNUMBER($I206),OR($K206="Milestone",$K206="Deadline"),$I206&gt;=AX$4,$I206&lt;AX$4+7),IF($K206="Deadline","◇","◆"),"")</f>
        <v/>
      </c>
      <c r="AY206" s="14" t="str">
        <f>IF(AND(ISNUMBER($I206),OR($K206="Milestone",$K206="Deadline"),$I206&gt;=AY$4,$I206&lt;AY$4+7),IF($K206="Deadline","◇","◆"),"")</f>
        <v/>
      </c>
      <c r="AZ206" s="14" t="str">
        <f>IF(AND(ISNUMBER($I206),OR($K206="Milestone",$K206="Deadline"),$I206&gt;=AZ$4,$I206&lt;AZ$4+7),IF($K206="Deadline","◇","◆"),"")</f>
        <v/>
      </c>
      <c r="BA206" s="14" t="str">
        <f>IF(AND(ISNUMBER($I206),OR($K206="Milestone",$K206="Deadline"),$I206&gt;=BA$4,$I206&lt;BA$4+7),IF($K206="Deadline","◇","◆"),"")</f>
        <v/>
      </c>
      <c r="BB206" s="14" t="str">
        <f>IF(AND(ISNUMBER($I206),OR($K206="Milestone",$K206="Deadline"),$I206&gt;=BB$4,$I206&lt;BB$4+7),IF($K206="Deadline","◇","◆"),"")</f>
        <v/>
      </c>
      <c r="BC206" s="14" t="str">
        <f>IF(AND(ISNUMBER($I206),OR($K206="Milestone",$K206="Deadline"),$I206&gt;=BC$4,$I206&lt;BC$4+7),IF($K206="Deadline","◇","◆"),"")</f>
        <v/>
      </c>
      <c r="BD206" s="14" t="str">
        <f>IF(AND(ISNUMBER($I206),OR($K206="Milestone",$K206="Deadline"),$I206&gt;=BD$4,$I206&lt;BD$4+7),IF($K206="Deadline","◇","◆"),"")</f>
        <v/>
      </c>
      <c r="BE206" s="14" t="str">
        <f>IF(AND(ISNUMBER($I206),OR($K206="Milestone",$K206="Deadline"),$I206&gt;=BE$4,$I206&lt;BE$4+7),IF($K206="Deadline","◇","◆"),"")</f>
        <v/>
      </c>
      <c r="BF206" s="14" t="str">
        <f>IF(AND(ISNUMBER($I206),OR($K206="Milestone",$K206="Deadline"),$I206&gt;=BF$4,$I206&lt;BF$4+7),IF($K206="Deadline","◇","◆"),"")</f>
        <v/>
      </c>
      <c r="BG206" s="14" t="str">
        <f>IF(AND(ISNUMBER($I206),OR($K206="Milestone",$K206="Deadline"),$I206&gt;=BG$4,$I206&lt;BG$4+7),IF($K206="Deadline","◇","◆"),"")</f>
        <v/>
      </c>
      <c r="BH206" s="14" t="str">
        <f>IF(AND(ISNUMBER($I206),OR($K206="Milestone",$K206="Deadline"),$I206&gt;=BH$4,$I206&lt;BH$4+7),IF($K206="Deadline","◇","◆"),"")</f>
        <v/>
      </c>
      <c r="BI206" s="14" t="str">
        <f>IF(AND(ISNUMBER($I206),OR($K206="Milestone",$K206="Deadline"),$I206&gt;=BI$4,$I206&lt;BI$4+7),IF($K206="Deadline","◇","◆"),"")</f>
        <v/>
      </c>
      <c r="BJ206" s="14" t="str">
        <f>IF(AND(ISNUMBER($I206),OR($K206="Milestone",$K206="Deadline"),$I206&gt;=BJ$4,$I206&lt;BJ$4+7),IF($K206="Deadline","◇","◆"),"")</f>
        <v/>
      </c>
      <c r="BK206" s="14" t="str">
        <f>IF(AND(ISNUMBER($I206),OR($K206="Milestone",$K206="Deadline"),$I206&gt;=BK$4,$I206&lt;BK$4+7),IF($K206="Deadline","◇","◆"),"")</f>
        <v/>
      </c>
      <c r="BL206" s="14" t="str">
        <f>IF(AND(ISNUMBER($I206),OR($K206="Milestone",$K206="Deadline"),$I206&gt;=BL$4,$I206&lt;BL$4+7),IF($K206="Deadline","◇","◆"),"")</f>
        <v/>
      </c>
      <c r="BM206" s="14" t="str">
        <f>IF(AND(ISNUMBER($I206),OR($K206="Milestone",$K206="Deadline"),$I206&gt;=BM$4,$I206&lt;BM$4+7),IF($K206="Deadline","◇","◆"),"")</f>
        <v/>
      </c>
      <c r="BN206" s="14" t="str">
        <f>IF(AND(ISNUMBER($I206),OR($K206="Milestone",$K206="Deadline"),$I206&gt;=BN$4,$I206&lt;BN$4+7),IF($K206="Deadline","◇","◆"),"")</f>
        <v/>
      </c>
      <c r="BO206" s="14" t="str">
        <f>IF(AND(ISNUMBER($I206),OR($K206="Milestone",$K206="Deadline"),$I206&gt;=BO$4,$I206&lt;BO$4+7),IF($K206="Deadline","◇","◆"),"")</f>
        <v/>
      </c>
      <c r="BP206" s="14" t="str">
        <f>IF(AND(ISNUMBER($I206),OR($K206="Milestone",$K206="Deadline"),$I206&gt;=BP$4,$I206&lt;BP$4+7),IF($K206="Deadline","◇","◆"),"")</f>
        <v/>
      </c>
      <c r="BQ206" s="14" t="str">
        <f>IF(AND(ISNUMBER($I206),OR($K206="Milestone",$K206="Deadline"),$I206&gt;=BQ$4,$I206&lt;BQ$4+7),IF($K206="Deadline","◇","◆"),"")</f>
        <v/>
      </c>
      <c r="BR206" s="14" t="str">
        <f>IF(AND(ISNUMBER($I206),OR($K206="Milestone",$K206="Deadline"),$I206&gt;=BR$4,$I206&lt;BR$4+7),IF($K206="Deadline","◇","◆"),"")</f>
        <v/>
      </c>
      <c r="BS206" s="14" t="str">
        <f>IF(AND(ISNUMBER($I206),OR($K206="Milestone",$K206="Deadline"),$I206&gt;=BS$4,$I206&lt;BS$4+7),IF($K206="Deadline","◇","◆"),"")</f>
        <v/>
      </c>
      <c r="BT206" s="14" t="str">
        <f>IF(AND(ISNUMBER($I206),OR($K206="Milestone",$K206="Deadline"),$I206&gt;=BT$4,$I206&lt;BT$4+7),IF($K206="Deadline","◇","◆"),"")</f>
        <v/>
      </c>
      <c r="BU206" s="14" t="str">
        <f>IF(AND(ISNUMBER($I206),OR($K206="Milestone",$K206="Deadline"),$I206&gt;=BU$4,$I206&lt;BU$4+7),IF($K206="Deadline","◇","◆"),"")</f>
        <v/>
      </c>
      <c r="BV206" s="14" t="str">
        <f>IF(AND(ISNUMBER($I206),OR($K206="Milestone",$K206="Deadline"),$I206&gt;=BV$4,$I206&lt;BV$4+7),IF($K206="Deadline","◇","◆"),"")</f>
        <v/>
      </c>
      <c r="BW206" s="14" t="str">
        <f>IF(AND(ISNUMBER($I206),OR($K206="Milestone",$K206="Deadline"),$I206&gt;=BW$4,$I206&lt;BW$4+7),IF($K206="Deadline","◇","◆"),"")</f>
        <v/>
      </c>
      <c r="BX206" s="14" t="str">
        <f>IF(AND(ISNUMBER($I206),OR($K206="Milestone",$K206="Deadline"),$I206&gt;=BX$4,$I206&lt;BX$4+7),IF($K206="Deadline","◇","◆"),"")</f>
        <v/>
      </c>
      <c r="BY206" s="14" t="str">
        <f>IF(AND(ISNUMBER($I206),OR($K206="Milestone",$K206="Deadline"),$I206&gt;=BY$4,$I206&lt;BY$4+7),IF($K206="Deadline","◇","◆"),"")</f>
        <v/>
      </c>
      <c r="BZ206" s="14" t="str">
        <f>IF(AND(ISNUMBER($I206),OR($K206="Milestone",$K206="Deadline"),$I206&gt;=BZ$4,$I206&lt;BZ$4+7),IF($K206="Deadline","◇","◆"),"")</f>
        <v/>
      </c>
      <c r="CA206" s="14" t="str">
        <f>IF(AND(ISNUMBER($I206),OR($K206="Milestone",$K206="Deadline"),$I206&gt;=CA$4,$I206&lt;CA$4+7),IF($K206="Deadline","◇","◆"),"")</f>
        <v/>
      </c>
      <c r="CB206" s="14" t="str">
        <f>IF(AND(ISNUMBER($I206),OR($K206="Milestone",$K206="Deadline"),$I206&gt;=CB$4,$I206&lt;CB$4+7),IF($K206="Deadline","◇","◆"),"")</f>
        <v/>
      </c>
      <c r="CC206" s="14" t="str">
        <f>IF(AND(ISNUMBER($I206),OR($K206="Milestone",$K206="Deadline"),$I206&gt;=CC$4,$I206&lt;CC$4+7),IF($K206="Deadline","◇","◆"),"")</f>
        <v/>
      </c>
      <c r="CD206" s="14" t="str">
        <f>IF(AND(ISNUMBER($I206),OR($K206="Milestone",$K206="Deadline"),$I206&gt;=CD$4,$I206&lt;CD$4+7),IF($K206="Deadline","◇","◆"),"")</f>
        <v/>
      </c>
      <c r="CE206" s="14" t="str">
        <f>IF(AND(ISNUMBER($I206),OR($K206="Milestone",$K206="Deadline"),$I206&gt;=CE$4,$I206&lt;CE$4+7),IF($K206="Deadline","◇","◆"),"")</f>
        <v/>
      </c>
      <c r="CF206" s="14" t="str">
        <f>IF(AND(ISNUMBER($I206),OR($K206="Milestone",$K206="Deadline"),$I206&gt;=CF$4,$I206&lt;CF$4+7),IF($K206="Deadline","◇","◆"),"")</f>
        <v/>
      </c>
      <c r="CG206" s="14" t="str">
        <f>IF(AND(ISNUMBER($I206),OR($K206="Milestone",$K206="Deadline"),$I206&gt;=CG$4,$I206&lt;CG$4+7),IF($K206="Deadline","◇","◆"),"")</f>
        <v/>
      </c>
      <c r="CH206" s="14" t="str">
        <f>IF(AND(ISNUMBER($I206),OR($K206="Milestone",$K206="Deadline"),$I206&gt;=CH$4,$I206&lt;CH$4+7),IF($K206="Deadline","◇","◆"),"")</f>
        <v/>
      </c>
      <c r="CI206" s="14" t="str">
        <f>IF(AND(ISNUMBER($I206),OR($K206="Milestone",$K206="Deadline"),$I206&gt;=CI$4,$I206&lt;CI$4+7),IF($K206="Deadline","◇","◆"),"")</f>
        <v/>
      </c>
      <c r="CJ206" s="14" t="str">
        <f>IF(AND(ISNUMBER($I206),OR($K206="Milestone",$K206="Deadline"),$I206&gt;=CJ$4,$I206&lt;CJ$4+7),IF($K206="Deadline","◇","◆"),"")</f>
        <v/>
      </c>
      <c r="CK206" s="14" t="str">
        <f>IF(AND(ISNUMBER($I206),OR($K206="Milestone",$K206="Deadline"),$I206&gt;=CK$4,$I206&lt;CK$4+7),IF($K206="Deadline","◇","◆"),"")</f>
        <v/>
      </c>
      <c r="CL206" s="14" t="str">
        <f>IF(AND(ISNUMBER($I206),OR($K206="Milestone",$K206="Deadline"),$I206&gt;=CL$4,$I206&lt;CL$4+7),IF($K206="Deadline","◇","◆"),"")</f>
        <v/>
      </c>
      <c r="CM206" s="14" t="str">
        <f>IF(AND(ISNUMBER($I206),OR($K206="Milestone",$K206="Deadline"),$I206&gt;=CM$4,$I206&lt;CM$4+7),IF($K206="Deadline","◇","◆"),"")</f>
        <v/>
      </c>
    </row>
    <row r="207" spans="1:91" hidden="1">
      <c r="A207" s="43" t="s">
        <v>456</v>
      </c>
      <c r="B207" s="43" t="s">
        <v>418</v>
      </c>
      <c r="C207" s="43" t="s">
        <v>230</v>
      </c>
      <c r="D207" s="43" t="s">
        <v>419</v>
      </c>
      <c r="E207" s="43"/>
      <c r="F207" s="43" t="s">
        <v>216</v>
      </c>
      <c r="G207" s="43" t="s">
        <v>231</v>
      </c>
      <c r="H207" s="43">
        <v>14</v>
      </c>
      <c r="I207" s="44">
        <f>MAX(DATE(2027,3,8),J177+1)</f>
        <v>46468</v>
      </c>
      <c r="J207" s="45">
        <f>IF(AND(ISNUMBER(I207),ISNUMBER(H207)),I207+H207-1,"")</f>
        <v>46481</v>
      </c>
      <c r="K207" s="43" t="s">
        <v>27</v>
      </c>
      <c r="L207" s="43"/>
      <c r="M207" s="46" t="s">
        <v>412</v>
      </c>
      <c r="N207" s="43"/>
      <c r="O207" s="46">
        <f>IF(AND(ISNUMBER(I207),ISNUMBER(J207)),J207-I207+1,"")</f>
        <v>14</v>
      </c>
      <c r="P207" s="13"/>
      <c r="Q207" s="13"/>
      <c r="R207" s="13" t="s">
        <v>140</v>
      </c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4" t="str">
        <f>IF(AND(ISNUMBER($I207),OR($K207="Milestone",$K207="Deadline"),$I207&gt;=AO$4,$I207&lt;AO$4+7),IF($K207="Deadline","◇","◆"),"")</f>
        <v/>
      </c>
      <c r="AP207" s="14" t="str">
        <f>IF(AND(ISNUMBER($I207),OR($K207="Milestone",$K207="Deadline"),$I207&gt;=AP$4,$I207&lt;AP$4+7),IF($K207="Deadline","◇","◆"),"")</f>
        <v/>
      </c>
      <c r="AQ207" s="14" t="str">
        <f>IF(AND(ISNUMBER($I207),OR($K207="Milestone",$K207="Deadline"),$I207&gt;=AQ$4,$I207&lt;AQ$4+7),IF($K207="Deadline","◇","◆"),"")</f>
        <v/>
      </c>
      <c r="AR207" s="14" t="str">
        <f>IF(AND(ISNUMBER($I207),OR($K207="Milestone",$K207="Deadline"),$I207&gt;=AR$4,$I207&lt;AR$4+7),IF($K207="Deadline","◇","◆"),"")</f>
        <v/>
      </c>
      <c r="AS207" s="14" t="str">
        <f>IF(AND(ISNUMBER($I207),OR($K207="Milestone",$K207="Deadline"),$I207&gt;=AS$4,$I207&lt;AS$4+7),IF($K207="Deadline","◇","◆"),"")</f>
        <v/>
      </c>
      <c r="AT207" s="14" t="str">
        <f>IF(AND(ISNUMBER($I207),OR($K207="Milestone",$K207="Deadline"),$I207&gt;=AT$4,$I207&lt;AT$4+7),IF($K207="Deadline","◇","◆"),"")</f>
        <v/>
      </c>
      <c r="AU207" s="14" t="str">
        <f>IF(AND(ISNUMBER($I207),OR($K207="Milestone",$K207="Deadline"),$I207&gt;=AU$4,$I207&lt;AU$4+7),IF($K207="Deadline","◇","◆"),"")</f>
        <v/>
      </c>
      <c r="AV207" s="14" t="str">
        <f>IF(AND(ISNUMBER($I207),OR($K207="Milestone",$K207="Deadline"),$I207&gt;=AV$4,$I207&lt;AV$4+7),IF($K207="Deadline","◇","◆"),"")</f>
        <v/>
      </c>
      <c r="AW207" s="14" t="str">
        <f>IF(AND(ISNUMBER($I207),OR($K207="Milestone",$K207="Deadline"),$I207&gt;=AW$4,$I207&lt;AW$4+7),IF($K207="Deadline","◇","◆"),"")</f>
        <v/>
      </c>
      <c r="AX207" s="14" t="str">
        <f>IF(AND(ISNUMBER($I207),OR($K207="Milestone",$K207="Deadline"),$I207&gt;=AX$4,$I207&lt;AX$4+7),IF($K207="Deadline","◇","◆"),"")</f>
        <v/>
      </c>
      <c r="AY207" s="14" t="str">
        <f>IF(AND(ISNUMBER($I207),OR($K207="Milestone",$K207="Deadline"),$I207&gt;=AY$4,$I207&lt;AY$4+7),IF($K207="Deadline","◇","◆"),"")</f>
        <v/>
      </c>
      <c r="AZ207" s="14" t="str">
        <f>IF(AND(ISNUMBER($I207),OR($K207="Milestone",$K207="Deadline"),$I207&gt;=AZ$4,$I207&lt;AZ$4+7),IF($K207="Deadline","◇","◆"),"")</f>
        <v/>
      </c>
      <c r="BA207" s="14" t="str">
        <f>IF(AND(ISNUMBER($I207),OR($K207="Milestone",$K207="Deadline"),$I207&gt;=BA$4,$I207&lt;BA$4+7),IF($K207="Deadline","◇","◆"),"")</f>
        <v/>
      </c>
      <c r="BB207" s="14" t="str">
        <f>IF(AND(ISNUMBER($I207),OR($K207="Milestone",$K207="Deadline"),$I207&gt;=BB$4,$I207&lt;BB$4+7),IF($K207="Deadline","◇","◆"),"")</f>
        <v/>
      </c>
      <c r="BC207" s="14" t="str">
        <f>IF(AND(ISNUMBER($I207),OR($K207="Milestone",$K207="Deadline"),$I207&gt;=BC$4,$I207&lt;BC$4+7),IF($K207="Deadline","◇","◆"),"")</f>
        <v/>
      </c>
      <c r="BD207" s="14" t="str">
        <f>IF(AND(ISNUMBER($I207),OR($K207="Milestone",$K207="Deadline"),$I207&gt;=BD$4,$I207&lt;BD$4+7),IF($K207="Deadline","◇","◆"),"")</f>
        <v/>
      </c>
      <c r="BE207" s="14" t="str">
        <f>IF(AND(ISNUMBER($I207),OR($K207="Milestone",$K207="Deadline"),$I207&gt;=BE$4,$I207&lt;BE$4+7),IF($K207="Deadline","◇","◆"),"")</f>
        <v/>
      </c>
      <c r="BF207" s="14" t="str">
        <f>IF(AND(ISNUMBER($I207),OR($K207="Milestone",$K207="Deadline"),$I207&gt;=BF$4,$I207&lt;BF$4+7),IF($K207="Deadline","◇","◆"),"")</f>
        <v/>
      </c>
      <c r="BG207" s="14" t="str">
        <f>IF(AND(ISNUMBER($I207),OR($K207="Milestone",$K207="Deadline"),$I207&gt;=BG$4,$I207&lt;BG$4+7),IF($K207="Deadline","◇","◆"),"")</f>
        <v/>
      </c>
      <c r="BH207" s="14" t="str">
        <f>IF(AND(ISNUMBER($I207),OR($K207="Milestone",$K207="Deadline"),$I207&gt;=BH$4,$I207&lt;BH$4+7),IF($K207="Deadline","◇","◆"),"")</f>
        <v/>
      </c>
      <c r="BI207" s="14" t="str">
        <f>IF(AND(ISNUMBER($I207),OR($K207="Milestone",$K207="Deadline"),$I207&gt;=BI$4,$I207&lt;BI$4+7),IF($K207="Deadline","◇","◆"),"")</f>
        <v/>
      </c>
      <c r="BJ207" s="14" t="str">
        <f>IF(AND(ISNUMBER($I207),OR($K207="Milestone",$K207="Deadline"),$I207&gt;=BJ$4,$I207&lt;BJ$4+7),IF($K207="Deadline","◇","◆"),"")</f>
        <v/>
      </c>
      <c r="BK207" s="14" t="str">
        <f>IF(AND(ISNUMBER($I207),OR($K207="Milestone",$K207="Deadline"),$I207&gt;=BK$4,$I207&lt;BK$4+7),IF($K207="Deadline","◇","◆"),"")</f>
        <v/>
      </c>
      <c r="BL207" s="14" t="str">
        <f>IF(AND(ISNUMBER($I207),OR($K207="Milestone",$K207="Deadline"),$I207&gt;=BL$4,$I207&lt;BL$4+7),IF($K207="Deadline","◇","◆"),"")</f>
        <v/>
      </c>
      <c r="BM207" s="14" t="str">
        <f>IF(AND(ISNUMBER($I207),OR($K207="Milestone",$K207="Deadline"),$I207&gt;=BM$4,$I207&lt;BM$4+7),IF($K207="Deadline","◇","◆"),"")</f>
        <v/>
      </c>
      <c r="BN207" s="14" t="str">
        <f>IF(AND(ISNUMBER($I207),OR($K207="Milestone",$K207="Deadline"),$I207&gt;=BN$4,$I207&lt;BN$4+7),IF($K207="Deadline","◇","◆"),"")</f>
        <v/>
      </c>
      <c r="BO207" s="14" t="str">
        <f>IF(AND(ISNUMBER($I207),OR($K207="Milestone",$K207="Deadline"),$I207&gt;=BO$4,$I207&lt;BO$4+7),IF($K207="Deadline","◇","◆"),"")</f>
        <v/>
      </c>
      <c r="BP207" s="14" t="str">
        <f>IF(AND(ISNUMBER($I207),OR($K207="Milestone",$K207="Deadline"),$I207&gt;=BP$4,$I207&lt;BP$4+7),IF($K207="Deadline","◇","◆"),"")</f>
        <v/>
      </c>
      <c r="BQ207" s="14" t="str">
        <f>IF(AND(ISNUMBER($I207),OR($K207="Milestone",$K207="Deadline"),$I207&gt;=BQ$4,$I207&lt;BQ$4+7),IF($K207="Deadline","◇","◆"),"")</f>
        <v/>
      </c>
      <c r="BR207" s="14" t="str">
        <f>IF(AND(ISNUMBER($I207),OR($K207="Milestone",$K207="Deadline"),$I207&gt;=BR$4,$I207&lt;BR$4+7),IF($K207="Deadline","◇","◆"),"")</f>
        <v/>
      </c>
      <c r="BS207" s="14" t="str">
        <f>IF(AND(ISNUMBER($I207),OR($K207="Milestone",$K207="Deadline"),$I207&gt;=BS$4,$I207&lt;BS$4+7),IF($K207="Deadline","◇","◆"),"")</f>
        <v/>
      </c>
      <c r="BT207" s="14" t="str">
        <f>IF(AND(ISNUMBER($I207),OR($K207="Milestone",$K207="Deadline"),$I207&gt;=BT$4,$I207&lt;BT$4+7),IF($K207="Deadline","◇","◆"),"")</f>
        <v/>
      </c>
      <c r="BU207" s="14" t="str">
        <f>IF(AND(ISNUMBER($I207),OR($K207="Milestone",$K207="Deadline"),$I207&gt;=BU$4,$I207&lt;BU$4+7),IF($K207="Deadline","◇","◆"),"")</f>
        <v/>
      </c>
      <c r="BV207" s="14" t="str">
        <f>IF(AND(ISNUMBER($I207),OR($K207="Milestone",$K207="Deadline"),$I207&gt;=BV$4,$I207&lt;BV$4+7),IF($K207="Deadline","◇","◆"),"")</f>
        <v/>
      </c>
      <c r="BW207" s="14" t="str">
        <f>IF(AND(ISNUMBER($I207),OR($K207="Milestone",$K207="Deadline"),$I207&gt;=BW$4,$I207&lt;BW$4+7),IF($K207="Deadline","◇","◆"),"")</f>
        <v/>
      </c>
      <c r="BX207" s="14" t="str">
        <f>IF(AND(ISNUMBER($I207),OR($K207="Milestone",$K207="Deadline"),$I207&gt;=BX$4,$I207&lt;BX$4+7),IF($K207="Deadline","◇","◆"),"")</f>
        <v/>
      </c>
      <c r="BY207" s="14" t="str">
        <f>IF(AND(ISNUMBER($I207),OR($K207="Milestone",$K207="Deadline"),$I207&gt;=BY$4,$I207&lt;BY$4+7),IF($K207="Deadline","◇","◆"),"")</f>
        <v/>
      </c>
      <c r="BZ207" s="14" t="str">
        <f>IF(AND(ISNUMBER($I207),OR($K207="Milestone",$K207="Deadline"),$I207&gt;=BZ$4,$I207&lt;BZ$4+7),IF($K207="Deadline","◇","◆"),"")</f>
        <v/>
      </c>
      <c r="CA207" s="14" t="str">
        <f>IF(AND(ISNUMBER($I207),OR($K207="Milestone",$K207="Deadline"),$I207&gt;=CA$4,$I207&lt;CA$4+7),IF($K207="Deadline","◇","◆"),"")</f>
        <v/>
      </c>
      <c r="CB207" s="14" t="str">
        <f>IF(AND(ISNUMBER($I207),OR($K207="Milestone",$K207="Deadline"),$I207&gt;=CB$4,$I207&lt;CB$4+7),IF($K207="Deadline","◇","◆"),"")</f>
        <v/>
      </c>
      <c r="CC207" s="14" t="str">
        <f>IF(AND(ISNUMBER($I207),OR($K207="Milestone",$K207="Deadline"),$I207&gt;=CC$4,$I207&lt;CC$4+7),IF($K207="Deadline","◇","◆"),"")</f>
        <v/>
      </c>
      <c r="CD207" s="14" t="str">
        <f>IF(AND(ISNUMBER($I207),OR($K207="Milestone",$K207="Deadline"),$I207&gt;=CD$4,$I207&lt;CD$4+7),IF($K207="Deadline","◇","◆"),"")</f>
        <v/>
      </c>
      <c r="CE207" s="14" t="str">
        <f>IF(AND(ISNUMBER($I207),OR($K207="Milestone",$K207="Deadline"),$I207&gt;=CE$4,$I207&lt;CE$4+7),IF($K207="Deadline","◇","◆"),"")</f>
        <v/>
      </c>
      <c r="CF207" s="14" t="str">
        <f>IF(AND(ISNUMBER($I207),OR($K207="Milestone",$K207="Deadline"),$I207&gt;=CF$4,$I207&lt;CF$4+7),IF($K207="Deadline","◇","◆"),"")</f>
        <v/>
      </c>
      <c r="CG207" s="14" t="str">
        <f>IF(AND(ISNUMBER($I207),OR($K207="Milestone",$K207="Deadline"),$I207&gt;=CG$4,$I207&lt;CG$4+7),IF($K207="Deadline","◇","◆"),"")</f>
        <v/>
      </c>
      <c r="CH207" s="14" t="str">
        <f>IF(AND(ISNUMBER($I207),OR($K207="Milestone",$K207="Deadline"),$I207&gt;=CH$4,$I207&lt;CH$4+7),IF($K207="Deadline","◇","◆"),"")</f>
        <v/>
      </c>
      <c r="CI207" s="14" t="str">
        <f>IF(AND(ISNUMBER($I207),OR($K207="Milestone",$K207="Deadline"),$I207&gt;=CI$4,$I207&lt;CI$4+7),IF($K207="Deadline","◇","◆"),"")</f>
        <v/>
      </c>
      <c r="CJ207" s="14" t="str">
        <f>IF(AND(ISNUMBER($I207),OR($K207="Milestone",$K207="Deadline"),$I207&gt;=CJ$4,$I207&lt;CJ$4+7),IF($K207="Deadline","◇","◆"),"")</f>
        <v/>
      </c>
      <c r="CK207" s="14" t="str">
        <f>IF(AND(ISNUMBER($I207),OR($K207="Milestone",$K207="Deadline"),$I207&gt;=CK$4,$I207&lt;CK$4+7),IF($K207="Deadline","◇","◆"),"")</f>
        <v/>
      </c>
      <c r="CL207" s="14" t="str">
        <f>IF(AND(ISNUMBER($I207),OR($K207="Milestone",$K207="Deadline"),$I207&gt;=CL$4,$I207&lt;CL$4+7),IF($K207="Deadline","◇","◆"),"")</f>
        <v/>
      </c>
      <c r="CM207" s="14" t="str">
        <f>IF(AND(ISNUMBER($I207),OR($K207="Milestone",$K207="Deadline"),$I207&gt;=CM$4,$I207&lt;CM$4+7),IF($K207="Deadline","◇","◆"),"")</f>
        <v/>
      </c>
    </row>
    <row r="208" spans="1:91" hidden="1">
      <c r="A208" s="47" t="s">
        <v>457</v>
      </c>
      <c r="B208" s="47" t="s">
        <v>458</v>
      </c>
      <c r="C208" s="47" t="s">
        <v>93</v>
      </c>
      <c r="D208" s="47" t="s">
        <v>419</v>
      </c>
      <c r="E208" s="47" t="s">
        <v>169</v>
      </c>
      <c r="F208" s="47" t="s">
        <v>459</v>
      </c>
      <c r="G208" s="47" t="s">
        <v>173</v>
      </c>
      <c r="H208" s="47">
        <v>2</v>
      </c>
      <c r="I208" s="48">
        <f>MAX($C$2)</f>
        <v>46335</v>
      </c>
      <c r="J208" s="49">
        <f>IF(AND(ISNUMBER(I208),ISNUMBER(H208)),I208+H208-1,"")</f>
        <v>46336</v>
      </c>
      <c r="K208" s="47" t="s">
        <v>27</v>
      </c>
      <c r="L208" s="47" t="s">
        <v>460</v>
      </c>
      <c r="M208" s="50"/>
      <c r="N208" s="47"/>
      <c r="O208" s="50">
        <f>IF(AND(ISNUMBER(I208),ISNUMBER(J208)),J208-I208+1,"")</f>
        <v>2</v>
      </c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4" t="str">
        <f>IF(AND(ISNUMBER($I208),OR($K208="Milestone",$K208="Deadline"),$I208&gt;=AO$4,$I208&lt;AO$4+7),IF($K208="Deadline","◇","◆"),"")</f>
        <v/>
      </c>
      <c r="AP208" s="14" t="str">
        <f>IF(AND(ISNUMBER($I208),OR($K208="Milestone",$K208="Deadline"),$I208&gt;=AP$4,$I208&lt;AP$4+7),IF($K208="Deadline","◇","◆"),"")</f>
        <v/>
      </c>
      <c r="AQ208" s="14" t="str">
        <f>IF(AND(ISNUMBER($I208),OR($K208="Milestone",$K208="Deadline"),$I208&gt;=AQ$4,$I208&lt;AQ$4+7),IF($K208="Deadline","◇","◆"),"")</f>
        <v/>
      </c>
      <c r="AR208" s="14" t="str">
        <f>IF(AND(ISNUMBER($I208),OR($K208="Milestone",$K208="Deadline"),$I208&gt;=AR$4,$I208&lt;AR$4+7),IF($K208="Deadline","◇","◆"),"")</f>
        <v/>
      </c>
      <c r="AS208" s="14" t="str">
        <f>IF(AND(ISNUMBER($I208),OR($K208="Milestone",$K208="Deadline"),$I208&gt;=AS$4,$I208&lt;AS$4+7),IF($K208="Deadline","◇","◆"),"")</f>
        <v/>
      </c>
      <c r="AT208" s="14" t="str">
        <f>IF(AND(ISNUMBER($I208),OR($K208="Milestone",$K208="Deadline"),$I208&gt;=AT$4,$I208&lt;AT$4+7),IF($K208="Deadline","◇","◆"),"")</f>
        <v/>
      </c>
      <c r="AU208" s="14" t="str">
        <f>IF(AND(ISNUMBER($I208),OR($K208="Milestone",$K208="Deadline"),$I208&gt;=AU$4,$I208&lt;AU$4+7),IF($K208="Deadline","◇","◆"),"")</f>
        <v/>
      </c>
      <c r="AV208" s="14" t="str">
        <f>IF(AND(ISNUMBER($I208),OR($K208="Milestone",$K208="Deadline"),$I208&gt;=AV$4,$I208&lt;AV$4+7),IF($K208="Deadline","◇","◆"),"")</f>
        <v/>
      </c>
      <c r="AW208" s="14" t="str">
        <f>IF(AND(ISNUMBER($I208),OR($K208="Milestone",$K208="Deadline"),$I208&gt;=AW$4,$I208&lt;AW$4+7),IF($K208="Deadline","◇","◆"),"")</f>
        <v/>
      </c>
      <c r="AX208" s="14" t="str">
        <f>IF(AND(ISNUMBER($I208),OR($K208="Milestone",$K208="Deadline"),$I208&gt;=AX$4,$I208&lt;AX$4+7),IF($K208="Deadline","◇","◆"),"")</f>
        <v/>
      </c>
      <c r="AY208" s="14" t="str">
        <f>IF(AND(ISNUMBER($I208),OR($K208="Milestone",$K208="Deadline"),$I208&gt;=AY$4,$I208&lt;AY$4+7),IF($K208="Deadline","◇","◆"),"")</f>
        <v/>
      </c>
      <c r="AZ208" s="14" t="str">
        <f>IF(AND(ISNUMBER($I208),OR($K208="Milestone",$K208="Deadline"),$I208&gt;=AZ$4,$I208&lt;AZ$4+7),IF($K208="Deadline","◇","◆"),"")</f>
        <v/>
      </c>
      <c r="BA208" s="14" t="str">
        <f>IF(AND(ISNUMBER($I208),OR($K208="Milestone",$K208="Deadline"),$I208&gt;=BA$4,$I208&lt;BA$4+7),IF($K208="Deadline","◇","◆"),"")</f>
        <v/>
      </c>
      <c r="BB208" s="14" t="str">
        <f>IF(AND(ISNUMBER($I208),OR($K208="Milestone",$K208="Deadline"),$I208&gt;=BB$4,$I208&lt;BB$4+7),IF($K208="Deadline","◇","◆"),"")</f>
        <v/>
      </c>
      <c r="BC208" s="14" t="str">
        <f>IF(AND(ISNUMBER($I208),OR($K208="Milestone",$K208="Deadline"),$I208&gt;=BC$4,$I208&lt;BC$4+7),IF($K208="Deadline","◇","◆"),"")</f>
        <v/>
      </c>
      <c r="BD208" s="14" t="str">
        <f>IF(AND(ISNUMBER($I208),OR($K208="Milestone",$K208="Deadline"),$I208&gt;=BD$4,$I208&lt;BD$4+7),IF($K208="Deadline","◇","◆"),"")</f>
        <v/>
      </c>
      <c r="BE208" s="14" t="str">
        <f>IF(AND(ISNUMBER($I208),OR($K208="Milestone",$K208="Deadline"),$I208&gt;=BE$4,$I208&lt;BE$4+7),IF($K208="Deadline","◇","◆"),"")</f>
        <v/>
      </c>
      <c r="BF208" s="14" t="str">
        <f>IF(AND(ISNUMBER($I208),OR($K208="Milestone",$K208="Deadline"),$I208&gt;=BF$4,$I208&lt;BF$4+7),IF($K208="Deadline","◇","◆"),"")</f>
        <v/>
      </c>
      <c r="BG208" s="14" t="str">
        <f>IF(AND(ISNUMBER($I208),OR($K208="Milestone",$K208="Deadline"),$I208&gt;=BG$4,$I208&lt;BG$4+7),IF($K208="Deadline","◇","◆"),"")</f>
        <v/>
      </c>
      <c r="BH208" s="14" t="str">
        <f>IF(AND(ISNUMBER($I208),OR($K208="Milestone",$K208="Deadline"),$I208&gt;=BH$4,$I208&lt;BH$4+7),IF($K208="Deadline","◇","◆"),"")</f>
        <v/>
      </c>
      <c r="BI208" s="14" t="str">
        <f>IF(AND(ISNUMBER($I208),OR($K208="Milestone",$K208="Deadline"),$I208&gt;=BI$4,$I208&lt;BI$4+7),IF($K208="Deadline","◇","◆"),"")</f>
        <v/>
      </c>
      <c r="BJ208" s="14" t="str">
        <f>IF(AND(ISNUMBER($I208),OR($K208="Milestone",$K208="Deadline"),$I208&gt;=BJ$4,$I208&lt;BJ$4+7),IF($K208="Deadline","◇","◆"),"")</f>
        <v/>
      </c>
      <c r="BK208" s="14" t="str">
        <f>IF(AND(ISNUMBER($I208),OR($K208="Milestone",$K208="Deadline"),$I208&gt;=BK$4,$I208&lt;BK$4+7),IF($K208="Deadline","◇","◆"),"")</f>
        <v/>
      </c>
      <c r="BL208" s="14" t="str">
        <f>IF(AND(ISNUMBER($I208),OR($K208="Milestone",$K208="Deadline"),$I208&gt;=BL$4,$I208&lt;BL$4+7),IF($K208="Deadline","◇","◆"),"")</f>
        <v/>
      </c>
      <c r="BM208" s="14" t="str">
        <f>IF(AND(ISNUMBER($I208),OR($K208="Milestone",$K208="Deadline"),$I208&gt;=BM$4,$I208&lt;BM$4+7),IF($K208="Deadline","◇","◆"),"")</f>
        <v/>
      </c>
      <c r="BN208" s="14" t="str">
        <f>IF(AND(ISNUMBER($I208),OR($K208="Milestone",$K208="Deadline"),$I208&gt;=BN$4,$I208&lt;BN$4+7),IF($K208="Deadline","◇","◆"),"")</f>
        <v/>
      </c>
      <c r="BO208" s="14" t="str">
        <f>IF(AND(ISNUMBER($I208),OR($K208="Milestone",$K208="Deadline"),$I208&gt;=BO$4,$I208&lt;BO$4+7),IF($K208="Deadline","◇","◆"),"")</f>
        <v/>
      </c>
      <c r="BP208" s="14" t="str">
        <f>IF(AND(ISNUMBER($I208),OR($K208="Milestone",$K208="Deadline"),$I208&gt;=BP$4,$I208&lt;BP$4+7),IF($K208="Deadline","◇","◆"),"")</f>
        <v/>
      </c>
      <c r="BQ208" s="14" t="str">
        <f>IF(AND(ISNUMBER($I208),OR($K208="Milestone",$K208="Deadline"),$I208&gt;=BQ$4,$I208&lt;BQ$4+7),IF($K208="Deadline","◇","◆"),"")</f>
        <v/>
      </c>
      <c r="BR208" s="14" t="str">
        <f>IF(AND(ISNUMBER($I208),OR($K208="Milestone",$K208="Deadline"),$I208&gt;=BR$4,$I208&lt;BR$4+7),IF($K208="Deadline","◇","◆"),"")</f>
        <v/>
      </c>
      <c r="BS208" s="14" t="str">
        <f>IF(AND(ISNUMBER($I208),OR($K208="Milestone",$K208="Deadline"),$I208&gt;=BS$4,$I208&lt;BS$4+7),IF($K208="Deadline","◇","◆"),"")</f>
        <v/>
      </c>
      <c r="BT208" s="14" t="str">
        <f>IF(AND(ISNUMBER($I208),OR($K208="Milestone",$K208="Deadline"),$I208&gt;=BT$4,$I208&lt;BT$4+7),IF($K208="Deadline","◇","◆"),"")</f>
        <v/>
      </c>
      <c r="BU208" s="14" t="str">
        <f>IF(AND(ISNUMBER($I208),OR($K208="Milestone",$K208="Deadline"),$I208&gt;=BU$4,$I208&lt;BU$4+7),IF($K208="Deadline","◇","◆"),"")</f>
        <v/>
      </c>
      <c r="BV208" s="14" t="str">
        <f>IF(AND(ISNUMBER($I208),OR($K208="Milestone",$K208="Deadline"),$I208&gt;=BV$4,$I208&lt;BV$4+7),IF($K208="Deadline","◇","◆"),"")</f>
        <v/>
      </c>
      <c r="BW208" s="14" t="str">
        <f>IF(AND(ISNUMBER($I208),OR($K208="Milestone",$K208="Deadline"),$I208&gt;=BW$4,$I208&lt;BW$4+7),IF($K208="Deadline","◇","◆"),"")</f>
        <v/>
      </c>
      <c r="BX208" s="14" t="str">
        <f>IF(AND(ISNUMBER($I208),OR($K208="Milestone",$K208="Deadline"),$I208&gt;=BX$4,$I208&lt;BX$4+7),IF($K208="Deadline","◇","◆"),"")</f>
        <v/>
      </c>
      <c r="BY208" s="14" t="str">
        <f>IF(AND(ISNUMBER($I208),OR($K208="Milestone",$K208="Deadline"),$I208&gt;=BY$4,$I208&lt;BY$4+7),IF($K208="Deadline","◇","◆"),"")</f>
        <v/>
      </c>
      <c r="BZ208" s="14" t="str">
        <f>IF(AND(ISNUMBER($I208),OR($K208="Milestone",$K208="Deadline"),$I208&gt;=BZ$4,$I208&lt;BZ$4+7),IF($K208="Deadline","◇","◆"),"")</f>
        <v/>
      </c>
      <c r="CA208" s="14" t="str">
        <f>IF(AND(ISNUMBER($I208),OR($K208="Milestone",$K208="Deadline"),$I208&gt;=CA$4,$I208&lt;CA$4+7),IF($K208="Deadline","◇","◆"),"")</f>
        <v/>
      </c>
      <c r="CB208" s="14" t="str">
        <f>IF(AND(ISNUMBER($I208),OR($K208="Milestone",$K208="Deadline"),$I208&gt;=CB$4,$I208&lt;CB$4+7),IF($K208="Deadline","◇","◆"),"")</f>
        <v/>
      </c>
      <c r="CC208" s="14" t="str">
        <f>IF(AND(ISNUMBER($I208),OR($K208="Milestone",$K208="Deadline"),$I208&gt;=CC$4,$I208&lt;CC$4+7),IF($K208="Deadline","◇","◆"),"")</f>
        <v/>
      </c>
      <c r="CD208" s="14" t="str">
        <f>IF(AND(ISNUMBER($I208),OR($K208="Milestone",$K208="Deadline"),$I208&gt;=CD$4,$I208&lt;CD$4+7),IF($K208="Deadline","◇","◆"),"")</f>
        <v/>
      </c>
      <c r="CE208" s="14" t="str">
        <f>IF(AND(ISNUMBER($I208),OR($K208="Milestone",$K208="Deadline"),$I208&gt;=CE$4,$I208&lt;CE$4+7),IF($K208="Deadline","◇","◆"),"")</f>
        <v/>
      </c>
      <c r="CF208" s="14" t="str">
        <f>IF(AND(ISNUMBER($I208),OR($K208="Milestone",$K208="Deadline"),$I208&gt;=CF$4,$I208&lt;CF$4+7),IF($K208="Deadline","◇","◆"),"")</f>
        <v/>
      </c>
      <c r="CG208" s="14" t="str">
        <f>IF(AND(ISNUMBER($I208),OR($K208="Milestone",$K208="Deadline"),$I208&gt;=CG$4,$I208&lt;CG$4+7),IF($K208="Deadline","◇","◆"),"")</f>
        <v/>
      </c>
      <c r="CH208" s="14" t="str">
        <f>IF(AND(ISNUMBER($I208),OR($K208="Milestone",$K208="Deadline"),$I208&gt;=CH$4,$I208&lt;CH$4+7),IF($K208="Deadline","◇","◆"),"")</f>
        <v/>
      </c>
      <c r="CI208" s="14" t="str">
        <f>IF(AND(ISNUMBER($I208),OR($K208="Milestone",$K208="Deadline"),$I208&gt;=CI$4,$I208&lt;CI$4+7),IF($K208="Deadline","◇","◆"),"")</f>
        <v/>
      </c>
      <c r="CJ208" s="14" t="str">
        <f>IF(AND(ISNUMBER($I208),OR($K208="Milestone",$K208="Deadline"),$I208&gt;=CJ$4,$I208&lt;CJ$4+7),IF($K208="Deadline","◇","◆"),"")</f>
        <v/>
      </c>
      <c r="CK208" s="14" t="str">
        <f>IF(AND(ISNUMBER($I208),OR($K208="Milestone",$K208="Deadline"),$I208&gt;=CK$4,$I208&lt;CK$4+7),IF($K208="Deadline","◇","◆"),"")</f>
        <v/>
      </c>
      <c r="CL208" s="14" t="str">
        <f>IF(AND(ISNUMBER($I208),OR($K208="Milestone",$K208="Deadline"),$I208&gt;=CL$4,$I208&lt;CL$4+7),IF($K208="Deadline","◇","◆"),"")</f>
        <v/>
      </c>
      <c r="CM208" s="14" t="str">
        <f>IF(AND(ISNUMBER($I208),OR($K208="Milestone",$K208="Deadline"),$I208&gt;=CM$4,$I208&lt;CM$4+7),IF($K208="Deadline","◇","◆"),"")</f>
        <v/>
      </c>
    </row>
    <row r="209" spans="1:91" hidden="1">
      <c r="A209" s="47" t="s">
        <v>461</v>
      </c>
      <c r="B209" s="47" t="s">
        <v>458</v>
      </c>
      <c r="C209" s="47" t="s">
        <v>93</v>
      </c>
      <c r="D209" s="47" t="s">
        <v>419</v>
      </c>
      <c r="E209" s="47" t="s">
        <v>169</v>
      </c>
      <c r="F209" s="47" t="s">
        <v>459</v>
      </c>
      <c r="G209" s="47" t="s">
        <v>176</v>
      </c>
      <c r="H209" s="47">
        <v>7</v>
      </c>
      <c r="I209" s="48">
        <f>MAX($C$2,J208+1)</f>
        <v>46337</v>
      </c>
      <c r="J209" s="49">
        <f>IF(AND(ISNUMBER(I209),ISNUMBER(H209)),I209+H209-1,"")</f>
        <v>46343</v>
      </c>
      <c r="K209" s="47" t="s">
        <v>27</v>
      </c>
      <c r="L209" s="47" t="s">
        <v>457</v>
      </c>
      <c r="M209" s="50"/>
      <c r="N209" s="47"/>
      <c r="O209" s="50">
        <f>IF(AND(ISNUMBER(I209),ISNUMBER(J209)),J209-I209+1,"")</f>
        <v>7</v>
      </c>
      <c r="P209" s="13"/>
      <c r="Q209" s="13"/>
      <c r="R209" s="13"/>
      <c r="S209" s="13"/>
      <c r="T209" s="13"/>
      <c r="U209" s="13"/>
      <c r="V209" s="13"/>
      <c r="W209" s="13" t="s">
        <v>140</v>
      </c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4" t="str">
        <f>IF(AND(ISNUMBER($I209),OR($K209="Milestone",$K209="Deadline"),$I209&gt;=AO$4,$I209&lt;AO$4+7),IF($K209="Deadline","◇","◆"),"")</f>
        <v/>
      </c>
      <c r="AP209" s="14" t="str">
        <f>IF(AND(ISNUMBER($I209),OR($K209="Milestone",$K209="Deadline"),$I209&gt;=AP$4,$I209&lt;AP$4+7),IF($K209="Deadline","◇","◆"),"")</f>
        <v/>
      </c>
      <c r="AQ209" s="14" t="str">
        <f>IF(AND(ISNUMBER($I209),OR($K209="Milestone",$K209="Deadline"),$I209&gt;=AQ$4,$I209&lt;AQ$4+7),IF($K209="Deadline","◇","◆"),"")</f>
        <v/>
      </c>
      <c r="AR209" s="14" t="str">
        <f>IF(AND(ISNUMBER($I209),OR($K209="Milestone",$K209="Deadline"),$I209&gt;=AR$4,$I209&lt;AR$4+7),IF($K209="Deadline","◇","◆"),"")</f>
        <v/>
      </c>
      <c r="AS209" s="14" t="str">
        <f>IF(AND(ISNUMBER($I209),OR($K209="Milestone",$K209="Deadline"),$I209&gt;=AS$4,$I209&lt;AS$4+7),IF($K209="Deadline","◇","◆"),"")</f>
        <v/>
      </c>
      <c r="AT209" s="14" t="str">
        <f>IF(AND(ISNUMBER($I209),OR($K209="Milestone",$K209="Deadline"),$I209&gt;=AT$4,$I209&lt;AT$4+7),IF($K209="Deadline","◇","◆"),"")</f>
        <v/>
      </c>
      <c r="AU209" s="14" t="str">
        <f>IF(AND(ISNUMBER($I209),OR($K209="Milestone",$K209="Deadline"),$I209&gt;=AU$4,$I209&lt;AU$4+7),IF($K209="Deadline","◇","◆"),"")</f>
        <v/>
      </c>
      <c r="AV209" s="14" t="str">
        <f>IF(AND(ISNUMBER($I209),OR($K209="Milestone",$K209="Deadline"),$I209&gt;=AV$4,$I209&lt;AV$4+7),IF($K209="Deadline","◇","◆"),"")</f>
        <v/>
      </c>
      <c r="AW209" s="14" t="str">
        <f>IF(AND(ISNUMBER($I209),OR($K209="Milestone",$K209="Deadline"),$I209&gt;=AW$4,$I209&lt;AW$4+7),IF($K209="Deadline","◇","◆"),"")</f>
        <v/>
      </c>
      <c r="AX209" s="14" t="str">
        <f>IF(AND(ISNUMBER($I209),OR($K209="Milestone",$K209="Deadline"),$I209&gt;=AX$4,$I209&lt;AX$4+7),IF($K209="Deadline","◇","◆"),"")</f>
        <v/>
      </c>
      <c r="AY209" s="14" t="str">
        <f>IF(AND(ISNUMBER($I209),OR($K209="Milestone",$K209="Deadline"),$I209&gt;=AY$4,$I209&lt;AY$4+7),IF($K209="Deadline","◇","◆"),"")</f>
        <v/>
      </c>
      <c r="AZ209" s="14" t="str">
        <f>IF(AND(ISNUMBER($I209),OR($K209="Milestone",$K209="Deadline"),$I209&gt;=AZ$4,$I209&lt;AZ$4+7),IF($K209="Deadline","◇","◆"),"")</f>
        <v/>
      </c>
      <c r="BA209" s="14" t="str">
        <f>IF(AND(ISNUMBER($I209),OR($K209="Milestone",$K209="Deadline"),$I209&gt;=BA$4,$I209&lt;BA$4+7),IF($K209="Deadline","◇","◆"),"")</f>
        <v/>
      </c>
      <c r="BB209" s="14" t="str">
        <f>IF(AND(ISNUMBER($I209),OR($K209="Milestone",$K209="Deadline"),$I209&gt;=BB$4,$I209&lt;BB$4+7),IF($K209="Deadline","◇","◆"),"")</f>
        <v/>
      </c>
      <c r="BC209" s="14" t="str">
        <f>IF(AND(ISNUMBER($I209),OR($K209="Milestone",$K209="Deadline"),$I209&gt;=BC$4,$I209&lt;BC$4+7),IF($K209="Deadline","◇","◆"),"")</f>
        <v/>
      </c>
      <c r="BD209" s="14" t="str">
        <f>IF(AND(ISNUMBER($I209),OR($K209="Milestone",$K209="Deadline"),$I209&gt;=BD$4,$I209&lt;BD$4+7),IF($K209="Deadline","◇","◆"),"")</f>
        <v/>
      </c>
      <c r="BE209" s="14" t="str">
        <f>IF(AND(ISNUMBER($I209),OR($K209="Milestone",$K209="Deadline"),$I209&gt;=BE$4,$I209&lt;BE$4+7),IF($K209="Deadline","◇","◆"),"")</f>
        <v/>
      </c>
      <c r="BF209" s="14" t="str">
        <f>IF(AND(ISNUMBER($I209),OR($K209="Milestone",$K209="Deadline"),$I209&gt;=BF$4,$I209&lt;BF$4+7),IF($K209="Deadline","◇","◆"),"")</f>
        <v/>
      </c>
      <c r="BG209" s="14" t="str">
        <f>IF(AND(ISNUMBER($I209),OR($K209="Milestone",$K209="Deadline"),$I209&gt;=BG$4,$I209&lt;BG$4+7),IF($K209="Deadline","◇","◆"),"")</f>
        <v/>
      </c>
      <c r="BH209" s="14" t="str">
        <f>IF(AND(ISNUMBER($I209),OR($K209="Milestone",$K209="Deadline"),$I209&gt;=BH$4,$I209&lt;BH$4+7),IF($K209="Deadline","◇","◆"),"")</f>
        <v/>
      </c>
      <c r="BI209" s="14" t="str">
        <f>IF(AND(ISNUMBER($I209),OR($K209="Milestone",$K209="Deadline"),$I209&gt;=BI$4,$I209&lt;BI$4+7),IF($K209="Deadline","◇","◆"),"")</f>
        <v/>
      </c>
      <c r="BJ209" s="14" t="str">
        <f>IF(AND(ISNUMBER($I209),OR($K209="Milestone",$K209="Deadline"),$I209&gt;=BJ$4,$I209&lt;BJ$4+7),IF($K209="Deadline","◇","◆"),"")</f>
        <v/>
      </c>
      <c r="BK209" s="14" t="str">
        <f>IF(AND(ISNUMBER($I209),OR($K209="Milestone",$K209="Deadline"),$I209&gt;=BK$4,$I209&lt;BK$4+7),IF($K209="Deadline","◇","◆"),"")</f>
        <v/>
      </c>
      <c r="BL209" s="14" t="str">
        <f>IF(AND(ISNUMBER($I209),OR($K209="Milestone",$K209="Deadline"),$I209&gt;=BL$4,$I209&lt;BL$4+7),IF($K209="Deadline","◇","◆"),"")</f>
        <v/>
      </c>
      <c r="BM209" s="14" t="str">
        <f>IF(AND(ISNUMBER($I209),OR($K209="Milestone",$K209="Deadline"),$I209&gt;=BM$4,$I209&lt;BM$4+7),IF($K209="Deadline","◇","◆"),"")</f>
        <v/>
      </c>
      <c r="BN209" s="14" t="str">
        <f>IF(AND(ISNUMBER($I209),OR($K209="Milestone",$K209="Deadline"),$I209&gt;=BN$4,$I209&lt;BN$4+7),IF($K209="Deadline","◇","◆"),"")</f>
        <v/>
      </c>
      <c r="BO209" s="14" t="str">
        <f>IF(AND(ISNUMBER($I209),OR($K209="Milestone",$K209="Deadline"),$I209&gt;=BO$4,$I209&lt;BO$4+7),IF($K209="Deadline","◇","◆"),"")</f>
        <v/>
      </c>
      <c r="BP209" s="14" t="str">
        <f>IF(AND(ISNUMBER($I209),OR($K209="Milestone",$K209="Deadline"),$I209&gt;=BP$4,$I209&lt;BP$4+7),IF($K209="Deadline","◇","◆"),"")</f>
        <v/>
      </c>
      <c r="BQ209" s="14" t="str">
        <f>IF(AND(ISNUMBER($I209),OR($K209="Milestone",$K209="Deadline"),$I209&gt;=BQ$4,$I209&lt;BQ$4+7),IF($K209="Deadline","◇","◆"),"")</f>
        <v/>
      </c>
      <c r="BR209" s="14" t="str">
        <f>IF(AND(ISNUMBER($I209),OR($K209="Milestone",$K209="Deadline"),$I209&gt;=BR$4,$I209&lt;BR$4+7),IF($K209="Deadline","◇","◆"),"")</f>
        <v/>
      </c>
      <c r="BS209" s="14" t="str">
        <f>IF(AND(ISNUMBER($I209),OR($K209="Milestone",$K209="Deadline"),$I209&gt;=BS$4,$I209&lt;BS$4+7),IF($K209="Deadline","◇","◆"),"")</f>
        <v/>
      </c>
      <c r="BT209" s="14" t="str">
        <f>IF(AND(ISNUMBER($I209),OR($K209="Milestone",$K209="Deadline"),$I209&gt;=BT$4,$I209&lt;BT$4+7),IF($K209="Deadline","◇","◆"),"")</f>
        <v/>
      </c>
      <c r="BU209" s="14" t="str">
        <f>IF(AND(ISNUMBER($I209),OR($K209="Milestone",$K209="Deadline"),$I209&gt;=BU$4,$I209&lt;BU$4+7),IF($K209="Deadline","◇","◆"),"")</f>
        <v/>
      </c>
      <c r="BV209" s="14" t="str">
        <f>IF(AND(ISNUMBER($I209),OR($K209="Milestone",$K209="Deadline"),$I209&gt;=BV$4,$I209&lt;BV$4+7),IF($K209="Deadline","◇","◆"),"")</f>
        <v/>
      </c>
      <c r="BW209" s="14" t="str">
        <f>IF(AND(ISNUMBER($I209),OR($K209="Milestone",$K209="Deadline"),$I209&gt;=BW$4,$I209&lt;BW$4+7),IF($K209="Deadline","◇","◆"),"")</f>
        <v/>
      </c>
      <c r="BX209" s="14" t="str">
        <f>IF(AND(ISNUMBER($I209),OR($K209="Milestone",$K209="Deadline"),$I209&gt;=BX$4,$I209&lt;BX$4+7),IF($K209="Deadline","◇","◆"),"")</f>
        <v/>
      </c>
      <c r="BY209" s="14" t="str">
        <f>IF(AND(ISNUMBER($I209),OR($K209="Milestone",$K209="Deadline"),$I209&gt;=BY$4,$I209&lt;BY$4+7),IF($K209="Deadline","◇","◆"),"")</f>
        <v/>
      </c>
      <c r="BZ209" s="14" t="str">
        <f>IF(AND(ISNUMBER($I209),OR($K209="Milestone",$K209="Deadline"),$I209&gt;=BZ$4,$I209&lt;BZ$4+7),IF($K209="Deadline","◇","◆"),"")</f>
        <v/>
      </c>
      <c r="CA209" s="14" t="str">
        <f>IF(AND(ISNUMBER($I209),OR($K209="Milestone",$K209="Deadline"),$I209&gt;=CA$4,$I209&lt;CA$4+7),IF($K209="Deadline","◇","◆"),"")</f>
        <v/>
      </c>
      <c r="CB209" s="14" t="str">
        <f>IF(AND(ISNUMBER($I209),OR($K209="Milestone",$K209="Deadline"),$I209&gt;=CB$4,$I209&lt;CB$4+7),IF($K209="Deadline","◇","◆"),"")</f>
        <v/>
      </c>
      <c r="CC209" s="14" t="str">
        <f>IF(AND(ISNUMBER($I209),OR($K209="Milestone",$K209="Deadline"),$I209&gt;=CC$4,$I209&lt;CC$4+7),IF($K209="Deadline","◇","◆"),"")</f>
        <v/>
      </c>
      <c r="CD209" s="14" t="str">
        <f>IF(AND(ISNUMBER($I209),OR($K209="Milestone",$K209="Deadline"),$I209&gt;=CD$4,$I209&lt;CD$4+7),IF($K209="Deadline","◇","◆"),"")</f>
        <v/>
      </c>
      <c r="CE209" s="14" t="str">
        <f>IF(AND(ISNUMBER($I209),OR($K209="Milestone",$K209="Deadline"),$I209&gt;=CE$4,$I209&lt;CE$4+7),IF($K209="Deadline","◇","◆"),"")</f>
        <v/>
      </c>
      <c r="CF209" s="14" t="str">
        <f>IF(AND(ISNUMBER($I209),OR($K209="Milestone",$K209="Deadline"),$I209&gt;=CF$4,$I209&lt;CF$4+7),IF($K209="Deadline","◇","◆"),"")</f>
        <v/>
      </c>
      <c r="CG209" s="14" t="str">
        <f>IF(AND(ISNUMBER($I209),OR($K209="Milestone",$K209="Deadline"),$I209&gt;=CG$4,$I209&lt;CG$4+7),IF($K209="Deadline","◇","◆"),"")</f>
        <v/>
      </c>
      <c r="CH209" s="14" t="str">
        <f>IF(AND(ISNUMBER($I209),OR($K209="Milestone",$K209="Deadline"),$I209&gt;=CH$4,$I209&lt;CH$4+7),IF($K209="Deadline","◇","◆"),"")</f>
        <v/>
      </c>
      <c r="CI209" s="14" t="str">
        <f>IF(AND(ISNUMBER($I209),OR($K209="Milestone",$K209="Deadline"),$I209&gt;=CI$4,$I209&lt;CI$4+7),IF($K209="Deadline","◇","◆"),"")</f>
        <v/>
      </c>
      <c r="CJ209" s="14" t="str">
        <f>IF(AND(ISNUMBER($I209),OR($K209="Milestone",$K209="Deadline"),$I209&gt;=CJ$4,$I209&lt;CJ$4+7),IF($K209="Deadline","◇","◆"),"")</f>
        <v/>
      </c>
      <c r="CK209" s="14" t="str">
        <f>IF(AND(ISNUMBER($I209),OR($K209="Milestone",$K209="Deadline"),$I209&gt;=CK$4,$I209&lt;CK$4+7),IF($K209="Deadline","◇","◆"),"")</f>
        <v/>
      </c>
      <c r="CL209" s="14" t="str">
        <f>IF(AND(ISNUMBER($I209),OR($K209="Milestone",$K209="Deadline"),$I209&gt;=CL$4,$I209&lt;CL$4+7),IF($K209="Deadline","◇","◆"),"")</f>
        <v/>
      </c>
      <c r="CM209" s="14" t="str">
        <f>IF(AND(ISNUMBER($I209),OR($K209="Milestone",$K209="Deadline"),$I209&gt;=CM$4,$I209&lt;CM$4+7),IF($K209="Deadline","◇","◆"),"")</f>
        <v/>
      </c>
    </row>
    <row r="210" spans="1:91" hidden="1">
      <c r="A210" s="47" t="s">
        <v>256</v>
      </c>
      <c r="B210" s="47" t="s">
        <v>458</v>
      </c>
      <c r="C210" s="47" t="s">
        <v>93</v>
      </c>
      <c r="D210" s="47" t="s">
        <v>419</v>
      </c>
      <c r="E210" s="47" t="s">
        <v>169</v>
      </c>
      <c r="F210" s="47" t="s">
        <v>459</v>
      </c>
      <c r="G210" s="47" t="s">
        <v>184</v>
      </c>
      <c r="H210" s="47">
        <v>7</v>
      </c>
      <c r="I210" s="48">
        <f>MAX($C$2,J209+1,J187+1)</f>
        <v>46363</v>
      </c>
      <c r="J210" s="49">
        <f>IF(AND(ISNUMBER(I210),ISNUMBER(H210)),I210+H210-1,"")</f>
        <v>46369</v>
      </c>
      <c r="K210" s="47" t="s">
        <v>27</v>
      </c>
      <c r="L210" s="47" t="s">
        <v>461</v>
      </c>
      <c r="M210" s="50" t="s">
        <v>426</v>
      </c>
      <c r="N210" s="47"/>
      <c r="O210" s="50">
        <f>IF(AND(ISNUMBER(I210),ISNUMBER(J210)),J210-I210+1,"")</f>
        <v>7</v>
      </c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 t="s">
        <v>140</v>
      </c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4" t="str">
        <f>IF(AND(ISNUMBER($I210),OR($K210="Milestone",$K210="Deadline"),$I210&gt;=AO$4,$I210&lt;AO$4+7),IF($K210="Deadline","◇","◆"),"")</f>
        <v/>
      </c>
      <c r="AP210" s="14" t="str">
        <f>IF(AND(ISNUMBER($I210),OR($K210="Milestone",$K210="Deadline"),$I210&gt;=AP$4,$I210&lt;AP$4+7),IF($K210="Deadline","◇","◆"),"")</f>
        <v/>
      </c>
      <c r="AQ210" s="14" t="str">
        <f>IF(AND(ISNUMBER($I210),OR($K210="Milestone",$K210="Deadline"),$I210&gt;=AQ$4,$I210&lt;AQ$4+7),IF($K210="Deadline","◇","◆"),"")</f>
        <v/>
      </c>
      <c r="AR210" s="14" t="str">
        <f>IF(AND(ISNUMBER($I210),OR($K210="Milestone",$K210="Deadline"),$I210&gt;=AR$4,$I210&lt;AR$4+7),IF($K210="Deadline","◇","◆"),"")</f>
        <v/>
      </c>
      <c r="AS210" s="14" t="str">
        <f>IF(AND(ISNUMBER($I210),OR($K210="Milestone",$K210="Deadline"),$I210&gt;=AS$4,$I210&lt;AS$4+7),IF($K210="Deadline","◇","◆"),"")</f>
        <v/>
      </c>
      <c r="AT210" s="14" t="str">
        <f>IF(AND(ISNUMBER($I210),OR($K210="Milestone",$K210="Deadline"),$I210&gt;=AT$4,$I210&lt;AT$4+7),IF($K210="Deadline","◇","◆"),"")</f>
        <v/>
      </c>
      <c r="AU210" s="14" t="str">
        <f>IF(AND(ISNUMBER($I210),OR($K210="Milestone",$K210="Deadline"),$I210&gt;=AU$4,$I210&lt;AU$4+7),IF($K210="Deadline","◇","◆"),"")</f>
        <v/>
      </c>
      <c r="AV210" s="14" t="str">
        <f>IF(AND(ISNUMBER($I210),OR($K210="Milestone",$K210="Deadline"),$I210&gt;=AV$4,$I210&lt;AV$4+7),IF($K210="Deadline","◇","◆"),"")</f>
        <v/>
      </c>
      <c r="AW210" s="14" t="str">
        <f>IF(AND(ISNUMBER($I210),OR($K210="Milestone",$K210="Deadline"),$I210&gt;=AW$4,$I210&lt;AW$4+7),IF($K210="Deadline","◇","◆"),"")</f>
        <v/>
      </c>
      <c r="AX210" s="14" t="str">
        <f>IF(AND(ISNUMBER($I210),OR($K210="Milestone",$K210="Deadline"),$I210&gt;=AX$4,$I210&lt;AX$4+7),IF($K210="Deadline","◇","◆"),"")</f>
        <v/>
      </c>
      <c r="AY210" s="14" t="str">
        <f>IF(AND(ISNUMBER($I210),OR($K210="Milestone",$K210="Deadline"),$I210&gt;=AY$4,$I210&lt;AY$4+7),IF($K210="Deadline","◇","◆"),"")</f>
        <v/>
      </c>
      <c r="AZ210" s="14" t="str">
        <f>IF(AND(ISNUMBER($I210),OR($K210="Milestone",$K210="Deadline"),$I210&gt;=AZ$4,$I210&lt;AZ$4+7),IF($K210="Deadline","◇","◆"),"")</f>
        <v/>
      </c>
      <c r="BA210" s="14" t="str">
        <f>IF(AND(ISNUMBER($I210),OR($K210="Milestone",$K210="Deadline"),$I210&gt;=BA$4,$I210&lt;BA$4+7),IF($K210="Deadline","◇","◆"),"")</f>
        <v/>
      </c>
      <c r="BB210" s="14" t="str">
        <f>IF(AND(ISNUMBER($I210),OR($K210="Milestone",$K210="Deadline"),$I210&gt;=BB$4,$I210&lt;BB$4+7),IF($K210="Deadline","◇","◆"),"")</f>
        <v/>
      </c>
      <c r="BC210" s="14" t="str">
        <f>IF(AND(ISNUMBER($I210),OR($K210="Milestone",$K210="Deadline"),$I210&gt;=BC$4,$I210&lt;BC$4+7),IF($K210="Deadline","◇","◆"),"")</f>
        <v/>
      </c>
      <c r="BD210" s="14" t="str">
        <f>IF(AND(ISNUMBER($I210),OR($K210="Milestone",$K210="Deadline"),$I210&gt;=BD$4,$I210&lt;BD$4+7),IF($K210="Deadline","◇","◆"),"")</f>
        <v/>
      </c>
      <c r="BE210" s="14" t="str">
        <f>IF(AND(ISNUMBER($I210),OR($K210="Milestone",$K210="Deadline"),$I210&gt;=BE$4,$I210&lt;BE$4+7),IF($K210="Deadline","◇","◆"),"")</f>
        <v/>
      </c>
      <c r="BF210" s="14" t="str">
        <f>IF(AND(ISNUMBER($I210),OR($K210="Milestone",$K210="Deadline"),$I210&gt;=BF$4,$I210&lt;BF$4+7),IF($K210="Deadline","◇","◆"),"")</f>
        <v/>
      </c>
      <c r="BG210" s="14" t="str">
        <f>IF(AND(ISNUMBER($I210),OR($K210="Milestone",$K210="Deadline"),$I210&gt;=BG$4,$I210&lt;BG$4+7),IF($K210="Deadline","◇","◆"),"")</f>
        <v/>
      </c>
      <c r="BH210" s="14" t="str">
        <f>IF(AND(ISNUMBER($I210),OR($K210="Milestone",$K210="Deadline"),$I210&gt;=BH$4,$I210&lt;BH$4+7),IF($K210="Deadline","◇","◆"),"")</f>
        <v/>
      </c>
      <c r="BI210" s="14" t="str">
        <f>IF(AND(ISNUMBER($I210),OR($K210="Milestone",$K210="Deadline"),$I210&gt;=BI$4,$I210&lt;BI$4+7),IF($K210="Deadline","◇","◆"),"")</f>
        <v/>
      </c>
      <c r="BJ210" s="14" t="str">
        <f>IF(AND(ISNUMBER($I210),OR($K210="Milestone",$K210="Deadline"),$I210&gt;=BJ$4,$I210&lt;BJ$4+7),IF($K210="Deadline","◇","◆"),"")</f>
        <v/>
      </c>
      <c r="BK210" s="14" t="str">
        <f>IF(AND(ISNUMBER($I210),OR($K210="Milestone",$K210="Deadline"),$I210&gt;=BK$4,$I210&lt;BK$4+7),IF($K210="Deadline","◇","◆"),"")</f>
        <v/>
      </c>
      <c r="BL210" s="14" t="str">
        <f>IF(AND(ISNUMBER($I210),OR($K210="Milestone",$K210="Deadline"),$I210&gt;=BL$4,$I210&lt;BL$4+7),IF($K210="Deadline","◇","◆"),"")</f>
        <v/>
      </c>
      <c r="BM210" s="14" t="str">
        <f>IF(AND(ISNUMBER($I210),OR($K210="Milestone",$K210="Deadline"),$I210&gt;=BM$4,$I210&lt;BM$4+7),IF($K210="Deadline","◇","◆"),"")</f>
        <v/>
      </c>
      <c r="BN210" s="14" t="str">
        <f>IF(AND(ISNUMBER($I210),OR($K210="Milestone",$K210="Deadline"),$I210&gt;=BN$4,$I210&lt;BN$4+7),IF($K210="Deadline","◇","◆"),"")</f>
        <v/>
      </c>
      <c r="BO210" s="14" t="str">
        <f>IF(AND(ISNUMBER($I210),OR($K210="Milestone",$K210="Deadline"),$I210&gt;=BO$4,$I210&lt;BO$4+7),IF($K210="Deadline","◇","◆"),"")</f>
        <v/>
      </c>
      <c r="BP210" s="14" t="str">
        <f>IF(AND(ISNUMBER($I210),OR($K210="Milestone",$K210="Deadline"),$I210&gt;=BP$4,$I210&lt;BP$4+7),IF($K210="Deadline","◇","◆"),"")</f>
        <v/>
      </c>
      <c r="BQ210" s="14" t="str">
        <f>IF(AND(ISNUMBER($I210),OR($K210="Milestone",$K210="Deadline"),$I210&gt;=BQ$4,$I210&lt;BQ$4+7),IF($K210="Deadline","◇","◆"),"")</f>
        <v/>
      </c>
      <c r="BR210" s="14" t="str">
        <f>IF(AND(ISNUMBER($I210),OR($K210="Milestone",$K210="Deadline"),$I210&gt;=BR$4,$I210&lt;BR$4+7),IF($K210="Deadline","◇","◆"),"")</f>
        <v/>
      </c>
      <c r="BS210" s="14" t="str">
        <f>IF(AND(ISNUMBER($I210),OR($K210="Milestone",$K210="Deadline"),$I210&gt;=BS$4,$I210&lt;BS$4+7),IF($K210="Deadline","◇","◆"),"")</f>
        <v/>
      </c>
      <c r="BT210" s="14" t="str">
        <f>IF(AND(ISNUMBER($I210),OR($K210="Milestone",$K210="Deadline"),$I210&gt;=BT$4,$I210&lt;BT$4+7),IF($K210="Deadline","◇","◆"),"")</f>
        <v/>
      </c>
      <c r="BU210" s="14" t="str">
        <f>IF(AND(ISNUMBER($I210),OR($K210="Milestone",$K210="Deadline"),$I210&gt;=BU$4,$I210&lt;BU$4+7),IF($K210="Deadline","◇","◆"),"")</f>
        <v/>
      </c>
      <c r="BV210" s="14" t="str">
        <f>IF(AND(ISNUMBER($I210),OR($K210="Milestone",$K210="Deadline"),$I210&gt;=BV$4,$I210&lt;BV$4+7),IF($K210="Deadline","◇","◆"),"")</f>
        <v/>
      </c>
      <c r="BW210" s="14" t="str">
        <f>IF(AND(ISNUMBER($I210),OR($K210="Milestone",$K210="Deadline"),$I210&gt;=BW$4,$I210&lt;BW$4+7),IF($K210="Deadline","◇","◆"),"")</f>
        <v/>
      </c>
      <c r="BX210" s="14" t="str">
        <f>IF(AND(ISNUMBER($I210),OR($K210="Milestone",$K210="Deadline"),$I210&gt;=BX$4,$I210&lt;BX$4+7),IF($K210="Deadline","◇","◆"),"")</f>
        <v/>
      </c>
      <c r="BY210" s="14" t="str">
        <f>IF(AND(ISNUMBER($I210),OR($K210="Milestone",$K210="Deadline"),$I210&gt;=BY$4,$I210&lt;BY$4+7),IF($K210="Deadline","◇","◆"),"")</f>
        <v/>
      </c>
      <c r="BZ210" s="14" t="str">
        <f>IF(AND(ISNUMBER($I210),OR($K210="Milestone",$K210="Deadline"),$I210&gt;=BZ$4,$I210&lt;BZ$4+7),IF($K210="Deadline","◇","◆"),"")</f>
        <v/>
      </c>
      <c r="CA210" s="14" t="str">
        <f>IF(AND(ISNUMBER($I210),OR($K210="Milestone",$K210="Deadline"),$I210&gt;=CA$4,$I210&lt;CA$4+7),IF($K210="Deadline","◇","◆"),"")</f>
        <v/>
      </c>
      <c r="CB210" s="14" t="str">
        <f>IF(AND(ISNUMBER($I210),OR($K210="Milestone",$K210="Deadline"),$I210&gt;=CB$4,$I210&lt;CB$4+7),IF($K210="Deadline","◇","◆"),"")</f>
        <v/>
      </c>
      <c r="CC210" s="14" t="str">
        <f>IF(AND(ISNUMBER($I210),OR($K210="Milestone",$K210="Deadline"),$I210&gt;=CC$4,$I210&lt;CC$4+7),IF($K210="Deadline","◇","◆"),"")</f>
        <v/>
      </c>
      <c r="CD210" s="14" t="str">
        <f>IF(AND(ISNUMBER($I210),OR($K210="Milestone",$K210="Deadline"),$I210&gt;=CD$4,$I210&lt;CD$4+7),IF($K210="Deadline","◇","◆"),"")</f>
        <v/>
      </c>
      <c r="CE210" s="14" t="str">
        <f>IF(AND(ISNUMBER($I210),OR($K210="Milestone",$K210="Deadline"),$I210&gt;=CE$4,$I210&lt;CE$4+7),IF($K210="Deadline","◇","◆"),"")</f>
        <v/>
      </c>
      <c r="CF210" s="14" t="str">
        <f>IF(AND(ISNUMBER($I210),OR($K210="Milestone",$K210="Deadline"),$I210&gt;=CF$4,$I210&lt;CF$4+7),IF($K210="Deadline","◇","◆"),"")</f>
        <v/>
      </c>
      <c r="CG210" s="14" t="str">
        <f>IF(AND(ISNUMBER($I210),OR($K210="Milestone",$K210="Deadline"),$I210&gt;=CG$4,$I210&lt;CG$4+7),IF($K210="Deadline","◇","◆"),"")</f>
        <v/>
      </c>
      <c r="CH210" s="14" t="str">
        <f>IF(AND(ISNUMBER($I210),OR($K210="Milestone",$K210="Deadline"),$I210&gt;=CH$4,$I210&lt;CH$4+7),IF($K210="Deadline","◇","◆"),"")</f>
        <v/>
      </c>
      <c r="CI210" s="14" t="str">
        <f>IF(AND(ISNUMBER($I210),OR($K210="Milestone",$K210="Deadline"),$I210&gt;=CI$4,$I210&lt;CI$4+7),IF($K210="Deadline","◇","◆"),"")</f>
        <v/>
      </c>
      <c r="CJ210" s="14" t="str">
        <f>IF(AND(ISNUMBER($I210),OR($K210="Milestone",$K210="Deadline"),$I210&gt;=CJ$4,$I210&lt;CJ$4+7),IF($K210="Deadline","◇","◆"),"")</f>
        <v/>
      </c>
      <c r="CK210" s="14" t="str">
        <f>IF(AND(ISNUMBER($I210),OR($K210="Milestone",$K210="Deadline"),$I210&gt;=CK$4,$I210&lt;CK$4+7),IF($K210="Deadline","◇","◆"),"")</f>
        <v/>
      </c>
      <c r="CL210" s="14" t="str">
        <f>IF(AND(ISNUMBER($I210),OR($K210="Milestone",$K210="Deadline"),$I210&gt;=CL$4,$I210&lt;CL$4+7),IF($K210="Deadline","◇","◆"),"")</f>
        <v/>
      </c>
      <c r="CM210" s="14" t="str">
        <f>IF(AND(ISNUMBER($I210),OR($K210="Milestone",$K210="Deadline"),$I210&gt;=CM$4,$I210&lt;CM$4+7),IF($K210="Deadline","◇","◆"),"")</f>
        <v/>
      </c>
    </row>
    <row r="211" spans="1:91" hidden="1">
      <c r="A211" s="47" t="s">
        <v>186</v>
      </c>
      <c r="B211" s="47" t="s">
        <v>458</v>
      </c>
      <c r="C211" s="47" t="s">
        <v>93</v>
      </c>
      <c r="D211" s="47" t="s">
        <v>419</v>
      </c>
      <c r="E211" s="47" t="s">
        <v>169</v>
      </c>
      <c r="F211" s="47" t="s">
        <v>459</v>
      </c>
      <c r="G211" s="47" t="s">
        <v>188</v>
      </c>
      <c r="H211" s="47">
        <v>8</v>
      </c>
      <c r="I211" s="48">
        <f>MAX($C$2,J210+1,J59+1)</f>
        <v>46377</v>
      </c>
      <c r="J211" s="49">
        <f>IF(AND(ISNUMBER(I211),ISNUMBER(H211)),I211+H211-1,"")</f>
        <v>46384</v>
      </c>
      <c r="K211" s="47" t="s">
        <v>27</v>
      </c>
      <c r="L211" s="47" t="s">
        <v>256</v>
      </c>
      <c r="M211" s="50" t="s">
        <v>206</v>
      </c>
      <c r="N211" s="47"/>
      <c r="O211" s="50">
        <f>IF(AND(ISNUMBER(I211),ISNUMBER(J211)),J211-I211+1,"")</f>
        <v>8</v>
      </c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 t="s">
        <v>140</v>
      </c>
      <c r="AG211" s="13"/>
      <c r="AH211" s="13"/>
      <c r="AI211" s="13"/>
      <c r="AJ211" s="13"/>
      <c r="AK211" s="13"/>
      <c r="AL211" s="13"/>
      <c r="AM211" s="13"/>
      <c r="AN211" s="13"/>
      <c r="AO211" s="14" t="str">
        <f>IF(AND(ISNUMBER($I211),OR($K211="Milestone",$K211="Deadline"),$I211&gt;=AO$4,$I211&lt;AO$4+7),IF($K211="Deadline","◇","◆"),"")</f>
        <v/>
      </c>
      <c r="AP211" s="14" t="str">
        <f>IF(AND(ISNUMBER($I211),OR($K211="Milestone",$K211="Deadline"),$I211&gt;=AP$4,$I211&lt;AP$4+7),IF($K211="Deadline","◇","◆"),"")</f>
        <v/>
      </c>
      <c r="AQ211" s="14" t="str">
        <f>IF(AND(ISNUMBER($I211),OR($K211="Milestone",$K211="Deadline"),$I211&gt;=AQ$4,$I211&lt;AQ$4+7),IF($K211="Deadline","◇","◆"),"")</f>
        <v/>
      </c>
      <c r="AR211" s="14" t="str">
        <f>IF(AND(ISNUMBER($I211),OR($K211="Milestone",$K211="Deadline"),$I211&gt;=AR$4,$I211&lt;AR$4+7),IF($K211="Deadline","◇","◆"),"")</f>
        <v/>
      </c>
      <c r="AS211" s="14" t="str">
        <f>IF(AND(ISNUMBER($I211),OR($K211="Milestone",$K211="Deadline"),$I211&gt;=AS$4,$I211&lt;AS$4+7),IF($K211="Deadline","◇","◆"),"")</f>
        <v/>
      </c>
      <c r="AT211" s="14" t="str">
        <f>IF(AND(ISNUMBER($I211),OR($K211="Milestone",$K211="Deadline"),$I211&gt;=AT$4,$I211&lt;AT$4+7),IF($K211="Deadline","◇","◆"),"")</f>
        <v/>
      </c>
      <c r="AU211" s="14" t="str">
        <f>IF(AND(ISNUMBER($I211),OR($K211="Milestone",$K211="Deadline"),$I211&gt;=AU$4,$I211&lt;AU$4+7),IF($K211="Deadline","◇","◆"),"")</f>
        <v/>
      </c>
      <c r="AV211" s="14" t="str">
        <f>IF(AND(ISNUMBER($I211),OR($K211="Milestone",$K211="Deadline"),$I211&gt;=AV$4,$I211&lt;AV$4+7),IF($K211="Deadline","◇","◆"),"")</f>
        <v/>
      </c>
      <c r="AW211" s="14" t="str">
        <f>IF(AND(ISNUMBER($I211),OR($K211="Milestone",$K211="Deadline"),$I211&gt;=AW$4,$I211&lt;AW$4+7),IF($K211="Deadline","◇","◆"),"")</f>
        <v/>
      </c>
      <c r="AX211" s="14" t="str">
        <f>IF(AND(ISNUMBER($I211),OR($K211="Milestone",$K211="Deadline"),$I211&gt;=AX$4,$I211&lt;AX$4+7),IF($K211="Deadline","◇","◆"),"")</f>
        <v/>
      </c>
      <c r="AY211" s="14" t="str">
        <f>IF(AND(ISNUMBER($I211),OR($K211="Milestone",$K211="Deadline"),$I211&gt;=AY$4,$I211&lt;AY$4+7),IF($K211="Deadline","◇","◆"),"")</f>
        <v/>
      </c>
      <c r="AZ211" s="14" t="str">
        <f>IF(AND(ISNUMBER($I211),OR($K211="Milestone",$K211="Deadline"),$I211&gt;=AZ$4,$I211&lt;AZ$4+7),IF($K211="Deadline","◇","◆"),"")</f>
        <v/>
      </c>
      <c r="BA211" s="14" t="str">
        <f>IF(AND(ISNUMBER($I211),OR($K211="Milestone",$K211="Deadline"),$I211&gt;=BA$4,$I211&lt;BA$4+7),IF($K211="Deadline","◇","◆"),"")</f>
        <v/>
      </c>
      <c r="BB211" s="14" t="str">
        <f>IF(AND(ISNUMBER($I211),OR($K211="Milestone",$K211="Deadline"),$I211&gt;=BB$4,$I211&lt;BB$4+7),IF($K211="Deadline","◇","◆"),"")</f>
        <v/>
      </c>
      <c r="BC211" s="14" t="str">
        <f>IF(AND(ISNUMBER($I211),OR($K211="Milestone",$K211="Deadline"),$I211&gt;=BC$4,$I211&lt;BC$4+7),IF($K211="Deadline","◇","◆"),"")</f>
        <v/>
      </c>
      <c r="BD211" s="14" t="str">
        <f>IF(AND(ISNUMBER($I211),OR($K211="Milestone",$K211="Deadline"),$I211&gt;=BD$4,$I211&lt;BD$4+7),IF($K211="Deadline","◇","◆"),"")</f>
        <v/>
      </c>
      <c r="BE211" s="14" t="str">
        <f>IF(AND(ISNUMBER($I211),OR($K211="Milestone",$K211="Deadline"),$I211&gt;=BE$4,$I211&lt;BE$4+7),IF($K211="Deadline","◇","◆"),"")</f>
        <v/>
      </c>
      <c r="BF211" s="14" t="str">
        <f>IF(AND(ISNUMBER($I211),OR($K211="Milestone",$K211="Deadline"),$I211&gt;=BF$4,$I211&lt;BF$4+7),IF($K211="Deadline","◇","◆"),"")</f>
        <v/>
      </c>
      <c r="BG211" s="14" t="str">
        <f>IF(AND(ISNUMBER($I211),OR($K211="Milestone",$K211="Deadline"),$I211&gt;=BG$4,$I211&lt;BG$4+7),IF($K211="Deadline","◇","◆"),"")</f>
        <v/>
      </c>
      <c r="BH211" s="14" t="str">
        <f>IF(AND(ISNUMBER($I211),OR($K211="Milestone",$K211="Deadline"),$I211&gt;=BH$4,$I211&lt;BH$4+7),IF($K211="Deadline","◇","◆"),"")</f>
        <v/>
      </c>
      <c r="BI211" s="14" t="str">
        <f>IF(AND(ISNUMBER($I211),OR($K211="Milestone",$K211="Deadline"),$I211&gt;=BI$4,$I211&lt;BI$4+7),IF($K211="Deadline","◇","◆"),"")</f>
        <v/>
      </c>
      <c r="BJ211" s="14" t="str">
        <f>IF(AND(ISNUMBER($I211),OR($K211="Milestone",$K211="Deadline"),$I211&gt;=BJ$4,$I211&lt;BJ$4+7),IF($K211="Deadline","◇","◆"),"")</f>
        <v/>
      </c>
      <c r="BK211" s="14" t="str">
        <f>IF(AND(ISNUMBER($I211),OR($K211="Milestone",$K211="Deadline"),$I211&gt;=BK$4,$I211&lt;BK$4+7),IF($K211="Deadline","◇","◆"),"")</f>
        <v/>
      </c>
      <c r="BL211" s="14" t="str">
        <f>IF(AND(ISNUMBER($I211),OR($K211="Milestone",$K211="Deadline"),$I211&gt;=BL$4,$I211&lt;BL$4+7),IF($K211="Deadline","◇","◆"),"")</f>
        <v/>
      </c>
      <c r="BM211" s="14" t="str">
        <f>IF(AND(ISNUMBER($I211),OR($K211="Milestone",$K211="Deadline"),$I211&gt;=BM$4,$I211&lt;BM$4+7),IF($K211="Deadline","◇","◆"),"")</f>
        <v/>
      </c>
      <c r="BN211" s="14" t="str">
        <f>IF(AND(ISNUMBER($I211),OR($K211="Milestone",$K211="Deadline"),$I211&gt;=BN$4,$I211&lt;BN$4+7),IF($K211="Deadline","◇","◆"),"")</f>
        <v/>
      </c>
      <c r="BO211" s="14" t="str">
        <f>IF(AND(ISNUMBER($I211),OR($K211="Milestone",$K211="Deadline"),$I211&gt;=BO$4,$I211&lt;BO$4+7),IF($K211="Deadline","◇","◆"),"")</f>
        <v/>
      </c>
      <c r="BP211" s="14" t="str">
        <f>IF(AND(ISNUMBER($I211),OR($K211="Milestone",$K211="Deadline"),$I211&gt;=BP$4,$I211&lt;BP$4+7),IF($K211="Deadline","◇","◆"),"")</f>
        <v/>
      </c>
      <c r="BQ211" s="14" t="str">
        <f>IF(AND(ISNUMBER($I211),OR($K211="Milestone",$K211="Deadline"),$I211&gt;=BQ$4,$I211&lt;BQ$4+7),IF($K211="Deadline","◇","◆"),"")</f>
        <v/>
      </c>
      <c r="BR211" s="14" t="str">
        <f>IF(AND(ISNUMBER($I211),OR($K211="Milestone",$K211="Deadline"),$I211&gt;=BR$4,$I211&lt;BR$4+7),IF($K211="Deadline","◇","◆"),"")</f>
        <v/>
      </c>
      <c r="BS211" s="14" t="str">
        <f>IF(AND(ISNUMBER($I211),OR($K211="Milestone",$K211="Deadline"),$I211&gt;=BS$4,$I211&lt;BS$4+7),IF($K211="Deadline","◇","◆"),"")</f>
        <v/>
      </c>
      <c r="BT211" s="14" t="str">
        <f>IF(AND(ISNUMBER($I211),OR($K211="Milestone",$K211="Deadline"),$I211&gt;=BT$4,$I211&lt;BT$4+7),IF($K211="Deadline","◇","◆"),"")</f>
        <v/>
      </c>
      <c r="BU211" s="14" t="str">
        <f>IF(AND(ISNUMBER($I211),OR($K211="Milestone",$K211="Deadline"),$I211&gt;=BU$4,$I211&lt;BU$4+7),IF($K211="Deadline","◇","◆"),"")</f>
        <v/>
      </c>
      <c r="BV211" s="14" t="str">
        <f>IF(AND(ISNUMBER($I211),OR($K211="Milestone",$K211="Deadline"),$I211&gt;=BV$4,$I211&lt;BV$4+7),IF($K211="Deadline","◇","◆"),"")</f>
        <v/>
      </c>
      <c r="BW211" s="14" t="str">
        <f>IF(AND(ISNUMBER($I211),OR($K211="Milestone",$K211="Deadline"),$I211&gt;=BW$4,$I211&lt;BW$4+7),IF($K211="Deadline","◇","◆"),"")</f>
        <v/>
      </c>
      <c r="BX211" s="14" t="str">
        <f>IF(AND(ISNUMBER($I211),OR($K211="Milestone",$K211="Deadline"),$I211&gt;=BX$4,$I211&lt;BX$4+7),IF($K211="Deadline","◇","◆"),"")</f>
        <v/>
      </c>
      <c r="BY211" s="14" t="str">
        <f>IF(AND(ISNUMBER($I211),OR($K211="Milestone",$K211="Deadline"),$I211&gt;=BY$4,$I211&lt;BY$4+7),IF($K211="Deadline","◇","◆"),"")</f>
        <v/>
      </c>
      <c r="BZ211" s="14" t="str">
        <f>IF(AND(ISNUMBER($I211),OR($K211="Milestone",$K211="Deadline"),$I211&gt;=BZ$4,$I211&lt;BZ$4+7),IF($K211="Deadline","◇","◆"),"")</f>
        <v/>
      </c>
      <c r="CA211" s="14" t="str">
        <f>IF(AND(ISNUMBER($I211),OR($K211="Milestone",$K211="Deadline"),$I211&gt;=CA$4,$I211&lt;CA$4+7),IF($K211="Deadline","◇","◆"),"")</f>
        <v/>
      </c>
      <c r="CB211" s="14" t="str">
        <f>IF(AND(ISNUMBER($I211),OR($K211="Milestone",$K211="Deadline"),$I211&gt;=CB$4,$I211&lt;CB$4+7),IF($K211="Deadline","◇","◆"),"")</f>
        <v/>
      </c>
      <c r="CC211" s="14" t="str">
        <f>IF(AND(ISNUMBER($I211),OR($K211="Milestone",$K211="Deadline"),$I211&gt;=CC$4,$I211&lt;CC$4+7),IF($K211="Deadline","◇","◆"),"")</f>
        <v/>
      </c>
      <c r="CD211" s="14" t="str">
        <f>IF(AND(ISNUMBER($I211),OR($K211="Milestone",$K211="Deadline"),$I211&gt;=CD$4,$I211&lt;CD$4+7),IF($K211="Deadline","◇","◆"),"")</f>
        <v/>
      </c>
      <c r="CE211" s="14" t="str">
        <f>IF(AND(ISNUMBER($I211),OR($K211="Milestone",$K211="Deadline"),$I211&gt;=CE$4,$I211&lt;CE$4+7),IF($K211="Deadline","◇","◆"),"")</f>
        <v/>
      </c>
      <c r="CF211" s="14" t="str">
        <f>IF(AND(ISNUMBER($I211),OR($K211="Milestone",$K211="Deadline"),$I211&gt;=CF$4,$I211&lt;CF$4+7),IF($K211="Deadline","◇","◆"),"")</f>
        <v/>
      </c>
      <c r="CG211" s="14" t="str">
        <f>IF(AND(ISNUMBER($I211),OR($K211="Milestone",$K211="Deadline"),$I211&gt;=CG$4,$I211&lt;CG$4+7),IF($K211="Deadline","◇","◆"),"")</f>
        <v/>
      </c>
      <c r="CH211" s="14" t="str">
        <f>IF(AND(ISNUMBER($I211),OR($K211="Milestone",$K211="Deadline"),$I211&gt;=CH$4,$I211&lt;CH$4+7),IF($K211="Deadline","◇","◆"),"")</f>
        <v/>
      </c>
      <c r="CI211" s="14" t="str">
        <f>IF(AND(ISNUMBER($I211),OR($K211="Milestone",$K211="Deadline"),$I211&gt;=CI$4,$I211&lt;CI$4+7),IF($K211="Deadline","◇","◆"),"")</f>
        <v/>
      </c>
      <c r="CJ211" s="14" t="str">
        <f>IF(AND(ISNUMBER($I211),OR($K211="Milestone",$K211="Deadline"),$I211&gt;=CJ$4,$I211&lt;CJ$4+7),IF($K211="Deadline","◇","◆"),"")</f>
        <v/>
      </c>
      <c r="CK211" s="14" t="str">
        <f>IF(AND(ISNUMBER($I211),OR($K211="Milestone",$K211="Deadline"),$I211&gt;=CK$4,$I211&lt;CK$4+7),IF($K211="Deadline","◇","◆"),"")</f>
        <v/>
      </c>
      <c r="CL211" s="14" t="str">
        <f>IF(AND(ISNUMBER($I211),OR($K211="Milestone",$K211="Deadline"),$I211&gt;=CL$4,$I211&lt;CL$4+7),IF($K211="Deadline","◇","◆"),"")</f>
        <v/>
      </c>
      <c r="CM211" s="14" t="str">
        <f>IF(AND(ISNUMBER($I211),OR($K211="Milestone",$K211="Deadline"),$I211&gt;=CM$4,$I211&lt;CM$4+7),IF($K211="Deadline","◇","◆"),"")</f>
        <v/>
      </c>
    </row>
    <row r="212" spans="1:91" hidden="1">
      <c r="A212" s="47" t="s">
        <v>462</v>
      </c>
      <c r="B212" s="47" t="s">
        <v>458</v>
      </c>
      <c r="C212" s="47" t="s">
        <v>191</v>
      </c>
      <c r="D212" s="47" t="s">
        <v>419</v>
      </c>
      <c r="E212" s="47" t="s">
        <v>169</v>
      </c>
      <c r="F212" s="47" t="s">
        <v>459</v>
      </c>
      <c r="G212" s="47" t="s">
        <v>192</v>
      </c>
      <c r="H212" s="47">
        <v>6</v>
      </c>
      <c r="I212" s="48">
        <f>MAX(DATE(2027,3,1),J211+1,J185+1)</f>
        <v>46467</v>
      </c>
      <c r="J212" s="49">
        <f>IF(AND(ISNUMBER(I212),ISNUMBER(H212)),I212+H212-1,"")</f>
        <v>46472</v>
      </c>
      <c r="K212" s="47" t="s">
        <v>27</v>
      </c>
      <c r="L212" s="47" t="s">
        <v>186</v>
      </c>
      <c r="M212" s="50" t="s">
        <v>424</v>
      </c>
      <c r="N212" s="47"/>
      <c r="O212" s="50">
        <f>IF(AND(ISNUMBER(I212),ISNUMBER(J212)),J212-I212+1,"")</f>
        <v>6</v>
      </c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 t="s">
        <v>140</v>
      </c>
      <c r="AJ212" s="13"/>
      <c r="AK212" s="13"/>
      <c r="AL212" s="13"/>
      <c r="AM212" s="13"/>
      <c r="AN212" s="13"/>
      <c r="AO212" s="14" t="str">
        <f>IF(AND(ISNUMBER($I212),OR($K212="Milestone",$K212="Deadline"),$I212&gt;=AO$4,$I212&lt;AO$4+7),IF($K212="Deadline","◇","◆"),"")</f>
        <v/>
      </c>
      <c r="AP212" s="14" t="str">
        <f>IF(AND(ISNUMBER($I212),OR($K212="Milestone",$K212="Deadline"),$I212&gt;=AP$4,$I212&lt;AP$4+7),IF($K212="Deadline","◇","◆"),"")</f>
        <v/>
      </c>
      <c r="AQ212" s="14" t="str">
        <f>IF(AND(ISNUMBER($I212),OR($K212="Milestone",$K212="Deadline"),$I212&gt;=AQ$4,$I212&lt;AQ$4+7),IF($K212="Deadline","◇","◆"),"")</f>
        <v/>
      </c>
      <c r="AR212" s="14" t="str">
        <f>IF(AND(ISNUMBER($I212),OR($K212="Milestone",$K212="Deadline"),$I212&gt;=AR$4,$I212&lt;AR$4+7),IF($K212="Deadline","◇","◆"),"")</f>
        <v/>
      </c>
      <c r="AS212" s="14" t="str">
        <f>IF(AND(ISNUMBER($I212),OR($K212="Milestone",$K212="Deadline"),$I212&gt;=AS$4,$I212&lt;AS$4+7),IF($K212="Deadline","◇","◆"),"")</f>
        <v/>
      </c>
      <c r="AT212" s="14" t="str">
        <f>IF(AND(ISNUMBER($I212),OR($K212="Milestone",$K212="Deadline"),$I212&gt;=AT$4,$I212&lt;AT$4+7),IF($K212="Deadline","◇","◆"),"")</f>
        <v/>
      </c>
      <c r="AU212" s="14" t="str">
        <f>IF(AND(ISNUMBER($I212),OR($K212="Milestone",$K212="Deadline"),$I212&gt;=AU$4,$I212&lt;AU$4+7),IF($K212="Deadline","◇","◆"),"")</f>
        <v/>
      </c>
      <c r="AV212" s="14" t="str">
        <f>IF(AND(ISNUMBER($I212),OR($K212="Milestone",$K212="Deadline"),$I212&gt;=AV$4,$I212&lt;AV$4+7),IF($K212="Deadline","◇","◆"),"")</f>
        <v/>
      </c>
      <c r="AW212" s="14" t="str">
        <f>IF(AND(ISNUMBER($I212),OR($K212="Milestone",$K212="Deadline"),$I212&gt;=AW$4,$I212&lt;AW$4+7),IF($K212="Deadline","◇","◆"),"")</f>
        <v/>
      </c>
      <c r="AX212" s="14" t="str">
        <f>IF(AND(ISNUMBER($I212),OR($K212="Milestone",$K212="Deadline"),$I212&gt;=AX$4,$I212&lt;AX$4+7),IF($K212="Deadline","◇","◆"),"")</f>
        <v/>
      </c>
      <c r="AY212" s="14" t="str">
        <f>IF(AND(ISNUMBER($I212),OR($K212="Milestone",$K212="Deadline"),$I212&gt;=AY$4,$I212&lt;AY$4+7),IF($K212="Deadline","◇","◆"),"")</f>
        <v/>
      </c>
      <c r="AZ212" s="14" t="str">
        <f>IF(AND(ISNUMBER($I212),OR($K212="Milestone",$K212="Deadline"),$I212&gt;=AZ$4,$I212&lt;AZ$4+7),IF($K212="Deadline","◇","◆"),"")</f>
        <v/>
      </c>
      <c r="BA212" s="14" t="str">
        <f>IF(AND(ISNUMBER($I212),OR($K212="Milestone",$K212="Deadline"),$I212&gt;=BA$4,$I212&lt;BA$4+7),IF($K212="Deadline","◇","◆"),"")</f>
        <v/>
      </c>
      <c r="BB212" s="14" t="str">
        <f>IF(AND(ISNUMBER($I212),OR($K212="Milestone",$K212="Deadline"),$I212&gt;=BB$4,$I212&lt;BB$4+7),IF($K212="Deadline","◇","◆"),"")</f>
        <v/>
      </c>
      <c r="BC212" s="14" t="str">
        <f>IF(AND(ISNUMBER($I212),OR($K212="Milestone",$K212="Deadline"),$I212&gt;=BC$4,$I212&lt;BC$4+7),IF($K212="Deadline","◇","◆"),"")</f>
        <v/>
      </c>
      <c r="BD212" s="14" t="str">
        <f>IF(AND(ISNUMBER($I212),OR($K212="Milestone",$K212="Deadline"),$I212&gt;=BD$4,$I212&lt;BD$4+7),IF($K212="Deadline","◇","◆"),"")</f>
        <v/>
      </c>
      <c r="BE212" s="14" t="str">
        <f>IF(AND(ISNUMBER($I212),OR($K212="Milestone",$K212="Deadline"),$I212&gt;=BE$4,$I212&lt;BE$4+7),IF($K212="Deadline","◇","◆"),"")</f>
        <v/>
      </c>
      <c r="BF212" s="14" t="str">
        <f>IF(AND(ISNUMBER($I212),OR($K212="Milestone",$K212="Deadline"),$I212&gt;=BF$4,$I212&lt;BF$4+7),IF($K212="Deadline","◇","◆"),"")</f>
        <v/>
      </c>
      <c r="BG212" s="14" t="str">
        <f>IF(AND(ISNUMBER($I212),OR($K212="Milestone",$K212="Deadline"),$I212&gt;=BG$4,$I212&lt;BG$4+7),IF($K212="Deadline","◇","◆"),"")</f>
        <v/>
      </c>
      <c r="BH212" s="14" t="str">
        <f>IF(AND(ISNUMBER($I212),OR($K212="Milestone",$K212="Deadline"),$I212&gt;=BH$4,$I212&lt;BH$4+7),IF($K212="Deadline","◇","◆"),"")</f>
        <v/>
      </c>
      <c r="BI212" s="14" t="str">
        <f>IF(AND(ISNUMBER($I212),OR($K212="Milestone",$K212="Deadline"),$I212&gt;=BI$4,$I212&lt;BI$4+7),IF($K212="Deadline","◇","◆"),"")</f>
        <v/>
      </c>
      <c r="BJ212" s="14" t="str">
        <f>IF(AND(ISNUMBER($I212),OR($K212="Milestone",$K212="Deadline"),$I212&gt;=BJ$4,$I212&lt;BJ$4+7),IF($K212="Deadline","◇","◆"),"")</f>
        <v/>
      </c>
      <c r="BK212" s="14" t="str">
        <f>IF(AND(ISNUMBER($I212),OR($K212="Milestone",$K212="Deadline"),$I212&gt;=BK$4,$I212&lt;BK$4+7),IF($K212="Deadline","◇","◆"),"")</f>
        <v/>
      </c>
      <c r="BL212" s="14" t="str">
        <f>IF(AND(ISNUMBER($I212),OR($K212="Milestone",$K212="Deadline"),$I212&gt;=BL$4,$I212&lt;BL$4+7),IF($K212="Deadline","◇","◆"),"")</f>
        <v/>
      </c>
      <c r="BM212" s="14" t="str">
        <f>IF(AND(ISNUMBER($I212),OR($K212="Milestone",$K212="Deadline"),$I212&gt;=BM$4,$I212&lt;BM$4+7),IF($K212="Deadline","◇","◆"),"")</f>
        <v/>
      </c>
      <c r="BN212" s="14" t="str">
        <f>IF(AND(ISNUMBER($I212),OR($K212="Milestone",$K212="Deadline"),$I212&gt;=BN$4,$I212&lt;BN$4+7),IF($K212="Deadline","◇","◆"),"")</f>
        <v/>
      </c>
      <c r="BO212" s="14" t="str">
        <f>IF(AND(ISNUMBER($I212),OR($K212="Milestone",$K212="Deadline"),$I212&gt;=BO$4,$I212&lt;BO$4+7),IF($K212="Deadline","◇","◆"),"")</f>
        <v/>
      </c>
      <c r="BP212" s="14" t="str">
        <f>IF(AND(ISNUMBER($I212),OR($K212="Milestone",$K212="Deadline"),$I212&gt;=BP$4,$I212&lt;BP$4+7),IF($K212="Deadline","◇","◆"),"")</f>
        <v/>
      </c>
      <c r="BQ212" s="14" t="str">
        <f>IF(AND(ISNUMBER($I212),OR($K212="Milestone",$K212="Deadline"),$I212&gt;=BQ$4,$I212&lt;BQ$4+7),IF($K212="Deadline","◇","◆"),"")</f>
        <v/>
      </c>
      <c r="BR212" s="14" t="str">
        <f>IF(AND(ISNUMBER($I212),OR($K212="Milestone",$K212="Deadline"),$I212&gt;=BR$4,$I212&lt;BR$4+7),IF($K212="Deadline","◇","◆"),"")</f>
        <v/>
      </c>
      <c r="BS212" s="14" t="str">
        <f>IF(AND(ISNUMBER($I212),OR($K212="Milestone",$K212="Deadline"),$I212&gt;=BS$4,$I212&lt;BS$4+7),IF($K212="Deadline","◇","◆"),"")</f>
        <v/>
      </c>
      <c r="BT212" s="14" t="str">
        <f>IF(AND(ISNUMBER($I212),OR($K212="Milestone",$K212="Deadline"),$I212&gt;=BT$4,$I212&lt;BT$4+7),IF($K212="Deadline","◇","◆"),"")</f>
        <v/>
      </c>
      <c r="BU212" s="14" t="str">
        <f>IF(AND(ISNUMBER($I212),OR($K212="Milestone",$K212="Deadline"),$I212&gt;=BU$4,$I212&lt;BU$4+7),IF($K212="Deadline","◇","◆"),"")</f>
        <v/>
      </c>
      <c r="BV212" s="14" t="str">
        <f>IF(AND(ISNUMBER($I212),OR($K212="Milestone",$K212="Deadline"),$I212&gt;=BV$4,$I212&lt;BV$4+7),IF($K212="Deadline","◇","◆"),"")</f>
        <v/>
      </c>
      <c r="BW212" s="14" t="str">
        <f>IF(AND(ISNUMBER($I212),OR($K212="Milestone",$K212="Deadline"),$I212&gt;=BW$4,$I212&lt;BW$4+7),IF($K212="Deadline","◇","◆"),"")</f>
        <v/>
      </c>
      <c r="BX212" s="14" t="str">
        <f>IF(AND(ISNUMBER($I212),OR($K212="Milestone",$K212="Deadline"),$I212&gt;=BX$4,$I212&lt;BX$4+7),IF($K212="Deadline","◇","◆"),"")</f>
        <v/>
      </c>
      <c r="BY212" s="14" t="str">
        <f>IF(AND(ISNUMBER($I212),OR($K212="Milestone",$K212="Deadline"),$I212&gt;=BY$4,$I212&lt;BY$4+7),IF($K212="Deadline","◇","◆"),"")</f>
        <v/>
      </c>
      <c r="BZ212" s="14" t="str">
        <f>IF(AND(ISNUMBER($I212),OR($K212="Milestone",$K212="Deadline"),$I212&gt;=BZ$4,$I212&lt;BZ$4+7),IF($K212="Deadline","◇","◆"),"")</f>
        <v/>
      </c>
      <c r="CA212" s="14" t="str">
        <f>IF(AND(ISNUMBER($I212),OR($K212="Milestone",$K212="Deadline"),$I212&gt;=CA$4,$I212&lt;CA$4+7),IF($K212="Deadline","◇","◆"),"")</f>
        <v/>
      </c>
      <c r="CB212" s="14" t="str">
        <f>IF(AND(ISNUMBER($I212),OR($K212="Milestone",$K212="Deadline"),$I212&gt;=CB$4,$I212&lt;CB$4+7),IF($K212="Deadline","◇","◆"),"")</f>
        <v/>
      </c>
      <c r="CC212" s="14" t="str">
        <f>IF(AND(ISNUMBER($I212),OR($K212="Milestone",$K212="Deadline"),$I212&gt;=CC$4,$I212&lt;CC$4+7),IF($K212="Deadline","◇","◆"),"")</f>
        <v/>
      </c>
      <c r="CD212" s="14" t="str">
        <f>IF(AND(ISNUMBER($I212),OR($K212="Milestone",$K212="Deadline"),$I212&gt;=CD$4,$I212&lt;CD$4+7),IF($K212="Deadline","◇","◆"),"")</f>
        <v/>
      </c>
      <c r="CE212" s="14" t="str">
        <f>IF(AND(ISNUMBER($I212),OR($K212="Milestone",$K212="Deadline"),$I212&gt;=CE$4,$I212&lt;CE$4+7),IF($K212="Deadline","◇","◆"),"")</f>
        <v/>
      </c>
      <c r="CF212" s="14" t="str">
        <f>IF(AND(ISNUMBER($I212),OR($K212="Milestone",$K212="Deadline"),$I212&gt;=CF$4,$I212&lt;CF$4+7),IF($K212="Deadline","◇","◆"),"")</f>
        <v/>
      </c>
      <c r="CG212" s="14" t="str">
        <f>IF(AND(ISNUMBER($I212),OR($K212="Milestone",$K212="Deadline"),$I212&gt;=CG$4,$I212&lt;CG$4+7),IF($K212="Deadline","◇","◆"),"")</f>
        <v/>
      </c>
      <c r="CH212" s="14" t="str">
        <f>IF(AND(ISNUMBER($I212),OR($K212="Milestone",$K212="Deadline"),$I212&gt;=CH$4,$I212&lt;CH$4+7),IF($K212="Deadline","◇","◆"),"")</f>
        <v/>
      </c>
      <c r="CI212" s="14" t="str">
        <f>IF(AND(ISNUMBER($I212),OR($K212="Milestone",$K212="Deadline"),$I212&gt;=CI$4,$I212&lt;CI$4+7),IF($K212="Deadline","◇","◆"),"")</f>
        <v/>
      </c>
      <c r="CJ212" s="14" t="str">
        <f>IF(AND(ISNUMBER($I212),OR($K212="Milestone",$K212="Deadline"),$I212&gt;=CJ$4,$I212&lt;CJ$4+7),IF($K212="Deadline","◇","◆"),"")</f>
        <v/>
      </c>
      <c r="CK212" s="14" t="str">
        <f>IF(AND(ISNUMBER($I212),OR($K212="Milestone",$K212="Deadline"),$I212&gt;=CK$4,$I212&lt;CK$4+7),IF($K212="Deadline","◇","◆"),"")</f>
        <v/>
      </c>
      <c r="CL212" s="14" t="str">
        <f>IF(AND(ISNUMBER($I212),OR($K212="Milestone",$K212="Deadline"),$I212&gt;=CL$4,$I212&lt;CL$4+7),IF($K212="Deadline","◇","◆"),"")</f>
        <v/>
      </c>
      <c r="CM212" s="14" t="str">
        <f>IF(AND(ISNUMBER($I212),OR($K212="Milestone",$K212="Deadline"),$I212&gt;=CM$4,$I212&lt;CM$4+7),IF($K212="Deadline","◇","◆"),"")</f>
        <v/>
      </c>
    </row>
    <row r="213" spans="1:91">
      <c r="A213" s="47" t="s">
        <v>452</v>
      </c>
      <c r="B213" s="47" t="s">
        <v>458</v>
      </c>
      <c r="C213" s="47" t="s">
        <v>93</v>
      </c>
      <c r="D213" s="47" t="s">
        <v>419</v>
      </c>
      <c r="E213" s="47" t="s">
        <v>281</v>
      </c>
      <c r="F213" s="47" t="s">
        <v>302</v>
      </c>
      <c r="G213" s="47" t="s">
        <v>198</v>
      </c>
      <c r="H213" s="47">
        <v>14</v>
      </c>
      <c r="I213" s="48">
        <f>MAX($C$2,J180+1)</f>
        <v>46349</v>
      </c>
      <c r="J213" s="49">
        <f>IF(AND(ISNUMBER(I213),ISNUMBER(H213)),I213+H213-1,"")</f>
        <v>46362</v>
      </c>
      <c r="K213" s="47" t="s">
        <v>27</v>
      </c>
      <c r="L213" s="47"/>
      <c r="M213" s="50" t="s">
        <v>417</v>
      </c>
      <c r="N213" s="47"/>
      <c r="O213" s="50">
        <f>IF(AND(ISNUMBER(I213),ISNUMBER(J213)),J213-I213+1,"")</f>
        <v>14</v>
      </c>
      <c r="P213" s="13"/>
      <c r="Q213" s="13"/>
      <c r="R213" s="13" t="s">
        <v>140</v>
      </c>
      <c r="S213" s="13"/>
      <c r="T213" s="13"/>
      <c r="U213" s="13" t="s">
        <v>140</v>
      </c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4" t="str">
        <f>IF(AND(ISNUMBER($I213),OR($K213="Milestone",$K213="Deadline"),$I213&gt;=AO$4,$I213&lt;AO$4+7),IF($K213="Deadline","◇","◆"),"")</f>
        <v/>
      </c>
      <c r="AP213" s="14" t="str">
        <f>IF(AND(ISNUMBER($I213),OR($K213="Milestone",$K213="Deadline"),$I213&gt;=AP$4,$I213&lt;AP$4+7),IF($K213="Deadline","◇","◆"),"")</f>
        <v/>
      </c>
      <c r="AQ213" s="14" t="str">
        <f>IF(AND(ISNUMBER($I213),OR($K213="Milestone",$K213="Deadline"),$I213&gt;=AQ$4,$I213&lt;AQ$4+7),IF($K213="Deadline","◇","◆"),"")</f>
        <v/>
      </c>
      <c r="AR213" s="14" t="str">
        <f>IF(AND(ISNUMBER($I213),OR($K213="Milestone",$K213="Deadline"),$I213&gt;=AR$4,$I213&lt;AR$4+7),IF($K213="Deadline","◇","◆"),"")</f>
        <v/>
      </c>
      <c r="AS213" s="14" t="str">
        <f>IF(AND(ISNUMBER($I213),OR($K213="Milestone",$K213="Deadline"),$I213&gt;=AS$4,$I213&lt;AS$4+7),IF($K213="Deadline","◇","◆"),"")</f>
        <v/>
      </c>
      <c r="AT213" s="14" t="str">
        <f>IF(AND(ISNUMBER($I213),OR($K213="Milestone",$K213="Deadline"),$I213&gt;=AT$4,$I213&lt;AT$4+7),IF($K213="Deadline","◇","◆"),"")</f>
        <v/>
      </c>
      <c r="AU213" s="14" t="str">
        <f>IF(AND(ISNUMBER($I213),OR($K213="Milestone",$K213="Deadline"),$I213&gt;=AU$4,$I213&lt;AU$4+7),IF($K213="Deadline","◇","◆"),"")</f>
        <v/>
      </c>
      <c r="AV213" s="14" t="str">
        <f>IF(AND(ISNUMBER($I213),OR($K213="Milestone",$K213="Deadline"),$I213&gt;=AV$4,$I213&lt;AV$4+7),IF($K213="Deadline","◇","◆"),"")</f>
        <v/>
      </c>
      <c r="AW213" s="14" t="str">
        <f>IF(AND(ISNUMBER($I213),OR($K213="Milestone",$K213="Deadline"),$I213&gt;=AW$4,$I213&lt;AW$4+7),IF($K213="Deadline","◇","◆"),"")</f>
        <v/>
      </c>
      <c r="AX213" s="14" t="str">
        <f>IF(AND(ISNUMBER($I213),OR($K213="Milestone",$K213="Deadline"),$I213&gt;=AX$4,$I213&lt;AX$4+7),IF($K213="Deadline","◇","◆"),"")</f>
        <v/>
      </c>
      <c r="AY213" s="14" t="str">
        <f>IF(AND(ISNUMBER($I213),OR($K213="Milestone",$K213="Deadline"),$I213&gt;=AY$4,$I213&lt;AY$4+7),IF($K213="Deadline","◇","◆"),"")</f>
        <v/>
      </c>
      <c r="AZ213" s="14" t="str">
        <f>IF(AND(ISNUMBER($I213),OR($K213="Milestone",$K213="Deadline"),$I213&gt;=AZ$4,$I213&lt;AZ$4+7),IF($K213="Deadline","◇","◆"),"")</f>
        <v/>
      </c>
      <c r="BA213" s="14" t="str">
        <f>IF(AND(ISNUMBER($I213),OR($K213="Milestone",$K213="Deadline"),$I213&gt;=BA$4,$I213&lt;BA$4+7),IF($K213="Deadline","◇","◆"),"")</f>
        <v/>
      </c>
      <c r="BB213" s="14" t="str">
        <f>IF(AND(ISNUMBER($I213),OR($K213="Milestone",$K213="Deadline"),$I213&gt;=BB$4,$I213&lt;BB$4+7),IF($K213="Deadline","◇","◆"),"")</f>
        <v/>
      </c>
      <c r="BC213" s="14" t="str">
        <f>IF(AND(ISNUMBER($I213),OR($K213="Milestone",$K213="Deadline"),$I213&gt;=BC$4,$I213&lt;BC$4+7),IF($K213="Deadline","◇","◆"),"")</f>
        <v/>
      </c>
      <c r="BD213" s="14" t="str">
        <f>IF(AND(ISNUMBER($I213),OR($K213="Milestone",$K213="Deadline"),$I213&gt;=BD$4,$I213&lt;BD$4+7),IF($K213="Deadline","◇","◆"),"")</f>
        <v/>
      </c>
      <c r="BE213" s="14" t="str">
        <f>IF(AND(ISNUMBER($I213),OR($K213="Milestone",$K213="Deadline"),$I213&gt;=BE$4,$I213&lt;BE$4+7),IF($K213="Deadline","◇","◆"),"")</f>
        <v/>
      </c>
      <c r="BF213" s="14" t="str">
        <f>IF(AND(ISNUMBER($I213),OR($K213="Milestone",$K213="Deadline"),$I213&gt;=BF$4,$I213&lt;BF$4+7),IF($K213="Deadline","◇","◆"),"")</f>
        <v/>
      </c>
      <c r="BG213" s="14" t="str">
        <f>IF(AND(ISNUMBER($I213),OR($K213="Milestone",$K213="Deadline"),$I213&gt;=BG$4,$I213&lt;BG$4+7),IF($K213="Deadline","◇","◆"),"")</f>
        <v/>
      </c>
      <c r="BH213" s="14" t="str">
        <f>IF(AND(ISNUMBER($I213),OR($K213="Milestone",$K213="Deadline"),$I213&gt;=BH$4,$I213&lt;BH$4+7),IF($K213="Deadline","◇","◆"),"")</f>
        <v/>
      </c>
      <c r="BI213" s="14" t="str">
        <f>IF(AND(ISNUMBER($I213),OR($K213="Milestone",$K213="Deadline"),$I213&gt;=BI$4,$I213&lt;BI$4+7),IF($K213="Deadline","◇","◆"),"")</f>
        <v/>
      </c>
      <c r="BJ213" s="14" t="str">
        <f>IF(AND(ISNUMBER($I213),OR($K213="Milestone",$K213="Deadline"),$I213&gt;=BJ$4,$I213&lt;BJ$4+7),IF($K213="Deadline","◇","◆"),"")</f>
        <v/>
      </c>
      <c r="BK213" s="14" t="str">
        <f>IF(AND(ISNUMBER($I213),OR($K213="Milestone",$K213="Deadline"),$I213&gt;=BK$4,$I213&lt;BK$4+7),IF($K213="Deadline","◇","◆"),"")</f>
        <v/>
      </c>
      <c r="BL213" s="14" t="str">
        <f>IF(AND(ISNUMBER($I213),OR($K213="Milestone",$K213="Deadline"),$I213&gt;=BL$4,$I213&lt;BL$4+7),IF($K213="Deadline","◇","◆"),"")</f>
        <v/>
      </c>
      <c r="BM213" s="14" t="str">
        <f>IF(AND(ISNUMBER($I213),OR($K213="Milestone",$K213="Deadline"),$I213&gt;=BM$4,$I213&lt;BM$4+7),IF($K213="Deadline","◇","◆"),"")</f>
        <v/>
      </c>
      <c r="BN213" s="14" t="str">
        <f>IF(AND(ISNUMBER($I213),OR($K213="Milestone",$K213="Deadline"),$I213&gt;=BN$4,$I213&lt;BN$4+7),IF($K213="Deadline","◇","◆"),"")</f>
        <v/>
      </c>
      <c r="BO213" s="14" t="str">
        <f>IF(AND(ISNUMBER($I213),OR($K213="Milestone",$K213="Deadline"),$I213&gt;=BO$4,$I213&lt;BO$4+7),IF($K213="Deadline","◇","◆"),"")</f>
        <v/>
      </c>
      <c r="BP213" s="14" t="str">
        <f>IF(AND(ISNUMBER($I213),OR($K213="Milestone",$K213="Deadline"),$I213&gt;=BP$4,$I213&lt;BP$4+7),IF($K213="Deadline","◇","◆"),"")</f>
        <v/>
      </c>
      <c r="BQ213" s="14" t="str">
        <f>IF(AND(ISNUMBER($I213),OR($K213="Milestone",$K213="Deadline"),$I213&gt;=BQ$4,$I213&lt;BQ$4+7),IF($K213="Deadline","◇","◆"),"")</f>
        <v/>
      </c>
      <c r="BR213" s="14" t="str">
        <f>IF(AND(ISNUMBER($I213),OR($K213="Milestone",$K213="Deadline"),$I213&gt;=BR$4,$I213&lt;BR$4+7),IF($K213="Deadline","◇","◆"),"")</f>
        <v/>
      </c>
      <c r="BS213" s="14" t="str">
        <f>IF(AND(ISNUMBER($I213),OR($K213="Milestone",$K213="Deadline"),$I213&gt;=BS$4,$I213&lt;BS$4+7),IF($K213="Deadline","◇","◆"),"")</f>
        <v/>
      </c>
      <c r="BT213" s="14" t="str">
        <f>IF(AND(ISNUMBER($I213),OR($K213="Milestone",$K213="Deadline"),$I213&gt;=BT$4,$I213&lt;BT$4+7),IF($K213="Deadline","◇","◆"),"")</f>
        <v/>
      </c>
      <c r="BU213" s="14" t="str">
        <f>IF(AND(ISNUMBER($I213),OR($K213="Milestone",$K213="Deadline"),$I213&gt;=BU$4,$I213&lt;BU$4+7),IF($K213="Deadline","◇","◆"),"")</f>
        <v/>
      </c>
      <c r="BV213" s="14" t="str">
        <f>IF(AND(ISNUMBER($I213),OR($K213="Milestone",$K213="Deadline"),$I213&gt;=BV$4,$I213&lt;BV$4+7),IF($K213="Deadline","◇","◆"),"")</f>
        <v/>
      </c>
      <c r="BW213" s="14" t="str">
        <f>IF(AND(ISNUMBER($I213),OR($K213="Milestone",$K213="Deadline"),$I213&gt;=BW$4,$I213&lt;BW$4+7),IF($K213="Deadline","◇","◆"),"")</f>
        <v/>
      </c>
      <c r="BX213" s="14" t="str">
        <f>IF(AND(ISNUMBER($I213),OR($K213="Milestone",$K213="Deadline"),$I213&gt;=BX$4,$I213&lt;BX$4+7),IF($K213="Deadline","◇","◆"),"")</f>
        <v/>
      </c>
      <c r="BY213" s="14" t="str">
        <f>IF(AND(ISNUMBER($I213),OR($K213="Milestone",$K213="Deadline"),$I213&gt;=BY$4,$I213&lt;BY$4+7),IF($K213="Deadline","◇","◆"),"")</f>
        <v/>
      </c>
      <c r="BZ213" s="14" t="str">
        <f>IF(AND(ISNUMBER($I213),OR($K213="Milestone",$K213="Deadline"),$I213&gt;=BZ$4,$I213&lt;BZ$4+7),IF($K213="Deadline","◇","◆"),"")</f>
        <v/>
      </c>
      <c r="CA213" s="14" t="str">
        <f>IF(AND(ISNUMBER($I213),OR($K213="Milestone",$K213="Deadline"),$I213&gt;=CA$4,$I213&lt;CA$4+7),IF($K213="Deadline","◇","◆"),"")</f>
        <v/>
      </c>
      <c r="CB213" s="14" t="str">
        <f>IF(AND(ISNUMBER($I213),OR($K213="Milestone",$K213="Deadline"),$I213&gt;=CB$4,$I213&lt;CB$4+7),IF($K213="Deadline","◇","◆"),"")</f>
        <v/>
      </c>
      <c r="CC213" s="14" t="str">
        <f>IF(AND(ISNUMBER($I213),OR($K213="Milestone",$K213="Deadline"),$I213&gt;=CC$4,$I213&lt;CC$4+7),IF($K213="Deadline","◇","◆"),"")</f>
        <v/>
      </c>
      <c r="CD213" s="14" t="str">
        <f>IF(AND(ISNUMBER($I213),OR($K213="Milestone",$K213="Deadline"),$I213&gt;=CD$4,$I213&lt;CD$4+7),IF($K213="Deadline","◇","◆"),"")</f>
        <v/>
      </c>
      <c r="CE213" s="14" t="str">
        <f>IF(AND(ISNUMBER($I213),OR($K213="Milestone",$K213="Deadline"),$I213&gt;=CE$4,$I213&lt;CE$4+7),IF($K213="Deadline","◇","◆"),"")</f>
        <v/>
      </c>
      <c r="CF213" s="14" t="str">
        <f>IF(AND(ISNUMBER($I213),OR($K213="Milestone",$K213="Deadline"),$I213&gt;=CF$4,$I213&lt;CF$4+7),IF($K213="Deadline","◇","◆"),"")</f>
        <v/>
      </c>
      <c r="CG213" s="14" t="str">
        <f>IF(AND(ISNUMBER($I213),OR($K213="Milestone",$K213="Deadline"),$I213&gt;=CG$4,$I213&lt;CG$4+7),IF($K213="Deadline","◇","◆"),"")</f>
        <v/>
      </c>
      <c r="CH213" s="14" t="str">
        <f>IF(AND(ISNUMBER($I213),OR($K213="Milestone",$K213="Deadline"),$I213&gt;=CH$4,$I213&lt;CH$4+7),IF($K213="Deadline","◇","◆"),"")</f>
        <v/>
      </c>
      <c r="CI213" s="14" t="str">
        <f>IF(AND(ISNUMBER($I213),OR($K213="Milestone",$K213="Deadline"),$I213&gt;=CI$4,$I213&lt;CI$4+7),IF($K213="Deadline","◇","◆"),"")</f>
        <v/>
      </c>
      <c r="CJ213" s="14" t="str">
        <f>IF(AND(ISNUMBER($I213),OR($K213="Milestone",$K213="Deadline"),$I213&gt;=CJ$4,$I213&lt;CJ$4+7),IF($K213="Deadline","◇","◆"),"")</f>
        <v/>
      </c>
      <c r="CK213" s="14" t="str">
        <f>IF(AND(ISNUMBER($I213),OR($K213="Milestone",$K213="Deadline"),$I213&gt;=CK$4,$I213&lt;CK$4+7),IF($K213="Deadline","◇","◆"),"")</f>
        <v/>
      </c>
      <c r="CL213" s="14" t="str">
        <f>IF(AND(ISNUMBER($I213),OR($K213="Milestone",$K213="Deadline"),$I213&gt;=CL$4,$I213&lt;CL$4+7),IF($K213="Deadline","◇","◆"),"")</f>
        <v/>
      </c>
      <c r="CM213" s="14" t="str">
        <f>IF(AND(ISNUMBER($I213),OR($K213="Milestone",$K213="Deadline"),$I213&gt;=CM$4,$I213&lt;CM$4+7),IF($K213="Deadline","◇","◆"),"")</f>
        <v/>
      </c>
    </row>
    <row r="214" spans="1:91" hidden="1">
      <c r="A214" s="47" t="s">
        <v>463</v>
      </c>
      <c r="B214" s="47" t="s">
        <v>458</v>
      </c>
      <c r="C214" s="47" t="s">
        <v>93</v>
      </c>
      <c r="D214" s="47" t="s">
        <v>419</v>
      </c>
      <c r="E214" s="47" t="s">
        <v>281</v>
      </c>
      <c r="F214" s="47" t="s">
        <v>179</v>
      </c>
      <c r="G214" s="47" t="s">
        <v>173</v>
      </c>
      <c r="H214" s="47">
        <v>14</v>
      </c>
      <c r="I214" s="48">
        <f>MAX($C$2,I213)</f>
        <v>46349</v>
      </c>
      <c r="J214" s="49">
        <f>IF(AND(ISNUMBER(I214),ISNUMBER(H214)),I214+H214-1,"")</f>
        <v>46362</v>
      </c>
      <c r="K214" s="47" t="s">
        <v>27</v>
      </c>
      <c r="L214" s="47" t="s">
        <v>464</v>
      </c>
      <c r="M214" s="50"/>
      <c r="N214" s="47"/>
      <c r="O214" s="50">
        <f>IF(AND(ISNUMBER(I214),ISNUMBER(J214)),J214-I214+1,"")</f>
        <v>14</v>
      </c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4" t="str">
        <f>IF(AND(ISNUMBER($I214),OR($K214="Milestone",$K214="Deadline"),$I214&gt;=AO$4,$I214&lt;AO$4+7),IF($K214="Deadline","◇","◆"),"")</f>
        <v/>
      </c>
      <c r="AP214" s="14" t="str">
        <f>IF(AND(ISNUMBER($I214),OR($K214="Milestone",$K214="Deadline"),$I214&gt;=AP$4,$I214&lt;AP$4+7),IF($K214="Deadline","◇","◆"),"")</f>
        <v/>
      </c>
      <c r="AQ214" s="14" t="str">
        <f>IF(AND(ISNUMBER($I214),OR($K214="Milestone",$K214="Deadline"),$I214&gt;=AQ$4,$I214&lt;AQ$4+7),IF($K214="Deadline","◇","◆"),"")</f>
        <v/>
      </c>
      <c r="AR214" s="14" t="str">
        <f>IF(AND(ISNUMBER($I214),OR($K214="Milestone",$K214="Deadline"),$I214&gt;=AR$4,$I214&lt;AR$4+7),IF($K214="Deadline","◇","◆"),"")</f>
        <v/>
      </c>
      <c r="AS214" s="14" t="str">
        <f>IF(AND(ISNUMBER($I214),OR($K214="Milestone",$K214="Deadline"),$I214&gt;=AS$4,$I214&lt;AS$4+7),IF($K214="Deadline","◇","◆"),"")</f>
        <v/>
      </c>
      <c r="AT214" s="14" t="str">
        <f>IF(AND(ISNUMBER($I214),OR($K214="Milestone",$K214="Deadline"),$I214&gt;=AT$4,$I214&lt;AT$4+7),IF($K214="Deadline","◇","◆"),"")</f>
        <v/>
      </c>
      <c r="AU214" s="14" t="str">
        <f>IF(AND(ISNUMBER($I214),OR($K214="Milestone",$K214="Deadline"),$I214&gt;=AU$4,$I214&lt;AU$4+7),IF($K214="Deadline","◇","◆"),"")</f>
        <v/>
      </c>
      <c r="AV214" s="14" t="str">
        <f>IF(AND(ISNUMBER($I214),OR($K214="Milestone",$K214="Deadline"),$I214&gt;=AV$4,$I214&lt;AV$4+7),IF($K214="Deadline","◇","◆"),"")</f>
        <v/>
      </c>
      <c r="AW214" s="14" t="str">
        <f>IF(AND(ISNUMBER($I214),OR($K214="Milestone",$K214="Deadline"),$I214&gt;=AW$4,$I214&lt;AW$4+7),IF($K214="Deadline","◇","◆"),"")</f>
        <v/>
      </c>
      <c r="AX214" s="14" t="str">
        <f>IF(AND(ISNUMBER($I214),OR($K214="Milestone",$K214="Deadline"),$I214&gt;=AX$4,$I214&lt;AX$4+7),IF($K214="Deadline","◇","◆"),"")</f>
        <v/>
      </c>
      <c r="AY214" s="14" t="str">
        <f>IF(AND(ISNUMBER($I214),OR($K214="Milestone",$K214="Deadline"),$I214&gt;=AY$4,$I214&lt;AY$4+7),IF($K214="Deadline","◇","◆"),"")</f>
        <v/>
      </c>
      <c r="AZ214" s="14" t="str">
        <f>IF(AND(ISNUMBER($I214),OR($K214="Milestone",$K214="Deadline"),$I214&gt;=AZ$4,$I214&lt;AZ$4+7),IF($K214="Deadline","◇","◆"),"")</f>
        <v/>
      </c>
      <c r="BA214" s="14" t="str">
        <f>IF(AND(ISNUMBER($I214),OR($K214="Milestone",$K214="Deadline"),$I214&gt;=BA$4,$I214&lt;BA$4+7),IF($K214="Deadline","◇","◆"),"")</f>
        <v/>
      </c>
      <c r="BB214" s="14" t="str">
        <f>IF(AND(ISNUMBER($I214),OR($K214="Milestone",$K214="Deadline"),$I214&gt;=BB$4,$I214&lt;BB$4+7),IF($K214="Deadline","◇","◆"),"")</f>
        <v/>
      </c>
      <c r="BC214" s="14" t="str">
        <f>IF(AND(ISNUMBER($I214),OR($K214="Milestone",$K214="Deadline"),$I214&gt;=BC$4,$I214&lt;BC$4+7),IF($K214="Deadline","◇","◆"),"")</f>
        <v/>
      </c>
      <c r="BD214" s="14" t="str">
        <f>IF(AND(ISNUMBER($I214),OR($K214="Milestone",$K214="Deadline"),$I214&gt;=BD$4,$I214&lt;BD$4+7),IF($K214="Deadline","◇","◆"),"")</f>
        <v/>
      </c>
      <c r="BE214" s="14" t="str">
        <f>IF(AND(ISNUMBER($I214),OR($K214="Milestone",$K214="Deadline"),$I214&gt;=BE$4,$I214&lt;BE$4+7),IF($K214="Deadline","◇","◆"),"")</f>
        <v/>
      </c>
      <c r="BF214" s="14" t="str">
        <f>IF(AND(ISNUMBER($I214),OR($K214="Milestone",$K214="Deadline"),$I214&gt;=BF$4,$I214&lt;BF$4+7),IF($K214="Deadline","◇","◆"),"")</f>
        <v/>
      </c>
      <c r="BG214" s="14" t="str">
        <f>IF(AND(ISNUMBER($I214),OR($K214="Milestone",$K214="Deadline"),$I214&gt;=BG$4,$I214&lt;BG$4+7),IF($K214="Deadline","◇","◆"),"")</f>
        <v/>
      </c>
      <c r="BH214" s="14" t="str">
        <f>IF(AND(ISNUMBER($I214),OR($K214="Milestone",$K214="Deadline"),$I214&gt;=BH$4,$I214&lt;BH$4+7),IF($K214="Deadline","◇","◆"),"")</f>
        <v/>
      </c>
      <c r="BI214" s="14" t="str">
        <f>IF(AND(ISNUMBER($I214),OR($K214="Milestone",$K214="Deadline"),$I214&gt;=BI$4,$I214&lt;BI$4+7),IF($K214="Deadline","◇","◆"),"")</f>
        <v/>
      </c>
      <c r="BJ214" s="14" t="str">
        <f>IF(AND(ISNUMBER($I214),OR($K214="Milestone",$K214="Deadline"),$I214&gt;=BJ$4,$I214&lt;BJ$4+7),IF($K214="Deadline","◇","◆"),"")</f>
        <v/>
      </c>
      <c r="BK214" s="14" t="str">
        <f>IF(AND(ISNUMBER($I214),OR($K214="Milestone",$K214="Deadline"),$I214&gt;=BK$4,$I214&lt;BK$4+7),IF($K214="Deadline","◇","◆"),"")</f>
        <v/>
      </c>
      <c r="BL214" s="14" t="str">
        <f>IF(AND(ISNUMBER($I214),OR($K214="Milestone",$K214="Deadline"),$I214&gt;=BL$4,$I214&lt;BL$4+7),IF($K214="Deadline","◇","◆"),"")</f>
        <v/>
      </c>
      <c r="BM214" s="14" t="str">
        <f>IF(AND(ISNUMBER($I214),OR($K214="Milestone",$K214="Deadline"),$I214&gt;=BM$4,$I214&lt;BM$4+7),IF($K214="Deadline","◇","◆"),"")</f>
        <v/>
      </c>
      <c r="BN214" s="14" t="str">
        <f>IF(AND(ISNUMBER($I214),OR($K214="Milestone",$K214="Deadline"),$I214&gt;=BN$4,$I214&lt;BN$4+7),IF($K214="Deadline","◇","◆"),"")</f>
        <v/>
      </c>
      <c r="BO214" s="14" t="str">
        <f>IF(AND(ISNUMBER($I214),OR($K214="Milestone",$K214="Deadline"),$I214&gt;=BO$4,$I214&lt;BO$4+7),IF($K214="Deadline","◇","◆"),"")</f>
        <v/>
      </c>
      <c r="BP214" s="14" t="str">
        <f>IF(AND(ISNUMBER($I214),OR($K214="Milestone",$K214="Deadline"),$I214&gt;=BP$4,$I214&lt;BP$4+7),IF($K214="Deadline","◇","◆"),"")</f>
        <v/>
      </c>
      <c r="BQ214" s="14" t="str">
        <f>IF(AND(ISNUMBER($I214),OR($K214="Milestone",$K214="Deadline"),$I214&gt;=BQ$4,$I214&lt;BQ$4+7),IF($K214="Deadline","◇","◆"),"")</f>
        <v/>
      </c>
      <c r="BR214" s="14" t="str">
        <f>IF(AND(ISNUMBER($I214),OR($K214="Milestone",$K214="Deadline"),$I214&gt;=BR$4,$I214&lt;BR$4+7),IF($K214="Deadline","◇","◆"),"")</f>
        <v/>
      </c>
      <c r="BS214" s="14" t="str">
        <f>IF(AND(ISNUMBER($I214),OR($K214="Milestone",$K214="Deadline"),$I214&gt;=BS$4,$I214&lt;BS$4+7),IF($K214="Deadline","◇","◆"),"")</f>
        <v/>
      </c>
      <c r="BT214" s="14" t="str">
        <f>IF(AND(ISNUMBER($I214),OR($K214="Milestone",$K214="Deadline"),$I214&gt;=BT$4,$I214&lt;BT$4+7),IF($K214="Deadline","◇","◆"),"")</f>
        <v/>
      </c>
      <c r="BU214" s="14" t="str">
        <f>IF(AND(ISNUMBER($I214),OR($K214="Milestone",$K214="Deadline"),$I214&gt;=BU$4,$I214&lt;BU$4+7),IF($K214="Deadline","◇","◆"),"")</f>
        <v/>
      </c>
      <c r="BV214" s="14" t="str">
        <f>IF(AND(ISNUMBER($I214),OR($K214="Milestone",$K214="Deadline"),$I214&gt;=BV$4,$I214&lt;BV$4+7),IF($K214="Deadline","◇","◆"),"")</f>
        <v/>
      </c>
      <c r="BW214" s="14" t="str">
        <f>IF(AND(ISNUMBER($I214),OR($K214="Milestone",$K214="Deadline"),$I214&gt;=BW$4,$I214&lt;BW$4+7),IF($K214="Deadline","◇","◆"),"")</f>
        <v/>
      </c>
      <c r="BX214" s="14" t="str">
        <f>IF(AND(ISNUMBER($I214),OR($K214="Milestone",$K214="Deadline"),$I214&gt;=BX$4,$I214&lt;BX$4+7),IF($K214="Deadline","◇","◆"),"")</f>
        <v/>
      </c>
      <c r="BY214" s="14" t="str">
        <f>IF(AND(ISNUMBER($I214),OR($K214="Milestone",$K214="Deadline"),$I214&gt;=BY$4,$I214&lt;BY$4+7),IF($K214="Deadline","◇","◆"),"")</f>
        <v/>
      </c>
      <c r="BZ214" s="14" t="str">
        <f>IF(AND(ISNUMBER($I214),OR($K214="Milestone",$K214="Deadline"),$I214&gt;=BZ$4,$I214&lt;BZ$4+7),IF($K214="Deadline","◇","◆"),"")</f>
        <v/>
      </c>
      <c r="CA214" s="14" t="str">
        <f>IF(AND(ISNUMBER($I214),OR($K214="Milestone",$K214="Deadline"),$I214&gt;=CA$4,$I214&lt;CA$4+7),IF($K214="Deadline","◇","◆"),"")</f>
        <v/>
      </c>
      <c r="CB214" s="14" t="str">
        <f>IF(AND(ISNUMBER($I214),OR($K214="Milestone",$K214="Deadline"),$I214&gt;=CB$4,$I214&lt;CB$4+7),IF($K214="Deadline","◇","◆"),"")</f>
        <v/>
      </c>
      <c r="CC214" s="14" t="str">
        <f>IF(AND(ISNUMBER($I214),OR($K214="Milestone",$K214="Deadline"),$I214&gt;=CC$4,$I214&lt;CC$4+7),IF($K214="Deadline","◇","◆"),"")</f>
        <v/>
      </c>
      <c r="CD214" s="14" t="str">
        <f>IF(AND(ISNUMBER($I214),OR($K214="Milestone",$K214="Deadline"),$I214&gt;=CD$4,$I214&lt;CD$4+7),IF($K214="Deadline","◇","◆"),"")</f>
        <v/>
      </c>
      <c r="CE214" s="14" t="str">
        <f>IF(AND(ISNUMBER($I214),OR($K214="Milestone",$K214="Deadline"),$I214&gt;=CE$4,$I214&lt;CE$4+7),IF($K214="Deadline","◇","◆"),"")</f>
        <v/>
      </c>
      <c r="CF214" s="14" t="str">
        <f>IF(AND(ISNUMBER($I214),OR($K214="Milestone",$K214="Deadline"),$I214&gt;=CF$4,$I214&lt;CF$4+7),IF($K214="Deadline","◇","◆"),"")</f>
        <v/>
      </c>
      <c r="CG214" s="14" t="str">
        <f>IF(AND(ISNUMBER($I214),OR($K214="Milestone",$K214="Deadline"),$I214&gt;=CG$4,$I214&lt;CG$4+7),IF($K214="Deadline","◇","◆"),"")</f>
        <v/>
      </c>
      <c r="CH214" s="14" t="str">
        <f>IF(AND(ISNUMBER($I214),OR($K214="Milestone",$K214="Deadline"),$I214&gt;=CH$4,$I214&lt;CH$4+7),IF($K214="Deadline","◇","◆"),"")</f>
        <v/>
      </c>
      <c r="CI214" s="14" t="str">
        <f>IF(AND(ISNUMBER($I214),OR($K214="Milestone",$K214="Deadline"),$I214&gt;=CI$4,$I214&lt;CI$4+7),IF($K214="Deadline","◇","◆"),"")</f>
        <v/>
      </c>
      <c r="CJ214" s="14" t="str">
        <f>IF(AND(ISNUMBER($I214),OR($K214="Milestone",$K214="Deadline"),$I214&gt;=CJ$4,$I214&lt;CJ$4+7),IF($K214="Deadline","◇","◆"),"")</f>
        <v/>
      </c>
      <c r="CK214" s="14" t="str">
        <f>IF(AND(ISNUMBER($I214),OR($K214="Milestone",$K214="Deadline"),$I214&gt;=CK$4,$I214&lt;CK$4+7),IF($K214="Deadline","◇","◆"),"")</f>
        <v/>
      </c>
      <c r="CL214" s="14" t="str">
        <f>IF(AND(ISNUMBER($I214),OR($K214="Milestone",$K214="Deadline"),$I214&gt;=CL$4,$I214&lt;CL$4+7),IF($K214="Deadline","◇","◆"),"")</f>
        <v/>
      </c>
      <c r="CM214" s="14" t="str">
        <f>IF(AND(ISNUMBER($I214),OR($K214="Milestone",$K214="Deadline"),$I214&gt;=CM$4,$I214&lt;CM$4+7),IF($K214="Deadline","◇","◆"),"")</f>
        <v/>
      </c>
    </row>
    <row r="215" spans="1:91" hidden="1">
      <c r="A215" s="47" t="s">
        <v>154</v>
      </c>
      <c r="B215" s="47" t="s">
        <v>458</v>
      </c>
      <c r="C215" s="47" t="s">
        <v>93</v>
      </c>
      <c r="D215" s="47" t="s">
        <v>419</v>
      </c>
      <c r="E215" s="47" t="s">
        <v>281</v>
      </c>
      <c r="F215" s="47" t="s">
        <v>179</v>
      </c>
      <c r="G215" s="47" t="s">
        <v>427</v>
      </c>
      <c r="H215" s="47">
        <v>14</v>
      </c>
      <c r="I215" s="48">
        <f>MAX($C$2,J20+1,J33+1)</f>
        <v>46342</v>
      </c>
      <c r="J215" s="49">
        <f>IF(AND(ISNUMBER(I215),ISNUMBER(H215)),I215+H215-1,"")</f>
        <v>46355</v>
      </c>
      <c r="K215" s="47" t="s">
        <v>27</v>
      </c>
      <c r="L215" s="47" t="s">
        <v>103</v>
      </c>
      <c r="M215" s="50" t="s">
        <v>136</v>
      </c>
      <c r="N215" s="47"/>
      <c r="O215" s="50">
        <f>IF(AND(ISNUMBER(I215),ISNUMBER(J215)),J215-I215+1,"")</f>
        <v>14</v>
      </c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 t="s">
        <v>140</v>
      </c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4" t="str">
        <f>IF(AND(ISNUMBER($I215),OR($K215="Milestone",$K215="Deadline"),$I215&gt;=AO$4,$I215&lt;AO$4+7),IF($K215="Deadline","◇","◆"),"")</f>
        <v/>
      </c>
      <c r="AP215" s="14" t="str">
        <f>IF(AND(ISNUMBER($I215),OR($K215="Milestone",$K215="Deadline"),$I215&gt;=AP$4,$I215&lt;AP$4+7),IF($K215="Deadline","◇","◆"),"")</f>
        <v/>
      </c>
      <c r="AQ215" s="14" t="str">
        <f>IF(AND(ISNUMBER($I215),OR($K215="Milestone",$K215="Deadline"),$I215&gt;=AQ$4,$I215&lt;AQ$4+7),IF($K215="Deadline","◇","◆"),"")</f>
        <v/>
      </c>
      <c r="AR215" s="14" t="str">
        <f>IF(AND(ISNUMBER($I215),OR($K215="Milestone",$K215="Deadline"),$I215&gt;=AR$4,$I215&lt;AR$4+7),IF($K215="Deadline","◇","◆"),"")</f>
        <v/>
      </c>
      <c r="AS215" s="14" t="str">
        <f>IF(AND(ISNUMBER($I215),OR($K215="Milestone",$K215="Deadline"),$I215&gt;=AS$4,$I215&lt;AS$4+7),IF($K215="Deadline","◇","◆"),"")</f>
        <v/>
      </c>
      <c r="AT215" s="14" t="str">
        <f>IF(AND(ISNUMBER($I215),OR($K215="Milestone",$K215="Deadline"),$I215&gt;=AT$4,$I215&lt;AT$4+7),IF($K215="Deadline","◇","◆"),"")</f>
        <v/>
      </c>
      <c r="AU215" s="14" t="str">
        <f>IF(AND(ISNUMBER($I215),OR($K215="Milestone",$K215="Deadline"),$I215&gt;=AU$4,$I215&lt;AU$4+7),IF($K215="Deadline","◇","◆"),"")</f>
        <v/>
      </c>
      <c r="AV215" s="14" t="str">
        <f>IF(AND(ISNUMBER($I215),OR($K215="Milestone",$K215="Deadline"),$I215&gt;=AV$4,$I215&lt;AV$4+7),IF($K215="Deadline","◇","◆"),"")</f>
        <v/>
      </c>
      <c r="AW215" s="14" t="str">
        <f>IF(AND(ISNUMBER($I215),OR($K215="Milestone",$K215="Deadline"),$I215&gt;=AW$4,$I215&lt;AW$4+7),IF($K215="Deadline","◇","◆"),"")</f>
        <v/>
      </c>
      <c r="AX215" s="14" t="str">
        <f>IF(AND(ISNUMBER($I215),OR($K215="Milestone",$K215="Deadline"),$I215&gt;=AX$4,$I215&lt;AX$4+7),IF($K215="Deadline","◇","◆"),"")</f>
        <v/>
      </c>
      <c r="AY215" s="14" t="str">
        <f>IF(AND(ISNUMBER($I215),OR($K215="Milestone",$K215="Deadline"),$I215&gt;=AY$4,$I215&lt;AY$4+7),IF($K215="Deadline","◇","◆"),"")</f>
        <v/>
      </c>
      <c r="AZ215" s="14" t="str">
        <f>IF(AND(ISNUMBER($I215),OR($K215="Milestone",$K215="Deadline"),$I215&gt;=AZ$4,$I215&lt;AZ$4+7),IF($K215="Deadline","◇","◆"),"")</f>
        <v/>
      </c>
      <c r="BA215" s="14" t="str">
        <f>IF(AND(ISNUMBER($I215),OR($K215="Milestone",$K215="Deadline"),$I215&gt;=BA$4,$I215&lt;BA$4+7),IF($K215="Deadline","◇","◆"),"")</f>
        <v/>
      </c>
      <c r="BB215" s="14" t="str">
        <f>IF(AND(ISNUMBER($I215),OR($K215="Milestone",$K215="Deadline"),$I215&gt;=BB$4,$I215&lt;BB$4+7),IF($K215="Deadline","◇","◆"),"")</f>
        <v/>
      </c>
      <c r="BC215" s="14" t="str">
        <f>IF(AND(ISNUMBER($I215),OR($K215="Milestone",$K215="Deadline"),$I215&gt;=BC$4,$I215&lt;BC$4+7),IF($K215="Deadline","◇","◆"),"")</f>
        <v/>
      </c>
      <c r="BD215" s="14" t="str">
        <f>IF(AND(ISNUMBER($I215),OR($K215="Milestone",$K215="Deadline"),$I215&gt;=BD$4,$I215&lt;BD$4+7),IF($K215="Deadline","◇","◆"),"")</f>
        <v/>
      </c>
      <c r="BE215" s="14" t="str">
        <f>IF(AND(ISNUMBER($I215),OR($K215="Milestone",$K215="Deadline"),$I215&gt;=BE$4,$I215&lt;BE$4+7),IF($K215="Deadline","◇","◆"),"")</f>
        <v/>
      </c>
      <c r="BF215" s="14" t="str">
        <f>IF(AND(ISNUMBER($I215),OR($K215="Milestone",$K215="Deadline"),$I215&gt;=BF$4,$I215&lt;BF$4+7),IF($K215="Deadline","◇","◆"),"")</f>
        <v/>
      </c>
      <c r="BG215" s="14" t="str">
        <f>IF(AND(ISNUMBER($I215),OR($K215="Milestone",$K215="Deadline"),$I215&gt;=BG$4,$I215&lt;BG$4+7),IF($K215="Deadline","◇","◆"),"")</f>
        <v/>
      </c>
      <c r="BH215" s="14" t="str">
        <f>IF(AND(ISNUMBER($I215),OR($K215="Milestone",$K215="Deadline"),$I215&gt;=BH$4,$I215&lt;BH$4+7),IF($K215="Deadline","◇","◆"),"")</f>
        <v/>
      </c>
      <c r="BI215" s="14" t="str">
        <f>IF(AND(ISNUMBER($I215),OR($K215="Milestone",$K215="Deadline"),$I215&gt;=BI$4,$I215&lt;BI$4+7),IF($K215="Deadline","◇","◆"),"")</f>
        <v/>
      </c>
      <c r="BJ215" s="14" t="str">
        <f>IF(AND(ISNUMBER($I215),OR($K215="Milestone",$K215="Deadline"),$I215&gt;=BJ$4,$I215&lt;BJ$4+7),IF($K215="Deadline","◇","◆"),"")</f>
        <v/>
      </c>
      <c r="BK215" s="14" t="str">
        <f>IF(AND(ISNUMBER($I215),OR($K215="Milestone",$K215="Deadline"),$I215&gt;=BK$4,$I215&lt;BK$4+7),IF($K215="Deadline","◇","◆"),"")</f>
        <v/>
      </c>
      <c r="BL215" s="14" t="str">
        <f>IF(AND(ISNUMBER($I215),OR($K215="Milestone",$K215="Deadline"),$I215&gt;=BL$4,$I215&lt;BL$4+7),IF($K215="Deadline","◇","◆"),"")</f>
        <v/>
      </c>
      <c r="BM215" s="14" t="str">
        <f>IF(AND(ISNUMBER($I215),OR($K215="Milestone",$K215="Deadline"),$I215&gt;=BM$4,$I215&lt;BM$4+7),IF($K215="Deadline","◇","◆"),"")</f>
        <v/>
      </c>
      <c r="BN215" s="14" t="str">
        <f>IF(AND(ISNUMBER($I215),OR($K215="Milestone",$K215="Deadline"),$I215&gt;=BN$4,$I215&lt;BN$4+7),IF($K215="Deadline","◇","◆"),"")</f>
        <v/>
      </c>
      <c r="BO215" s="14" t="str">
        <f>IF(AND(ISNUMBER($I215),OR($K215="Milestone",$K215="Deadline"),$I215&gt;=BO$4,$I215&lt;BO$4+7),IF($K215="Deadline","◇","◆"),"")</f>
        <v/>
      </c>
      <c r="BP215" s="14" t="str">
        <f>IF(AND(ISNUMBER($I215),OR($K215="Milestone",$K215="Deadline"),$I215&gt;=BP$4,$I215&lt;BP$4+7),IF($K215="Deadline","◇","◆"),"")</f>
        <v/>
      </c>
      <c r="BQ215" s="14" t="str">
        <f>IF(AND(ISNUMBER($I215),OR($K215="Milestone",$K215="Deadline"),$I215&gt;=BQ$4,$I215&lt;BQ$4+7),IF($K215="Deadline","◇","◆"),"")</f>
        <v/>
      </c>
      <c r="BR215" s="14" t="str">
        <f>IF(AND(ISNUMBER($I215),OR($K215="Milestone",$K215="Deadline"),$I215&gt;=BR$4,$I215&lt;BR$4+7),IF($K215="Deadline","◇","◆"),"")</f>
        <v/>
      </c>
      <c r="BS215" s="14" t="str">
        <f>IF(AND(ISNUMBER($I215),OR($K215="Milestone",$K215="Deadline"),$I215&gt;=BS$4,$I215&lt;BS$4+7),IF($K215="Deadline","◇","◆"),"")</f>
        <v/>
      </c>
      <c r="BT215" s="14" t="str">
        <f>IF(AND(ISNUMBER($I215),OR($K215="Milestone",$K215="Deadline"),$I215&gt;=BT$4,$I215&lt;BT$4+7),IF($K215="Deadline","◇","◆"),"")</f>
        <v/>
      </c>
      <c r="BU215" s="14" t="str">
        <f>IF(AND(ISNUMBER($I215),OR($K215="Milestone",$K215="Deadline"),$I215&gt;=BU$4,$I215&lt;BU$4+7),IF($K215="Deadline","◇","◆"),"")</f>
        <v/>
      </c>
      <c r="BV215" s="14" t="str">
        <f>IF(AND(ISNUMBER($I215),OR($K215="Milestone",$K215="Deadline"),$I215&gt;=BV$4,$I215&lt;BV$4+7),IF($K215="Deadline","◇","◆"),"")</f>
        <v/>
      </c>
      <c r="BW215" s="14" t="str">
        <f>IF(AND(ISNUMBER($I215),OR($K215="Milestone",$K215="Deadline"),$I215&gt;=BW$4,$I215&lt;BW$4+7),IF($K215="Deadline","◇","◆"),"")</f>
        <v/>
      </c>
      <c r="BX215" s="14" t="str">
        <f>IF(AND(ISNUMBER($I215),OR($K215="Milestone",$K215="Deadline"),$I215&gt;=BX$4,$I215&lt;BX$4+7),IF($K215="Deadline","◇","◆"),"")</f>
        <v/>
      </c>
      <c r="BY215" s="14" t="str">
        <f>IF(AND(ISNUMBER($I215),OR($K215="Milestone",$K215="Deadline"),$I215&gt;=BY$4,$I215&lt;BY$4+7),IF($K215="Deadline","◇","◆"),"")</f>
        <v/>
      </c>
      <c r="BZ215" s="14" t="str">
        <f>IF(AND(ISNUMBER($I215),OR($K215="Milestone",$K215="Deadline"),$I215&gt;=BZ$4,$I215&lt;BZ$4+7),IF($K215="Deadline","◇","◆"),"")</f>
        <v/>
      </c>
      <c r="CA215" s="14" t="str">
        <f>IF(AND(ISNUMBER($I215),OR($K215="Milestone",$K215="Deadline"),$I215&gt;=CA$4,$I215&lt;CA$4+7),IF($K215="Deadline","◇","◆"),"")</f>
        <v/>
      </c>
      <c r="CB215" s="14" t="str">
        <f>IF(AND(ISNUMBER($I215),OR($K215="Milestone",$K215="Deadline"),$I215&gt;=CB$4,$I215&lt;CB$4+7),IF($K215="Deadline","◇","◆"),"")</f>
        <v/>
      </c>
      <c r="CC215" s="14" t="str">
        <f>IF(AND(ISNUMBER($I215),OR($K215="Milestone",$K215="Deadline"),$I215&gt;=CC$4,$I215&lt;CC$4+7),IF($K215="Deadline","◇","◆"),"")</f>
        <v/>
      </c>
      <c r="CD215" s="14" t="str">
        <f>IF(AND(ISNUMBER($I215),OR($K215="Milestone",$K215="Deadline"),$I215&gt;=CD$4,$I215&lt;CD$4+7),IF($K215="Deadline","◇","◆"),"")</f>
        <v/>
      </c>
      <c r="CE215" s="14" t="str">
        <f>IF(AND(ISNUMBER($I215),OR($K215="Milestone",$K215="Deadline"),$I215&gt;=CE$4,$I215&lt;CE$4+7),IF($K215="Deadline","◇","◆"),"")</f>
        <v/>
      </c>
      <c r="CF215" s="14" t="str">
        <f>IF(AND(ISNUMBER($I215),OR($K215="Milestone",$K215="Deadline"),$I215&gt;=CF$4,$I215&lt;CF$4+7),IF($K215="Deadline","◇","◆"),"")</f>
        <v/>
      </c>
      <c r="CG215" s="14" t="str">
        <f>IF(AND(ISNUMBER($I215),OR($K215="Milestone",$K215="Deadline"),$I215&gt;=CG$4,$I215&lt;CG$4+7),IF($K215="Deadline","◇","◆"),"")</f>
        <v/>
      </c>
      <c r="CH215" s="14" t="str">
        <f>IF(AND(ISNUMBER($I215),OR($K215="Milestone",$K215="Deadline"),$I215&gt;=CH$4,$I215&lt;CH$4+7),IF($K215="Deadline","◇","◆"),"")</f>
        <v/>
      </c>
      <c r="CI215" s="14" t="str">
        <f>IF(AND(ISNUMBER($I215),OR($K215="Milestone",$K215="Deadline"),$I215&gt;=CI$4,$I215&lt;CI$4+7),IF($K215="Deadline","◇","◆"),"")</f>
        <v/>
      </c>
      <c r="CJ215" s="14" t="str">
        <f>IF(AND(ISNUMBER($I215),OR($K215="Milestone",$K215="Deadline"),$I215&gt;=CJ$4,$I215&lt;CJ$4+7),IF($K215="Deadline","◇","◆"),"")</f>
        <v/>
      </c>
      <c r="CK215" s="14" t="str">
        <f>IF(AND(ISNUMBER($I215),OR($K215="Milestone",$K215="Deadline"),$I215&gt;=CK$4,$I215&lt;CK$4+7),IF($K215="Deadline","◇","◆"),"")</f>
        <v/>
      </c>
      <c r="CL215" s="14" t="str">
        <f>IF(AND(ISNUMBER($I215),OR($K215="Milestone",$K215="Deadline"),$I215&gt;=CL$4,$I215&lt;CL$4+7),IF($K215="Deadline","◇","◆"),"")</f>
        <v/>
      </c>
      <c r="CM215" s="14" t="str">
        <f>IF(AND(ISNUMBER($I215),OR($K215="Milestone",$K215="Deadline"),$I215&gt;=CM$4,$I215&lt;CM$4+7),IF($K215="Deadline","◇","◆"),"")</f>
        <v/>
      </c>
    </row>
    <row r="216" spans="1:91" hidden="1">
      <c r="A216" s="47" t="s">
        <v>465</v>
      </c>
      <c r="B216" s="47" t="s">
        <v>458</v>
      </c>
      <c r="C216" s="47" t="s">
        <v>93</v>
      </c>
      <c r="D216" s="47" t="s">
        <v>419</v>
      </c>
      <c r="E216" s="47" t="s">
        <v>281</v>
      </c>
      <c r="F216" s="47" t="s">
        <v>179</v>
      </c>
      <c r="G216" s="47" t="s">
        <v>176</v>
      </c>
      <c r="H216" s="47">
        <v>7</v>
      </c>
      <c r="I216" s="48">
        <f>MAX($C$2,J213+1,J209+1)</f>
        <v>46363</v>
      </c>
      <c r="J216" s="49">
        <f>IF(AND(ISNUMBER(I216),ISNUMBER(H216)),I216+H216-1,"")</f>
        <v>46369</v>
      </c>
      <c r="K216" s="47" t="s">
        <v>27</v>
      </c>
      <c r="L216" s="47" t="s">
        <v>466</v>
      </c>
      <c r="M216" s="50"/>
      <c r="N216" s="47"/>
      <c r="O216" s="50">
        <f>IF(AND(ISNUMBER(I216),ISNUMBER(J216)),J216-I216+1,"")</f>
        <v>7</v>
      </c>
      <c r="P216" s="13"/>
      <c r="Q216" s="13"/>
      <c r="R216" s="13"/>
      <c r="S216" s="13"/>
      <c r="T216" s="13"/>
      <c r="U216" s="13"/>
      <c r="V216" s="13"/>
      <c r="W216" s="13" t="s">
        <v>140</v>
      </c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4" t="str">
        <f>IF(AND(ISNUMBER($I216),OR($K216="Milestone",$K216="Deadline"),$I216&gt;=AO$4,$I216&lt;AO$4+7),IF($K216="Deadline","◇","◆"),"")</f>
        <v/>
      </c>
      <c r="AP216" s="14" t="str">
        <f>IF(AND(ISNUMBER($I216),OR($K216="Milestone",$K216="Deadline"),$I216&gt;=AP$4,$I216&lt;AP$4+7),IF($K216="Deadline","◇","◆"),"")</f>
        <v/>
      </c>
      <c r="AQ216" s="14" t="str">
        <f>IF(AND(ISNUMBER($I216),OR($K216="Milestone",$K216="Deadline"),$I216&gt;=AQ$4,$I216&lt;AQ$4+7),IF($K216="Deadline","◇","◆"),"")</f>
        <v/>
      </c>
      <c r="AR216" s="14" t="str">
        <f>IF(AND(ISNUMBER($I216),OR($K216="Milestone",$K216="Deadline"),$I216&gt;=AR$4,$I216&lt;AR$4+7),IF($K216="Deadline","◇","◆"),"")</f>
        <v/>
      </c>
      <c r="AS216" s="14" t="str">
        <f>IF(AND(ISNUMBER($I216),OR($K216="Milestone",$K216="Deadline"),$I216&gt;=AS$4,$I216&lt;AS$4+7),IF($K216="Deadline","◇","◆"),"")</f>
        <v/>
      </c>
      <c r="AT216" s="14" t="str">
        <f>IF(AND(ISNUMBER($I216),OR($K216="Milestone",$K216="Deadline"),$I216&gt;=AT$4,$I216&lt;AT$4+7),IF($K216="Deadline","◇","◆"),"")</f>
        <v/>
      </c>
      <c r="AU216" s="14" t="str">
        <f>IF(AND(ISNUMBER($I216),OR($K216="Milestone",$K216="Deadline"),$I216&gt;=AU$4,$I216&lt;AU$4+7),IF($K216="Deadline","◇","◆"),"")</f>
        <v/>
      </c>
      <c r="AV216" s="14" t="str">
        <f>IF(AND(ISNUMBER($I216),OR($K216="Milestone",$K216="Deadline"),$I216&gt;=AV$4,$I216&lt;AV$4+7),IF($K216="Deadline","◇","◆"),"")</f>
        <v/>
      </c>
      <c r="AW216" s="14" t="str">
        <f>IF(AND(ISNUMBER($I216),OR($K216="Milestone",$K216="Deadline"),$I216&gt;=AW$4,$I216&lt;AW$4+7),IF($K216="Deadline","◇","◆"),"")</f>
        <v/>
      </c>
      <c r="AX216" s="14" t="str">
        <f>IF(AND(ISNUMBER($I216),OR($K216="Milestone",$K216="Deadline"),$I216&gt;=AX$4,$I216&lt;AX$4+7),IF($K216="Deadline","◇","◆"),"")</f>
        <v/>
      </c>
      <c r="AY216" s="14" t="str">
        <f>IF(AND(ISNUMBER($I216),OR($K216="Milestone",$K216="Deadline"),$I216&gt;=AY$4,$I216&lt;AY$4+7),IF($K216="Deadline","◇","◆"),"")</f>
        <v/>
      </c>
      <c r="AZ216" s="14" t="str">
        <f>IF(AND(ISNUMBER($I216),OR($K216="Milestone",$K216="Deadline"),$I216&gt;=AZ$4,$I216&lt;AZ$4+7),IF($K216="Deadline","◇","◆"),"")</f>
        <v/>
      </c>
      <c r="BA216" s="14" t="str">
        <f>IF(AND(ISNUMBER($I216),OR($K216="Milestone",$K216="Deadline"),$I216&gt;=BA$4,$I216&lt;BA$4+7),IF($K216="Deadline","◇","◆"),"")</f>
        <v/>
      </c>
      <c r="BB216" s="14" t="str">
        <f>IF(AND(ISNUMBER($I216),OR($K216="Milestone",$K216="Deadline"),$I216&gt;=BB$4,$I216&lt;BB$4+7),IF($K216="Deadline","◇","◆"),"")</f>
        <v/>
      </c>
      <c r="BC216" s="14" t="str">
        <f>IF(AND(ISNUMBER($I216),OR($K216="Milestone",$K216="Deadline"),$I216&gt;=BC$4,$I216&lt;BC$4+7),IF($K216="Deadline","◇","◆"),"")</f>
        <v/>
      </c>
      <c r="BD216" s="14" t="str">
        <f>IF(AND(ISNUMBER($I216),OR($K216="Milestone",$K216="Deadline"),$I216&gt;=BD$4,$I216&lt;BD$4+7),IF($K216="Deadline","◇","◆"),"")</f>
        <v/>
      </c>
      <c r="BE216" s="14" t="str">
        <f>IF(AND(ISNUMBER($I216),OR($K216="Milestone",$K216="Deadline"),$I216&gt;=BE$4,$I216&lt;BE$4+7),IF($K216="Deadline","◇","◆"),"")</f>
        <v/>
      </c>
      <c r="BF216" s="14" t="str">
        <f>IF(AND(ISNUMBER($I216),OR($K216="Milestone",$K216="Deadline"),$I216&gt;=BF$4,$I216&lt;BF$4+7),IF($K216="Deadline","◇","◆"),"")</f>
        <v/>
      </c>
      <c r="BG216" s="14" t="str">
        <f>IF(AND(ISNUMBER($I216),OR($K216="Milestone",$K216="Deadline"),$I216&gt;=BG$4,$I216&lt;BG$4+7),IF($K216="Deadline","◇","◆"),"")</f>
        <v/>
      </c>
      <c r="BH216" s="14" t="str">
        <f>IF(AND(ISNUMBER($I216),OR($K216="Milestone",$K216="Deadline"),$I216&gt;=BH$4,$I216&lt;BH$4+7),IF($K216="Deadline","◇","◆"),"")</f>
        <v/>
      </c>
      <c r="BI216" s="14" t="str">
        <f>IF(AND(ISNUMBER($I216),OR($K216="Milestone",$K216="Deadline"),$I216&gt;=BI$4,$I216&lt;BI$4+7),IF($K216="Deadline","◇","◆"),"")</f>
        <v/>
      </c>
      <c r="BJ216" s="14" t="str">
        <f>IF(AND(ISNUMBER($I216),OR($K216="Milestone",$K216="Deadline"),$I216&gt;=BJ$4,$I216&lt;BJ$4+7),IF($K216="Deadline","◇","◆"),"")</f>
        <v/>
      </c>
      <c r="BK216" s="14" t="str">
        <f>IF(AND(ISNUMBER($I216),OR($K216="Milestone",$K216="Deadline"),$I216&gt;=BK$4,$I216&lt;BK$4+7),IF($K216="Deadline","◇","◆"),"")</f>
        <v/>
      </c>
      <c r="BL216" s="14" t="str">
        <f>IF(AND(ISNUMBER($I216),OR($K216="Milestone",$K216="Deadline"),$I216&gt;=BL$4,$I216&lt;BL$4+7),IF($K216="Deadline","◇","◆"),"")</f>
        <v/>
      </c>
      <c r="BM216" s="14" t="str">
        <f>IF(AND(ISNUMBER($I216),OR($K216="Milestone",$K216="Deadline"),$I216&gt;=BM$4,$I216&lt;BM$4+7),IF($K216="Deadline","◇","◆"),"")</f>
        <v/>
      </c>
      <c r="BN216" s="14" t="str">
        <f>IF(AND(ISNUMBER($I216),OR($K216="Milestone",$K216="Deadline"),$I216&gt;=BN$4,$I216&lt;BN$4+7),IF($K216="Deadline","◇","◆"),"")</f>
        <v/>
      </c>
      <c r="BO216" s="14" t="str">
        <f>IF(AND(ISNUMBER($I216),OR($K216="Milestone",$K216="Deadline"),$I216&gt;=BO$4,$I216&lt;BO$4+7),IF($K216="Deadline","◇","◆"),"")</f>
        <v/>
      </c>
      <c r="BP216" s="14" t="str">
        <f>IF(AND(ISNUMBER($I216),OR($K216="Milestone",$K216="Deadline"),$I216&gt;=BP$4,$I216&lt;BP$4+7),IF($K216="Deadline","◇","◆"),"")</f>
        <v/>
      </c>
      <c r="BQ216" s="14" t="str">
        <f>IF(AND(ISNUMBER($I216),OR($K216="Milestone",$K216="Deadline"),$I216&gt;=BQ$4,$I216&lt;BQ$4+7),IF($K216="Deadline","◇","◆"),"")</f>
        <v/>
      </c>
      <c r="BR216" s="14" t="str">
        <f>IF(AND(ISNUMBER($I216),OR($K216="Milestone",$K216="Deadline"),$I216&gt;=BR$4,$I216&lt;BR$4+7),IF($K216="Deadline","◇","◆"),"")</f>
        <v/>
      </c>
      <c r="BS216" s="14" t="str">
        <f>IF(AND(ISNUMBER($I216),OR($K216="Milestone",$K216="Deadline"),$I216&gt;=BS$4,$I216&lt;BS$4+7),IF($K216="Deadline","◇","◆"),"")</f>
        <v/>
      </c>
      <c r="BT216" s="14" t="str">
        <f>IF(AND(ISNUMBER($I216),OR($K216="Milestone",$K216="Deadline"),$I216&gt;=BT$4,$I216&lt;BT$4+7),IF($K216="Deadline","◇","◆"),"")</f>
        <v/>
      </c>
      <c r="BU216" s="14" t="str">
        <f>IF(AND(ISNUMBER($I216),OR($K216="Milestone",$K216="Deadline"),$I216&gt;=BU$4,$I216&lt;BU$4+7),IF($K216="Deadline","◇","◆"),"")</f>
        <v/>
      </c>
      <c r="BV216" s="14" t="str">
        <f>IF(AND(ISNUMBER($I216),OR($K216="Milestone",$K216="Deadline"),$I216&gt;=BV$4,$I216&lt;BV$4+7),IF($K216="Deadline","◇","◆"),"")</f>
        <v/>
      </c>
      <c r="BW216" s="14" t="str">
        <f>IF(AND(ISNUMBER($I216),OR($K216="Milestone",$K216="Deadline"),$I216&gt;=BW$4,$I216&lt;BW$4+7),IF($K216="Deadline","◇","◆"),"")</f>
        <v/>
      </c>
      <c r="BX216" s="14" t="str">
        <f>IF(AND(ISNUMBER($I216),OR($K216="Milestone",$K216="Deadline"),$I216&gt;=BX$4,$I216&lt;BX$4+7),IF($K216="Deadline","◇","◆"),"")</f>
        <v/>
      </c>
      <c r="BY216" s="14" t="str">
        <f>IF(AND(ISNUMBER($I216),OR($K216="Milestone",$K216="Deadline"),$I216&gt;=BY$4,$I216&lt;BY$4+7),IF($K216="Deadline","◇","◆"),"")</f>
        <v/>
      </c>
      <c r="BZ216" s="14" t="str">
        <f>IF(AND(ISNUMBER($I216),OR($K216="Milestone",$K216="Deadline"),$I216&gt;=BZ$4,$I216&lt;BZ$4+7),IF($K216="Deadline","◇","◆"),"")</f>
        <v/>
      </c>
      <c r="CA216" s="14" t="str">
        <f>IF(AND(ISNUMBER($I216),OR($K216="Milestone",$K216="Deadline"),$I216&gt;=CA$4,$I216&lt;CA$4+7),IF($K216="Deadline","◇","◆"),"")</f>
        <v/>
      </c>
      <c r="CB216" s="14" t="str">
        <f>IF(AND(ISNUMBER($I216),OR($K216="Milestone",$K216="Deadline"),$I216&gt;=CB$4,$I216&lt;CB$4+7),IF($K216="Deadline","◇","◆"),"")</f>
        <v/>
      </c>
      <c r="CC216" s="14" t="str">
        <f>IF(AND(ISNUMBER($I216),OR($K216="Milestone",$K216="Deadline"),$I216&gt;=CC$4,$I216&lt;CC$4+7),IF($K216="Deadline","◇","◆"),"")</f>
        <v/>
      </c>
      <c r="CD216" s="14" t="str">
        <f>IF(AND(ISNUMBER($I216),OR($K216="Milestone",$K216="Deadline"),$I216&gt;=CD$4,$I216&lt;CD$4+7),IF($K216="Deadline","◇","◆"),"")</f>
        <v/>
      </c>
      <c r="CE216" s="14" t="str">
        <f>IF(AND(ISNUMBER($I216),OR($K216="Milestone",$K216="Deadline"),$I216&gt;=CE$4,$I216&lt;CE$4+7),IF($K216="Deadline","◇","◆"),"")</f>
        <v/>
      </c>
      <c r="CF216" s="14" t="str">
        <f>IF(AND(ISNUMBER($I216),OR($K216="Milestone",$K216="Deadline"),$I216&gt;=CF$4,$I216&lt;CF$4+7),IF($K216="Deadline","◇","◆"),"")</f>
        <v/>
      </c>
      <c r="CG216" s="14" t="str">
        <f>IF(AND(ISNUMBER($I216),OR($K216="Milestone",$K216="Deadline"),$I216&gt;=CG$4,$I216&lt;CG$4+7),IF($K216="Deadline","◇","◆"),"")</f>
        <v/>
      </c>
      <c r="CH216" s="14" t="str">
        <f>IF(AND(ISNUMBER($I216),OR($K216="Milestone",$K216="Deadline"),$I216&gt;=CH$4,$I216&lt;CH$4+7),IF($K216="Deadline","◇","◆"),"")</f>
        <v/>
      </c>
      <c r="CI216" s="14" t="str">
        <f>IF(AND(ISNUMBER($I216),OR($K216="Milestone",$K216="Deadline"),$I216&gt;=CI$4,$I216&lt;CI$4+7),IF($K216="Deadline","◇","◆"),"")</f>
        <v/>
      </c>
      <c r="CJ216" s="14" t="str">
        <f>IF(AND(ISNUMBER($I216),OR($K216="Milestone",$K216="Deadline"),$I216&gt;=CJ$4,$I216&lt;CJ$4+7),IF($K216="Deadline","◇","◆"),"")</f>
        <v/>
      </c>
      <c r="CK216" s="14" t="str">
        <f>IF(AND(ISNUMBER($I216),OR($K216="Milestone",$K216="Deadline"),$I216&gt;=CK$4,$I216&lt;CK$4+7),IF($K216="Deadline","◇","◆"),"")</f>
        <v/>
      </c>
      <c r="CL216" s="14" t="str">
        <f>IF(AND(ISNUMBER($I216),OR($K216="Milestone",$K216="Deadline"),$I216&gt;=CL$4,$I216&lt;CL$4+7),IF($K216="Deadline","◇","◆"),"")</f>
        <v/>
      </c>
      <c r="CM216" s="14" t="str">
        <f>IF(AND(ISNUMBER($I216),OR($K216="Milestone",$K216="Deadline"),$I216&gt;=CM$4,$I216&lt;CM$4+7),IF($K216="Deadline","◇","◆"),"")</f>
        <v/>
      </c>
    </row>
    <row r="217" spans="1:91" hidden="1">
      <c r="A217" s="47" t="s">
        <v>467</v>
      </c>
      <c r="B217" s="47" t="s">
        <v>458</v>
      </c>
      <c r="C217" s="47" t="s">
        <v>93</v>
      </c>
      <c r="D217" s="47" t="s">
        <v>419</v>
      </c>
      <c r="E217" s="47" t="s">
        <v>281</v>
      </c>
      <c r="F217" s="47" t="s">
        <v>197</v>
      </c>
      <c r="G217" s="47" t="s">
        <v>173</v>
      </c>
      <c r="H217" s="47">
        <v>14</v>
      </c>
      <c r="I217" s="48">
        <f>MAX($C$2,I213)</f>
        <v>46349</v>
      </c>
      <c r="J217" s="49">
        <f>IF(AND(ISNUMBER(I217),ISNUMBER(H217)),I217+H217-1,"")</f>
        <v>46362</v>
      </c>
      <c r="K217" s="47" t="s">
        <v>27</v>
      </c>
      <c r="L217" s="47" t="s">
        <v>464</v>
      </c>
      <c r="M217" s="50"/>
      <c r="N217" s="47"/>
      <c r="O217" s="50">
        <f>IF(AND(ISNUMBER(I217),ISNUMBER(J217)),J217-I217+1,"")</f>
        <v>14</v>
      </c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4" t="str">
        <f>IF(AND(ISNUMBER($I217),OR($K217="Milestone",$K217="Deadline"),$I217&gt;=AO$4,$I217&lt;AO$4+7),IF($K217="Deadline","◇","◆"),"")</f>
        <v/>
      </c>
      <c r="AP217" s="14" t="str">
        <f>IF(AND(ISNUMBER($I217),OR($K217="Milestone",$K217="Deadline"),$I217&gt;=AP$4,$I217&lt;AP$4+7),IF($K217="Deadline","◇","◆"),"")</f>
        <v/>
      </c>
      <c r="AQ217" s="14" t="str">
        <f>IF(AND(ISNUMBER($I217),OR($K217="Milestone",$K217="Deadline"),$I217&gt;=AQ$4,$I217&lt;AQ$4+7),IF($K217="Deadline","◇","◆"),"")</f>
        <v/>
      </c>
      <c r="AR217" s="14" t="str">
        <f>IF(AND(ISNUMBER($I217),OR($K217="Milestone",$K217="Deadline"),$I217&gt;=AR$4,$I217&lt;AR$4+7),IF($K217="Deadline","◇","◆"),"")</f>
        <v/>
      </c>
      <c r="AS217" s="14" t="str">
        <f>IF(AND(ISNUMBER($I217),OR($K217="Milestone",$K217="Deadline"),$I217&gt;=AS$4,$I217&lt;AS$4+7),IF($K217="Deadline","◇","◆"),"")</f>
        <v/>
      </c>
      <c r="AT217" s="14" t="str">
        <f>IF(AND(ISNUMBER($I217),OR($K217="Milestone",$K217="Deadline"),$I217&gt;=AT$4,$I217&lt;AT$4+7),IF($K217="Deadline","◇","◆"),"")</f>
        <v/>
      </c>
      <c r="AU217" s="14" t="str">
        <f>IF(AND(ISNUMBER($I217),OR($K217="Milestone",$K217="Deadline"),$I217&gt;=AU$4,$I217&lt;AU$4+7),IF($K217="Deadline","◇","◆"),"")</f>
        <v/>
      </c>
      <c r="AV217" s="14" t="str">
        <f>IF(AND(ISNUMBER($I217),OR($K217="Milestone",$K217="Deadline"),$I217&gt;=AV$4,$I217&lt;AV$4+7),IF($K217="Deadline","◇","◆"),"")</f>
        <v/>
      </c>
      <c r="AW217" s="14" t="str">
        <f>IF(AND(ISNUMBER($I217),OR($K217="Milestone",$K217="Deadline"),$I217&gt;=AW$4,$I217&lt;AW$4+7),IF($K217="Deadline","◇","◆"),"")</f>
        <v/>
      </c>
      <c r="AX217" s="14" t="str">
        <f>IF(AND(ISNUMBER($I217),OR($K217="Milestone",$K217="Deadline"),$I217&gt;=AX$4,$I217&lt;AX$4+7),IF($K217="Deadline","◇","◆"),"")</f>
        <v/>
      </c>
      <c r="AY217" s="14" t="str">
        <f>IF(AND(ISNUMBER($I217),OR($K217="Milestone",$K217="Deadline"),$I217&gt;=AY$4,$I217&lt;AY$4+7),IF($K217="Deadline","◇","◆"),"")</f>
        <v/>
      </c>
      <c r="AZ217" s="14" t="str">
        <f>IF(AND(ISNUMBER($I217),OR($K217="Milestone",$K217="Deadline"),$I217&gt;=AZ$4,$I217&lt;AZ$4+7),IF($K217="Deadline","◇","◆"),"")</f>
        <v/>
      </c>
      <c r="BA217" s="14" t="str">
        <f>IF(AND(ISNUMBER($I217),OR($K217="Milestone",$K217="Deadline"),$I217&gt;=BA$4,$I217&lt;BA$4+7),IF($K217="Deadline","◇","◆"),"")</f>
        <v/>
      </c>
      <c r="BB217" s="14" t="str">
        <f>IF(AND(ISNUMBER($I217),OR($K217="Milestone",$K217="Deadline"),$I217&gt;=BB$4,$I217&lt;BB$4+7),IF($K217="Deadline","◇","◆"),"")</f>
        <v/>
      </c>
      <c r="BC217" s="14" t="str">
        <f>IF(AND(ISNUMBER($I217),OR($K217="Milestone",$K217="Deadline"),$I217&gt;=BC$4,$I217&lt;BC$4+7),IF($K217="Deadline","◇","◆"),"")</f>
        <v/>
      </c>
      <c r="BD217" s="14" t="str">
        <f>IF(AND(ISNUMBER($I217),OR($K217="Milestone",$K217="Deadline"),$I217&gt;=BD$4,$I217&lt;BD$4+7),IF($K217="Deadline","◇","◆"),"")</f>
        <v/>
      </c>
      <c r="BE217" s="14" t="str">
        <f>IF(AND(ISNUMBER($I217),OR($K217="Milestone",$K217="Deadline"),$I217&gt;=BE$4,$I217&lt;BE$4+7),IF($K217="Deadline","◇","◆"),"")</f>
        <v/>
      </c>
      <c r="BF217" s="14" t="str">
        <f>IF(AND(ISNUMBER($I217),OR($K217="Milestone",$K217="Deadline"),$I217&gt;=BF$4,$I217&lt;BF$4+7),IF($K217="Deadline","◇","◆"),"")</f>
        <v/>
      </c>
      <c r="BG217" s="14" t="str">
        <f>IF(AND(ISNUMBER($I217),OR($K217="Milestone",$K217="Deadline"),$I217&gt;=BG$4,$I217&lt;BG$4+7),IF($K217="Deadline","◇","◆"),"")</f>
        <v/>
      </c>
      <c r="BH217" s="14" t="str">
        <f>IF(AND(ISNUMBER($I217),OR($K217="Milestone",$K217="Deadline"),$I217&gt;=BH$4,$I217&lt;BH$4+7),IF($K217="Deadline","◇","◆"),"")</f>
        <v/>
      </c>
      <c r="BI217" s="14" t="str">
        <f>IF(AND(ISNUMBER($I217),OR($K217="Milestone",$K217="Deadline"),$I217&gt;=BI$4,$I217&lt;BI$4+7),IF($K217="Deadline","◇","◆"),"")</f>
        <v/>
      </c>
      <c r="BJ217" s="14" t="str">
        <f>IF(AND(ISNUMBER($I217),OR($K217="Milestone",$K217="Deadline"),$I217&gt;=BJ$4,$I217&lt;BJ$4+7),IF($K217="Deadline","◇","◆"),"")</f>
        <v/>
      </c>
      <c r="BK217" s="14" t="str">
        <f>IF(AND(ISNUMBER($I217),OR($K217="Milestone",$K217="Deadline"),$I217&gt;=BK$4,$I217&lt;BK$4+7),IF($K217="Deadline","◇","◆"),"")</f>
        <v/>
      </c>
      <c r="BL217" s="14" t="str">
        <f>IF(AND(ISNUMBER($I217),OR($K217="Milestone",$K217="Deadline"),$I217&gt;=BL$4,$I217&lt;BL$4+7),IF($K217="Deadline","◇","◆"),"")</f>
        <v/>
      </c>
      <c r="BM217" s="14" t="str">
        <f>IF(AND(ISNUMBER($I217),OR($K217="Milestone",$K217="Deadline"),$I217&gt;=BM$4,$I217&lt;BM$4+7),IF($K217="Deadline","◇","◆"),"")</f>
        <v/>
      </c>
      <c r="BN217" s="14" t="str">
        <f>IF(AND(ISNUMBER($I217),OR($K217="Milestone",$K217="Deadline"),$I217&gt;=BN$4,$I217&lt;BN$4+7),IF($K217="Deadline","◇","◆"),"")</f>
        <v/>
      </c>
      <c r="BO217" s="14" t="str">
        <f>IF(AND(ISNUMBER($I217),OR($K217="Milestone",$K217="Deadline"),$I217&gt;=BO$4,$I217&lt;BO$4+7),IF($K217="Deadline","◇","◆"),"")</f>
        <v/>
      </c>
      <c r="BP217" s="14" t="str">
        <f>IF(AND(ISNUMBER($I217),OR($K217="Milestone",$K217="Deadline"),$I217&gt;=BP$4,$I217&lt;BP$4+7),IF($K217="Deadline","◇","◆"),"")</f>
        <v/>
      </c>
      <c r="BQ217" s="14" t="str">
        <f>IF(AND(ISNUMBER($I217),OR($K217="Milestone",$K217="Deadline"),$I217&gt;=BQ$4,$I217&lt;BQ$4+7),IF($K217="Deadline","◇","◆"),"")</f>
        <v/>
      </c>
      <c r="BR217" s="14" t="str">
        <f>IF(AND(ISNUMBER($I217),OR($K217="Milestone",$K217="Deadline"),$I217&gt;=BR$4,$I217&lt;BR$4+7),IF($K217="Deadline","◇","◆"),"")</f>
        <v/>
      </c>
      <c r="BS217" s="14" t="str">
        <f>IF(AND(ISNUMBER($I217),OR($K217="Milestone",$K217="Deadline"),$I217&gt;=BS$4,$I217&lt;BS$4+7),IF($K217="Deadline","◇","◆"),"")</f>
        <v/>
      </c>
      <c r="BT217" s="14" t="str">
        <f>IF(AND(ISNUMBER($I217),OR($K217="Milestone",$K217="Deadline"),$I217&gt;=BT$4,$I217&lt;BT$4+7),IF($K217="Deadline","◇","◆"),"")</f>
        <v/>
      </c>
      <c r="BU217" s="14" t="str">
        <f>IF(AND(ISNUMBER($I217),OR($K217="Milestone",$K217="Deadline"),$I217&gt;=BU$4,$I217&lt;BU$4+7),IF($K217="Deadline","◇","◆"),"")</f>
        <v/>
      </c>
      <c r="BV217" s="14" t="str">
        <f>IF(AND(ISNUMBER($I217),OR($K217="Milestone",$K217="Deadline"),$I217&gt;=BV$4,$I217&lt;BV$4+7),IF($K217="Deadline","◇","◆"),"")</f>
        <v/>
      </c>
      <c r="BW217" s="14" t="str">
        <f>IF(AND(ISNUMBER($I217),OR($K217="Milestone",$K217="Deadline"),$I217&gt;=BW$4,$I217&lt;BW$4+7),IF($K217="Deadline","◇","◆"),"")</f>
        <v/>
      </c>
      <c r="BX217" s="14" t="str">
        <f>IF(AND(ISNUMBER($I217),OR($K217="Milestone",$K217="Deadline"),$I217&gt;=BX$4,$I217&lt;BX$4+7),IF($K217="Deadline","◇","◆"),"")</f>
        <v/>
      </c>
      <c r="BY217" s="14" t="str">
        <f>IF(AND(ISNUMBER($I217),OR($K217="Milestone",$K217="Deadline"),$I217&gt;=BY$4,$I217&lt;BY$4+7),IF($K217="Deadline","◇","◆"),"")</f>
        <v/>
      </c>
      <c r="BZ217" s="14" t="str">
        <f>IF(AND(ISNUMBER($I217),OR($K217="Milestone",$K217="Deadline"),$I217&gt;=BZ$4,$I217&lt;BZ$4+7),IF($K217="Deadline","◇","◆"),"")</f>
        <v/>
      </c>
      <c r="CA217" s="14" t="str">
        <f>IF(AND(ISNUMBER($I217),OR($K217="Milestone",$K217="Deadline"),$I217&gt;=CA$4,$I217&lt;CA$4+7),IF($K217="Deadline","◇","◆"),"")</f>
        <v/>
      </c>
      <c r="CB217" s="14" t="str">
        <f>IF(AND(ISNUMBER($I217),OR($K217="Milestone",$K217="Deadline"),$I217&gt;=CB$4,$I217&lt;CB$4+7),IF($K217="Deadline","◇","◆"),"")</f>
        <v/>
      </c>
      <c r="CC217" s="14" t="str">
        <f>IF(AND(ISNUMBER($I217),OR($K217="Milestone",$K217="Deadline"),$I217&gt;=CC$4,$I217&lt;CC$4+7),IF($K217="Deadline","◇","◆"),"")</f>
        <v/>
      </c>
      <c r="CD217" s="14" t="str">
        <f>IF(AND(ISNUMBER($I217),OR($K217="Milestone",$K217="Deadline"),$I217&gt;=CD$4,$I217&lt;CD$4+7),IF($K217="Deadline","◇","◆"),"")</f>
        <v/>
      </c>
      <c r="CE217" s="14" t="str">
        <f>IF(AND(ISNUMBER($I217),OR($K217="Milestone",$K217="Deadline"),$I217&gt;=CE$4,$I217&lt;CE$4+7),IF($K217="Deadline","◇","◆"),"")</f>
        <v/>
      </c>
      <c r="CF217" s="14" t="str">
        <f>IF(AND(ISNUMBER($I217),OR($K217="Milestone",$K217="Deadline"),$I217&gt;=CF$4,$I217&lt;CF$4+7),IF($K217="Deadline","◇","◆"),"")</f>
        <v/>
      </c>
      <c r="CG217" s="14" t="str">
        <f>IF(AND(ISNUMBER($I217),OR($K217="Milestone",$K217="Deadline"),$I217&gt;=CG$4,$I217&lt;CG$4+7),IF($K217="Deadline","◇","◆"),"")</f>
        <v/>
      </c>
      <c r="CH217" s="14" t="str">
        <f>IF(AND(ISNUMBER($I217),OR($K217="Milestone",$K217="Deadline"),$I217&gt;=CH$4,$I217&lt;CH$4+7),IF($K217="Deadline","◇","◆"),"")</f>
        <v/>
      </c>
      <c r="CI217" s="14" t="str">
        <f>IF(AND(ISNUMBER($I217),OR($K217="Milestone",$K217="Deadline"),$I217&gt;=CI$4,$I217&lt;CI$4+7),IF($K217="Deadline","◇","◆"),"")</f>
        <v/>
      </c>
      <c r="CJ217" s="14" t="str">
        <f>IF(AND(ISNUMBER($I217),OR($K217="Milestone",$K217="Deadline"),$I217&gt;=CJ$4,$I217&lt;CJ$4+7),IF($K217="Deadline","◇","◆"),"")</f>
        <v/>
      </c>
      <c r="CK217" s="14" t="str">
        <f>IF(AND(ISNUMBER($I217),OR($K217="Milestone",$K217="Deadline"),$I217&gt;=CK$4,$I217&lt;CK$4+7),IF($K217="Deadline","◇","◆"),"")</f>
        <v/>
      </c>
      <c r="CL217" s="14" t="str">
        <f>IF(AND(ISNUMBER($I217),OR($K217="Milestone",$K217="Deadline"),$I217&gt;=CL$4,$I217&lt;CL$4+7),IF($K217="Deadline","◇","◆"),"")</f>
        <v/>
      </c>
      <c r="CM217" s="14" t="str">
        <f>IF(AND(ISNUMBER($I217),OR($K217="Milestone",$K217="Deadline"),$I217&gt;=CM$4,$I217&lt;CM$4+7),IF($K217="Deadline","◇","◆"),"")</f>
        <v/>
      </c>
    </row>
    <row r="218" spans="1:91" hidden="1">
      <c r="A218" s="47" t="s">
        <v>308</v>
      </c>
      <c r="B218" s="47" t="s">
        <v>458</v>
      </c>
      <c r="C218" s="47" t="s">
        <v>93</v>
      </c>
      <c r="D218" s="47" t="s">
        <v>419</v>
      </c>
      <c r="E218" s="47" t="s">
        <v>281</v>
      </c>
      <c r="F218" s="47" t="s">
        <v>197</v>
      </c>
      <c r="G218" s="47" t="s">
        <v>427</v>
      </c>
      <c r="H218" s="47">
        <v>14</v>
      </c>
      <c r="I218" s="48">
        <f>MAX($C$2,J19+1,J82+1)</f>
        <v>46335</v>
      </c>
      <c r="J218" s="49">
        <f>IF(AND(ISNUMBER(I218),ISNUMBER(H218)),I218+H218-1,"")</f>
        <v>46348</v>
      </c>
      <c r="K218" s="47" t="s">
        <v>27</v>
      </c>
      <c r="L218" s="47" t="s">
        <v>101</v>
      </c>
      <c r="M218" s="50" t="s">
        <v>252</v>
      </c>
      <c r="N218" s="47"/>
      <c r="O218" s="50">
        <f>IF(AND(ISNUMBER(I218),ISNUMBER(J218)),J218-I218+1,"")</f>
        <v>14</v>
      </c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 t="s">
        <v>140</v>
      </c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4" t="str">
        <f>IF(AND(ISNUMBER($I218),OR($K218="Milestone",$K218="Deadline"),$I218&gt;=AO$4,$I218&lt;AO$4+7),IF($K218="Deadline","◇","◆"),"")</f>
        <v/>
      </c>
      <c r="AP218" s="14" t="str">
        <f>IF(AND(ISNUMBER($I218),OR($K218="Milestone",$K218="Deadline"),$I218&gt;=AP$4,$I218&lt;AP$4+7),IF($K218="Deadline","◇","◆"),"")</f>
        <v/>
      </c>
      <c r="AQ218" s="14" t="str">
        <f>IF(AND(ISNUMBER($I218),OR($K218="Milestone",$K218="Deadline"),$I218&gt;=AQ$4,$I218&lt;AQ$4+7),IF($K218="Deadline","◇","◆"),"")</f>
        <v/>
      </c>
      <c r="AR218" s="14" t="str">
        <f>IF(AND(ISNUMBER($I218),OR($K218="Milestone",$K218="Deadline"),$I218&gt;=AR$4,$I218&lt;AR$4+7),IF($K218="Deadline","◇","◆"),"")</f>
        <v/>
      </c>
      <c r="AS218" s="14" t="str">
        <f>IF(AND(ISNUMBER($I218),OR($K218="Milestone",$K218="Deadline"),$I218&gt;=AS$4,$I218&lt;AS$4+7),IF($K218="Deadline","◇","◆"),"")</f>
        <v/>
      </c>
      <c r="AT218" s="14" t="str">
        <f>IF(AND(ISNUMBER($I218),OR($K218="Milestone",$K218="Deadline"),$I218&gt;=AT$4,$I218&lt;AT$4+7),IF($K218="Deadline","◇","◆"),"")</f>
        <v/>
      </c>
      <c r="AU218" s="14" t="str">
        <f>IF(AND(ISNUMBER($I218),OR($K218="Milestone",$K218="Deadline"),$I218&gt;=AU$4,$I218&lt;AU$4+7),IF($K218="Deadline","◇","◆"),"")</f>
        <v/>
      </c>
      <c r="AV218" s="14" t="str">
        <f>IF(AND(ISNUMBER($I218),OR($K218="Milestone",$K218="Deadline"),$I218&gt;=AV$4,$I218&lt;AV$4+7),IF($K218="Deadline","◇","◆"),"")</f>
        <v/>
      </c>
      <c r="AW218" s="14" t="str">
        <f>IF(AND(ISNUMBER($I218),OR($K218="Milestone",$K218="Deadline"),$I218&gt;=AW$4,$I218&lt;AW$4+7),IF($K218="Deadline","◇","◆"),"")</f>
        <v/>
      </c>
      <c r="AX218" s="14" t="str">
        <f>IF(AND(ISNUMBER($I218),OR($K218="Milestone",$K218="Deadline"),$I218&gt;=AX$4,$I218&lt;AX$4+7),IF($K218="Deadline","◇","◆"),"")</f>
        <v/>
      </c>
      <c r="AY218" s="14" t="str">
        <f>IF(AND(ISNUMBER($I218),OR($K218="Milestone",$K218="Deadline"),$I218&gt;=AY$4,$I218&lt;AY$4+7),IF($K218="Deadline","◇","◆"),"")</f>
        <v/>
      </c>
      <c r="AZ218" s="14" t="str">
        <f>IF(AND(ISNUMBER($I218),OR($K218="Milestone",$K218="Deadline"),$I218&gt;=AZ$4,$I218&lt;AZ$4+7),IF($K218="Deadline","◇","◆"),"")</f>
        <v/>
      </c>
      <c r="BA218" s="14" t="str">
        <f>IF(AND(ISNUMBER($I218),OR($K218="Milestone",$K218="Deadline"),$I218&gt;=BA$4,$I218&lt;BA$4+7),IF($K218="Deadline","◇","◆"),"")</f>
        <v/>
      </c>
      <c r="BB218" s="14" t="str">
        <f>IF(AND(ISNUMBER($I218),OR($K218="Milestone",$K218="Deadline"),$I218&gt;=BB$4,$I218&lt;BB$4+7),IF($K218="Deadline","◇","◆"),"")</f>
        <v/>
      </c>
      <c r="BC218" s="14" t="str">
        <f>IF(AND(ISNUMBER($I218),OR($K218="Milestone",$K218="Deadline"),$I218&gt;=BC$4,$I218&lt;BC$4+7),IF($K218="Deadline","◇","◆"),"")</f>
        <v/>
      </c>
      <c r="BD218" s="14" t="str">
        <f>IF(AND(ISNUMBER($I218),OR($K218="Milestone",$K218="Deadline"),$I218&gt;=BD$4,$I218&lt;BD$4+7),IF($K218="Deadline","◇","◆"),"")</f>
        <v/>
      </c>
      <c r="BE218" s="14" t="str">
        <f>IF(AND(ISNUMBER($I218),OR($K218="Milestone",$K218="Deadline"),$I218&gt;=BE$4,$I218&lt;BE$4+7),IF($K218="Deadline","◇","◆"),"")</f>
        <v/>
      </c>
      <c r="BF218" s="14" t="str">
        <f>IF(AND(ISNUMBER($I218),OR($K218="Milestone",$K218="Deadline"),$I218&gt;=BF$4,$I218&lt;BF$4+7),IF($K218="Deadline","◇","◆"),"")</f>
        <v/>
      </c>
      <c r="BG218" s="14" t="str">
        <f>IF(AND(ISNUMBER($I218),OR($K218="Milestone",$K218="Deadline"),$I218&gt;=BG$4,$I218&lt;BG$4+7),IF($K218="Deadline","◇","◆"),"")</f>
        <v/>
      </c>
      <c r="BH218" s="14" t="str">
        <f>IF(AND(ISNUMBER($I218),OR($K218="Milestone",$K218="Deadline"),$I218&gt;=BH$4,$I218&lt;BH$4+7),IF($K218="Deadline","◇","◆"),"")</f>
        <v/>
      </c>
      <c r="BI218" s="14" t="str">
        <f>IF(AND(ISNUMBER($I218),OR($K218="Milestone",$K218="Deadline"),$I218&gt;=BI$4,$I218&lt;BI$4+7),IF($K218="Deadline","◇","◆"),"")</f>
        <v/>
      </c>
      <c r="BJ218" s="14" t="str">
        <f>IF(AND(ISNUMBER($I218),OR($K218="Milestone",$K218="Deadline"),$I218&gt;=BJ$4,$I218&lt;BJ$4+7),IF($K218="Deadline","◇","◆"),"")</f>
        <v/>
      </c>
      <c r="BK218" s="14" t="str">
        <f>IF(AND(ISNUMBER($I218),OR($K218="Milestone",$K218="Deadline"),$I218&gt;=BK$4,$I218&lt;BK$4+7),IF($K218="Deadline","◇","◆"),"")</f>
        <v/>
      </c>
      <c r="BL218" s="14" t="str">
        <f>IF(AND(ISNUMBER($I218),OR($K218="Milestone",$K218="Deadline"),$I218&gt;=BL$4,$I218&lt;BL$4+7),IF($K218="Deadline","◇","◆"),"")</f>
        <v/>
      </c>
      <c r="BM218" s="14" t="str">
        <f>IF(AND(ISNUMBER($I218),OR($K218="Milestone",$K218="Deadline"),$I218&gt;=BM$4,$I218&lt;BM$4+7),IF($K218="Deadline","◇","◆"),"")</f>
        <v/>
      </c>
      <c r="BN218" s="14" t="str">
        <f>IF(AND(ISNUMBER($I218),OR($K218="Milestone",$K218="Deadline"),$I218&gt;=BN$4,$I218&lt;BN$4+7),IF($K218="Deadline","◇","◆"),"")</f>
        <v/>
      </c>
      <c r="BO218" s="14" t="str">
        <f>IF(AND(ISNUMBER($I218),OR($K218="Milestone",$K218="Deadline"),$I218&gt;=BO$4,$I218&lt;BO$4+7),IF($K218="Deadline","◇","◆"),"")</f>
        <v/>
      </c>
      <c r="BP218" s="14" t="str">
        <f>IF(AND(ISNUMBER($I218),OR($K218="Milestone",$K218="Deadline"),$I218&gt;=BP$4,$I218&lt;BP$4+7),IF($K218="Deadline","◇","◆"),"")</f>
        <v/>
      </c>
      <c r="BQ218" s="14" t="str">
        <f>IF(AND(ISNUMBER($I218),OR($K218="Milestone",$K218="Deadline"),$I218&gt;=BQ$4,$I218&lt;BQ$4+7),IF($K218="Deadline","◇","◆"),"")</f>
        <v/>
      </c>
      <c r="BR218" s="14" t="str">
        <f>IF(AND(ISNUMBER($I218),OR($K218="Milestone",$K218="Deadline"),$I218&gt;=BR$4,$I218&lt;BR$4+7),IF($K218="Deadline","◇","◆"),"")</f>
        <v/>
      </c>
      <c r="BS218" s="14" t="str">
        <f>IF(AND(ISNUMBER($I218),OR($K218="Milestone",$K218="Deadline"),$I218&gt;=BS$4,$I218&lt;BS$4+7),IF($K218="Deadline","◇","◆"),"")</f>
        <v/>
      </c>
      <c r="BT218" s="14" t="str">
        <f>IF(AND(ISNUMBER($I218),OR($K218="Milestone",$K218="Deadline"),$I218&gt;=BT$4,$I218&lt;BT$4+7),IF($K218="Deadline","◇","◆"),"")</f>
        <v/>
      </c>
      <c r="BU218" s="14" t="str">
        <f>IF(AND(ISNUMBER($I218),OR($K218="Milestone",$K218="Deadline"),$I218&gt;=BU$4,$I218&lt;BU$4+7),IF($K218="Deadline","◇","◆"),"")</f>
        <v/>
      </c>
      <c r="BV218" s="14" t="str">
        <f>IF(AND(ISNUMBER($I218),OR($K218="Milestone",$K218="Deadline"),$I218&gt;=BV$4,$I218&lt;BV$4+7),IF($K218="Deadline","◇","◆"),"")</f>
        <v/>
      </c>
      <c r="BW218" s="14" t="str">
        <f>IF(AND(ISNUMBER($I218),OR($K218="Milestone",$K218="Deadline"),$I218&gt;=BW$4,$I218&lt;BW$4+7),IF($K218="Deadline","◇","◆"),"")</f>
        <v/>
      </c>
      <c r="BX218" s="14" t="str">
        <f>IF(AND(ISNUMBER($I218),OR($K218="Milestone",$K218="Deadline"),$I218&gt;=BX$4,$I218&lt;BX$4+7),IF($K218="Deadline","◇","◆"),"")</f>
        <v/>
      </c>
      <c r="BY218" s="14" t="str">
        <f>IF(AND(ISNUMBER($I218),OR($K218="Milestone",$K218="Deadline"),$I218&gt;=BY$4,$I218&lt;BY$4+7),IF($K218="Deadline","◇","◆"),"")</f>
        <v/>
      </c>
      <c r="BZ218" s="14" t="str">
        <f>IF(AND(ISNUMBER($I218),OR($K218="Milestone",$K218="Deadline"),$I218&gt;=BZ$4,$I218&lt;BZ$4+7),IF($K218="Deadline","◇","◆"),"")</f>
        <v/>
      </c>
      <c r="CA218" s="14" t="str">
        <f>IF(AND(ISNUMBER($I218),OR($K218="Milestone",$K218="Deadline"),$I218&gt;=CA$4,$I218&lt;CA$4+7),IF($K218="Deadline","◇","◆"),"")</f>
        <v/>
      </c>
      <c r="CB218" s="14" t="str">
        <f>IF(AND(ISNUMBER($I218),OR($K218="Milestone",$K218="Deadline"),$I218&gt;=CB$4,$I218&lt;CB$4+7),IF($K218="Deadline","◇","◆"),"")</f>
        <v/>
      </c>
      <c r="CC218" s="14" t="str">
        <f>IF(AND(ISNUMBER($I218),OR($K218="Milestone",$K218="Deadline"),$I218&gt;=CC$4,$I218&lt;CC$4+7),IF($K218="Deadline","◇","◆"),"")</f>
        <v/>
      </c>
      <c r="CD218" s="14" t="str">
        <f>IF(AND(ISNUMBER($I218),OR($K218="Milestone",$K218="Deadline"),$I218&gt;=CD$4,$I218&lt;CD$4+7),IF($K218="Deadline","◇","◆"),"")</f>
        <v/>
      </c>
      <c r="CE218" s="14" t="str">
        <f>IF(AND(ISNUMBER($I218),OR($K218="Milestone",$K218="Deadline"),$I218&gt;=CE$4,$I218&lt;CE$4+7),IF($K218="Deadline","◇","◆"),"")</f>
        <v/>
      </c>
      <c r="CF218" s="14" t="str">
        <f>IF(AND(ISNUMBER($I218),OR($K218="Milestone",$K218="Deadline"),$I218&gt;=CF$4,$I218&lt;CF$4+7),IF($K218="Deadline","◇","◆"),"")</f>
        <v/>
      </c>
      <c r="CG218" s="14" t="str">
        <f>IF(AND(ISNUMBER($I218),OR($K218="Milestone",$K218="Deadline"),$I218&gt;=CG$4,$I218&lt;CG$4+7),IF($K218="Deadline","◇","◆"),"")</f>
        <v/>
      </c>
      <c r="CH218" s="14" t="str">
        <f>IF(AND(ISNUMBER($I218),OR($K218="Milestone",$K218="Deadline"),$I218&gt;=CH$4,$I218&lt;CH$4+7),IF($K218="Deadline","◇","◆"),"")</f>
        <v/>
      </c>
      <c r="CI218" s="14" t="str">
        <f>IF(AND(ISNUMBER($I218),OR($K218="Milestone",$K218="Deadline"),$I218&gt;=CI$4,$I218&lt;CI$4+7),IF($K218="Deadline","◇","◆"),"")</f>
        <v/>
      </c>
      <c r="CJ218" s="14" t="str">
        <f>IF(AND(ISNUMBER($I218),OR($K218="Milestone",$K218="Deadline"),$I218&gt;=CJ$4,$I218&lt;CJ$4+7),IF($K218="Deadline","◇","◆"),"")</f>
        <v/>
      </c>
      <c r="CK218" s="14" t="str">
        <f>IF(AND(ISNUMBER($I218),OR($K218="Milestone",$K218="Deadline"),$I218&gt;=CK$4,$I218&lt;CK$4+7),IF($K218="Deadline","◇","◆"),"")</f>
        <v/>
      </c>
      <c r="CL218" s="14" t="str">
        <f>IF(AND(ISNUMBER($I218),OR($K218="Milestone",$K218="Deadline"),$I218&gt;=CL$4,$I218&lt;CL$4+7),IF($K218="Deadline","◇","◆"),"")</f>
        <v/>
      </c>
      <c r="CM218" s="14" t="str">
        <f>IF(AND(ISNUMBER($I218),OR($K218="Milestone",$K218="Deadline"),$I218&gt;=CM$4,$I218&lt;CM$4+7),IF($K218="Deadline","◇","◆"),"")</f>
        <v/>
      </c>
    </row>
    <row r="219" spans="1:91" hidden="1">
      <c r="A219" s="47" t="s">
        <v>468</v>
      </c>
      <c r="B219" s="47" t="s">
        <v>458</v>
      </c>
      <c r="C219" s="47" t="s">
        <v>93</v>
      </c>
      <c r="D219" s="47" t="s">
        <v>419</v>
      </c>
      <c r="E219" s="47" t="s">
        <v>281</v>
      </c>
      <c r="F219" s="47" t="s">
        <v>197</v>
      </c>
      <c r="G219" s="47" t="s">
        <v>176</v>
      </c>
      <c r="H219" s="47">
        <v>7</v>
      </c>
      <c r="I219" s="48">
        <f>MAX($C$2,J213+1,J216+1)</f>
        <v>46370</v>
      </c>
      <c r="J219" s="49">
        <f>IF(AND(ISNUMBER(I219),ISNUMBER(H219)),I219+H219-1,"")</f>
        <v>46376</v>
      </c>
      <c r="K219" s="47" t="s">
        <v>27</v>
      </c>
      <c r="L219" s="47" t="s">
        <v>469</v>
      </c>
      <c r="M219" s="50"/>
      <c r="N219" s="47"/>
      <c r="O219" s="50">
        <f>IF(AND(ISNUMBER(I219),ISNUMBER(J219)),J219-I219+1,"")</f>
        <v>7</v>
      </c>
      <c r="P219" s="13"/>
      <c r="Q219" s="13"/>
      <c r="R219" s="13"/>
      <c r="S219" s="13"/>
      <c r="T219" s="13"/>
      <c r="U219" s="13"/>
      <c r="V219" s="13"/>
      <c r="W219" s="13" t="s">
        <v>140</v>
      </c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4" t="str">
        <f>IF(AND(ISNUMBER($I219),OR($K219="Milestone",$K219="Deadline"),$I219&gt;=AO$4,$I219&lt;AO$4+7),IF($K219="Deadline","◇","◆"),"")</f>
        <v/>
      </c>
      <c r="AP219" s="14" t="str">
        <f>IF(AND(ISNUMBER($I219),OR($K219="Milestone",$K219="Deadline"),$I219&gt;=AP$4,$I219&lt;AP$4+7),IF($K219="Deadline","◇","◆"),"")</f>
        <v/>
      </c>
      <c r="AQ219" s="14" t="str">
        <f>IF(AND(ISNUMBER($I219),OR($K219="Milestone",$K219="Deadline"),$I219&gt;=AQ$4,$I219&lt;AQ$4+7),IF($K219="Deadline","◇","◆"),"")</f>
        <v/>
      </c>
      <c r="AR219" s="14" t="str">
        <f>IF(AND(ISNUMBER($I219),OR($K219="Milestone",$K219="Deadline"),$I219&gt;=AR$4,$I219&lt;AR$4+7),IF($K219="Deadline","◇","◆"),"")</f>
        <v/>
      </c>
      <c r="AS219" s="14" t="str">
        <f>IF(AND(ISNUMBER($I219),OR($K219="Milestone",$K219="Deadline"),$I219&gt;=AS$4,$I219&lt;AS$4+7),IF($K219="Deadline","◇","◆"),"")</f>
        <v/>
      </c>
      <c r="AT219" s="14" t="str">
        <f>IF(AND(ISNUMBER($I219),OR($K219="Milestone",$K219="Deadline"),$I219&gt;=AT$4,$I219&lt;AT$4+7),IF($K219="Deadline","◇","◆"),"")</f>
        <v/>
      </c>
      <c r="AU219" s="14" t="str">
        <f>IF(AND(ISNUMBER($I219),OR($K219="Milestone",$K219="Deadline"),$I219&gt;=AU$4,$I219&lt;AU$4+7),IF($K219="Deadline","◇","◆"),"")</f>
        <v/>
      </c>
      <c r="AV219" s="14" t="str">
        <f>IF(AND(ISNUMBER($I219),OR($K219="Milestone",$K219="Deadline"),$I219&gt;=AV$4,$I219&lt;AV$4+7),IF($K219="Deadline","◇","◆"),"")</f>
        <v/>
      </c>
      <c r="AW219" s="14" t="str">
        <f>IF(AND(ISNUMBER($I219),OR($K219="Milestone",$K219="Deadline"),$I219&gt;=AW$4,$I219&lt;AW$4+7),IF($K219="Deadline","◇","◆"),"")</f>
        <v/>
      </c>
      <c r="AX219" s="14" t="str">
        <f>IF(AND(ISNUMBER($I219),OR($K219="Milestone",$K219="Deadline"),$I219&gt;=AX$4,$I219&lt;AX$4+7),IF($K219="Deadline","◇","◆"),"")</f>
        <v/>
      </c>
      <c r="AY219" s="14" t="str">
        <f>IF(AND(ISNUMBER($I219),OR($K219="Milestone",$K219="Deadline"),$I219&gt;=AY$4,$I219&lt;AY$4+7),IF($K219="Deadline","◇","◆"),"")</f>
        <v/>
      </c>
      <c r="AZ219" s="14" t="str">
        <f>IF(AND(ISNUMBER($I219),OR($K219="Milestone",$K219="Deadline"),$I219&gt;=AZ$4,$I219&lt;AZ$4+7),IF($K219="Deadline","◇","◆"),"")</f>
        <v/>
      </c>
      <c r="BA219" s="14" t="str">
        <f>IF(AND(ISNUMBER($I219),OR($K219="Milestone",$K219="Deadline"),$I219&gt;=BA$4,$I219&lt;BA$4+7),IF($K219="Deadline","◇","◆"),"")</f>
        <v/>
      </c>
      <c r="BB219" s="14" t="str">
        <f>IF(AND(ISNUMBER($I219),OR($K219="Milestone",$K219="Deadline"),$I219&gt;=BB$4,$I219&lt;BB$4+7),IF($K219="Deadline","◇","◆"),"")</f>
        <v/>
      </c>
      <c r="BC219" s="14" t="str">
        <f>IF(AND(ISNUMBER($I219),OR($K219="Milestone",$K219="Deadline"),$I219&gt;=BC$4,$I219&lt;BC$4+7),IF($K219="Deadline","◇","◆"),"")</f>
        <v/>
      </c>
      <c r="BD219" s="14" t="str">
        <f>IF(AND(ISNUMBER($I219),OR($K219="Milestone",$K219="Deadline"),$I219&gt;=BD$4,$I219&lt;BD$4+7),IF($K219="Deadline","◇","◆"),"")</f>
        <v/>
      </c>
      <c r="BE219" s="14" t="str">
        <f>IF(AND(ISNUMBER($I219),OR($K219="Milestone",$K219="Deadline"),$I219&gt;=BE$4,$I219&lt;BE$4+7),IF($K219="Deadline","◇","◆"),"")</f>
        <v/>
      </c>
      <c r="BF219" s="14" t="str">
        <f>IF(AND(ISNUMBER($I219),OR($K219="Milestone",$K219="Deadline"),$I219&gt;=BF$4,$I219&lt;BF$4+7),IF($K219="Deadline","◇","◆"),"")</f>
        <v/>
      </c>
      <c r="BG219" s="14" t="str">
        <f>IF(AND(ISNUMBER($I219),OR($K219="Milestone",$K219="Deadline"),$I219&gt;=BG$4,$I219&lt;BG$4+7),IF($K219="Deadline","◇","◆"),"")</f>
        <v/>
      </c>
      <c r="BH219" s="14" t="str">
        <f>IF(AND(ISNUMBER($I219),OR($K219="Milestone",$K219="Deadline"),$I219&gt;=BH$4,$I219&lt;BH$4+7),IF($K219="Deadline","◇","◆"),"")</f>
        <v/>
      </c>
      <c r="BI219" s="14" t="str">
        <f>IF(AND(ISNUMBER($I219),OR($K219="Milestone",$K219="Deadline"),$I219&gt;=BI$4,$I219&lt;BI$4+7),IF($K219="Deadline","◇","◆"),"")</f>
        <v/>
      </c>
      <c r="BJ219" s="14" t="str">
        <f>IF(AND(ISNUMBER($I219),OR($K219="Milestone",$K219="Deadline"),$I219&gt;=BJ$4,$I219&lt;BJ$4+7),IF($K219="Deadline","◇","◆"),"")</f>
        <v/>
      </c>
      <c r="BK219" s="14" t="str">
        <f>IF(AND(ISNUMBER($I219),OR($K219="Milestone",$K219="Deadline"),$I219&gt;=BK$4,$I219&lt;BK$4+7),IF($K219="Deadline","◇","◆"),"")</f>
        <v/>
      </c>
      <c r="BL219" s="14" t="str">
        <f>IF(AND(ISNUMBER($I219),OR($K219="Milestone",$K219="Deadline"),$I219&gt;=BL$4,$I219&lt;BL$4+7),IF($K219="Deadline","◇","◆"),"")</f>
        <v/>
      </c>
      <c r="BM219" s="14" t="str">
        <f>IF(AND(ISNUMBER($I219),OR($K219="Milestone",$K219="Deadline"),$I219&gt;=BM$4,$I219&lt;BM$4+7),IF($K219="Deadline","◇","◆"),"")</f>
        <v/>
      </c>
      <c r="BN219" s="14" t="str">
        <f>IF(AND(ISNUMBER($I219),OR($K219="Milestone",$K219="Deadline"),$I219&gt;=BN$4,$I219&lt;BN$4+7),IF($K219="Deadline","◇","◆"),"")</f>
        <v/>
      </c>
      <c r="BO219" s="14" t="str">
        <f>IF(AND(ISNUMBER($I219),OR($K219="Milestone",$K219="Deadline"),$I219&gt;=BO$4,$I219&lt;BO$4+7),IF($K219="Deadline","◇","◆"),"")</f>
        <v/>
      </c>
      <c r="BP219" s="14" t="str">
        <f>IF(AND(ISNUMBER($I219),OR($K219="Milestone",$K219="Deadline"),$I219&gt;=BP$4,$I219&lt;BP$4+7),IF($K219="Deadline","◇","◆"),"")</f>
        <v/>
      </c>
      <c r="BQ219" s="14" t="str">
        <f>IF(AND(ISNUMBER($I219),OR($K219="Milestone",$K219="Deadline"),$I219&gt;=BQ$4,$I219&lt;BQ$4+7),IF($K219="Deadline","◇","◆"),"")</f>
        <v/>
      </c>
      <c r="BR219" s="14" t="str">
        <f>IF(AND(ISNUMBER($I219),OR($K219="Milestone",$K219="Deadline"),$I219&gt;=BR$4,$I219&lt;BR$4+7),IF($K219="Deadline","◇","◆"),"")</f>
        <v/>
      </c>
      <c r="BS219" s="14" t="str">
        <f>IF(AND(ISNUMBER($I219),OR($K219="Milestone",$K219="Deadline"),$I219&gt;=BS$4,$I219&lt;BS$4+7),IF($K219="Deadline","◇","◆"),"")</f>
        <v/>
      </c>
      <c r="BT219" s="14" t="str">
        <f>IF(AND(ISNUMBER($I219),OR($K219="Milestone",$K219="Deadline"),$I219&gt;=BT$4,$I219&lt;BT$4+7),IF($K219="Deadline","◇","◆"),"")</f>
        <v/>
      </c>
      <c r="BU219" s="14" t="str">
        <f>IF(AND(ISNUMBER($I219),OR($K219="Milestone",$K219="Deadline"),$I219&gt;=BU$4,$I219&lt;BU$4+7),IF($K219="Deadline","◇","◆"),"")</f>
        <v/>
      </c>
      <c r="BV219" s="14" t="str">
        <f>IF(AND(ISNUMBER($I219),OR($K219="Milestone",$K219="Deadline"),$I219&gt;=BV$4,$I219&lt;BV$4+7),IF($K219="Deadline","◇","◆"),"")</f>
        <v/>
      </c>
      <c r="BW219" s="14" t="str">
        <f>IF(AND(ISNUMBER($I219),OR($K219="Milestone",$K219="Deadline"),$I219&gt;=BW$4,$I219&lt;BW$4+7),IF($K219="Deadline","◇","◆"),"")</f>
        <v/>
      </c>
      <c r="BX219" s="14" t="str">
        <f>IF(AND(ISNUMBER($I219),OR($K219="Milestone",$K219="Deadline"),$I219&gt;=BX$4,$I219&lt;BX$4+7),IF($K219="Deadline","◇","◆"),"")</f>
        <v/>
      </c>
      <c r="BY219" s="14" t="str">
        <f>IF(AND(ISNUMBER($I219),OR($K219="Milestone",$K219="Deadline"),$I219&gt;=BY$4,$I219&lt;BY$4+7),IF($K219="Deadline","◇","◆"),"")</f>
        <v/>
      </c>
      <c r="BZ219" s="14" t="str">
        <f>IF(AND(ISNUMBER($I219),OR($K219="Milestone",$K219="Deadline"),$I219&gt;=BZ$4,$I219&lt;BZ$4+7),IF($K219="Deadline","◇","◆"),"")</f>
        <v/>
      </c>
      <c r="CA219" s="14" t="str">
        <f>IF(AND(ISNUMBER($I219),OR($K219="Milestone",$K219="Deadline"),$I219&gt;=CA$4,$I219&lt;CA$4+7),IF($K219="Deadline","◇","◆"),"")</f>
        <v/>
      </c>
      <c r="CB219" s="14" t="str">
        <f>IF(AND(ISNUMBER($I219),OR($K219="Milestone",$K219="Deadline"),$I219&gt;=CB$4,$I219&lt;CB$4+7),IF($K219="Deadline","◇","◆"),"")</f>
        <v/>
      </c>
      <c r="CC219" s="14" t="str">
        <f>IF(AND(ISNUMBER($I219),OR($K219="Milestone",$K219="Deadline"),$I219&gt;=CC$4,$I219&lt;CC$4+7),IF($K219="Deadline","◇","◆"),"")</f>
        <v/>
      </c>
      <c r="CD219" s="14" t="str">
        <f>IF(AND(ISNUMBER($I219),OR($K219="Milestone",$K219="Deadline"),$I219&gt;=CD$4,$I219&lt;CD$4+7),IF($K219="Deadline","◇","◆"),"")</f>
        <v/>
      </c>
      <c r="CE219" s="14" t="str">
        <f>IF(AND(ISNUMBER($I219),OR($K219="Milestone",$K219="Deadline"),$I219&gt;=CE$4,$I219&lt;CE$4+7),IF($K219="Deadline","◇","◆"),"")</f>
        <v/>
      </c>
      <c r="CF219" s="14" t="str">
        <f>IF(AND(ISNUMBER($I219),OR($K219="Milestone",$K219="Deadline"),$I219&gt;=CF$4,$I219&lt;CF$4+7),IF($K219="Deadline","◇","◆"),"")</f>
        <v/>
      </c>
      <c r="CG219" s="14" t="str">
        <f>IF(AND(ISNUMBER($I219),OR($K219="Milestone",$K219="Deadline"),$I219&gt;=CG$4,$I219&lt;CG$4+7),IF($K219="Deadline","◇","◆"),"")</f>
        <v/>
      </c>
      <c r="CH219" s="14" t="str">
        <f>IF(AND(ISNUMBER($I219),OR($K219="Milestone",$K219="Deadline"),$I219&gt;=CH$4,$I219&lt;CH$4+7),IF($K219="Deadline","◇","◆"),"")</f>
        <v/>
      </c>
      <c r="CI219" s="14" t="str">
        <f>IF(AND(ISNUMBER($I219),OR($K219="Milestone",$K219="Deadline"),$I219&gt;=CI$4,$I219&lt;CI$4+7),IF($K219="Deadline","◇","◆"),"")</f>
        <v/>
      </c>
      <c r="CJ219" s="14" t="str">
        <f>IF(AND(ISNUMBER($I219),OR($K219="Milestone",$K219="Deadline"),$I219&gt;=CJ$4,$I219&lt;CJ$4+7),IF($K219="Deadline","◇","◆"),"")</f>
        <v/>
      </c>
      <c r="CK219" s="14" t="str">
        <f>IF(AND(ISNUMBER($I219),OR($K219="Milestone",$K219="Deadline"),$I219&gt;=CK$4,$I219&lt;CK$4+7),IF($K219="Deadline","◇","◆"),"")</f>
        <v/>
      </c>
      <c r="CL219" s="14" t="str">
        <f>IF(AND(ISNUMBER($I219),OR($K219="Milestone",$K219="Deadline"),$I219&gt;=CL$4,$I219&lt;CL$4+7),IF($K219="Deadline","◇","◆"),"")</f>
        <v/>
      </c>
      <c r="CM219" s="14" t="str">
        <f>IF(AND(ISNUMBER($I219),OR($K219="Milestone",$K219="Deadline"),$I219&gt;=CM$4,$I219&lt;CM$4+7),IF($K219="Deadline","◇","◆"),"")</f>
        <v/>
      </c>
    </row>
    <row r="220" spans="1:91" hidden="1">
      <c r="A220" s="47" t="s">
        <v>470</v>
      </c>
      <c r="B220" s="47" t="s">
        <v>458</v>
      </c>
      <c r="C220" s="47" t="s">
        <v>93</v>
      </c>
      <c r="D220" s="47" t="s">
        <v>419</v>
      </c>
      <c r="E220" s="47" t="s">
        <v>281</v>
      </c>
      <c r="F220" s="47" t="s">
        <v>204</v>
      </c>
      <c r="G220" s="47" t="s">
        <v>173</v>
      </c>
      <c r="H220" s="47">
        <v>14</v>
      </c>
      <c r="I220" s="48">
        <f>MAX($C$2,I213)</f>
        <v>46349</v>
      </c>
      <c r="J220" s="49">
        <f>IF(AND(ISNUMBER(I220),ISNUMBER(H220)),I220+H220-1,"")</f>
        <v>46362</v>
      </c>
      <c r="K220" s="47" t="s">
        <v>27</v>
      </c>
      <c r="L220" s="47" t="s">
        <v>464</v>
      </c>
      <c r="M220" s="50"/>
      <c r="N220" s="47"/>
      <c r="O220" s="50">
        <f>IF(AND(ISNUMBER(I220),ISNUMBER(J220)),J220-I220+1,"")</f>
        <v>14</v>
      </c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4" t="str">
        <f>IF(AND(ISNUMBER($I220),OR($K220="Milestone",$K220="Deadline"),$I220&gt;=AO$4,$I220&lt;AO$4+7),IF($K220="Deadline","◇","◆"),"")</f>
        <v/>
      </c>
      <c r="AP220" s="14" t="str">
        <f>IF(AND(ISNUMBER($I220),OR($K220="Milestone",$K220="Deadline"),$I220&gt;=AP$4,$I220&lt;AP$4+7),IF($K220="Deadline","◇","◆"),"")</f>
        <v/>
      </c>
      <c r="AQ220" s="14" t="str">
        <f>IF(AND(ISNUMBER($I220),OR($K220="Milestone",$K220="Deadline"),$I220&gt;=AQ$4,$I220&lt;AQ$4+7),IF($K220="Deadline","◇","◆"),"")</f>
        <v/>
      </c>
      <c r="AR220" s="14" t="str">
        <f>IF(AND(ISNUMBER($I220),OR($K220="Milestone",$K220="Deadline"),$I220&gt;=AR$4,$I220&lt;AR$4+7),IF($K220="Deadline","◇","◆"),"")</f>
        <v/>
      </c>
      <c r="AS220" s="14" t="str">
        <f>IF(AND(ISNUMBER($I220),OR($K220="Milestone",$K220="Deadline"),$I220&gt;=AS$4,$I220&lt;AS$4+7),IF($K220="Deadline","◇","◆"),"")</f>
        <v/>
      </c>
      <c r="AT220" s="14" t="str">
        <f>IF(AND(ISNUMBER($I220),OR($K220="Milestone",$K220="Deadline"),$I220&gt;=AT$4,$I220&lt;AT$4+7),IF($K220="Deadline","◇","◆"),"")</f>
        <v/>
      </c>
      <c r="AU220" s="14" t="str">
        <f>IF(AND(ISNUMBER($I220),OR($K220="Milestone",$K220="Deadline"),$I220&gt;=AU$4,$I220&lt;AU$4+7),IF($K220="Deadline","◇","◆"),"")</f>
        <v/>
      </c>
      <c r="AV220" s="14" t="str">
        <f>IF(AND(ISNUMBER($I220),OR($K220="Milestone",$K220="Deadline"),$I220&gt;=AV$4,$I220&lt;AV$4+7),IF($K220="Deadline","◇","◆"),"")</f>
        <v/>
      </c>
      <c r="AW220" s="14" t="str">
        <f>IF(AND(ISNUMBER($I220),OR($K220="Milestone",$K220="Deadline"),$I220&gt;=AW$4,$I220&lt;AW$4+7),IF($K220="Deadline","◇","◆"),"")</f>
        <v/>
      </c>
      <c r="AX220" s="14" t="str">
        <f>IF(AND(ISNUMBER($I220),OR($K220="Milestone",$K220="Deadline"),$I220&gt;=AX$4,$I220&lt;AX$4+7),IF($K220="Deadline","◇","◆"),"")</f>
        <v/>
      </c>
      <c r="AY220" s="14" t="str">
        <f>IF(AND(ISNUMBER($I220),OR($K220="Milestone",$K220="Deadline"),$I220&gt;=AY$4,$I220&lt;AY$4+7),IF($K220="Deadline","◇","◆"),"")</f>
        <v/>
      </c>
      <c r="AZ220" s="14" t="str">
        <f>IF(AND(ISNUMBER($I220),OR($K220="Milestone",$K220="Deadline"),$I220&gt;=AZ$4,$I220&lt;AZ$4+7),IF($K220="Deadline","◇","◆"),"")</f>
        <v/>
      </c>
      <c r="BA220" s="14" t="str">
        <f>IF(AND(ISNUMBER($I220),OR($K220="Milestone",$K220="Deadline"),$I220&gt;=BA$4,$I220&lt;BA$4+7),IF($K220="Deadline","◇","◆"),"")</f>
        <v/>
      </c>
      <c r="BB220" s="14" t="str">
        <f>IF(AND(ISNUMBER($I220),OR($K220="Milestone",$K220="Deadline"),$I220&gt;=BB$4,$I220&lt;BB$4+7),IF($K220="Deadline","◇","◆"),"")</f>
        <v/>
      </c>
      <c r="BC220" s="14" t="str">
        <f>IF(AND(ISNUMBER($I220),OR($K220="Milestone",$K220="Deadline"),$I220&gt;=BC$4,$I220&lt;BC$4+7),IF($K220="Deadline","◇","◆"),"")</f>
        <v/>
      </c>
      <c r="BD220" s="14" t="str">
        <f>IF(AND(ISNUMBER($I220),OR($K220="Milestone",$K220="Deadline"),$I220&gt;=BD$4,$I220&lt;BD$4+7),IF($K220="Deadline","◇","◆"),"")</f>
        <v/>
      </c>
      <c r="BE220" s="14" t="str">
        <f>IF(AND(ISNUMBER($I220),OR($K220="Milestone",$K220="Deadline"),$I220&gt;=BE$4,$I220&lt;BE$4+7),IF($K220="Deadline","◇","◆"),"")</f>
        <v/>
      </c>
      <c r="BF220" s="14" t="str">
        <f>IF(AND(ISNUMBER($I220),OR($K220="Milestone",$K220="Deadline"),$I220&gt;=BF$4,$I220&lt;BF$4+7),IF($K220="Deadline","◇","◆"),"")</f>
        <v/>
      </c>
      <c r="BG220" s="14" t="str">
        <f>IF(AND(ISNUMBER($I220),OR($K220="Milestone",$K220="Deadline"),$I220&gt;=BG$4,$I220&lt;BG$4+7),IF($K220="Deadline","◇","◆"),"")</f>
        <v/>
      </c>
      <c r="BH220" s="14" t="str">
        <f>IF(AND(ISNUMBER($I220),OR($K220="Milestone",$K220="Deadline"),$I220&gt;=BH$4,$I220&lt;BH$4+7),IF($K220="Deadline","◇","◆"),"")</f>
        <v/>
      </c>
      <c r="BI220" s="14" t="str">
        <f>IF(AND(ISNUMBER($I220),OR($K220="Milestone",$K220="Deadline"),$I220&gt;=BI$4,$I220&lt;BI$4+7),IF($K220="Deadline","◇","◆"),"")</f>
        <v/>
      </c>
      <c r="BJ220" s="14" t="str">
        <f>IF(AND(ISNUMBER($I220),OR($K220="Milestone",$K220="Deadline"),$I220&gt;=BJ$4,$I220&lt;BJ$4+7),IF($K220="Deadline","◇","◆"),"")</f>
        <v/>
      </c>
      <c r="BK220" s="14" t="str">
        <f>IF(AND(ISNUMBER($I220),OR($K220="Milestone",$K220="Deadline"),$I220&gt;=BK$4,$I220&lt;BK$4+7),IF($K220="Deadline","◇","◆"),"")</f>
        <v/>
      </c>
      <c r="BL220" s="14" t="str">
        <f>IF(AND(ISNUMBER($I220),OR($K220="Milestone",$K220="Deadline"),$I220&gt;=BL$4,$I220&lt;BL$4+7),IF($K220="Deadline","◇","◆"),"")</f>
        <v/>
      </c>
      <c r="BM220" s="14" t="str">
        <f>IF(AND(ISNUMBER($I220),OR($K220="Milestone",$K220="Deadline"),$I220&gt;=BM$4,$I220&lt;BM$4+7),IF($K220="Deadline","◇","◆"),"")</f>
        <v/>
      </c>
      <c r="BN220" s="14" t="str">
        <f>IF(AND(ISNUMBER($I220),OR($K220="Milestone",$K220="Deadline"),$I220&gt;=BN$4,$I220&lt;BN$4+7),IF($K220="Deadline","◇","◆"),"")</f>
        <v/>
      </c>
      <c r="BO220" s="14" t="str">
        <f>IF(AND(ISNUMBER($I220),OR($K220="Milestone",$K220="Deadline"),$I220&gt;=BO$4,$I220&lt;BO$4+7),IF($K220="Deadline","◇","◆"),"")</f>
        <v/>
      </c>
      <c r="BP220" s="14" t="str">
        <f>IF(AND(ISNUMBER($I220),OR($K220="Milestone",$K220="Deadline"),$I220&gt;=BP$4,$I220&lt;BP$4+7),IF($K220="Deadline","◇","◆"),"")</f>
        <v/>
      </c>
      <c r="BQ220" s="14" t="str">
        <f>IF(AND(ISNUMBER($I220),OR($K220="Milestone",$K220="Deadline"),$I220&gt;=BQ$4,$I220&lt;BQ$4+7),IF($K220="Deadline","◇","◆"),"")</f>
        <v/>
      </c>
      <c r="BR220" s="14" t="str">
        <f>IF(AND(ISNUMBER($I220),OR($K220="Milestone",$K220="Deadline"),$I220&gt;=BR$4,$I220&lt;BR$4+7),IF($K220="Deadline","◇","◆"),"")</f>
        <v/>
      </c>
      <c r="BS220" s="14" t="str">
        <f>IF(AND(ISNUMBER($I220),OR($K220="Milestone",$K220="Deadline"),$I220&gt;=BS$4,$I220&lt;BS$4+7),IF($K220="Deadline","◇","◆"),"")</f>
        <v/>
      </c>
      <c r="BT220" s="14" t="str">
        <f>IF(AND(ISNUMBER($I220),OR($K220="Milestone",$K220="Deadline"),$I220&gt;=BT$4,$I220&lt;BT$4+7),IF($K220="Deadline","◇","◆"),"")</f>
        <v/>
      </c>
      <c r="BU220" s="14" t="str">
        <f>IF(AND(ISNUMBER($I220),OR($K220="Milestone",$K220="Deadline"),$I220&gt;=BU$4,$I220&lt;BU$4+7),IF($K220="Deadline","◇","◆"),"")</f>
        <v/>
      </c>
      <c r="BV220" s="14" t="str">
        <f>IF(AND(ISNUMBER($I220),OR($K220="Milestone",$K220="Deadline"),$I220&gt;=BV$4,$I220&lt;BV$4+7),IF($K220="Deadline","◇","◆"),"")</f>
        <v/>
      </c>
      <c r="BW220" s="14" t="str">
        <f>IF(AND(ISNUMBER($I220),OR($K220="Milestone",$K220="Deadline"),$I220&gt;=BW$4,$I220&lt;BW$4+7),IF($K220="Deadline","◇","◆"),"")</f>
        <v/>
      </c>
      <c r="BX220" s="14" t="str">
        <f>IF(AND(ISNUMBER($I220),OR($K220="Milestone",$K220="Deadline"),$I220&gt;=BX$4,$I220&lt;BX$4+7),IF($K220="Deadline","◇","◆"),"")</f>
        <v/>
      </c>
      <c r="BY220" s="14" t="str">
        <f>IF(AND(ISNUMBER($I220),OR($K220="Milestone",$K220="Deadline"),$I220&gt;=BY$4,$I220&lt;BY$4+7),IF($K220="Deadline","◇","◆"),"")</f>
        <v/>
      </c>
      <c r="BZ220" s="14" t="str">
        <f>IF(AND(ISNUMBER($I220),OR($K220="Milestone",$K220="Deadline"),$I220&gt;=BZ$4,$I220&lt;BZ$4+7),IF($K220="Deadline","◇","◆"),"")</f>
        <v/>
      </c>
      <c r="CA220" s="14" t="str">
        <f>IF(AND(ISNUMBER($I220),OR($K220="Milestone",$K220="Deadline"),$I220&gt;=CA$4,$I220&lt;CA$4+7),IF($K220="Deadline","◇","◆"),"")</f>
        <v/>
      </c>
      <c r="CB220" s="14" t="str">
        <f>IF(AND(ISNUMBER($I220),OR($K220="Milestone",$K220="Deadline"),$I220&gt;=CB$4,$I220&lt;CB$4+7),IF($K220="Deadline","◇","◆"),"")</f>
        <v/>
      </c>
      <c r="CC220" s="14" t="str">
        <f>IF(AND(ISNUMBER($I220),OR($K220="Milestone",$K220="Deadline"),$I220&gt;=CC$4,$I220&lt;CC$4+7),IF($K220="Deadline","◇","◆"),"")</f>
        <v/>
      </c>
      <c r="CD220" s="14" t="str">
        <f>IF(AND(ISNUMBER($I220),OR($K220="Milestone",$K220="Deadline"),$I220&gt;=CD$4,$I220&lt;CD$4+7),IF($K220="Deadline","◇","◆"),"")</f>
        <v/>
      </c>
      <c r="CE220" s="14" t="str">
        <f>IF(AND(ISNUMBER($I220),OR($K220="Milestone",$K220="Deadline"),$I220&gt;=CE$4,$I220&lt;CE$4+7),IF($K220="Deadline","◇","◆"),"")</f>
        <v/>
      </c>
      <c r="CF220" s="14" t="str">
        <f>IF(AND(ISNUMBER($I220),OR($K220="Milestone",$K220="Deadline"),$I220&gt;=CF$4,$I220&lt;CF$4+7),IF($K220="Deadline","◇","◆"),"")</f>
        <v/>
      </c>
      <c r="CG220" s="14" t="str">
        <f>IF(AND(ISNUMBER($I220),OR($K220="Milestone",$K220="Deadline"),$I220&gt;=CG$4,$I220&lt;CG$4+7),IF($K220="Deadline","◇","◆"),"")</f>
        <v/>
      </c>
      <c r="CH220" s="14" t="str">
        <f>IF(AND(ISNUMBER($I220),OR($K220="Milestone",$K220="Deadline"),$I220&gt;=CH$4,$I220&lt;CH$4+7),IF($K220="Deadline","◇","◆"),"")</f>
        <v/>
      </c>
      <c r="CI220" s="14" t="str">
        <f>IF(AND(ISNUMBER($I220),OR($K220="Milestone",$K220="Deadline"),$I220&gt;=CI$4,$I220&lt;CI$4+7),IF($K220="Deadline","◇","◆"),"")</f>
        <v/>
      </c>
      <c r="CJ220" s="14" t="str">
        <f>IF(AND(ISNUMBER($I220),OR($K220="Milestone",$K220="Deadline"),$I220&gt;=CJ$4,$I220&lt;CJ$4+7),IF($K220="Deadline","◇","◆"),"")</f>
        <v/>
      </c>
      <c r="CK220" s="14" t="str">
        <f>IF(AND(ISNUMBER($I220),OR($K220="Milestone",$K220="Deadline"),$I220&gt;=CK$4,$I220&lt;CK$4+7),IF($K220="Deadline","◇","◆"),"")</f>
        <v/>
      </c>
      <c r="CL220" s="14" t="str">
        <f>IF(AND(ISNUMBER($I220),OR($K220="Milestone",$K220="Deadline"),$I220&gt;=CL$4,$I220&lt;CL$4+7),IF($K220="Deadline","◇","◆"),"")</f>
        <v/>
      </c>
      <c r="CM220" s="14" t="str">
        <f>IF(AND(ISNUMBER($I220),OR($K220="Milestone",$K220="Deadline"),$I220&gt;=CM$4,$I220&lt;CM$4+7),IF($K220="Deadline","◇","◆"),"")</f>
        <v/>
      </c>
    </row>
    <row r="221" spans="1:91" hidden="1">
      <c r="A221" s="47" t="s">
        <v>471</v>
      </c>
      <c r="B221" s="47" t="s">
        <v>458</v>
      </c>
      <c r="C221" s="47" t="s">
        <v>93</v>
      </c>
      <c r="D221" s="47" t="s">
        <v>419</v>
      </c>
      <c r="E221" s="47" t="s">
        <v>281</v>
      </c>
      <c r="F221" s="47" t="s">
        <v>204</v>
      </c>
      <c r="G221" s="47" t="s">
        <v>427</v>
      </c>
      <c r="H221" s="47">
        <v>14</v>
      </c>
      <c r="I221" s="48">
        <f>MAX($C$2,J18+1,J252+1)</f>
        <v>46336</v>
      </c>
      <c r="J221" s="49">
        <f>IF(AND(ISNUMBER(I221),ISNUMBER(H221)),I221+H221-1,"")</f>
        <v>46349</v>
      </c>
      <c r="K221" s="47" t="s">
        <v>27</v>
      </c>
      <c r="L221" s="47" t="s">
        <v>99</v>
      </c>
      <c r="M221" s="50" t="s">
        <v>472</v>
      </c>
      <c r="N221" s="47"/>
      <c r="O221" s="50">
        <f>IF(AND(ISNUMBER(I221),ISNUMBER(J221)),J221-I221+1,"")</f>
        <v>14</v>
      </c>
      <c r="P221" s="13"/>
      <c r="Q221" s="13"/>
      <c r="R221" s="13"/>
      <c r="S221" s="13"/>
      <c r="T221" s="13"/>
      <c r="U221" s="13"/>
      <c r="V221" s="13"/>
      <c r="W221" s="13"/>
      <c r="X221" s="13"/>
      <c r="Y221" s="13" t="s">
        <v>140</v>
      </c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4" t="str">
        <f>IF(AND(ISNUMBER($I221),OR($K221="Milestone",$K221="Deadline"),$I221&gt;=AO$4,$I221&lt;AO$4+7),IF($K221="Deadline","◇","◆"),"")</f>
        <v/>
      </c>
      <c r="AP221" s="14" t="str">
        <f>IF(AND(ISNUMBER($I221),OR($K221="Milestone",$K221="Deadline"),$I221&gt;=AP$4,$I221&lt;AP$4+7),IF($K221="Deadline","◇","◆"),"")</f>
        <v/>
      </c>
      <c r="AQ221" s="14" t="str">
        <f>IF(AND(ISNUMBER($I221),OR($K221="Milestone",$K221="Deadline"),$I221&gt;=AQ$4,$I221&lt;AQ$4+7),IF($K221="Deadline","◇","◆"),"")</f>
        <v/>
      </c>
      <c r="AR221" s="14" t="str">
        <f>IF(AND(ISNUMBER($I221),OR($K221="Milestone",$K221="Deadline"),$I221&gt;=AR$4,$I221&lt;AR$4+7),IF($K221="Deadline","◇","◆"),"")</f>
        <v/>
      </c>
      <c r="AS221" s="14" t="str">
        <f>IF(AND(ISNUMBER($I221),OR($K221="Milestone",$K221="Deadline"),$I221&gt;=AS$4,$I221&lt;AS$4+7),IF($K221="Deadline","◇","◆"),"")</f>
        <v/>
      </c>
      <c r="AT221" s="14" t="str">
        <f>IF(AND(ISNUMBER($I221),OR($K221="Milestone",$K221="Deadline"),$I221&gt;=AT$4,$I221&lt;AT$4+7),IF($K221="Deadline","◇","◆"),"")</f>
        <v/>
      </c>
      <c r="AU221" s="14" t="str">
        <f>IF(AND(ISNUMBER($I221),OR($K221="Milestone",$K221="Deadline"),$I221&gt;=AU$4,$I221&lt;AU$4+7),IF($K221="Deadline","◇","◆"),"")</f>
        <v/>
      </c>
      <c r="AV221" s="14" t="str">
        <f>IF(AND(ISNUMBER($I221),OR($K221="Milestone",$K221="Deadline"),$I221&gt;=AV$4,$I221&lt;AV$4+7),IF($K221="Deadline","◇","◆"),"")</f>
        <v/>
      </c>
      <c r="AW221" s="14" t="str">
        <f>IF(AND(ISNUMBER($I221),OR($K221="Milestone",$K221="Deadline"),$I221&gt;=AW$4,$I221&lt;AW$4+7),IF($K221="Deadline","◇","◆"),"")</f>
        <v/>
      </c>
      <c r="AX221" s="14" t="str">
        <f>IF(AND(ISNUMBER($I221),OR($K221="Milestone",$K221="Deadline"),$I221&gt;=AX$4,$I221&lt;AX$4+7),IF($K221="Deadline","◇","◆"),"")</f>
        <v/>
      </c>
      <c r="AY221" s="14" t="str">
        <f>IF(AND(ISNUMBER($I221),OR($K221="Milestone",$K221="Deadline"),$I221&gt;=AY$4,$I221&lt;AY$4+7),IF($K221="Deadline","◇","◆"),"")</f>
        <v/>
      </c>
      <c r="AZ221" s="14" t="str">
        <f>IF(AND(ISNUMBER($I221),OR($K221="Milestone",$K221="Deadline"),$I221&gt;=AZ$4,$I221&lt;AZ$4+7),IF($K221="Deadline","◇","◆"),"")</f>
        <v/>
      </c>
      <c r="BA221" s="14" t="str">
        <f>IF(AND(ISNUMBER($I221),OR($K221="Milestone",$K221="Deadline"),$I221&gt;=BA$4,$I221&lt;BA$4+7),IF($K221="Deadline","◇","◆"),"")</f>
        <v/>
      </c>
      <c r="BB221" s="14" t="str">
        <f>IF(AND(ISNUMBER($I221),OR($K221="Milestone",$K221="Deadline"),$I221&gt;=BB$4,$I221&lt;BB$4+7),IF($K221="Deadline","◇","◆"),"")</f>
        <v/>
      </c>
      <c r="BC221" s="14" t="str">
        <f>IF(AND(ISNUMBER($I221),OR($K221="Milestone",$K221="Deadline"),$I221&gt;=BC$4,$I221&lt;BC$4+7),IF($K221="Deadline","◇","◆"),"")</f>
        <v/>
      </c>
      <c r="BD221" s="14" t="str">
        <f>IF(AND(ISNUMBER($I221),OR($K221="Milestone",$K221="Deadline"),$I221&gt;=BD$4,$I221&lt;BD$4+7),IF($K221="Deadline","◇","◆"),"")</f>
        <v/>
      </c>
      <c r="BE221" s="14" t="str">
        <f>IF(AND(ISNUMBER($I221),OR($K221="Milestone",$K221="Deadline"),$I221&gt;=BE$4,$I221&lt;BE$4+7),IF($K221="Deadline","◇","◆"),"")</f>
        <v/>
      </c>
      <c r="BF221" s="14" t="str">
        <f>IF(AND(ISNUMBER($I221),OR($K221="Milestone",$K221="Deadline"),$I221&gt;=BF$4,$I221&lt;BF$4+7),IF($K221="Deadline","◇","◆"),"")</f>
        <v/>
      </c>
      <c r="BG221" s="14" t="str">
        <f>IF(AND(ISNUMBER($I221),OR($K221="Milestone",$K221="Deadline"),$I221&gt;=BG$4,$I221&lt;BG$4+7),IF($K221="Deadline","◇","◆"),"")</f>
        <v/>
      </c>
      <c r="BH221" s="14" t="str">
        <f>IF(AND(ISNUMBER($I221),OR($K221="Milestone",$K221="Deadline"),$I221&gt;=BH$4,$I221&lt;BH$4+7),IF($K221="Deadline","◇","◆"),"")</f>
        <v/>
      </c>
      <c r="BI221" s="14" t="str">
        <f>IF(AND(ISNUMBER($I221),OR($K221="Milestone",$K221="Deadline"),$I221&gt;=BI$4,$I221&lt;BI$4+7),IF($K221="Deadline","◇","◆"),"")</f>
        <v/>
      </c>
      <c r="BJ221" s="14" t="str">
        <f>IF(AND(ISNUMBER($I221),OR($K221="Milestone",$K221="Deadline"),$I221&gt;=BJ$4,$I221&lt;BJ$4+7),IF($K221="Deadline","◇","◆"),"")</f>
        <v/>
      </c>
      <c r="BK221" s="14" t="str">
        <f>IF(AND(ISNUMBER($I221),OR($K221="Milestone",$K221="Deadline"),$I221&gt;=BK$4,$I221&lt;BK$4+7),IF($K221="Deadline","◇","◆"),"")</f>
        <v/>
      </c>
      <c r="BL221" s="14" t="str">
        <f>IF(AND(ISNUMBER($I221),OR($K221="Milestone",$K221="Deadline"),$I221&gt;=BL$4,$I221&lt;BL$4+7),IF($K221="Deadline","◇","◆"),"")</f>
        <v/>
      </c>
      <c r="BM221" s="14" t="str">
        <f>IF(AND(ISNUMBER($I221),OR($K221="Milestone",$K221="Deadline"),$I221&gt;=BM$4,$I221&lt;BM$4+7),IF($K221="Deadline","◇","◆"),"")</f>
        <v/>
      </c>
      <c r="BN221" s="14" t="str">
        <f>IF(AND(ISNUMBER($I221),OR($K221="Milestone",$K221="Deadline"),$I221&gt;=BN$4,$I221&lt;BN$4+7),IF($K221="Deadline","◇","◆"),"")</f>
        <v/>
      </c>
      <c r="BO221" s="14" t="str">
        <f>IF(AND(ISNUMBER($I221),OR($K221="Milestone",$K221="Deadline"),$I221&gt;=BO$4,$I221&lt;BO$4+7),IF($K221="Deadline","◇","◆"),"")</f>
        <v/>
      </c>
      <c r="BP221" s="14" t="str">
        <f>IF(AND(ISNUMBER($I221),OR($K221="Milestone",$K221="Deadline"),$I221&gt;=BP$4,$I221&lt;BP$4+7),IF($K221="Deadline","◇","◆"),"")</f>
        <v/>
      </c>
      <c r="BQ221" s="14" t="str">
        <f>IF(AND(ISNUMBER($I221),OR($K221="Milestone",$K221="Deadline"),$I221&gt;=BQ$4,$I221&lt;BQ$4+7),IF($K221="Deadline","◇","◆"),"")</f>
        <v/>
      </c>
      <c r="BR221" s="14" t="str">
        <f>IF(AND(ISNUMBER($I221),OR($K221="Milestone",$K221="Deadline"),$I221&gt;=BR$4,$I221&lt;BR$4+7),IF($K221="Deadline","◇","◆"),"")</f>
        <v/>
      </c>
      <c r="BS221" s="14" t="str">
        <f>IF(AND(ISNUMBER($I221),OR($K221="Milestone",$K221="Deadline"),$I221&gt;=BS$4,$I221&lt;BS$4+7),IF($K221="Deadline","◇","◆"),"")</f>
        <v/>
      </c>
      <c r="BT221" s="14" t="str">
        <f>IF(AND(ISNUMBER($I221),OR($K221="Milestone",$K221="Deadline"),$I221&gt;=BT$4,$I221&lt;BT$4+7),IF($K221="Deadline","◇","◆"),"")</f>
        <v/>
      </c>
      <c r="BU221" s="14" t="str">
        <f>IF(AND(ISNUMBER($I221),OR($K221="Milestone",$K221="Deadline"),$I221&gt;=BU$4,$I221&lt;BU$4+7),IF($K221="Deadline","◇","◆"),"")</f>
        <v/>
      </c>
      <c r="BV221" s="14" t="str">
        <f>IF(AND(ISNUMBER($I221),OR($K221="Milestone",$K221="Deadline"),$I221&gt;=BV$4,$I221&lt;BV$4+7),IF($K221="Deadline","◇","◆"),"")</f>
        <v/>
      </c>
      <c r="BW221" s="14" t="str">
        <f>IF(AND(ISNUMBER($I221),OR($K221="Milestone",$K221="Deadline"),$I221&gt;=BW$4,$I221&lt;BW$4+7),IF($K221="Deadline","◇","◆"),"")</f>
        <v/>
      </c>
      <c r="BX221" s="14" t="str">
        <f>IF(AND(ISNUMBER($I221),OR($K221="Milestone",$K221="Deadline"),$I221&gt;=BX$4,$I221&lt;BX$4+7),IF($K221="Deadline","◇","◆"),"")</f>
        <v/>
      </c>
      <c r="BY221" s="14" t="str">
        <f>IF(AND(ISNUMBER($I221),OR($K221="Milestone",$K221="Deadline"),$I221&gt;=BY$4,$I221&lt;BY$4+7),IF($K221="Deadline","◇","◆"),"")</f>
        <v/>
      </c>
      <c r="BZ221" s="14" t="str">
        <f>IF(AND(ISNUMBER($I221),OR($K221="Milestone",$K221="Deadline"),$I221&gt;=BZ$4,$I221&lt;BZ$4+7),IF($K221="Deadline","◇","◆"),"")</f>
        <v/>
      </c>
      <c r="CA221" s="14" t="str">
        <f>IF(AND(ISNUMBER($I221),OR($K221="Milestone",$K221="Deadline"),$I221&gt;=CA$4,$I221&lt;CA$4+7),IF($K221="Deadline","◇","◆"),"")</f>
        <v/>
      </c>
      <c r="CB221" s="14" t="str">
        <f>IF(AND(ISNUMBER($I221),OR($K221="Milestone",$K221="Deadline"),$I221&gt;=CB$4,$I221&lt;CB$4+7),IF($K221="Deadline","◇","◆"),"")</f>
        <v/>
      </c>
      <c r="CC221" s="14" t="str">
        <f>IF(AND(ISNUMBER($I221),OR($K221="Milestone",$K221="Deadline"),$I221&gt;=CC$4,$I221&lt;CC$4+7),IF($K221="Deadline","◇","◆"),"")</f>
        <v/>
      </c>
      <c r="CD221" s="14" t="str">
        <f>IF(AND(ISNUMBER($I221),OR($K221="Milestone",$K221="Deadline"),$I221&gt;=CD$4,$I221&lt;CD$4+7),IF($K221="Deadline","◇","◆"),"")</f>
        <v/>
      </c>
      <c r="CE221" s="14" t="str">
        <f>IF(AND(ISNUMBER($I221),OR($K221="Milestone",$K221="Deadline"),$I221&gt;=CE$4,$I221&lt;CE$4+7),IF($K221="Deadline","◇","◆"),"")</f>
        <v/>
      </c>
      <c r="CF221" s="14" t="str">
        <f>IF(AND(ISNUMBER($I221),OR($K221="Milestone",$K221="Deadline"),$I221&gt;=CF$4,$I221&lt;CF$4+7),IF($K221="Deadline","◇","◆"),"")</f>
        <v/>
      </c>
      <c r="CG221" s="14" t="str">
        <f>IF(AND(ISNUMBER($I221),OR($K221="Milestone",$K221="Deadline"),$I221&gt;=CG$4,$I221&lt;CG$4+7),IF($K221="Deadline","◇","◆"),"")</f>
        <v/>
      </c>
      <c r="CH221" s="14" t="str">
        <f>IF(AND(ISNUMBER($I221),OR($K221="Milestone",$K221="Deadline"),$I221&gt;=CH$4,$I221&lt;CH$4+7),IF($K221="Deadline","◇","◆"),"")</f>
        <v/>
      </c>
      <c r="CI221" s="14" t="str">
        <f>IF(AND(ISNUMBER($I221),OR($K221="Milestone",$K221="Deadline"),$I221&gt;=CI$4,$I221&lt;CI$4+7),IF($K221="Deadline","◇","◆"),"")</f>
        <v/>
      </c>
      <c r="CJ221" s="14" t="str">
        <f>IF(AND(ISNUMBER($I221),OR($K221="Milestone",$K221="Deadline"),$I221&gt;=CJ$4,$I221&lt;CJ$4+7),IF($K221="Deadline","◇","◆"),"")</f>
        <v/>
      </c>
      <c r="CK221" s="14" t="str">
        <f>IF(AND(ISNUMBER($I221),OR($K221="Milestone",$K221="Deadline"),$I221&gt;=CK$4,$I221&lt;CK$4+7),IF($K221="Deadline","◇","◆"),"")</f>
        <v/>
      </c>
      <c r="CL221" s="14" t="str">
        <f>IF(AND(ISNUMBER($I221),OR($K221="Milestone",$K221="Deadline"),$I221&gt;=CL$4,$I221&lt;CL$4+7),IF($K221="Deadline","◇","◆"),"")</f>
        <v/>
      </c>
      <c r="CM221" s="14" t="str">
        <f>IF(AND(ISNUMBER($I221),OR($K221="Milestone",$K221="Deadline"),$I221&gt;=CM$4,$I221&lt;CM$4+7),IF($K221="Deadline","◇","◆"),"")</f>
        <v/>
      </c>
    </row>
    <row r="222" spans="1:91" hidden="1">
      <c r="A222" s="47" t="s">
        <v>473</v>
      </c>
      <c r="B222" s="47" t="s">
        <v>458</v>
      </c>
      <c r="C222" s="47" t="s">
        <v>93</v>
      </c>
      <c r="D222" s="47" t="s">
        <v>419</v>
      </c>
      <c r="E222" s="47" t="s">
        <v>281</v>
      </c>
      <c r="F222" s="47" t="s">
        <v>204</v>
      </c>
      <c r="G222" s="47" t="s">
        <v>176</v>
      </c>
      <c r="H222" s="47">
        <v>7</v>
      </c>
      <c r="I222" s="48">
        <f>MAX($C$2,J213+1,J219+1)</f>
        <v>46377</v>
      </c>
      <c r="J222" s="49">
        <f>IF(AND(ISNUMBER(I222),ISNUMBER(H222)),I222+H222-1,"")</f>
        <v>46383</v>
      </c>
      <c r="K222" s="47" t="s">
        <v>27</v>
      </c>
      <c r="L222" s="47" t="s">
        <v>474</v>
      </c>
      <c r="M222" s="50"/>
      <c r="N222" s="47"/>
      <c r="O222" s="50">
        <f>IF(AND(ISNUMBER(I222),ISNUMBER(J222)),J222-I222+1,"")</f>
        <v>7</v>
      </c>
      <c r="P222" s="13"/>
      <c r="Q222" s="13"/>
      <c r="R222" s="13"/>
      <c r="S222" s="13"/>
      <c r="T222" s="13"/>
      <c r="U222" s="13"/>
      <c r="V222" s="13"/>
      <c r="W222" s="13" t="s">
        <v>140</v>
      </c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4" t="str">
        <f>IF(AND(ISNUMBER($I222),OR($K222="Milestone",$K222="Deadline"),$I222&gt;=AO$4,$I222&lt;AO$4+7),IF($K222="Deadline","◇","◆"),"")</f>
        <v/>
      </c>
      <c r="AP222" s="14" t="str">
        <f>IF(AND(ISNUMBER($I222),OR($K222="Milestone",$K222="Deadline"),$I222&gt;=AP$4,$I222&lt;AP$4+7),IF($K222="Deadline","◇","◆"),"")</f>
        <v/>
      </c>
      <c r="AQ222" s="14" t="str">
        <f>IF(AND(ISNUMBER($I222),OR($K222="Milestone",$K222="Deadline"),$I222&gt;=AQ$4,$I222&lt;AQ$4+7),IF($K222="Deadline","◇","◆"),"")</f>
        <v/>
      </c>
      <c r="AR222" s="14" t="str">
        <f>IF(AND(ISNUMBER($I222),OR($K222="Milestone",$K222="Deadline"),$I222&gt;=AR$4,$I222&lt;AR$4+7),IF($K222="Deadline","◇","◆"),"")</f>
        <v/>
      </c>
      <c r="AS222" s="14" t="str">
        <f>IF(AND(ISNUMBER($I222),OR($K222="Milestone",$K222="Deadline"),$I222&gt;=AS$4,$I222&lt;AS$4+7),IF($K222="Deadline","◇","◆"),"")</f>
        <v/>
      </c>
      <c r="AT222" s="14" t="str">
        <f>IF(AND(ISNUMBER($I222),OR($K222="Milestone",$K222="Deadline"),$I222&gt;=AT$4,$I222&lt;AT$4+7),IF($K222="Deadline","◇","◆"),"")</f>
        <v/>
      </c>
      <c r="AU222" s="14" t="str">
        <f>IF(AND(ISNUMBER($I222),OR($K222="Milestone",$K222="Deadline"),$I222&gt;=AU$4,$I222&lt;AU$4+7),IF($K222="Deadline","◇","◆"),"")</f>
        <v/>
      </c>
      <c r="AV222" s="14" t="str">
        <f>IF(AND(ISNUMBER($I222),OR($K222="Milestone",$K222="Deadline"),$I222&gt;=AV$4,$I222&lt;AV$4+7),IF($K222="Deadline","◇","◆"),"")</f>
        <v/>
      </c>
      <c r="AW222" s="14" t="str">
        <f>IF(AND(ISNUMBER($I222),OR($K222="Milestone",$K222="Deadline"),$I222&gt;=AW$4,$I222&lt;AW$4+7),IF($K222="Deadline","◇","◆"),"")</f>
        <v/>
      </c>
      <c r="AX222" s="14" t="str">
        <f>IF(AND(ISNUMBER($I222),OR($K222="Milestone",$K222="Deadline"),$I222&gt;=AX$4,$I222&lt;AX$4+7),IF($K222="Deadline","◇","◆"),"")</f>
        <v/>
      </c>
      <c r="AY222" s="14" t="str">
        <f>IF(AND(ISNUMBER($I222),OR($K222="Milestone",$K222="Deadline"),$I222&gt;=AY$4,$I222&lt;AY$4+7),IF($K222="Deadline","◇","◆"),"")</f>
        <v/>
      </c>
      <c r="AZ222" s="14" t="str">
        <f>IF(AND(ISNUMBER($I222),OR($K222="Milestone",$K222="Deadline"),$I222&gt;=AZ$4,$I222&lt;AZ$4+7),IF($K222="Deadline","◇","◆"),"")</f>
        <v/>
      </c>
      <c r="BA222" s="14" t="str">
        <f>IF(AND(ISNUMBER($I222),OR($K222="Milestone",$K222="Deadline"),$I222&gt;=BA$4,$I222&lt;BA$4+7),IF($K222="Deadline","◇","◆"),"")</f>
        <v/>
      </c>
      <c r="BB222" s="14" t="str">
        <f>IF(AND(ISNUMBER($I222),OR($K222="Milestone",$K222="Deadline"),$I222&gt;=BB$4,$I222&lt;BB$4+7),IF($K222="Deadline","◇","◆"),"")</f>
        <v/>
      </c>
      <c r="BC222" s="14" t="str">
        <f>IF(AND(ISNUMBER($I222),OR($K222="Milestone",$K222="Deadline"),$I222&gt;=BC$4,$I222&lt;BC$4+7),IF($K222="Deadline","◇","◆"),"")</f>
        <v/>
      </c>
      <c r="BD222" s="14" t="str">
        <f>IF(AND(ISNUMBER($I222),OR($K222="Milestone",$K222="Deadline"),$I222&gt;=BD$4,$I222&lt;BD$4+7),IF($K222="Deadline","◇","◆"),"")</f>
        <v/>
      </c>
      <c r="BE222" s="14" t="str">
        <f>IF(AND(ISNUMBER($I222),OR($K222="Milestone",$K222="Deadline"),$I222&gt;=BE$4,$I222&lt;BE$4+7),IF($K222="Deadline","◇","◆"),"")</f>
        <v/>
      </c>
      <c r="BF222" s="14" t="str">
        <f>IF(AND(ISNUMBER($I222),OR($K222="Milestone",$K222="Deadline"),$I222&gt;=BF$4,$I222&lt;BF$4+7),IF($K222="Deadline","◇","◆"),"")</f>
        <v/>
      </c>
      <c r="BG222" s="14" t="str">
        <f>IF(AND(ISNUMBER($I222),OR($K222="Milestone",$K222="Deadline"),$I222&gt;=BG$4,$I222&lt;BG$4+7),IF($K222="Deadline","◇","◆"),"")</f>
        <v/>
      </c>
      <c r="BH222" s="14" t="str">
        <f>IF(AND(ISNUMBER($I222),OR($K222="Milestone",$K222="Deadline"),$I222&gt;=BH$4,$I222&lt;BH$4+7),IF($K222="Deadline","◇","◆"),"")</f>
        <v/>
      </c>
      <c r="BI222" s="14" t="str">
        <f>IF(AND(ISNUMBER($I222),OR($K222="Milestone",$K222="Deadline"),$I222&gt;=BI$4,$I222&lt;BI$4+7),IF($K222="Deadline","◇","◆"),"")</f>
        <v/>
      </c>
      <c r="BJ222" s="14" t="str">
        <f>IF(AND(ISNUMBER($I222),OR($K222="Milestone",$K222="Deadline"),$I222&gt;=BJ$4,$I222&lt;BJ$4+7),IF($K222="Deadline","◇","◆"),"")</f>
        <v/>
      </c>
      <c r="BK222" s="14" t="str">
        <f>IF(AND(ISNUMBER($I222),OR($K222="Milestone",$K222="Deadline"),$I222&gt;=BK$4,$I222&lt;BK$4+7),IF($K222="Deadline","◇","◆"),"")</f>
        <v/>
      </c>
      <c r="BL222" s="14" t="str">
        <f>IF(AND(ISNUMBER($I222),OR($K222="Milestone",$K222="Deadline"),$I222&gt;=BL$4,$I222&lt;BL$4+7),IF($K222="Deadline","◇","◆"),"")</f>
        <v/>
      </c>
      <c r="BM222" s="14" t="str">
        <f>IF(AND(ISNUMBER($I222),OR($K222="Milestone",$K222="Deadline"),$I222&gt;=BM$4,$I222&lt;BM$4+7),IF($K222="Deadline","◇","◆"),"")</f>
        <v/>
      </c>
      <c r="BN222" s="14" t="str">
        <f>IF(AND(ISNUMBER($I222),OR($K222="Milestone",$K222="Deadline"),$I222&gt;=BN$4,$I222&lt;BN$4+7),IF($K222="Deadline","◇","◆"),"")</f>
        <v/>
      </c>
      <c r="BO222" s="14" t="str">
        <f>IF(AND(ISNUMBER($I222),OR($K222="Milestone",$K222="Deadline"),$I222&gt;=BO$4,$I222&lt;BO$4+7),IF($K222="Deadline","◇","◆"),"")</f>
        <v/>
      </c>
      <c r="BP222" s="14" t="str">
        <f>IF(AND(ISNUMBER($I222),OR($K222="Milestone",$K222="Deadline"),$I222&gt;=BP$4,$I222&lt;BP$4+7),IF($K222="Deadline","◇","◆"),"")</f>
        <v/>
      </c>
      <c r="BQ222" s="14" t="str">
        <f>IF(AND(ISNUMBER($I222),OR($K222="Milestone",$K222="Deadline"),$I222&gt;=BQ$4,$I222&lt;BQ$4+7),IF($K222="Deadline","◇","◆"),"")</f>
        <v/>
      </c>
      <c r="BR222" s="14" t="str">
        <f>IF(AND(ISNUMBER($I222),OR($K222="Milestone",$K222="Deadline"),$I222&gt;=BR$4,$I222&lt;BR$4+7),IF($K222="Deadline","◇","◆"),"")</f>
        <v/>
      </c>
      <c r="BS222" s="14" t="str">
        <f>IF(AND(ISNUMBER($I222),OR($K222="Milestone",$K222="Deadline"),$I222&gt;=BS$4,$I222&lt;BS$4+7),IF($K222="Deadline","◇","◆"),"")</f>
        <v/>
      </c>
      <c r="BT222" s="14" t="str">
        <f>IF(AND(ISNUMBER($I222),OR($K222="Milestone",$K222="Deadline"),$I222&gt;=BT$4,$I222&lt;BT$4+7),IF($K222="Deadline","◇","◆"),"")</f>
        <v/>
      </c>
      <c r="BU222" s="14" t="str">
        <f>IF(AND(ISNUMBER($I222),OR($K222="Milestone",$K222="Deadline"),$I222&gt;=BU$4,$I222&lt;BU$4+7),IF($K222="Deadline","◇","◆"),"")</f>
        <v/>
      </c>
      <c r="BV222" s="14" t="str">
        <f>IF(AND(ISNUMBER($I222),OR($K222="Milestone",$K222="Deadline"),$I222&gt;=BV$4,$I222&lt;BV$4+7),IF($K222="Deadline","◇","◆"),"")</f>
        <v/>
      </c>
      <c r="BW222" s="14" t="str">
        <f>IF(AND(ISNUMBER($I222),OR($K222="Milestone",$K222="Deadline"),$I222&gt;=BW$4,$I222&lt;BW$4+7),IF($K222="Deadline","◇","◆"),"")</f>
        <v/>
      </c>
      <c r="BX222" s="14" t="str">
        <f>IF(AND(ISNUMBER($I222),OR($K222="Milestone",$K222="Deadline"),$I222&gt;=BX$4,$I222&lt;BX$4+7),IF($K222="Deadline","◇","◆"),"")</f>
        <v/>
      </c>
      <c r="BY222" s="14" t="str">
        <f>IF(AND(ISNUMBER($I222),OR($K222="Milestone",$K222="Deadline"),$I222&gt;=BY$4,$I222&lt;BY$4+7),IF($K222="Deadline","◇","◆"),"")</f>
        <v/>
      </c>
      <c r="BZ222" s="14" t="str">
        <f>IF(AND(ISNUMBER($I222),OR($K222="Milestone",$K222="Deadline"),$I222&gt;=BZ$4,$I222&lt;BZ$4+7),IF($K222="Deadline","◇","◆"),"")</f>
        <v/>
      </c>
      <c r="CA222" s="14" t="str">
        <f>IF(AND(ISNUMBER($I222),OR($K222="Milestone",$K222="Deadline"),$I222&gt;=CA$4,$I222&lt;CA$4+7),IF($K222="Deadline","◇","◆"),"")</f>
        <v/>
      </c>
      <c r="CB222" s="14" t="str">
        <f>IF(AND(ISNUMBER($I222),OR($K222="Milestone",$K222="Deadline"),$I222&gt;=CB$4,$I222&lt;CB$4+7),IF($K222="Deadline","◇","◆"),"")</f>
        <v/>
      </c>
      <c r="CC222" s="14" t="str">
        <f>IF(AND(ISNUMBER($I222),OR($K222="Milestone",$K222="Deadline"),$I222&gt;=CC$4,$I222&lt;CC$4+7),IF($K222="Deadline","◇","◆"),"")</f>
        <v/>
      </c>
      <c r="CD222" s="14" t="str">
        <f>IF(AND(ISNUMBER($I222),OR($K222="Milestone",$K222="Deadline"),$I222&gt;=CD$4,$I222&lt;CD$4+7),IF($K222="Deadline","◇","◆"),"")</f>
        <v/>
      </c>
      <c r="CE222" s="14" t="str">
        <f>IF(AND(ISNUMBER($I222),OR($K222="Milestone",$K222="Deadline"),$I222&gt;=CE$4,$I222&lt;CE$4+7),IF($K222="Deadline","◇","◆"),"")</f>
        <v/>
      </c>
      <c r="CF222" s="14" t="str">
        <f>IF(AND(ISNUMBER($I222),OR($K222="Milestone",$K222="Deadline"),$I222&gt;=CF$4,$I222&lt;CF$4+7),IF($K222="Deadline","◇","◆"),"")</f>
        <v/>
      </c>
      <c r="CG222" s="14" t="str">
        <f>IF(AND(ISNUMBER($I222),OR($K222="Milestone",$K222="Deadline"),$I222&gt;=CG$4,$I222&lt;CG$4+7),IF($K222="Deadline","◇","◆"),"")</f>
        <v/>
      </c>
      <c r="CH222" s="14" t="str">
        <f>IF(AND(ISNUMBER($I222),OR($K222="Milestone",$K222="Deadline"),$I222&gt;=CH$4,$I222&lt;CH$4+7),IF($K222="Deadline","◇","◆"),"")</f>
        <v/>
      </c>
      <c r="CI222" s="14" t="str">
        <f>IF(AND(ISNUMBER($I222),OR($K222="Milestone",$K222="Deadline"),$I222&gt;=CI$4,$I222&lt;CI$4+7),IF($K222="Deadline","◇","◆"),"")</f>
        <v/>
      </c>
      <c r="CJ222" s="14" t="str">
        <f>IF(AND(ISNUMBER($I222),OR($K222="Milestone",$K222="Deadline"),$I222&gt;=CJ$4,$I222&lt;CJ$4+7),IF($K222="Deadline","◇","◆"),"")</f>
        <v/>
      </c>
      <c r="CK222" s="14" t="str">
        <f>IF(AND(ISNUMBER($I222),OR($K222="Milestone",$K222="Deadline"),$I222&gt;=CK$4,$I222&lt;CK$4+7),IF($K222="Deadline","◇","◆"),"")</f>
        <v/>
      </c>
      <c r="CL222" s="14" t="str">
        <f>IF(AND(ISNUMBER($I222),OR($K222="Milestone",$K222="Deadline"),$I222&gt;=CL$4,$I222&lt;CL$4+7),IF($K222="Deadline","◇","◆"),"")</f>
        <v/>
      </c>
      <c r="CM222" s="14" t="str">
        <f>IF(AND(ISNUMBER($I222),OR($K222="Milestone",$K222="Deadline"),$I222&gt;=CM$4,$I222&lt;CM$4+7),IF($K222="Deadline","◇","◆"),"")</f>
        <v/>
      </c>
    </row>
    <row r="223" spans="1:91" hidden="1">
      <c r="A223" s="47" t="s">
        <v>475</v>
      </c>
      <c r="B223" s="47" t="s">
        <v>458</v>
      </c>
      <c r="C223" s="47" t="s">
        <v>93</v>
      </c>
      <c r="D223" s="47" t="s">
        <v>419</v>
      </c>
      <c r="E223" s="47" t="s">
        <v>281</v>
      </c>
      <c r="F223" s="47" t="s">
        <v>372</v>
      </c>
      <c r="G223" s="47" t="s">
        <v>184</v>
      </c>
      <c r="H223" s="47">
        <v>7</v>
      </c>
      <c r="I223" s="48">
        <f>MAX($C$2,J216+1,J219+1,J222+1,J61+1)</f>
        <v>46426</v>
      </c>
      <c r="J223" s="49">
        <f>IF(AND(ISNUMBER(I223),ISNUMBER(H223)),I223+H223-1,"")</f>
        <v>46432</v>
      </c>
      <c r="K223" s="47" t="s">
        <v>27</v>
      </c>
      <c r="L223" s="47" t="s">
        <v>476</v>
      </c>
      <c r="M223" s="50" t="s">
        <v>211</v>
      </c>
      <c r="N223" s="47"/>
      <c r="O223" s="50">
        <f>IF(AND(ISNUMBER(I223),ISNUMBER(J223)),J223-I223+1,"")</f>
        <v>7</v>
      </c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 t="s">
        <v>140</v>
      </c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4" t="str">
        <f>IF(AND(ISNUMBER($I223),OR($K223="Milestone",$K223="Deadline"),$I223&gt;=AO$4,$I223&lt;AO$4+7),IF($K223="Deadline","◇","◆"),"")</f>
        <v/>
      </c>
      <c r="AP223" s="14" t="str">
        <f>IF(AND(ISNUMBER($I223),OR($K223="Milestone",$K223="Deadline"),$I223&gt;=AP$4,$I223&lt;AP$4+7),IF($K223="Deadline","◇","◆"),"")</f>
        <v/>
      </c>
      <c r="AQ223" s="14" t="str">
        <f>IF(AND(ISNUMBER($I223),OR($K223="Milestone",$K223="Deadline"),$I223&gt;=AQ$4,$I223&lt;AQ$4+7),IF($K223="Deadline","◇","◆"),"")</f>
        <v/>
      </c>
      <c r="AR223" s="14" t="str">
        <f>IF(AND(ISNUMBER($I223),OR($K223="Milestone",$K223="Deadline"),$I223&gt;=AR$4,$I223&lt;AR$4+7),IF($K223="Deadline","◇","◆"),"")</f>
        <v/>
      </c>
      <c r="AS223" s="14" t="str">
        <f>IF(AND(ISNUMBER($I223),OR($K223="Milestone",$K223="Deadline"),$I223&gt;=AS$4,$I223&lt;AS$4+7),IF($K223="Deadline","◇","◆"),"")</f>
        <v/>
      </c>
      <c r="AT223" s="14" t="str">
        <f>IF(AND(ISNUMBER($I223),OR($K223="Milestone",$K223="Deadline"),$I223&gt;=AT$4,$I223&lt;AT$4+7),IF($K223="Deadline","◇","◆"),"")</f>
        <v/>
      </c>
      <c r="AU223" s="14" t="str">
        <f>IF(AND(ISNUMBER($I223),OR($K223="Milestone",$K223="Deadline"),$I223&gt;=AU$4,$I223&lt;AU$4+7),IF($K223="Deadline","◇","◆"),"")</f>
        <v/>
      </c>
      <c r="AV223" s="14" t="str">
        <f>IF(AND(ISNUMBER($I223),OR($K223="Milestone",$K223="Deadline"),$I223&gt;=AV$4,$I223&lt;AV$4+7),IF($K223="Deadline","◇","◆"),"")</f>
        <v/>
      </c>
      <c r="AW223" s="14" t="str">
        <f>IF(AND(ISNUMBER($I223),OR($K223="Milestone",$K223="Deadline"),$I223&gt;=AW$4,$I223&lt;AW$4+7),IF($K223="Deadline","◇","◆"),"")</f>
        <v/>
      </c>
      <c r="AX223" s="14" t="str">
        <f>IF(AND(ISNUMBER($I223),OR($K223="Milestone",$K223="Deadline"),$I223&gt;=AX$4,$I223&lt;AX$4+7),IF($K223="Deadline","◇","◆"),"")</f>
        <v/>
      </c>
      <c r="AY223" s="14" t="str">
        <f>IF(AND(ISNUMBER($I223),OR($K223="Milestone",$K223="Deadline"),$I223&gt;=AY$4,$I223&lt;AY$4+7),IF($K223="Deadline","◇","◆"),"")</f>
        <v/>
      </c>
      <c r="AZ223" s="14" t="str">
        <f>IF(AND(ISNUMBER($I223),OR($K223="Milestone",$K223="Deadline"),$I223&gt;=AZ$4,$I223&lt;AZ$4+7),IF($K223="Deadline","◇","◆"),"")</f>
        <v/>
      </c>
      <c r="BA223" s="14" t="str">
        <f>IF(AND(ISNUMBER($I223),OR($K223="Milestone",$K223="Deadline"),$I223&gt;=BA$4,$I223&lt;BA$4+7),IF($K223="Deadline","◇","◆"),"")</f>
        <v/>
      </c>
      <c r="BB223" s="14" t="str">
        <f>IF(AND(ISNUMBER($I223),OR($K223="Milestone",$K223="Deadline"),$I223&gt;=BB$4,$I223&lt;BB$4+7),IF($K223="Deadline","◇","◆"),"")</f>
        <v/>
      </c>
      <c r="BC223" s="14" t="str">
        <f>IF(AND(ISNUMBER($I223),OR($K223="Milestone",$K223="Deadline"),$I223&gt;=BC$4,$I223&lt;BC$4+7),IF($K223="Deadline","◇","◆"),"")</f>
        <v/>
      </c>
      <c r="BD223" s="14" t="str">
        <f>IF(AND(ISNUMBER($I223),OR($K223="Milestone",$K223="Deadline"),$I223&gt;=BD$4,$I223&lt;BD$4+7),IF($K223="Deadline","◇","◆"),"")</f>
        <v/>
      </c>
      <c r="BE223" s="14" t="str">
        <f>IF(AND(ISNUMBER($I223),OR($K223="Milestone",$K223="Deadline"),$I223&gt;=BE$4,$I223&lt;BE$4+7),IF($K223="Deadline","◇","◆"),"")</f>
        <v/>
      </c>
      <c r="BF223" s="14" t="str">
        <f>IF(AND(ISNUMBER($I223),OR($K223="Milestone",$K223="Deadline"),$I223&gt;=BF$4,$I223&lt;BF$4+7),IF($K223="Deadline","◇","◆"),"")</f>
        <v/>
      </c>
      <c r="BG223" s="14" t="str">
        <f>IF(AND(ISNUMBER($I223),OR($K223="Milestone",$K223="Deadline"),$I223&gt;=BG$4,$I223&lt;BG$4+7),IF($K223="Deadline","◇","◆"),"")</f>
        <v/>
      </c>
      <c r="BH223" s="14" t="str">
        <f>IF(AND(ISNUMBER($I223),OR($K223="Milestone",$K223="Deadline"),$I223&gt;=BH$4,$I223&lt;BH$4+7),IF($K223="Deadline","◇","◆"),"")</f>
        <v/>
      </c>
      <c r="BI223" s="14" t="str">
        <f>IF(AND(ISNUMBER($I223),OR($K223="Milestone",$K223="Deadline"),$I223&gt;=BI$4,$I223&lt;BI$4+7),IF($K223="Deadline","◇","◆"),"")</f>
        <v/>
      </c>
      <c r="BJ223" s="14" t="str">
        <f>IF(AND(ISNUMBER($I223),OR($K223="Milestone",$K223="Deadline"),$I223&gt;=BJ$4,$I223&lt;BJ$4+7),IF($K223="Deadline","◇","◆"),"")</f>
        <v/>
      </c>
      <c r="BK223" s="14" t="str">
        <f>IF(AND(ISNUMBER($I223),OR($K223="Milestone",$K223="Deadline"),$I223&gt;=BK$4,$I223&lt;BK$4+7),IF($K223="Deadline","◇","◆"),"")</f>
        <v/>
      </c>
      <c r="BL223" s="14" t="str">
        <f>IF(AND(ISNUMBER($I223),OR($K223="Milestone",$K223="Deadline"),$I223&gt;=BL$4,$I223&lt;BL$4+7),IF($K223="Deadline","◇","◆"),"")</f>
        <v/>
      </c>
      <c r="BM223" s="14" t="str">
        <f>IF(AND(ISNUMBER($I223),OR($K223="Milestone",$K223="Deadline"),$I223&gt;=BM$4,$I223&lt;BM$4+7),IF($K223="Deadline","◇","◆"),"")</f>
        <v/>
      </c>
      <c r="BN223" s="14" t="str">
        <f>IF(AND(ISNUMBER($I223),OR($K223="Milestone",$K223="Deadline"),$I223&gt;=BN$4,$I223&lt;BN$4+7),IF($K223="Deadline","◇","◆"),"")</f>
        <v/>
      </c>
      <c r="BO223" s="14" t="str">
        <f>IF(AND(ISNUMBER($I223),OR($K223="Milestone",$K223="Deadline"),$I223&gt;=BO$4,$I223&lt;BO$4+7),IF($K223="Deadline","◇","◆"),"")</f>
        <v/>
      </c>
      <c r="BP223" s="14" t="str">
        <f>IF(AND(ISNUMBER($I223),OR($K223="Milestone",$K223="Deadline"),$I223&gt;=BP$4,$I223&lt;BP$4+7),IF($K223="Deadline","◇","◆"),"")</f>
        <v/>
      </c>
      <c r="BQ223" s="14" t="str">
        <f>IF(AND(ISNUMBER($I223),OR($K223="Milestone",$K223="Deadline"),$I223&gt;=BQ$4,$I223&lt;BQ$4+7),IF($K223="Deadline","◇","◆"),"")</f>
        <v/>
      </c>
      <c r="BR223" s="14" t="str">
        <f>IF(AND(ISNUMBER($I223),OR($K223="Milestone",$K223="Deadline"),$I223&gt;=BR$4,$I223&lt;BR$4+7),IF($K223="Deadline","◇","◆"),"")</f>
        <v/>
      </c>
      <c r="BS223" s="14" t="str">
        <f>IF(AND(ISNUMBER($I223),OR($K223="Milestone",$K223="Deadline"),$I223&gt;=BS$4,$I223&lt;BS$4+7),IF($K223="Deadline","◇","◆"),"")</f>
        <v/>
      </c>
      <c r="BT223" s="14" t="str">
        <f>IF(AND(ISNUMBER($I223),OR($K223="Milestone",$K223="Deadline"),$I223&gt;=BT$4,$I223&lt;BT$4+7),IF($K223="Deadline","◇","◆"),"")</f>
        <v/>
      </c>
      <c r="BU223" s="14" t="str">
        <f>IF(AND(ISNUMBER($I223),OR($K223="Milestone",$K223="Deadline"),$I223&gt;=BU$4,$I223&lt;BU$4+7),IF($K223="Deadline","◇","◆"),"")</f>
        <v/>
      </c>
      <c r="BV223" s="14" t="str">
        <f>IF(AND(ISNUMBER($I223),OR($K223="Milestone",$K223="Deadline"),$I223&gt;=BV$4,$I223&lt;BV$4+7),IF($K223="Deadline","◇","◆"),"")</f>
        <v/>
      </c>
      <c r="BW223" s="14" t="str">
        <f>IF(AND(ISNUMBER($I223),OR($K223="Milestone",$K223="Deadline"),$I223&gt;=BW$4,$I223&lt;BW$4+7),IF($K223="Deadline","◇","◆"),"")</f>
        <v/>
      </c>
      <c r="BX223" s="14" t="str">
        <f>IF(AND(ISNUMBER($I223),OR($K223="Milestone",$K223="Deadline"),$I223&gt;=BX$4,$I223&lt;BX$4+7),IF($K223="Deadline","◇","◆"),"")</f>
        <v/>
      </c>
      <c r="BY223" s="14" t="str">
        <f>IF(AND(ISNUMBER($I223),OR($K223="Milestone",$K223="Deadline"),$I223&gt;=BY$4,$I223&lt;BY$4+7),IF($K223="Deadline","◇","◆"),"")</f>
        <v/>
      </c>
      <c r="BZ223" s="14" t="str">
        <f>IF(AND(ISNUMBER($I223),OR($K223="Milestone",$K223="Deadline"),$I223&gt;=BZ$4,$I223&lt;BZ$4+7),IF($K223="Deadline","◇","◆"),"")</f>
        <v/>
      </c>
      <c r="CA223" s="14" t="str">
        <f>IF(AND(ISNUMBER($I223),OR($K223="Milestone",$K223="Deadline"),$I223&gt;=CA$4,$I223&lt;CA$4+7),IF($K223="Deadline","◇","◆"),"")</f>
        <v/>
      </c>
      <c r="CB223" s="14" t="str">
        <f>IF(AND(ISNUMBER($I223),OR($K223="Milestone",$K223="Deadline"),$I223&gt;=CB$4,$I223&lt;CB$4+7),IF($K223="Deadline","◇","◆"),"")</f>
        <v/>
      </c>
      <c r="CC223" s="14" t="str">
        <f>IF(AND(ISNUMBER($I223),OR($K223="Milestone",$K223="Deadline"),$I223&gt;=CC$4,$I223&lt;CC$4+7),IF($K223="Deadline","◇","◆"),"")</f>
        <v/>
      </c>
      <c r="CD223" s="14" t="str">
        <f>IF(AND(ISNUMBER($I223),OR($K223="Milestone",$K223="Deadline"),$I223&gt;=CD$4,$I223&lt;CD$4+7),IF($K223="Deadline","◇","◆"),"")</f>
        <v/>
      </c>
      <c r="CE223" s="14" t="str">
        <f>IF(AND(ISNUMBER($I223),OR($K223="Milestone",$K223="Deadline"),$I223&gt;=CE$4,$I223&lt;CE$4+7),IF($K223="Deadline","◇","◆"),"")</f>
        <v/>
      </c>
      <c r="CF223" s="14" t="str">
        <f>IF(AND(ISNUMBER($I223),OR($K223="Milestone",$K223="Deadline"),$I223&gt;=CF$4,$I223&lt;CF$4+7),IF($K223="Deadline","◇","◆"),"")</f>
        <v/>
      </c>
      <c r="CG223" s="14" t="str">
        <f>IF(AND(ISNUMBER($I223),OR($K223="Milestone",$K223="Deadline"),$I223&gt;=CG$4,$I223&lt;CG$4+7),IF($K223="Deadline","◇","◆"),"")</f>
        <v/>
      </c>
      <c r="CH223" s="14" t="str">
        <f>IF(AND(ISNUMBER($I223),OR($K223="Milestone",$K223="Deadline"),$I223&gt;=CH$4,$I223&lt;CH$4+7),IF($K223="Deadline","◇","◆"),"")</f>
        <v/>
      </c>
      <c r="CI223" s="14" t="str">
        <f>IF(AND(ISNUMBER($I223),OR($K223="Milestone",$K223="Deadline"),$I223&gt;=CI$4,$I223&lt;CI$4+7),IF($K223="Deadline","◇","◆"),"")</f>
        <v/>
      </c>
      <c r="CJ223" s="14" t="str">
        <f>IF(AND(ISNUMBER($I223),OR($K223="Milestone",$K223="Deadline"),$I223&gt;=CJ$4,$I223&lt;CJ$4+7),IF($K223="Deadline","◇","◆"),"")</f>
        <v/>
      </c>
      <c r="CK223" s="14" t="str">
        <f>IF(AND(ISNUMBER($I223),OR($K223="Milestone",$K223="Deadline"),$I223&gt;=CK$4,$I223&lt;CK$4+7),IF($K223="Deadline","◇","◆"),"")</f>
        <v/>
      </c>
      <c r="CL223" s="14" t="str">
        <f>IF(AND(ISNUMBER($I223),OR($K223="Milestone",$K223="Deadline"),$I223&gt;=CL$4,$I223&lt;CL$4+7),IF($K223="Deadline","◇","◆"),"")</f>
        <v/>
      </c>
      <c r="CM223" s="14" t="str">
        <f>IF(AND(ISNUMBER($I223),OR($K223="Milestone",$K223="Deadline"),$I223&gt;=CM$4,$I223&lt;CM$4+7),IF($K223="Deadline","◇","◆"),"")</f>
        <v/>
      </c>
    </row>
    <row r="224" spans="1:91" hidden="1">
      <c r="A224" s="47" t="s">
        <v>393</v>
      </c>
      <c r="B224" s="47" t="s">
        <v>458</v>
      </c>
      <c r="C224" s="47" t="s">
        <v>93</v>
      </c>
      <c r="D224" s="47" t="s">
        <v>419</v>
      </c>
      <c r="E224" s="47" t="s">
        <v>281</v>
      </c>
      <c r="F224" s="47" t="s">
        <v>372</v>
      </c>
      <c r="G224" s="47" t="s">
        <v>275</v>
      </c>
      <c r="H224" s="47">
        <v>7</v>
      </c>
      <c r="I224" s="48">
        <f>MAX($C$2,J223+1,J215+1,J218+1,J221+1,J190+1,J223+1)</f>
        <v>46433</v>
      </c>
      <c r="J224" s="49">
        <f>IF(AND(ISNUMBER(I224),ISNUMBER(H224)),I224+H224-1,"")</f>
        <v>46439</v>
      </c>
      <c r="K224" s="47" t="s">
        <v>27</v>
      </c>
      <c r="L224" s="47" t="s">
        <v>477</v>
      </c>
      <c r="M224" s="50" t="s">
        <v>478</v>
      </c>
      <c r="N224" s="47"/>
      <c r="O224" s="50">
        <f>IF(AND(ISNUMBER(I224),ISNUMBER(J224)),J224-I224+1,"")</f>
        <v>7</v>
      </c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 t="s">
        <v>140</v>
      </c>
      <c r="AB224" s="13"/>
      <c r="AC224" s="13"/>
      <c r="AD224" s="13"/>
      <c r="AE224" s="13" t="s">
        <v>140</v>
      </c>
      <c r="AF224" s="13"/>
      <c r="AG224" s="13"/>
      <c r="AH224" s="13"/>
      <c r="AI224" s="13"/>
      <c r="AJ224" s="13"/>
      <c r="AK224" s="13"/>
      <c r="AL224" s="13"/>
      <c r="AM224" s="13"/>
      <c r="AN224" s="13"/>
      <c r="AO224" s="14" t="str">
        <f>IF(AND(ISNUMBER($I224),OR($K224="Milestone",$K224="Deadline"),$I224&gt;=AO$4,$I224&lt;AO$4+7),IF($K224="Deadline","◇","◆"),"")</f>
        <v/>
      </c>
      <c r="AP224" s="14" t="str">
        <f>IF(AND(ISNUMBER($I224),OR($K224="Milestone",$K224="Deadline"),$I224&gt;=AP$4,$I224&lt;AP$4+7),IF($K224="Deadline","◇","◆"),"")</f>
        <v/>
      </c>
      <c r="AQ224" s="14" t="str">
        <f>IF(AND(ISNUMBER($I224),OR($K224="Milestone",$K224="Deadline"),$I224&gt;=AQ$4,$I224&lt;AQ$4+7),IF($K224="Deadline","◇","◆"),"")</f>
        <v/>
      </c>
      <c r="AR224" s="14" t="str">
        <f>IF(AND(ISNUMBER($I224),OR($K224="Milestone",$K224="Deadline"),$I224&gt;=AR$4,$I224&lt;AR$4+7),IF($K224="Deadline","◇","◆"),"")</f>
        <v/>
      </c>
      <c r="AS224" s="14" t="str">
        <f>IF(AND(ISNUMBER($I224),OR($K224="Milestone",$K224="Deadline"),$I224&gt;=AS$4,$I224&lt;AS$4+7),IF($K224="Deadline","◇","◆"),"")</f>
        <v/>
      </c>
      <c r="AT224" s="14" t="str">
        <f>IF(AND(ISNUMBER($I224),OR($K224="Milestone",$K224="Deadline"),$I224&gt;=AT$4,$I224&lt;AT$4+7),IF($K224="Deadline","◇","◆"),"")</f>
        <v/>
      </c>
      <c r="AU224" s="14" t="str">
        <f>IF(AND(ISNUMBER($I224),OR($K224="Milestone",$K224="Deadline"),$I224&gt;=AU$4,$I224&lt;AU$4+7),IF($K224="Deadline","◇","◆"),"")</f>
        <v/>
      </c>
      <c r="AV224" s="14" t="str">
        <f>IF(AND(ISNUMBER($I224),OR($K224="Milestone",$K224="Deadline"),$I224&gt;=AV$4,$I224&lt;AV$4+7),IF($K224="Deadline","◇","◆"),"")</f>
        <v/>
      </c>
      <c r="AW224" s="14" t="str">
        <f>IF(AND(ISNUMBER($I224),OR($K224="Milestone",$K224="Deadline"),$I224&gt;=AW$4,$I224&lt;AW$4+7),IF($K224="Deadline","◇","◆"),"")</f>
        <v/>
      </c>
      <c r="AX224" s="14" t="str">
        <f>IF(AND(ISNUMBER($I224),OR($K224="Milestone",$K224="Deadline"),$I224&gt;=AX$4,$I224&lt;AX$4+7),IF($K224="Deadline","◇","◆"),"")</f>
        <v/>
      </c>
      <c r="AY224" s="14" t="str">
        <f>IF(AND(ISNUMBER($I224),OR($K224="Milestone",$K224="Deadline"),$I224&gt;=AY$4,$I224&lt;AY$4+7),IF($K224="Deadline","◇","◆"),"")</f>
        <v/>
      </c>
      <c r="AZ224" s="14" t="str">
        <f>IF(AND(ISNUMBER($I224),OR($K224="Milestone",$K224="Deadline"),$I224&gt;=AZ$4,$I224&lt;AZ$4+7),IF($K224="Deadline","◇","◆"),"")</f>
        <v/>
      </c>
      <c r="BA224" s="14" t="str">
        <f>IF(AND(ISNUMBER($I224),OR($K224="Milestone",$K224="Deadline"),$I224&gt;=BA$4,$I224&lt;BA$4+7),IF($K224="Deadline","◇","◆"),"")</f>
        <v/>
      </c>
      <c r="BB224" s="14" t="str">
        <f>IF(AND(ISNUMBER($I224),OR($K224="Milestone",$K224="Deadline"),$I224&gt;=BB$4,$I224&lt;BB$4+7),IF($K224="Deadline","◇","◆"),"")</f>
        <v/>
      </c>
      <c r="BC224" s="14" t="str">
        <f>IF(AND(ISNUMBER($I224),OR($K224="Milestone",$K224="Deadline"),$I224&gt;=BC$4,$I224&lt;BC$4+7),IF($K224="Deadline","◇","◆"),"")</f>
        <v/>
      </c>
      <c r="BD224" s="14" t="str">
        <f>IF(AND(ISNUMBER($I224),OR($K224="Milestone",$K224="Deadline"),$I224&gt;=BD$4,$I224&lt;BD$4+7),IF($K224="Deadline","◇","◆"),"")</f>
        <v/>
      </c>
      <c r="BE224" s="14" t="str">
        <f>IF(AND(ISNUMBER($I224),OR($K224="Milestone",$K224="Deadline"),$I224&gt;=BE$4,$I224&lt;BE$4+7),IF($K224="Deadline","◇","◆"),"")</f>
        <v/>
      </c>
      <c r="BF224" s="14" t="str">
        <f>IF(AND(ISNUMBER($I224),OR($K224="Milestone",$K224="Deadline"),$I224&gt;=BF$4,$I224&lt;BF$4+7),IF($K224="Deadline","◇","◆"),"")</f>
        <v/>
      </c>
      <c r="BG224" s="14" t="str">
        <f>IF(AND(ISNUMBER($I224),OR($K224="Milestone",$K224="Deadline"),$I224&gt;=BG$4,$I224&lt;BG$4+7),IF($K224="Deadline","◇","◆"),"")</f>
        <v/>
      </c>
      <c r="BH224" s="14" t="str">
        <f>IF(AND(ISNUMBER($I224),OR($K224="Milestone",$K224="Deadline"),$I224&gt;=BH$4,$I224&lt;BH$4+7),IF($K224="Deadline","◇","◆"),"")</f>
        <v/>
      </c>
      <c r="BI224" s="14" t="str">
        <f>IF(AND(ISNUMBER($I224),OR($K224="Milestone",$K224="Deadline"),$I224&gt;=BI$4,$I224&lt;BI$4+7),IF($K224="Deadline","◇","◆"),"")</f>
        <v/>
      </c>
      <c r="BJ224" s="14" t="str">
        <f>IF(AND(ISNUMBER($I224),OR($K224="Milestone",$K224="Deadline"),$I224&gt;=BJ$4,$I224&lt;BJ$4+7),IF($K224="Deadline","◇","◆"),"")</f>
        <v/>
      </c>
      <c r="BK224" s="14" t="str">
        <f>IF(AND(ISNUMBER($I224),OR($K224="Milestone",$K224="Deadline"),$I224&gt;=BK$4,$I224&lt;BK$4+7),IF($K224="Deadline","◇","◆"),"")</f>
        <v/>
      </c>
      <c r="BL224" s="14" t="str">
        <f>IF(AND(ISNUMBER($I224),OR($K224="Milestone",$K224="Deadline"),$I224&gt;=BL$4,$I224&lt;BL$4+7),IF($K224="Deadline","◇","◆"),"")</f>
        <v/>
      </c>
      <c r="BM224" s="14" t="str">
        <f>IF(AND(ISNUMBER($I224),OR($K224="Milestone",$K224="Deadline"),$I224&gt;=BM$4,$I224&lt;BM$4+7),IF($K224="Deadline","◇","◆"),"")</f>
        <v/>
      </c>
      <c r="BN224" s="14" t="str">
        <f>IF(AND(ISNUMBER($I224),OR($K224="Milestone",$K224="Deadline"),$I224&gt;=BN$4,$I224&lt;BN$4+7),IF($K224="Deadline","◇","◆"),"")</f>
        <v/>
      </c>
      <c r="BO224" s="14" t="str">
        <f>IF(AND(ISNUMBER($I224),OR($K224="Milestone",$K224="Deadline"),$I224&gt;=BO$4,$I224&lt;BO$4+7),IF($K224="Deadline","◇","◆"),"")</f>
        <v/>
      </c>
      <c r="BP224" s="14" t="str">
        <f>IF(AND(ISNUMBER($I224),OR($K224="Milestone",$K224="Deadline"),$I224&gt;=BP$4,$I224&lt;BP$4+7),IF($K224="Deadline","◇","◆"),"")</f>
        <v/>
      </c>
      <c r="BQ224" s="14" t="str">
        <f>IF(AND(ISNUMBER($I224),OR($K224="Milestone",$K224="Deadline"),$I224&gt;=BQ$4,$I224&lt;BQ$4+7),IF($K224="Deadline","◇","◆"),"")</f>
        <v/>
      </c>
      <c r="BR224" s="14" t="str">
        <f>IF(AND(ISNUMBER($I224),OR($K224="Milestone",$K224="Deadline"),$I224&gt;=BR$4,$I224&lt;BR$4+7),IF($K224="Deadline","◇","◆"),"")</f>
        <v/>
      </c>
      <c r="BS224" s="14" t="str">
        <f>IF(AND(ISNUMBER($I224),OR($K224="Milestone",$K224="Deadline"),$I224&gt;=BS$4,$I224&lt;BS$4+7),IF($K224="Deadline","◇","◆"),"")</f>
        <v/>
      </c>
      <c r="BT224" s="14" t="str">
        <f>IF(AND(ISNUMBER($I224),OR($K224="Milestone",$K224="Deadline"),$I224&gt;=BT$4,$I224&lt;BT$4+7),IF($K224="Deadline","◇","◆"),"")</f>
        <v/>
      </c>
      <c r="BU224" s="14" t="str">
        <f>IF(AND(ISNUMBER($I224),OR($K224="Milestone",$K224="Deadline"),$I224&gt;=BU$4,$I224&lt;BU$4+7),IF($K224="Deadline","◇","◆"),"")</f>
        <v/>
      </c>
      <c r="BV224" s="14" t="str">
        <f>IF(AND(ISNUMBER($I224),OR($K224="Milestone",$K224="Deadline"),$I224&gt;=BV$4,$I224&lt;BV$4+7),IF($K224="Deadline","◇","◆"),"")</f>
        <v/>
      </c>
      <c r="BW224" s="14" t="str">
        <f>IF(AND(ISNUMBER($I224),OR($K224="Milestone",$K224="Deadline"),$I224&gt;=BW$4,$I224&lt;BW$4+7),IF($K224="Deadline","◇","◆"),"")</f>
        <v/>
      </c>
      <c r="BX224" s="14" t="str">
        <f>IF(AND(ISNUMBER($I224),OR($K224="Milestone",$K224="Deadline"),$I224&gt;=BX$4,$I224&lt;BX$4+7),IF($K224="Deadline","◇","◆"),"")</f>
        <v/>
      </c>
      <c r="BY224" s="14" t="str">
        <f>IF(AND(ISNUMBER($I224),OR($K224="Milestone",$K224="Deadline"),$I224&gt;=BY$4,$I224&lt;BY$4+7),IF($K224="Deadline","◇","◆"),"")</f>
        <v/>
      </c>
      <c r="BZ224" s="14" t="str">
        <f>IF(AND(ISNUMBER($I224),OR($K224="Milestone",$K224="Deadline"),$I224&gt;=BZ$4,$I224&lt;BZ$4+7),IF($K224="Deadline","◇","◆"),"")</f>
        <v/>
      </c>
      <c r="CA224" s="14" t="str">
        <f>IF(AND(ISNUMBER($I224),OR($K224="Milestone",$K224="Deadline"),$I224&gt;=CA$4,$I224&lt;CA$4+7),IF($K224="Deadline","◇","◆"),"")</f>
        <v/>
      </c>
      <c r="CB224" s="14" t="str">
        <f>IF(AND(ISNUMBER($I224),OR($K224="Milestone",$K224="Deadline"),$I224&gt;=CB$4,$I224&lt;CB$4+7),IF($K224="Deadline","◇","◆"),"")</f>
        <v/>
      </c>
      <c r="CC224" s="14" t="str">
        <f>IF(AND(ISNUMBER($I224),OR($K224="Milestone",$K224="Deadline"),$I224&gt;=CC$4,$I224&lt;CC$4+7),IF($K224="Deadline","◇","◆"),"")</f>
        <v/>
      </c>
      <c r="CD224" s="14" t="str">
        <f>IF(AND(ISNUMBER($I224),OR($K224="Milestone",$K224="Deadline"),$I224&gt;=CD$4,$I224&lt;CD$4+7),IF($K224="Deadline","◇","◆"),"")</f>
        <v/>
      </c>
      <c r="CE224" s="14" t="str">
        <f>IF(AND(ISNUMBER($I224),OR($K224="Milestone",$K224="Deadline"),$I224&gt;=CE$4,$I224&lt;CE$4+7),IF($K224="Deadline","◇","◆"),"")</f>
        <v/>
      </c>
      <c r="CF224" s="14" t="str">
        <f>IF(AND(ISNUMBER($I224),OR($K224="Milestone",$K224="Deadline"),$I224&gt;=CF$4,$I224&lt;CF$4+7),IF($K224="Deadline","◇","◆"),"")</f>
        <v/>
      </c>
      <c r="CG224" s="14" t="str">
        <f>IF(AND(ISNUMBER($I224),OR($K224="Milestone",$K224="Deadline"),$I224&gt;=CG$4,$I224&lt;CG$4+7),IF($K224="Deadline","◇","◆"),"")</f>
        <v/>
      </c>
      <c r="CH224" s="14" t="str">
        <f>IF(AND(ISNUMBER($I224),OR($K224="Milestone",$K224="Deadline"),$I224&gt;=CH$4,$I224&lt;CH$4+7),IF($K224="Deadline","◇","◆"),"")</f>
        <v/>
      </c>
      <c r="CI224" s="14" t="str">
        <f>IF(AND(ISNUMBER($I224),OR($K224="Milestone",$K224="Deadline"),$I224&gt;=CI$4,$I224&lt;CI$4+7),IF($K224="Deadline","◇","◆"),"")</f>
        <v/>
      </c>
      <c r="CJ224" s="14" t="str">
        <f>IF(AND(ISNUMBER($I224),OR($K224="Milestone",$K224="Deadline"),$I224&gt;=CJ$4,$I224&lt;CJ$4+7),IF($K224="Deadline","◇","◆"),"")</f>
        <v/>
      </c>
      <c r="CK224" s="14" t="str">
        <f>IF(AND(ISNUMBER($I224),OR($K224="Milestone",$K224="Deadline"),$I224&gt;=CK$4,$I224&lt;CK$4+7),IF($K224="Deadline","◇","◆"),"")</f>
        <v/>
      </c>
      <c r="CL224" s="14" t="str">
        <f>IF(AND(ISNUMBER($I224),OR($K224="Milestone",$K224="Deadline"),$I224&gt;=CL$4,$I224&lt;CL$4+7),IF($K224="Deadline","◇","◆"),"")</f>
        <v/>
      </c>
      <c r="CM224" s="14" t="str">
        <f>IF(AND(ISNUMBER($I224),OR($K224="Milestone",$K224="Deadline"),$I224&gt;=CM$4,$I224&lt;CM$4+7),IF($K224="Deadline","◇","◆"),"")</f>
        <v/>
      </c>
    </row>
    <row r="225" spans="1:91" hidden="1">
      <c r="A225" s="47" t="s">
        <v>479</v>
      </c>
      <c r="B225" s="47" t="s">
        <v>458</v>
      </c>
      <c r="C225" s="47" t="s">
        <v>191</v>
      </c>
      <c r="D225" s="47" t="s">
        <v>419</v>
      </c>
      <c r="E225" s="47" t="s">
        <v>281</v>
      </c>
      <c r="F225" s="47" t="s">
        <v>372</v>
      </c>
      <c r="G225" s="47" t="s">
        <v>278</v>
      </c>
      <c r="H225" s="47">
        <v>4</v>
      </c>
      <c r="I225" s="48">
        <f>MAX(DATE(2027,3,1),J224+1,J62+1,J269+1)</f>
        <v>46465</v>
      </c>
      <c r="J225" s="49">
        <f>IF(AND(ISNUMBER(I225),ISNUMBER(H225)),I225+H225-1,"")</f>
        <v>46468</v>
      </c>
      <c r="K225" s="47" t="s">
        <v>27</v>
      </c>
      <c r="L225" s="47" t="s">
        <v>393</v>
      </c>
      <c r="M225" s="50" t="s">
        <v>480</v>
      </c>
      <c r="N225" s="47"/>
      <c r="O225" s="50">
        <f>IF(AND(ISNUMBER(I225),ISNUMBER(J225)),J225-I225+1,"")</f>
        <v>4</v>
      </c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 t="s">
        <v>140</v>
      </c>
      <c r="AH225" s="13" t="s">
        <v>140</v>
      </c>
      <c r="AI225" s="13"/>
      <c r="AJ225" s="13"/>
      <c r="AK225" s="13"/>
      <c r="AL225" s="13"/>
      <c r="AM225" s="13"/>
      <c r="AN225" s="13"/>
      <c r="AO225" s="14" t="str">
        <f>IF(AND(ISNUMBER($I225),OR($K225="Milestone",$K225="Deadline"),$I225&gt;=AO$4,$I225&lt;AO$4+7),IF($K225="Deadline","◇","◆"),"")</f>
        <v/>
      </c>
      <c r="AP225" s="14" t="str">
        <f>IF(AND(ISNUMBER($I225),OR($K225="Milestone",$K225="Deadline"),$I225&gt;=AP$4,$I225&lt;AP$4+7),IF($K225="Deadline","◇","◆"),"")</f>
        <v/>
      </c>
      <c r="AQ225" s="14" t="str">
        <f>IF(AND(ISNUMBER($I225),OR($K225="Milestone",$K225="Deadline"),$I225&gt;=AQ$4,$I225&lt;AQ$4+7),IF($K225="Deadline","◇","◆"),"")</f>
        <v/>
      </c>
      <c r="AR225" s="14" t="str">
        <f>IF(AND(ISNUMBER($I225),OR($K225="Milestone",$K225="Deadline"),$I225&gt;=AR$4,$I225&lt;AR$4+7),IF($K225="Deadline","◇","◆"),"")</f>
        <v/>
      </c>
      <c r="AS225" s="14" t="str">
        <f>IF(AND(ISNUMBER($I225),OR($K225="Milestone",$K225="Deadline"),$I225&gt;=AS$4,$I225&lt;AS$4+7),IF($K225="Deadline","◇","◆"),"")</f>
        <v/>
      </c>
      <c r="AT225" s="14" t="str">
        <f>IF(AND(ISNUMBER($I225),OR($K225="Milestone",$K225="Deadline"),$I225&gt;=AT$4,$I225&lt;AT$4+7),IF($K225="Deadline","◇","◆"),"")</f>
        <v/>
      </c>
      <c r="AU225" s="14" t="str">
        <f>IF(AND(ISNUMBER($I225),OR($K225="Milestone",$K225="Deadline"),$I225&gt;=AU$4,$I225&lt;AU$4+7),IF($K225="Deadline","◇","◆"),"")</f>
        <v/>
      </c>
      <c r="AV225" s="14" t="str">
        <f>IF(AND(ISNUMBER($I225),OR($K225="Milestone",$K225="Deadline"),$I225&gt;=AV$4,$I225&lt;AV$4+7),IF($K225="Deadline","◇","◆"),"")</f>
        <v/>
      </c>
      <c r="AW225" s="14" t="str">
        <f>IF(AND(ISNUMBER($I225),OR($K225="Milestone",$K225="Deadline"),$I225&gt;=AW$4,$I225&lt;AW$4+7),IF($K225="Deadline","◇","◆"),"")</f>
        <v/>
      </c>
      <c r="AX225" s="14" t="str">
        <f>IF(AND(ISNUMBER($I225),OR($K225="Milestone",$K225="Deadline"),$I225&gt;=AX$4,$I225&lt;AX$4+7),IF($K225="Deadline","◇","◆"),"")</f>
        <v/>
      </c>
      <c r="AY225" s="14" t="str">
        <f>IF(AND(ISNUMBER($I225),OR($K225="Milestone",$K225="Deadline"),$I225&gt;=AY$4,$I225&lt;AY$4+7),IF($K225="Deadline","◇","◆"),"")</f>
        <v/>
      </c>
      <c r="AZ225" s="14" t="str">
        <f>IF(AND(ISNUMBER($I225),OR($K225="Milestone",$K225="Deadline"),$I225&gt;=AZ$4,$I225&lt;AZ$4+7),IF($K225="Deadline","◇","◆"),"")</f>
        <v/>
      </c>
      <c r="BA225" s="14" t="str">
        <f>IF(AND(ISNUMBER($I225),OR($K225="Milestone",$K225="Deadline"),$I225&gt;=BA$4,$I225&lt;BA$4+7),IF($K225="Deadline","◇","◆"),"")</f>
        <v/>
      </c>
      <c r="BB225" s="14" t="str">
        <f>IF(AND(ISNUMBER($I225),OR($K225="Milestone",$K225="Deadline"),$I225&gt;=BB$4,$I225&lt;BB$4+7),IF($K225="Deadline","◇","◆"),"")</f>
        <v/>
      </c>
      <c r="BC225" s="14" t="str">
        <f>IF(AND(ISNUMBER($I225),OR($K225="Milestone",$K225="Deadline"),$I225&gt;=BC$4,$I225&lt;BC$4+7),IF($K225="Deadline","◇","◆"),"")</f>
        <v/>
      </c>
      <c r="BD225" s="14" t="str">
        <f>IF(AND(ISNUMBER($I225),OR($K225="Milestone",$K225="Deadline"),$I225&gt;=BD$4,$I225&lt;BD$4+7),IF($K225="Deadline","◇","◆"),"")</f>
        <v/>
      </c>
      <c r="BE225" s="14" t="str">
        <f>IF(AND(ISNUMBER($I225),OR($K225="Milestone",$K225="Deadline"),$I225&gt;=BE$4,$I225&lt;BE$4+7),IF($K225="Deadline","◇","◆"),"")</f>
        <v/>
      </c>
      <c r="BF225" s="14" t="str">
        <f>IF(AND(ISNUMBER($I225),OR($K225="Milestone",$K225="Deadline"),$I225&gt;=BF$4,$I225&lt;BF$4+7),IF($K225="Deadline","◇","◆"),"")</f>
        <v/>
      </c>
      <c r="BG225" s="14" t="str">
        <f>IF(AND(ISNUMBER($I225),OR($K225="Milestone",$K225="Deadline"),$I225&gt;=BG$4,$I225&lt;BG$4+7),IF($K225="Deadline","◇","◆"),"")</f>
        <v/>
      </c>
      <c r="BH225" s="14" t="str">
        <f>IF(AND(ISNUMBER($I225),OR($K225="Milestone",$K225="Deadline"),$I225&gt;=BH$4,$I225&lt;BH$4+7),IF($K225="Deadline","◇","◆"),"")</f>
        <v/>
      </c>
      <c r="BI225" s="14" t="str">
        <f>IF(AND(ISNUMBER($I225),OR($K225="Milestone",$K225="Deadline"),$I225&gt;=BI$4,$I225&lt;BI$4+7),IF($K225="Deadline","◇","◆"),"")</f>
        <v/>
      </c>
      <c r="BJ225" s="14" t="str">
        <f>IF(AND(ISNUMBER($I225),OR($K225="Milestone",$K225="Deadline"),$I225&gt;=BJ$4,$I225&lt;BJ$4+7),IF($K225="Deadline","◇","◆"),"")</f>
        <v/>
      </c>
      <c r="BK225" s="14" t="str">
        <f>IF(AND(ISNUMBER($I225),OR($K225="Milestone",$K225="Deadline"),$I225&gt;=BK$4,$I225&lt;BK$4+7),IF($K225="Deadline","◇","◆"),"")</f>
        <v/>
      </c>
      <c r="BL225" s="14" t="str">
        <f>IF(AND(ISNUMBER($I225),OR($K225="Milestone",$K225="Deadline"),$I225&gt;=BL$4,$I225&lt;BL$4+7),IF($K225="Deadline","◇","◆"),"")</f>
        <v/>
      </c>
      <c r="BM225" s="14" t="str">
        <f>IF(AND(ISNUMBER($I225),OR($K225="Milestone",$K225="Deadline"),$I225&gt;=BM$4,$I225&lt;BM$4+7),IF($K225="Deadline","◇","◆"),"")</f>
        <v/>
      </c>
      <c r="BN225" s="14" t="str">
        <f>IF(AND(ISNUMBER($I225),OR($K225="Milestone",$K225="Deadline"),$I225&gt;=BN$4,$I225&lt;BN$4+7),IF($K225="Deadline","◇","◆"),"")</f>
        <v/>
      </c>
      <c r="BO225" s="14" t="str">
        <f>IF(AND(ISNUMBER($I225),OR($K225="Milestone",$K225="Deadline"),$I225&gt;=BO$4,$I225&lt;BO$4+7),IF($K225="Deadline","◇","◆"),"")</f>
        <v/>
      </c>
      <c r="BP225" s="14" t="str">
        <f>IF(AND(ISNUMBER($I225),OR($K225="Milestone",$K225="Deadline"),$I225&gt;=BP$4,$I225&lt;BP$4+7),IF($K225="Deadline","◇","◆"),"")</f>
        <v/>
      </c>
      <c r="BQ225" s="14" t="str">
        <f>IF(AND(ISNUMBER($I225),OR($K225="Milestone",$K225="Deadline"),$I225&gt;=BQ$4,$I225&lt;BQ$4+7),IF($K225="Deadline","◇","◆"),"")</f>
        <v/>
      </c>
      <c r="BR225" s="14" t="str">
        <f>IF(AND(ISNUMBER($I225),OR($K225="Milestone",$K225="Deadline"),$I225&gt;=BR$4,$I225&lt;BR$4+7),IF($K225="Deadline","◇","◆"),"")</f>
        <v/>
      </c>
      <c r="BS225" s="14" t="str">
        <f>IF(AND(ISNUMBER($I225),OR($K225="Milestone",$K225="Deadline"),$I225&gt;=BS$4,$I225&lt;BS$4+7),IF($K225="Deadline","◇","◆"),"")</f>
        <v/>
      </c>
      <c r="BT225" s="14" t="str">
        <f>IF(AND(ISNUMBER($I225),OR($K225="Milestone",$K225="Deadline"),$I225&gt;=BT$4,$I225&lt;BT$4+7),IF($K225="Deadline","◇","◆"),"")</f>
        <v/>
      </c>
      <c r="BU225" s="14" t="str">
        <f>IF(AND(ISNUMBER($I225),OR($K225="Milestone",$K225="Deadline"),$I225&gt;=BU$4,$I225&lt;BU$4+7),IF($K225="Deadline","◇","◆"),"")</f>
        <v/>
      </c>
      <c r="BV225" s="14" t="str">
        <f>IF(AND(ISNUMBER($I225),OR($K225="Milestone",$K225="Deadline"),$I225&gt;=BV$4,$I225&lt;BV$4+7),IF($K225="Deadline","◇","◆"),"")</f>
        <v/>
      </c>
      <c r="BW225" s="14" t="str">
        <f>IF(AND(ISNUMBER($I225),OR($K225="Milestone",$K225="Deadline"),$I225&gt;=BW$4,$I225&lt;BW$4+7),IF($K225="Deadline","◇","◆"),"")</f>
        <v/>
      </c>
      <c r="BX225" s="14" t="str">
        <f>IF(AND(ISNUMBER($I225),OR($K225="Milestone",$K225="Deadline"),$I225&gt;=BX$4,$I225&lt;BX$4+7),IF($K225="Deadline","◇","◆"),"")</f>
        <v/>
      </c>
      <c r="BY225" s="14" t="str">
        <f>IF(AND(ISNUMBER($I225),OR($K225="Milestone",$K225="Deadline"),$I225&gt;=BY$4,$I225&lt;BY$4+7),IF($K225="Deadline","◇","◆"),"")</f>
        <v/>
      </c>
      <c r="BZ225" s="14" t="str">
        <f>IF(AND(ISNUMBER($I225),OR($K225="Milestone",$K225="Deadline"),$I225&gt;=BZ$4,$I225&lt;BZ$4+7),IF($K225="Deadline","◇","◆"),"")</f>
        <v/>
      </c>
      <c r="CA225" s="14" t="str">
        <f>IF(AND(ISNUMBER($I225),OR($K225="Milestone",$K225="Deadline"),$I225&gt;=CA$4,$I225&lt;CA$4+7),IF($K225="Deadline","◇","◆"),"")</f>
        <v/>
      </c>
      <c r="CB225" s="14" t="str">
        <f>IF(AND(ISNUMBER($I225),OR($K225="Milestone",$K225="Deadline"),$I225&gt;=CB$4,$I225&lt;CB$4+7),IF($K225="Deadline","◇","◆"),"")</f>
        <v/>
      </c>
      <c r="CC225" s="14" t="str">
        <f>IF(AND(ISNUMBER($I225),OR($K225="Milestone",$K225="Deadline"),$I225&gt;=CC$4,$I225&lt;CC$4+7),IF($K225="Deadline","◇","◆"),"")</f>
        <v/>
      </c>
      <c r="CD225" s="14" t="str">
        <f>IF(AND(ISNUMBER($I225),OR($K225="Milestone",$K225="Deadline"),$I225&gt;=CD$4,$I225&lt;CD$4+7),IF($K225="Deadline","◇","◆"),"")</f>
        <v/>
      </c>
      <c r="CE225" s="14" t="str">
        <f>IF(AND(ISNUMBER($I225),OR($K225="Milestone",$K225="Deadline"),$I225&gt;=CE$4,$I225&lt;CE$4+7),IF($K225="Deadline","◇","◆"),"")</f>
        <v/>
      </c>
      <c r="CF225" s="14" t="str">
        <f>IF(AND(ISNUMBER($I225),OR($K225="Milestone",$K225="Deadline"),$I225&gt;=CF$4,$I225&lt;CF$4+7),IF($K225="Deadline","◇","◆"),"")</f>
        <v/>
      </c>
      <c r="CG225" s="14" t="str">
        <f>IF(AND(ISNUMBER($I225),OR($K225="Milestone",$K225="Deadline"),$I225&gt;=CG$4,$I225&lt;CG$4+7),IF($K225="Deadline","◇","◆"),"")</f>
        <v/>
      </c>
      <c r="CH225" s="14" t="str">
        <f>IF(AND(ISNUMBER($I225),OR($K225="Milestone",$K225="Deadline"),$I225&gt;=CH$4,$I225&lt;CH$4+7),IF($K225="Deadline","◇","◆"),"")</f>
        <v/>
      </c>
      <c r="CI225" s="14" t="str">
        <f>IF(AND(ISNUMBER($I225),OR($K225="Milestone",$K225="Deadline"),$I225&gt;=CI$4,$I225&lt;CI$4+7),IF($K225="Deadline","◇","◆"),"")</f>
        <v/>
      </c>
      <c r="CJ225" s="14" t="str">
        <f>IF(AND(ISNUMBER($I225),OR($K225="Milestone",$K225="Deadline"),$I225&gt;=CJ$4,$I225&lt;CJ$4+7),IF($K225="Deadline","◇","◆"),"")</f>
        <v/>
      </c>
      <c r="CK225" s="14" t="str">
        <f>IF(AND(ISNUMBER($I225),OR($K225="Milestone",$K225="Deadline"),$I225&gt;=CK$4,$I225&lt;CK$4+7),IF($K225="Deadline","◇","◆"),"")</f>
        <v/>
      </c>
      <c r="CL225" s="14" t="str">
        <f>IF(AND(ISNUMBER($I225),OR($K225="Milestone",$K225="Deadline"),$I225&gt;=CL$4,$I225&lt;CL$4+7),IF($K225="Deadline","◇","◆"),"")</f>
        <v/>
      </c>
      <c r="CM225" s="14" t="str">
        <f>IF(AND(ISNUMBER($I225),OR($K225="Milestone",$K225="Deadline"),$I225&gt;=CM$4,$I225&lt;CM$4+7),IF($K225="Deadline","◇","◆"),"")</f>
        <v/>
      </c>
    </row>
    <row r="226" spans="1:91" hidden="1">
      <c r="A226" s="47" t="s">
        <v>313</v>
      </c>
      <c r="B226" s="47" t="s">
        <v>458</v>
      </c>
      <c r="C226" s="47" t="s">
        <v>191</v>
      </c>
      <c r="D226" s="47" t="s">
        <v>419</v>
      </c>
      <c r="E226" s="47"/>
      <c r="F226" s="47" t="s">
        <v>216</v>
      </c>
      <c r="G226" s="47" t="s">
        <v>217</v>
      </c>
      <c r="H226" s="47">
        <v>14</v>
      </c>
      <c r="I226" s="48">
        <f>MAX($C$2,J213+1,J204+1)</f>
        <v>46377</v>
      </c>
      <c r="J226" s="49">
        <f>IF(AND(ISNUMBER(I226),ISNUMBER(H226)),I226+H226-1,"")</f>
        <v>46390</v>
      </c>
      <c r="K226" s="47" t="s">
        <v>27</v>
      </c>
      <c r="L226" s="47" t="s">
        <v>452</v>
      </c>
      <c r="M226" s="50" t="s">
        <v>451</v>
      </c>
      <c r="N226" s="47"/>
      <c r="O226" s="50">
        <f>IF(AND(ISNUMBER(I226),ISNUMBER(J226)),J226-I226+1,"")</f>
        <v>14</v>
      </c>
      <c r="P226" s="13"/>
      <c r="Q226" s="13"/>
      <c r="R226" s="13" t="s">
        <v>140</v>
      </c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4" t="str">
        <f>IF(AND(ISNUMBER($I226),OR($K226="Milestone",$K226="Deadline"),$I226&gt;=AO$4,$I226&lt;AO$4+7),IF($K226="Deadline","◇","◆"),"")</f>
        <v/>
      </c>
      <c r="AP226" s="14" t="str">
        <f>IF(AND(ISNUMBER($I226),OR($K226="Milestone",$K226="Deadline"),$I226&gt;=AP$4,$I226&lt;AP$4+7),IF($K226="Deadline","◇","◆"),"")</f>
        <v/>
      </c>
      <c r="AQ226" s="14" t="str">
        <f>IF(AND(ISNUMBER($I226),OR($K226="Milestone",$K226="Deadline"),$I226&gt;=AQ$4,$I226&lt;AQ$4+7),IF($K226="Deadline","◇","◆"),"")</f>
        <v/>
      </c>
      <c r="AR226" s="14" t="str">
        <f>IF(AND(ISNUMBER($I226),OR($K226="Milestone",$K226="Deadline"),$I226&gt;=AR$4,$I226&lt;AR$4+7),IF($K226="Deadline","◇","◆"),"")</f>
        <v/>
      </c>
      <c r="AS226" s="14" t="str">
        <f>IF(AND(ISNUMBER($I226),OR($K226="Milestone",$K226="Deadline"),$I226&gt;=AS$4,$I226&lt;AS$4+7),IF($K226="Deadline","◇","◆"),"")</f>
        <v/>
      </c>
      <c r="AT226" s="14" t="str">
        <f>IF(AND(ISNUMBER($I226),OR($K226="Milestone",$K226="Deadline"),$I226&gt;=AT$4,$I226&lt;AT$4+7),IF($K226="Deadline","◇","◆"),"")</f>
        <v/>
      </c>
      <c r="AU226" s="14" t="str">
        <f>IF(AND(ISNUMBER($I226),OR($K226="Milestone",$K226="Deadline"),$I226&gt;=AU$4,$I226&lt;AU$4+7),IF($K226="Deadline","◇","◆"),"")</f>
        <v/>
      </c>
      <c r="AV226" s="14" t="str">
        <f>IF(AND(ISNUMBER($I226),OR($K226="Milestone",$K226="Deadline"),$I226&gt;=AV$4,$I226&lt;AV$4+7),IF($K226="Deadline","◇","◆"),"")</f>
        <v/>
      </c>
      <c r="AW226" s="14" t="str">
        <f>IF(AND(ISNUMBER($I226),OR($K226="Milestone",$K226="Deadline"),$I226&gt;=AW$4,$I226&lt;AW$4+7),IF($K226="Deadline","◇","◆"),"")</f>
        <v/>
      </c>
      <c r="AX226" s="14" t="str">
        <f>IF(AND(ISNUMBER($I226),OR($K226="Milestone",$K226="Deadline"),$I226&gt;=AX$4,$I226&lt;AX$4+7),IF($K226="Deadline","◇","◆"),"")</f>
        <v/>
      </c>
      <c r="AY226" s="14" t="str">
        <f>IF(AND(ISNUMBER($I226),OR($K226="Milestone",$K226="Deadline"),$I226&gt;=AY$4,$I226&lt;AY$4+7),IF($K226="Deadline","◇","◆"),"")</f>
        <v/>
      </c>
      <c r="AZ226" s="14" t="str">
        <f>IF(AND(ISNUMBER($I226),OR($K226="Milestone",$K226="Deadline"),$I226&gt;=AZ$4,$I226&lt;AZ$4+7),IF($K226="Deadline","◇","◆"),"")</f>
        <v/>
      </c>
      <c r="BA226" s="14" t="str">
        <f>IF(AND(ISNUMBER($I226),OR($K226="Milestone",$K226="Deadline"),$I226&gt;=BA$4,$I226&lt;BA$4+7),IF($K226="Deadline","◇","◆"),"")</f>
        <v/>
      </c>
      <c r="BB226" s="14" t="str">
        <f>IF(AND(ISNUMBER($I226),OR($K226="Milestone",$K226="Deadline"),$I226&gt;=BB$4,$I226&lt;BB$4+7),IF($K226="Deadline","◇","◆"),"")</f>
        <v/>
      </c>
      <c r="BC226" s="14" t="str">
        <f>IF(AND(ISNUMBER($I226),OR($K226="Milestone",$K226="Deadline"),$I226&gt;=BC$4,$I226&lt;BC$4+7),IF($K226="Deadline","◇","◆"),"")</f>
        <v/>
      </c>
      <c r="BD226" s="14" t="str">
        <f>IF(AND(ISNUMBER($I226),OR($K226="Milestone",$K226="Deadline"),$I226&gt;=BD$4,$I226&lt;BD$4+7),IF($K226="Deadline","◇","◆"),"")</f>
        <v/>
      </c>
      <c r="BE226" s="14" t="str">
        <f>IF(AND(ISNUMBER($I226),OR($K226="Milestone",$K226="Deadline"),$I226&gt;=BE$4,$I226&lt;BE$4+7),IF($K226="Deadline","◇","◆"),"")</f>
        <v/>
      </c>
      <c r="BF226" s="14" t="str">
        <f>IF(AND(ISNUMBER($I226),OR($K226="Milestone",$K226="Deadline"),$I226&gt;=BF$4,$I226&lt;BF$4+7),IF($K226="Deadline","◇","◆"),"")</f>
        <v/>
      </c>
      <c r="BG226" s="14" t="str">
        <f>IF(AND(ISNUMBER($I226),OR($K226="Milestone",$K226="Deadline"),$I226&gt;=BG$4,$I226&lt;BG$4+7),IF($K226="Deadline","◇","◆"),"")</f>
        <v/>
      </c>
      <c r="BH226" s="14" t="str">
        <f>IF(AND(ISNUMBER($I226),OR($K226="Milestone",$K226="Deadline"),$I226&gt;=BH$4,$I226&lt;BH$4+7),IF($K226="Deadline","◇","◆"),"")</f>
        <v/>
      </c>
      <c r="BI226" s="14" t="str">
        <f>IF(AND(ISNUMBER($I226),OR($K226="Milestone",$K226="Deadline"),$I226&gt;=BI$4,$I226&lt;BI$4+7),IF($K226="Deadline","◇","◆"),"")</f>
        <v/>
      </c>
      <c r="BJ226" s="14" t="str">
        <f>IF(AND(ISNUMBER($I226),OR($K226="Milestone",$K226="Deadline"),$I226&gt;=BJ$4,$I226&lt;BJ$4+7),IF($K226="Deadline","◇","◆"),"")</f>
        <v/>
      </c>
      <c r="BK226" s="14" t="str">
        <f>IF(AND(ISNUMBER($I226),OR($K226="Milestone",$K226="Deadline"),$I226&gt;=BK$4,$I226&lt;BK$4+7),IF($K226="Deadline","◇","◆"),"")</f>
        <v/>
      </c>
      <c r="BL226" s="14" t="str">
        <f>IF(AND(ISNUMBER($I226),OR($K226="Milestone",$K226="Deadline"),$I226&gt;=BL$4,$I226&lt;BL$4+7),IF($K226="Deadline","◇","◆"),"")</f>
        <v/>
      </c>
      <c r="BM226" s="14" t="str">
        <f>IF(AND(ISNUMBER($I226),OR($K226="Milestone",$K226="Deadline"),$I226&gt;=BM$4,$I226&lt;BM$4+7),IF($K226="Deadline","◇","◆"),"")</f>
        <v/>
      </c>
      <c r="BN226" s="14" t="str">
        <f>IF(AND(ISNUMBER($I226),OR($K226="Milestone",$K226="Deadline"),$I226&gt;=BN$4,$I226&lt;BN$4+7),IF($K226="Deadline","◇","◆"),"")</f>
        <v/>
      </c>
      <c r="BO226" s="14" t="str">
        <f>IF(AND(ISNUMBER($I226),OR($K226="Milestone",$K226="Deadline"),$I226&gt;=BO$4,$I226&lt;BO$4+7),IF($K226="Deadline","◇","◆"),"")</f>
        <v/>
      </c>
      <c r="BP226" s="14" t="str">
        <f>IF(AND(ISNUMBER($I226),OR($K226="Milestone",$K226="Deadline"),$I226&gt;=BP$4,$I226&lt;BP$4+7),IF($K226="Deadline","◇","◆"),"")</f>
        <v/>
      </c>
      <c r="BQ226" s="14" t="str">
        <f>IF(AND(ISNUMBER($I226),OR($K226="Milestone",$K226="Deadline"),$I226&gt;=BQ$4,$I226&lt;BQ$4+7),IF($K226="Deadline","◇","◆"),"")</f>
        <v/>
      </c>
      <c r="BR226" s="14" t="str">
        <f>IF(AND(ISNUMBER($I226),OR($K226="Milestone",$K226="Deadline"),$I226&gt;=BR$4,$I226&lt;BR$4+7),IF($K226="Deadline","◇","◆"),"")</f>
        <v/>
      </c>
      <c r="BS226" s="14" t="str">
        <f>IF(AND(ISNUMBER($I226),OR($K226="Milestone",$K226="Deadline"),$I226&gt;=BS$4,$I226&lt;BS$4+7),IF($K226="Deadline","◇","◆"),"")</f>
        <v/>
      </c>
      <c r="BT226" s="14" t="str">
        <f>IF(AND(ISNUMBER($I226),OR($K226="Milestone",$K226="Deadline"),$I226&gt;=BT$4,$I226&lt;BT$4+7),IF($K226="Deadline","◇","◆"),"")</f>
        <v/>
      </c>
      <c r="BU226" s="14" t="str">
        <f>IF(AND(ISNUMBER($I226),OR($K226="Milestone",$K226="Deadline"),$I226&gt;=BU$4,$I226&lt;BU$4+7),IF($K226="Deadline","◇","◆"),"")</f>
        <v/>
      </c>
      <c r="BV226" s="14" t="str">
        <f>IF(AND(ISNUMBER($I226),OR($K226="Milestone",$K226="Deadline"),$I226&gt;=BV$4,$I226&lt;BV$4+7),IF($K226="Deadline","◇","◆"),"")</f>
        <v/>
      </c>
      <c r="BW226" s="14" t="str">
        <f>IF(AND(ISNUMBER($I226),OR($K226="Milestone",$K226="Deadline"),$I226&gt;=BW$4,$I226&lt;BW$4+7),IF($K226="Deadline","◇","◆"),"")</f>
        <v/>
      </c>
      <c r="BX226" s="14" t="str">
        <f>IF(AND(ISNUMBER($I226),OR($K226="Milestone",$K226="Deadline"),$I226&gt;=BX$4,$I226&lt;BX$4+7),IF($K226="Deadline","◇","◆"),"")</f>
        <v/>
      </c>
      <c r="BY226" s="14" t="str">
        <f>IF(AND(ISNUMBER($I226),OR($K226="Milestone",$K226="Deadline"),$I226&gt;=BY$4,$I226&lt;BY$4+7),IF($K226="Deadline","◇","◆"),"")</f>
        <v/>
      </c>
      <c r="BZ226" s="14" t="str">
        <f>IF(AND(ISNUMBER($I226),OR($K226="Milestone",$K226="Deadline"),$I226&gt;=BZ$4,$I226&lt;BZ$4+7),IF($K226="Deadline","◇","◆"),"")</f>
        <v/>
      </c>
      <c r="CA226" s="14" t="str">
        <f>IF(AND(ISNUMBER($I226),OR($K226="Milestone",$K226="Deadline"),$I226&gt;=CA$4,$I226&lt;CA$4+7),IF($K226="Deadline","◇","◆"),"")</f>
        <v/>
      </c>
      <c r="CB226" s="14" t="str">
        <f>IF(AND(ISNUMBER($I226),OR($K226="Milestone",$K226="Deadline"),$I226&gt;=CB$4,$I226&lt;CB$4+7),IF($K226="Deadline","◇","◆"),"")</f>
        <v/>
      </c>
      <c r="CC226" s="14" t="str">
        <f>IF(AND(ISNUMBER($I226),OR($K226="Milestone",$K226="Deadline"),$I226&gt;=CC$4,$I226&lt;CC$4+7),IF($K226="Deadline","◇","◆"),"")</f>
        <v/>
      </c>
      <c r="CD226" s="14" t="str">
        <f>IF(AND(ISNUMBER($I226),OR($K226="Milestone",$K226="Deadline"),$I226&gt;=CD$4,$I226&lt;CD$4+7),IF($K226="Deadline","◇","◆"),"")</f>
        <v/>
      </c>
      <c r="CE226" s="14" t="str">
        <f>IF(AND(ISNUMBER($I226),OR($K226="Milestone",$K226="Deadline"),$I226&gt;=CE$4,$I226&lt;CE$4+7),IF($K226="Deadline","◇","◆"),"")</f>
        <v/>
      </c>
      <c r="CF226" s="14" t="str">
        <f>IF(AND(ISNUMBER($I226),OR($K226="Milestone",$K226="Deadline"),$I226&gt;=CF$4,$I226&lt;CF$4+7),IF($K226="Deadline","◇","◆"),"")</f>
        <v/>
      </c>
      <c r="CG226" s="14" t="str">
        <f>IF(AND(ISNUMBER($I226),OR($K226="Milestone",$K226="Deadline"),$I226&gt;=CG$4,$I226&lt;CG$4+7),IF($K226="Deadline","◇","◆"),"")</f>
        <v/>
      </c>
      <c r="CH226" s="14" t="str">
        <f>IF(AND(ISNUMBER($I226),OR($K226="Milestone",$K226="Deadline"),$I226&gt;=CH$4,$I226&lt;CH$4+7),IF($K226="Deadline","◇","◆"),"")</f>
        <v/>
      </c>
      <c r="CI226" s="14" t="str">
        <f>IF(AND(ISNUMBER($I226),OR($K226="Milestone",$K226="Deadline"),$I226&gt;=CI$4,$I226&lt;CI$4+7),IF($K226="Deadline","◇","◆"),"")</f>
        <v/>
      </c>
      <c r="CJ226" s="14" t="str">
        <f>IF(AND(ISNUMBER($I226),OR($K226="Milestone",$K226="Deadline"),$I226&gt;=CJ$4,$I226&lt;CJ$4+7),IF($K226="Deadline","◇","◆"),"")</f>
        <v/>
      </c>
      <c r="CK226" s="14" t="str">
        <f>IF(AND(ISNUMBER($I226),OR($K226="Milestone",$K226="Deadline"),$I226&gt;=CK$4,$I226&lt;CK$4+7),IF($K226="Deadline","◇","◆"),"")</f>
        <v/>
      </c>
      <c r="CL226" s="14" t="str">
        <f>IF(AND(ISNUMBER($I226),OR($K226="Milestone",$K226="Deadline"),$I226&gt;=CL$4,$I226&lt;CL$4+7),IF($K226="Deadline","◇","◆"),"")</f>
        <v/>
      </c>
      <c r="CM226" s="14" t="str">
        <f>IF(AND(ISNUMBER($I226),OR($K226="Milestone",$K226="Deadline"),$I226&gt;=CM$4,$I226&lt;CM$4+7),IF($K226="Deadline","◇","◆"),"")</f>
        <v/>
      </c>
    </row>
    <row r="227" spans="1:91" hidden="1">
      <c r="A227" s="47" t="s">
        <v>481</v>
      </c>
      <c r="B227" s="47" t="s">
        <v>458</v>
      </c>
      <c r="C227" s="47" t="s">
        <v>221</v>
      </c>
      <c r="D227" s="47" t="s">
        <v>419</v>
      </c>
      <c r="E227" s="47"/>
      <c r="F227" s="47" t="s">
        <v>216</v>
      </c>
      <c r="G227" s="47" t="s">
        <v>222</v>
      </c>
      <c r="H227" s="47">
        <v>7</v>
      </c>
      <c r="I227" s="48">
        <f>MAX($C$2,J211+1,J224+1,J114+1,J296+1)</f>
        <v>46517</v>
      </c>
      <c r="J227" s="49">
        <f>IF(AND(ISNUMBER(I227),ISNUMBER(H227)),I227+H227-1,"")</f>
        <v>46523</v>
      </c>
      <c r="K227" s="47" t="s">
        <v>27</v>
      </c>
      <c r="L227" s="47" t="s">
        <v>482</v>
      </c>
      <c r="M227" s="50" t="s">
        <v>483</v>
      </c>
      <c r="N227" s="47"/>
      <c r="O227" s="50">
        <f>IF(AND(ISNUMBER(I227),ISNUMBER(J227)),J227-I227+1,"")</f>
        <v>7</v>
      </c>
      <c r="P227" s="13"/>
      <c r="Q227" s="13"/>
      <c r="R227" s="13"/>
      <c r="S227" s="13"/>
      <c r="T227" s="13" t="s">
        <v>140</v>
      </c>
      <c r="U227" s="13"/>
      <c r="V227" s="13"/>
      <c r="W227" s="13"/>
      <c r="X227" s="13"/>
      <c r="Y227" s="13" t="s">
        <v>140</v>
      </c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4" t="str">
        <f>IF(AND(ISNUMBER($I227),OR($K227="Milestone",$K227="Deadline"),$I227&gt;=AO$4,$I227&lt;AO$4+7),IF($K227="Deadline","◇","◆"),"")</f>
        <v/>
      </c>
      <c r="AP227" s="14" t="str">
        <f>IF(AND(ISNUMBER($I227),OR($K227="Milestone",$K227="Deadline"),$I227&gt;=AP$4,$I227&lt;AP$4+7),IF($K227="Deadline","◇","◆"),"")</f>
        <v/>
      </c>
      <c r="AQ227" s="14" t="str">
        <f>IF(AND(ISNUMBER($I227),OR($K227="Milestone",$K227="Deadline"),$I227&gt;=AQ$4,$I227&lt;AQ$4+7),IF($K227="Deadline","◇","◆"),"")</f>
        <v/>
      </c>
      <c r="AR227" s="14" t="str">
        <f>IF(AND(ISNUMBER($I227),OR($K227="Milestone",$K227="Deadline"),$I227&gt;=AR$4,$I227&lt;AR$4+7),IF($K227="Deadline","◇","◆"),"")</f>
        <v/>
      </c>
      <c r="AS227" s="14" t="str">
        <f>IF(AND(ISNUMBER($I227),OR($K227="Milestone",$K227="Deadline"),$I227&gt;=AS$4,$I227&lt;AS$4+7),IF($K227="Deadline","◇","◆"),"")</f>
        <v/>
      </c>
      <c r="AT227" s="14" t="str">
        <f>IF(AND(ISNUMBER($I227),OR($K227="Milestone",$K227="Deadline"),$I227&gt;=AT$4,$I227&lt;AT$4+7),IF($K227="Deadline","◇","◆"),"")</f>
        <v/>
      </c>
      <c r="AU227" s="14" t="str">
        <f>IF(AND(ISNUMBER($I227),OR($K227="Milestone",$K227="Deadline"),$I227&gt;=AU$4,$I227&lt;AU$4+7),IF($K227="Deadline","◇","◆"),"")</f>
        <v/>
      </c>
      <c r="AV227" s="14" t="str">
        <f>IF(AND(ISNUMBER($I227),OR($K227="Milestone",$K227="Deadline"),$I227&gt;=AV$4,$I227&lt;AV$4+7),IF($K227="Deadline","◇","◆"),"")</f>
        <v/>
      </c>
      <c r="AW227" s="14" t="str">
        <f>IF(AND(ISNUMBER($I227),OR($K227="Milestone",$K227="Deadline"),$I227&gt;=AW$4,$I227&lt;AW$4+7),IF($K227="Deadline","◇","◆"),"")</f>
        <v/>
      </c>
      <c r="AX227" s="14" t="str">
        <f>IF(AND(ISNUMBER($I227),OR($K227="Milestone",$K227="Deadline"),$I227&gt;=AX$4,$I227&lt;AX$4+7),IF($K227="Deadline","◇","◆"),"")</f>
        <v/>
      </c>
      <c r="AY227" s="14" t="str">
        <f>IF(AND(ISNUMBER($I227),OR($K227="Milestone",$K227="Deadline"),$I227&gt;=AY$4,$I227&lt;AY$4+7),IF($K227="Deadline","◇","◆"),"")</f>
        <v/>
      </c>
      <c r="AZ227" s="14" t="str">
        <f>IF(AND(ISNUMBER($I227),OR($K227="Milestone",$K227="Deadline"),$I227&gt;=AZ$4,$I227&lt;AZ$4+7),IF($K227="Deadline","◇","◆"),"")</f>
        <v/>
      </c>
      <c r="BA227" s="14" t="str">
        <f>IF(AND(ISNUMBER($I227),OR($K227="Milestone",$K227="Deadline"),$I227&gt;=BA$4,$I227&lt;BA$4+7),IF($K227="Deadline","◇","◆"),"")</f>
        <v/>
      </c>
      <c r="BB227" s="14" t="str">
        <f>IF(AND(ISNUMBER($I227),OR($K227="Milestone",$K227="Deadline"),$I227&gt;=BB$4,$I227&lt;BB$4+7),IF($K227="Deadline","◇","◆"),"")</f>
        <v/>
      </c>
      <c r="BC227" s="14" t="str">
        <f>IF(AND(ISNUMBER($I227),OR($K227="Milestone",$K227="Deadline"),$I227&gt;=BC$4,$I227&lt;BC$4+7),IF($K227="Deadline","◇","◆"),"")</f>
        <v/>
      </c>
      <c r="BD227" s="14" t="str">
        <f>IF(AND(ISNUMBER($I227),OR($K227="Milestone",$K227="Deadline"),$I227&gt;=BD$4,$I227&lt;BD$4+7),IF($K227="Deadline","◇","◆"),"")</f>
        <v/>
      </c>
      <c r="BE227" s="14" t="str">
        <f>IF(AND(ISNUMBER($I227),OR($K227="Milestone",$K227="Deadline"),$I227&gt;=BE$4,$I227&lt;BE$4+7),IF($K227="Deadline","◇","◆"),"")</f>
        <v/>
      </c>
      <c r="BF227" s="14" t="str">
        <f>IF(AND(ISNUMBER($I227),OR($K227="Milestone",$K227="Deadline"),$I227&gt;=BF$4,$I227&lt;BF$4+7),IF($K227="Deadline","◇","◆"),"")</f>
        <v/>
      </c>
      <c r="BG227" s="14" t="str">
        <f>IF(AND(ISNUMBER($I227),OR($K227="Milestone",$K227="Deadline"),$I227&gt;=BG$4,$I227&lt;BG$4+7),IF($K227="Deadline","◇","◆"),"")</f>
        <v/>
      </c>
      <c r="BH227" s="14" t="str">
        <f>IF(AND(ISNUMBER($I227),OR($K227="Milestone",$K227="Deadline"),$I227&gt;=BH$4,$I227&lt;BH$4+7),IF($K227="Deadline","◇","◆"),"")</f>
        <v/>
      </c>
      <c r="BI227" s="14" t="str">
        <f>IF(AND(ISNUMBER($I227),OR($K227="Milestone",$K227="Deadline"),$I227&gt;=BI$4,$I227&lt;BI$4+7),IF($K227="Deadline","◇","◆"),"")</f>
        <v/>
      </c>
      <c r="BJ227" s="14" t="str">
        <f>IF(AND(ISNUMBER($I227),OR($K227="Milestone",$K227="Deadline"),$I227&gt;=BJ$4,$I227&lt;BJ$4+7),IF($K227="Deadline","◇","◆"),"")</f>
        <v/>
      </c>
      <c r="BK227" s="14" t="str">
        <f>IF(AND(ISNUMBER($I227),OR($K227="Milestone",$K227="Deadline"),$I227&gt;=BK$4,$I227&lt;BK$4+7),IF($K227="Deadline","◇","◆"),"")</f>
        <v/>
      </c>
      <c r="BL227" s="14" t="str">
        <f>IF(AND(ISNUMBER($I227),OR($K227="Milestone",$K227="Deadline"),$I227&gt;=BL$4,$I227&lt;BL$4+7),IF($K227="Deadline","◇","◆"),"")</f>
        <v/>
      </c>
      <c r="BM227" s="14" t="str">
        <f>IF(AND(ISNUMBER($I227),OR($K227="Milestone",$K227="Deadline"),$I227&gt;=BM$4,$I227&lt;BM$4+7),IF($K227="Deadline","◇","◆"),"")</f>
        <v/>
      </c>
      <c r="BN227" s="14" t="str">
        <f>IF(AND(ISNUMBER($I227),OR($K227="Milestone",$K227="Deadline"),$I227&gt;=BN$4,$I227&lt;BN$4+7),IF($K227="Deadline","◇","◆"),"")</f>
        <v/>
      </c>
      <c r="BO227" s="14" t="str">
        <f>IF(AND(ISNUMBER($I227),OR($K227="Milestone",$K227="Deadline"),$I227&gt;=BO$4,$I227&lt;BO$4+7),IF($K227="Deadline","◇","◆"),"")</f>
        <v/>
      </c>
      <c r="BP227" s="14" t="str">
        <f>IF(AND(ISNUMBER($I227),OR($K227="Milestone",$K227="Deadline"),$I227&gt;=BP$4,$I227&lt;BP$4+7),IF($K227="Deadline","◇","◆"),"")</f>
        <v/>
      </c>
      <c r="BQ227" s="14" t="str">
        <f>IF(AND(ISNUMBER($I227),OR($K227="Milestone",$K227="Deadline"),$I227&gt;=BQ$4,$I227&lt;BQ$4+7),IF($K227="Deadline","◇","◆"),"")</f>
        <v/>
      </c>
      <c r="BR227" s="14" t="str">
        <f>IF(AND(ISNUMBER($I227),OR($K227="Milestone",$K227="Deadline"),$I227&gt;=BR$4,$I227&lt;BR$4+7),IF($K227="Deadline","◇","◆"),"")</f>
        <v/>
      </c>
      <c r="BS227" s="14" t="str">
        <f>IF(AND(ISNUMBER($I227),OR($K227="Milestone",$K227="Deadline"),$I227&gt;=BS$4,$I227&lt;BS$4+7),IF($K227="Deadline","◇","◆"),"")</f>
        <v/>
      </c>
      <c r="BT227" s="14" t="str">
        <f>IF(AND(ISNUMBER($I227),OR($K227="Milestone",$K227="Deadline"),$I227&gt;=BT$4,$I227&lt;BT$4+7),IF($K227="Deadline","◇","◆"),"")</f>
        <v/>
      </c>
      <c r="BU227" s="14" t="str">
        <f>IF(AND(ISNUMBER($I227),OR($K227="Milestone",$K227="Deadline"),$I227&gt;=BU$4,$I227&lt;BU$4+7),IF($K227="Deadline","◇","◆"),"")</f>
        <v/>
      </c>
      <c r="BV227" s="14" t="str">
        <f>IF(AND(ISNUMBER($I227),OR($K227="Milestone",$K227="Deadline"),$I227&gt;=BV$4,$I227&lt;BV$4+7),IF($K227="Deadline","◇","◆"),"")</f>
        <v/>
      </c>
      <c r="BW227" s="14" t="str">
        <f>IF(AND(ISNUMBER($I227),OR($K227="Milestone",$K227="Deadline"),$I227&gt;=BW$4,$I227&lt;BW$4+7),IF($K227="Deadline","◇","◆"),"")</f>
        <v/>
      </c>
      <c r="BX227" s="14" t="str">
        <f>IF(AND(ISNUMBER($I227),OR($K227="Milestone",$K227="Deadline"),$I227&gt;=BX$4,$I227&lt;BX$4+7),IF($K227="Deadline","◇","◆"),"")</f>
        <v/>
      </c>
      <c r="BY227" s="14" t="str">
        <f>IF(AND(ISNUMBER($I227),OR($K227="Milestone",$K227="Deadline"),$I227&gt;=BY$4,$I227&lt;BY$4+7),IF($K227="Deadline","◇","◆"),"")</f>
        <v/>
      </c>
      <c r="BZ227" s="14" t="str">
        <f>IF(AND(ISNUMBER($I227),OR($K227="Milestone",$K227="Deadline"),$I227&gt;=BZ$4,$I227&lt;BZ$4+7),IF($K227="Deadline","◇","◆"),"")</f>
        <v/>
      </c>
      <c r="CA227" s="14" t="str">
        <f>IF(AND(ISNUMBER($I227),OR($K227="Milestone",$K227="Deadline"),$I227&gt;=CA$4,$I227&lt;CA$4+7),IF($K227="Deadline","◇","◆"),"")</f>
        <v/>
      </c>
      <c r="CB227" s="14" t="str">
        <f>IF(AND(ISNUMBER($I227),OR($K227="Milestone",$K227="Deadline"),$I227&gt;=CB$4,$I227&lt;CB$4+7),IF($K227="Deadline","◇","◆"),"")</f>
        <v/>
      </c>
      <c r="CC227" s="14" t="str">
        <f>IF(AND(ISNUMBER($I227),OR($K227="Milestone",$K227="Deadline"),$I227&gt;=CC$4,$I227&lt;CC$4+7),IF($K227="Deadline","◇","◆"),"")</f>
        <v/>
      </c>
      <c r="CD227" s="14" t="str">
        <f>IF(AND(ISNUMBER($I227),OR($K227="Milestone",$K227="Deadline"),$I227&gt;=CD$4,$I227&lt;CD$4+7),IF($K227="Deadline","◇","◆"),"")</f>
        <v/>
      </c>
      <c r="CE227" s="14" t="str">
        <f>IF(AND(ISNUMBER($I227),OR($K227="Milestone",$K227="Deadline"),$I227&gt;=CE$4,$I227&lt;CE$4+7),IF($K227="Deadline","◇","◆"),"")</f>
        <v/>
      </c>
      <c r="CF227" s="14" t="str">
        <f>IF(AND(ISNUMBER($I227),OR($K227="Milestone",$K227="Deadline"),$I227&gt;=CF$4,$I227&lt;CF$4+7),IF($K227="Deadline","◇","◆"),"")</f>
        <v/>
      </c>
      <c r="CG227" s="14" t="str">
        <f>IF(AND(ISNUMBER($I227),OR($K227="Milestone",$K227="Deadline"),$I227&gt;=CG$4,$I227&lt;CG$4+7),IF($K227="Deadline","◇","◆"),"")</f>
        <v/>
      </c>
      <c r="CH227" s="14" t="str">
        <f>IF(AND(ISNUMBER($I227),OR($K227="Milestone",$K227="Deadline"),$I227&gt;=CH$4,$I227&lt;CH$4+7),IF($K227="Deadline","◇","◆"),"")</f>
        <v/>
      </c>
      <c r="CI227" s="14" t="str">
        <f>IF(AND(ISNUMBER($I227),OR($K227="Milestone",$K227="Deadline"),$I227&gt;=CI$4,$I227&lt;CI$4+7),IF($K227="Deadline","◇","◆"),"")</f>
        <v/>
      </c>
      <c r="CJ227" s="14" t="str">
        <f>IF(AND(ISNUMBER($I227),OR($K227="Milestone",$K227="Deadline"),$I227&gt;=CJ$4,$I227&lt;CJ$4+7),IF($K227="Deadline","◇","◆"),"")</f>
        <v/>
      </c>
      <c r="CK227" s="14" t="str">
        <f>IF(AND(ISNUMBER($I227),OR($K227="Milestone",$K227="Deadline"),$I227&gt;=CK$4,$I227&lt;CK$4+7),IF($K227="Deadline","◇","◆"),"")</f>
        <v/>
      </c>
      <c r="CL227" s="14" t="str">
        <f>IF(AND(ISNUMBER($I227),OR($K227="Milestone",$K227="Deadline"),$I227&gt;=CL$4,$I227&lt;CL$4+7),IF($K227="Deadline","◇","◆"),"")</f>
        <v/>
      </c>
      <c r="CM227" s="14" t="str">
        <f>IF(AND(ISNUMBER($I227),OR($K227="Milestone",$K227="Deadline"),$I227&gt;=CM$4,$I227&lt;CM$4+7),IF($K227="Deadline","◇","◆"),"")</f>
        <v/>
      </c>
    </row>
    <row r="228" spans="1:91" hidden="1">
      <c r="A228" s="47" t="s">
        <v>484</v>
      </c>
      <c r="B228" s="47" t="s">
        <v>458</v>
      </c>
      <c r="C228" s="47" t="s">
        <v>226</v>
      </c>
      <c r="D228" s="47" t="s">
        <v>419</v>
      </c>
      <c r="E228" s="47"/>
      <c r="F228" s="47" t="s">
        <v>216</v>
      </c>
      <c r="G228" s="47" t="s">
        <v>227</v>
      </c>
      <c r="H228" s="47">
        <v>7</v>
      </c>
      <c r="I228" s="48">
        <f>MAX($C$2,J206+1)</f>
        <v>46469</v>
      </c>
      <c r="J228" s="49">
        <f>IF(AND(ISNUMBER(I228),ISNUMBER(H228)),I228+H228-1,"")</f>
        <v>46475</v>
      </c>
      <c r="K228" s="47" t="s">
        <v>27</v>
      </c>
      <c r="L228" s="47"/>
      <c r="M228" s="50" t="s">
        <v>455</v>
      </c>
      <c r="N228" s="47"/>
      <c r="O228" s="50">
        <f>IF(AND(ISNUMBER(I228),ISNUMBER(J228)),J228-I228+1,"")</f>
        <v>7</v>
      </c>
      <c r="P228" s="13" t="s">
        <v>140</v>
      </c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4" t="str">
        <f>IF(AND(ISNUMBER($I228),OR($K228="Milestone",$K228="Deadline"),$I228&gt;=AO$4,$I228&lt;AO$4+7),IF($K228="Deadline","◇","◆"),"")</f>
        <v/>
      </c>
      <c r="AP228" s="14" t="str">
        <f>IF(AND(ISNUMBER($I228),OR($K228="Milestone",$K228="Deadline"),$I228&gt;=AP$4,$I228&lt;AP$4+7),IF($K228="Deadline","◇","◆"),"")</f>
        <v/>
      </c>
      <c r="AQ228" s="14" t="str">
        <f>IF(AND(ISNUMBER($I228),OR($K228="Milestone",$K228="Deadline"),$I228&gt;=AQ$4,$I228&lt;AQ$4+7),IF($K228="Deadline","◇","◆"),"")</f>
        <v/>
      </c>
      <c r="AR228" s="14" t="str">
        <f>IF(AND(ISNUMBER($I228),OR($K228="Milestone",$K228="Deadline"),$I228&gt;=AR$4,$I228&lt;AR$4+7),IF($K228="Deadline","◇","◆"),"")</f>
        <v/>
      </c>
      <c r="AS228" s="14" t="str">
        <f>IF(AND(ISNUMBER($I228),OR($K228="Milestone",$K228="Deadline"),$I228&gt;=AS$4,$I228&lt;AS$4+7),IF($K228="Deadline","◇","◆"),"")</f>
        <v/>
      </c>
      <c r="AT228" s="14" t="str">
        <f>IF(AND(ISNUMBER($I228),OR($K228="Milestone",$K228="Deadline"),$I228&gt;=AT$4,$I228&lt;AT$4+7),IF($K228="Deadline","◇","◆"),"")</f>
        <v/>
      </c>
      <c r="AU228" s="14" t="str">
        <f>IF(AND(ISNUMBER($I228),OR($K228="Milestone",$K228="Deadline"),$I228&gt;=AU$4,$I228&lt;AU$4+7),IF($K228="Deadline","◇","◆"),"")</f>
        <v/>
      </c>
      <c r="AV228" s="14" t="str">
        <f>IF(AND(ISNUMBER($I228),OR($K228="Milestone",$K228="Deadline"),$I228&gt;=AV$4,$I228&lt;AV$4+7),IF($K228="Deadline","◇","◆"),"")</f>
        <v/>
      </c>
      <c r="AW228" s="14" t="str">
        <f>IF(AND(ISNUMBER($I228),OR($K228="Milestone",$K228="Deadline"),$I228&gt;=AW$4,$I228&lt;AW$4+7),IF($K228="Deadline","◇","◆"),"")</f>
        <v/>
      </c>
      <c r="AX228" s="14" t="str">
        <f>IF(AND(ISNUMBER($I228),OR($K228="Milestone",$K228="Deadline"),$I228&gt;=AX$4,$I228&lt;AX$4+7),IF($K228="Deadline","◇","◆"),"")</f>
        <v/>
      </c>
      <c r="AY228" s="14" t="str">
        <f>IF(AND(ISNUMBER($I228),OR($K228="Milestone",$K228="Deadline"),$I228&gt;=AY$4,$I228&lt;AY$4+7),IF($K228="Deadline","◇","◆"),"")</f>
        <v/>
      </c>
      <c r="AZ228" s="14" t="str">
        <f>IF(AND(ISNUMBER($I228),OR($K228="Milestone",$K228="Deadline"),$I228&gt;=AZ$4,$I228&lt;AZ$4+7),IF($K228="Deadline","◇","◆"),"")</f>
        <v/>
      </c>
      <c r="BA228" s="14" t="str">
        <f>IF(AND(ISNUMBER($I228),OR($K228="Milestone",$K228="Deadline"),$I228&gt;=BA$4,$I228&lt;BA$4+7),IF($K228="Deadline","◇","◆"),"")</f>
        <v/>
      </c>
      <c r="BB228" s="14" t="str">
        <f>IF(AND(ISNUMBER($I228),OR($K228="Milestone",$K228="Deadline"),$I228&gt;=BB$4,$I228&lt;BB$4+7),IF($K228="Deadline","◇","◆"),"")</f>
        <v/>
      </c>
      <c r="BC228" s="14" t="str">
        <f>IF(AND(ISNUMBER($I228),OR($K228="Milestone",$K228="Deadline"),$I228&gt;=BC$4,$I228&lt;BC$4+7),IF($K228="Deadline","◇","◆"),"")</f>
        <v/>
      </c>
      <c r="BD228" s="14" t="str">
        <f>IF(AND(ISNUMBER($I228),OR($K228="Milestone",$K228="Deadline"),$I228&gt;=BD$4,$I228&lt;BD$4+7),IF($K228="Deadline","◇","◆"),"")</f>
        <v/>
      </c>
      <c r="BE228" s="14" t="str">
        <f>IF(AND(ISNUMBER($I228),OR($K228="Milestone",$K228="Deadline"),$I228&gt;=BE$4,$I228&lt;BE$4+7),IF($K228="Deadline","◇","◆"),"")</f>
        <v/>
      </c>
      <c r="BF228" s="14" t="str">
        <f>IF(AND(ISNUMBER($I228),OR($K228="Milestone",$K228="Deadline"),$I228&gt;=BF$4,$I228&lt;BF$4+7),IF($K228="Deadline","◇","◆"),"")</f>
        <v/>
      </c>
      <c r="BG228" s="14" t="str">
        <f>IF(AND(ISNUMBER($I228),OR($K228="Milestone",$K228="Deadline"),$I228&gt;=BG$4,$I228&lt;BG$4+7),IF($K228="Deadline","◇","◆"),"")</f>
        <v/>
      </c>
      <c r="BH228" s="14" t="str">
        <f>IF(AND(ISNUMBER($I228),OR($K228="Milestone",$K228="Deadline"),$I228&gt;=BH$4,$I228&lt;BH$4+7),IF($K228="Deadline","◇","◆"),"")</f>
        <v/>
      </c>
      <c r="BI228" s="14" t="str">
        <f>IF(AND(ISNUMBER($I228),OR($K228="Milestone",$K228="Deadline"),$I228&gt;=BI$4,$I228&lt;BI$4+7),IF($K228="Deadline","◇","◆"),"")</f>
        <v/>
      </c>
      <c r="BJ228" s="14" t="str">
        <f>IF(AND(ISNUMBER($I228),OR($K228="Milestone",$K228="Deadline"),$I228&gt;=BJ$4,$I228&lt;BJ$4+7),IF($K228="Deadline","◇","◆"),"")</f>
        <v/>
      </c>
      <c r="BK228" s="14" t="str">
        <f>IF(AND(ISNUMBER($I228),OR($K228="Milestone",$K228="Deadline"),$I228&gt;=BK$4,$I228&lt;BK$4+7),IF($K228="Deadline","◇","◆"),"")</f>
        <v/>
      </c>
      <c r="BL228" s="14" t="str">
        <f>IF(AND(ISNUMBER($I228),OR($K228="Milestone",$K228="Deadline"),$I228&gt;=BL$4,$I228&lt;BL$4+7),IF($K228="Deadline","◇","◆"),"")</f>
        <v/>
      </c>
      <c r="BM228" s="14" t="str">
        <f>IF(AND(ISNUMBER($I228),OR($K228="Milestone",$K228="Deadline"),$I228&gt;=BM$4,$I228&lt;BM$4+7),IF($K228="Deadline","◇","◆"),"")</f>
        <v/>
      </c>
      <c r="BN228" s="14" t="str">
        <f>IF(AND(ISNUMBER($I228),OR($K228="Milestone",$K228="Deadline"),$I228&gt;=BN$4,$I228&lt;BN$4+7),IF($K228="Deadline","◇","◆"),"")</f>
        <v/>
      </c>
      <c r="BO228" s="14" t="str">
        <f>IF(AND(ISNUMBER($I228),OR($K228="Milestone",$K228="Deadline"),$I228&gt;=BO$4,$I228&lt;BO$4+7),IF($K228="Deadline","◇","◆"),"")</f>
        <v/>
      </c>
      <c r="BP228" s="14" t="str">
        <f>IF(AND(ISNUMBER($I228),OR($K228="Milestone",$K228="Deadline"),$I228&gt;=BP$4,$I228&lt;BP$4+7),IF($K228="Deadline","◇","◆"),"")</f>
        <v/>
      </c>
      <c r="BQ228" s="14" t="str">
        <f>IF(AND(ISNUMBER($I228),OR($K228="Milestone",$K228="Deadline"),$I228&gt;=BQ$4,$I228&lt;BQ$4+7),IF($K228="Deadline","◇","◆"),"")</f>
        <v/>
      </c>
      <c r="BR228" s="14" t="str">
        <f>IF(AND(ISNUMBER($I228),OR($K228="Milestone",$K228="Deadline"),$I228&gt;=BR$4,$I228&lt;BR$4+7),IF($K228="Deadline","◇","◆"),"")</f>
        <v/>
      </c>
      <c r="BS228" s="14" t="str">
        <f>IF(AND(ISNUMBER($I228),OR($K228="Milestone",$K228="Deadline"),$I228&gt;=BS$4,$I228&lt;BS$4+7),IF($K228="Deadline","◇","◆"),"")</f>
        <v/>
      </c>
      <c r="BT228" s="14" t="str">
        <f>IF(AND(ISNUMBER($I228),OR($K228="Milestone",$K228="Deadline"),$I228&gt;=BT$4,$I228&lt;BT$4+7),IF($K228="Deadline","◇","◆"),"")</f>
        <v/>
      </c>
      <c r="BU228" s="14" t="str">
        <f>IF(AND(ISNUMBER($I228),OR($K228="Milestone",$K228="Deadline"),$I228&gt;=BU$4,$I228&lt;BU$4+7),IF($K228="Deadline","◇","◆"),"")</f>
        <v/>
      </c>
      <c r="BV228" s="14" t="str">
        <f>IF(AND(ISNUMBER($I228),OR($K228="Milestone",$K228="Deadline"),$I228&gt;=BV$4,$I228&lt;BV$4+7),IF($K228="Deadline","◇","◆"),"")</f>
        <v/>
      </c>
      <c r="BW228" s="14" t="str">
        <f>IF(AND(ISNUMBER($I228),OR($K228="Milestone",$K228="Deadline"),$I228&gt;=BW$4,$I228&lt;BW$4+7),IF($K228="Deadline","◇","◆"),"")</f>
        <v/>
      </c>
      <c r="BX228" s="14" t="str">
        <f>IF(AND(ISNUMBER($I228),OR($K228="Milestone",$K228="Deadline"),$I228&gt;=BX$4,$I228&lt;BX$4+7),IF($K228="Deadline","◇","◆"),"")</f>
        <v/>
      </c>
      <c r="BY228" s="14" t="str">
        <f>IF(AND(ISNUMBER($I228),OR($K228="Milestone",$K228="Deadline"),$I228&gt;=BY$4,$I228&lt;BY$4+7),IF($K228="Deadline","◇","◆"),"")</f>
        <v/>
      </c>
      <c r="BZ228" s="14" t="str">
        <f>IF(AND(ISNUMBER($I228),OR($K228="Milestone",$K228="Deadline"),$I228&gt;=BZ$4,$I228&lt;BZ$4+7),IF($K228="Deadline","◇","◆"),"")</f>
        <v/>
      </c>
      <c r="CA228" s="14" t="str">
        <f>IF(AND(ISNUMBER($I228),OR($K228="Milestone",$K228="Deadline"),$I228&gt;=CA$4,$I228&lt;CA$4+7),IF($K228="Deadline","◇","◆"),"")</f>
        <v/>
      </c>
      <c r="CB228" s="14" t="str">
        <f>IF(AND(ISNUMBER($I228),OR($K228="Milestone",$K228="Deadline"),$I228&gt;=CB$4,$I228&lt;CB$4+7),IF($K228="Deadline","◇","◆"),"")</f>
        <v/>
      </c>
      <c r="CC228" s="14" t="str">
        <f>IF(AND(ISNUMBER($I228),OR($K228="Milestone",$K228="Deadline"),$I228&gt;=CC$4,$I228&lt;CC$4+7),IF($K228="Deadline","◇","◆"),"")</f>
        <v/>
      </c>
      <c r="CD228" s="14" t="str">
        <f>IF(AND(ISNUMBER($I228),OR($K228="Milestone",$K228="Deadline"),$I228&gt;=CD$4,$I228&lt;CD$4+7),IF($K228="Deadline","◇","◆"),"")</f>
        <v/>
      </c>
      <c r="CE228" s="14" t="str">
        <f>IF(AND(ISNUMBER($I228),OR($K228="Milestone",$K228="Deadline"),$I228&gt;=CE$4,$I228&lt;CE$4+7),IF($K228="Deadline","◇","◆"),"")</f>
        <v/>
      </c>
      <c r="CF228" s="14" t="str">
        <f>IF(AND(ISNUMBER($I228),OR($K228="Milestone",$K228="Deadline"),$I228&gt;=CF$4,$I228&lt;CF$4+7),IF($K228="Deadline","◇","◆"),"")</f>
        <v/>
      </c>
      <c r="CG228" s="14" t="str">
        <f>IF(AND(ISNUMBER($I228),OR($K228="Milestone",$K228="Deadline"),$I228&gt;=CG$4,$I228&lt;CG$4+7),IF($K228="Deadline","◇","◆"),"")</f>
        <v/>
      </c>
      <c r="CH228" s="14" t="str">
        <f>IF(AND(ISNUMBER($I228),OR($K228="Milestone",$K228="Deadline"),$I228&gt;=CH$4,$I228&lt;CH$4+7),IF($K228="Deadline","◇","◆"),"")</f>
        <v/>
      </c>
      <c r="CI228" s="14" t="str">
        <f>IF(AND(ISNUMBER($I228),OR($K228="Milestone",$K228="Deadline"),$I228&gt;=CI$4,$I228&lt;CI$4+7),IF($K228="Deadline","◇","◆"),"")</f>
        <v/>
      </c>
      <c r="CJ228" s="14" t="str">
        <f>IF(AND(ISNUMBER($I228),OR($K228="Milestone",$K228="Deadline"),$I228&gt;=CJ$4,$I228&lt;CJ$4+7),IF($K228="Deadline","◇","◆"),"")</f>
        <v/>
      </c>
      <c r="CK228" s="14" t="str">
        <f>IF(AND(ISNUMBER($I228),OR($K228="Milestone",$K228="Deadline"),$I228&gt;=CK$4,$I228&lt;CK$4+7),IF($K228="Deadline","◇","◆"),"")</f>
        <v/>
      </c>
      <c r="CL228" s="14" t="str">
        <f>IF(AND(ISNUMBER($I228),OR($K228="Milestone",$K228="Deadline"),$I228&gt;=CL$4,$I228&lt;CL$4+7),IF($K228="Deadline","◇","◆"),"")</f>
        <v/>
      </c>
      <c r="CM228" s="14" t="str">
        <f>IF(AND(ISNUMBER($I228),OR($K228="Milestone",$K228="Deadline"),$I228&gt;=CM$4,$I228&lt;CM$4+7),IF($K228="Deadline","◇","◆"),"")</f>
        <v/>
      </c>
    </row>
    <row r="229" spans="1:91" hidden="1">
      <c r="A229" s="47" t="s">
        <v>485</v>
      </c>
      <c r="B229" s="47" t="s">
        <v>458</v>
      </c>
      <c r="C229" s="47" t="s">
        <v>230</v>
      </c>
      <c r="D229" s="47" t="s">
        <v>419</v>
      </c>
      <c r="E229" s="47"/>
      <c r="F229" s="47" t="s">
        <v>216</v>
      </c>
      <c r="G229" s="47" t="s">
        <v>231</v>
      </c>
      <c r="H229" s="47">
        <v>14</v>
      </c>
      <c r="I229" s="48">
        <f>MAX(DATE(2027,3,8),J116+1)</f>
        <v>46482</v>
      </c>
      <c r="J229" s="49">
        <f>IF(AND(ISNUMBER(I229),ISNUMBER(H229)),I229+H229-1,"")</f>
        <v>46495</v>
      </c>
      <c r="K229" s="47" t="s">
        <v>27</v>
      </c>
      <c r="L229" s="47"/>
      <c r="M229" s="50" t="s">
        <v>318</v>
      </c>
      <c r="N229" s="47"/>
      <c r="O229" s="50">
        <f>IF(AND(ISNUMBER(I229),ISNUMBER(J229)),J229-I229+1,"")</f>
        <v>14</v>
      </c>
      <c r="P229" s="13"/>
      <c r="Q229" s="13"/>
      <c r="R229" s="13"/>
      <c r="S229" s="13"/>
      <c r="T229" s="13" t="s">
        <v>140</v>
      </c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4" t="str">
        <f>IF(AND(ISNUMBER($I229),OR($K229="Milestone",$K229="Deadline"),$I229&gt;=AO$4,$I229&lt;AO$4+7),IF($K229="Deadline","◇","◆"),"")</f>
        <v/>
      </c>
      <c r="AP229" s="14" t="str">
        <f>IF(AND(ISNUMBER($I229),OR($K229="Milestone",$K229="Deadline"),$I229&gt;=AP$4,$I229&lt;AP$4+7),IF($K229="Deadline","◇","◆"),"")</f>
        <v/>
      </c>
      <c r="AQ229" s="14" t="str">
        <f>IF(AND(ISNUMBER($I229),OR($K229="Milestone",$K229="Deadline"),$I229&gt;=AQ$4,$I229&lt;AQ$4+7),IF($K229="Deadline","◇","◆"),"")</f>
        <v/>
      </c>
      <c r="AR229" s="14" t="str">
        <f>IF(AND(ISNUMBER($I229),OR($K229="Milestone",$K229="Deadline"),$I229&gt;=AR$4,$I229&lt;AR$4+7),IF($K229="Deadline","◇","◆"),"")</f>
        <v/>
      </c>
      <c r="AS229" s="14" t="str">
        <f>IF(AND(ISNUMBER($I229),OR($K229="Milestone",$K229="Deadline"),$I229&gt;=AS$4,$I229&lt;AS$4+7),IF($K229="Deadline","◇","◆"),"")</f>
        <v/>
      </c>
      <c r="AT229" s="14" t="str">
        <f>IF(AND(ISNUMBER($I229),OR($K229="Milestone",$K229="Deadline"),$I229&gt;=AT$4,$I229&lt;AT$4+7),IF($K229="Deadline","◇","◆"),"")</f>
        <v/>
      </c>
      <c r="AU229" s="14" t="str">
        <f>IF(AND(ISNUMBER($I229),OR($K229="Milestone",$K229="Deadline"),$I229&gt;=AU$4,$I229&lt;AU$4+7),IF($K229="Deadline","◇","◆"),"")</f>
        <v/>
      </c>
      <c r="AV229" s="14" t="str">
        <f>IF(AND(ISNUMBER($I229),OR($K229="Milestone",$K229="Deadline"),$I229&gt;=AV$4,$I229&lt;AV$4+7),IF($K229="Deadline","◇","◆"),"")</f>
        <v/>
      </c>
      <c r="AW229" s="14" t="str">
        <f>IF(AND(ISNUMBER($I229),OR($K229="Milestone",$K229="Deadline"),$I229&gt;=AW$4,$I229&lt;AW$4+7),IF($K229="Deadline","◇","◆"),"")</f>
        <v/>
      </c>
      <c r="AX229" s="14" t="str">
        <f>IF(AND(ISNUMBER($I229),OR($K229="Milestone",$K229="Deadline"),$I229&gt;=AX$4,$I229&lt;AX$4+7),IF($K229="Deadline","◇","◆"),"")</f>
        <v/>
      </c>
      <c r="AY229" s="14" t="str">
        <f>IF(AND(ISNUMBER($I229),OR($K229="Milestone",$K229="Deadline"),$I229&gt;=AY$4,$I229&lt;AY$4+7),IF($K229="Deadline","◇","◆"),"")</f>
        <v/>
      </c>
      <c r="AZ229" s="14" t="str">
        <f>IF(AND(ISNUMBER($I229),OR($K229="Milestone",$K229="Deadline"),$I229&gt;=AZ$4,$I229&lt;AZ$4+7),IF($K229="Deadline","◇","◆"),"")</f>
        <v/>
      </c>
      <c r="BA229" s="14" t="str">
        <f>IF(AND(ISNUMBER($I229),OR($K229="Milestone",$K229="Deadline"),$I229&gt;=BA$4,$I229&lt;BA$4+7),IF($K229="Deadline","◇","◆"),"")</f>
        <v/>
      </c>
      <c r="BB229" s="14" t="str">
        <f>IF(AND(ISNUMBER($I229),OR($K229="Milestone",$K229="Deadline"),$I229&gt;=BB$4,$I229&lt;BB$4+7),IF($K229="Deadline","◇","◆"),"")</f>
        <v/>
      </c>
      <c r="BC229" s="14" t="str">
        <f>IF(AND(ISNUMBER($I229),OR($K229="Milestone",$K229="Deadline"),$I229&gt;=BC$4,$I229&lt;BC$4+7),IF($K229="Deadline","◇","◆"),"")</f>
        <v/>
      </c>
      <c r="BD229" s="14" t="str">
        <f>IF(AND(ISNUMBER($I229),OR($K229="Milestone",$K229="Deadline"),$I229&gt;=BD$4,$I229&lt;BD$4+7),IF($K229="Deadline","◇","◆"),"")</f>
        <v/>
      </c>
      <c r="BE229" s="14" t="str">
        <f>IF(AND(ISNUMBER($I229),OR($K229="Milestone",$K229="Deadline"),$I229&gt;=BE$4,$I229&lt;BE$4+7),IF($K229="Deadline","◇","◆"),"")</f>
        <v/>
      </c>
      <c r="BF229" s="14" t="str">
        <f>IF(AND(ISNUMBER($I229),OR($K229="Milestone",$K229="Deadline"),$I229&gt;=BF$4,$I229&lt;BF$4+7),IF($K229="Deadline","◇","◆"),"")</f>
        <v/>
      </c>
      <c r="BG229" s="14" t="str">
        <f>IF(AND(ISNUMBER($I229),OR($K229="Milestone",$K229="Deadline"),$I229&gt;=BG$4,$I229&lt;BG$4+7),IF($K229="Deadline","◇","◆"),"")</f>
        <v/>
      </c>
      <c r="BH229" s="14" t="str">
        <f>IF(AND(ISNUMBER($I229),OR($K229="Milestone",$K229="Deadline"),$I229&gt;=BH$4,$I229&lt;BH$4+7),IF($K229="Deadline","◇","◆"),"")</f>
        <v/>
      </c>
      <c r="BI229" s="14" t="str">
        <f>IF(AND(ISNUMBER($I229),OR($K229="Milestone",$K229="Deadline"),$I229&gt;=BI$4,$I229&lt;BI$4+7),IF($K229="Deadline","◇","◆"),"")</f>
        <v/>
      </c>
      <c r="BJ229" s="14" t="str">
        <f>IF(AND(ISNUMBER($I229),OR($K229="Milestone",$K229="Deadline"),$I229&gt;=BJ$4,$I229&lt;BJ$4+7),IF($K229="Deadline","◇","◆"),"")</f>
        <v/>
      </c>
      <c r="BK229" s="14" t="str">
        <f>IF(AND(ISNUMBER($I229),OR($K229="Milestone",$K229="Deadline"),$I229&gt;=BK$4,$I229&lt;BK$4+7),IF($K229="Deadline","◇","◆"),"")</f>
        <v/>
      </c>
      <c r="BL229" s="14" t="str">
        <f>IF(AND(ISNUMBER($I229),OR($K229="Milestone",$K229="Deadline"),$I229&gt;=BL$4,$I229&lt;BL$4+7),IF($K229="Deadline","◇","◆"),"")</f>
        <v/>
      </c>
      <c r="BM229" s="14" t="str">
        <f>IF(AND(ISNUMBER($I229),OR($K229="Milestone",$K229="Deadline"),$I229&gt;=BM$4,$I229&lt;BM$4+7),IF($K229="Deadline","◇","◆"),"")</f>
        <v/>
      </c>
      <c r="BN229" s="14" t="str">
        <f>IF(AND(ISNUMBER($I229),OR($K229="Milestone",$K229="Deadline"),$I229&gt;=BN$4,$I229&lt;BN$4+7),IF($K229="Deadline","◇","◆"),"")</f>
        <v/>
      </c>
      <c r="BO229" s="14" t="str">
        <f>IF(AND(ISNUMBER($I229),OR($K229="Milestone",$K229="Deadline"),$I229&gt;=BO$4,$I229&lt;BO$4+7),IF($K229="Deadline","◇","◆"),"")</f>
        <v/>
      </c>
      <c r="BP229" s="14" t="str">
        <f>IF(AND(ISNUMBER($I229),OR($K229="Milestone",$K229="Deadline"),$I229&gt;=BP$4,$I229&lt;BP$4+7),IF($K229="Deadline","◇","◆"),"")</f>
        <v/>
      </c>
      <c r="BQ229" s="14" t="str">
        <f>IF(AND(ISNUMBER($I229),OR($K229="Milestone",$K229="Deadline"),$I229&gt;=BQ$4,$I229&lt;BQ$4+7),IF($K229="Deadline","◇","◆"),"")</f>
        <v/>
      </c>
      <c r="BR229" s="14" t="str">
        <f>IF(AND(ISNUMBER($I229),OR($K229="Milestone",$K229="Deadline"),$I229&gt;=BR$4,$I229&lt;BR$4+7),IF($K229="Deadline","◇","◆"),"")</f>
        <v/>
      </c>
      <c r="BS229" s="14" t="str">
        <f>IF(AND(ISNUMBER($I229),OR($K229="Milestone",$K229="Deadline"),$I229&gt;=BS$4,$I229&lt;BS$4+7),IF($K229="Deadline","◇","◆"),"")</f>
        <v/>
      </c>
      <c r="BT229" s="14" t="str">
        <f>IF(AND(ISNUMBER($I229),OR($K229="Milestone",$K229="Deadline"),$I229&gt;=BT$4,$I229&lt;BT$4+7),IF($K229="Deadline","◇","◆"),"")</f>
        <v/>
      </c>
      <c r="BU229" s="14" t="str">
        <f>IF(AND(ISNUMBER($I229),OR($K229="Milestone",$K229="Deadline"),$I229&gt;=BU$4,$I229&lt;BU$4+7),IF($K229="Deadline","◇","◆"),"")</f>
        <v/>
      </c>
      <c r="BV229" s="14" t="str">
        <f>IF(AND(ISNUMBER($I229),OR($K229="Milestone",$K229="Deadline"),$I229&gt;=BV$4,$I229&lt;BV$4+7),IF($K229="Deadline","◇","◆"),"")</f>
        <v/>
      </c>
      <c r="BW229" s="14" t="str">
        <f>IF(AND(ISNUMBER($I229),OR($K229="Milestone",$K229="Deadline"),$I229&gt;=BW$4,$I229&lt;BW$4+7),IF($K229="Deadline","◇","◆"),"")</f>
        <v/>
      </c>
      <c r="BX229" s="14" t="str">
        <f>IF(AND(ISNUMBER($I229),OR($K229="Milestone",$K229="Deadline"),$I229&gt;=BX$4,$I229&lt;BX$4+7),IF($K229="Deadline","◇","◆"),"")</f>
        <v/>
      </c>
      <c r="BY229" s="14" t="str">
        <f>IF(AND(ISNUMBER($I229),OR($K229="Milestone",$K229="Deadline"),$I229&gt;=BY$4,$I229&lt;BY$4+7),IF($K229="Deadline","◇","◆"),"")</f>
        <v/>
      </c>
      <c r="BZ229" s="14" t="str">
        <f>IF(AND(ISNUMBER($I229),OR($K229="Milestone",$K229="Deadline"),$I229&gt;=BZ$4,$I229&lt;BZ$4+7),IF($K229="Deadline","◇","◆"),"")</f>
        <v/>
      </c>
      <c r="CA229" s="14" t="str">
        <f>IF(AND(ISNUMBER($I229),OR($K229="Milestone",$K229="Deadline"),$I229&gt;=CA$4,$I229&lt;CA$4+7),IF($K229="Deadline","◇","◆"),"")</f>
        <v/>
      </c>
      <c r="CB229" s="14" t="str">
        <f>IF(AND(ISNUMBER($I229),OR($K229="Milestone",$K229="Deadline"),$I229&gt;=CB$4,$I229&lt;CB$4+7),IF($K229="Deadline","◇","◆"),"")</f>
        <v/>
      </c>
      <c r="CC229" s="14" t="str">
        <f>IF(AND(ISNUMBER($I229),OR($K229="Milestone",$K229="Deadline"),$I229&gt;=CC$4,$I229&lt;CC$4+7),IF($K229="Deadline","◇","◆"),"")</f>
        <v/>
      </c>
      <c r="CD229" s="14" t="str">
        <f>IF(AND(ISNUMBER($I229),OR($K229="Milestone",$K229="Deadline"),$I229&gt;=CD$4,$I229&lt;CD$4+7),IF($K229="Deadline","◇","◆"),"")</f>
        <v/>
      </c>
      <c r="CE229" s="14" t="str">
        <f>IF(AND(ISNUMBER($I229),OR($K229="Milestone",$K229="Deadline"),$I229&gt;=CE$4,$I229&lt;CE$4+7),IF($K229="Deadline","◇","◆"),"")</f>
        <v/>
      </c>
      <c r="CF229" s="14" t="str">
        <f>IF(AND(ISNUMBER($I229),OR($K229="Milestone",$K229="Deadline"),$I229&gt;=CF$4,$I229&lt;CF$4+7),IF($K229="Deadline","◇","◆"),"")</f>
        <v/>
      </c>
      <c r="CG229" s="14" t="str">
        <f>IF(AND(ISNUMBER($I229),OR($K229="Milestone",$K229="Deadline"),$I229&gt;=CG$4,$I229&lt;CG$4+7),IF($K229="Deadline","◇","◆"),"")</f>
        <v/>
      </c>
      <c r="CH229" s="14" t="str">
        <f>IF(AND(ISNUMBER($I229),OR($K229="Milestone",$K229="Deadline"),$I229&gt;=CH$4,$I229&lt;CH$4+7),IF($K229="Deadline","◇","◆"),"")</f>
        <v/>
      </c>
      <c r="CI229" s="14" t="str">
        <f>IF(AND(ISNUMBER($I229),OR($K229="Milestone",$K229="Deadline"),$I229&gt;=CI$4,$I229&lt;CI$4+7),IF($K229="Deadline","◇","◆"),"")</f>
        <v/>
      </c>
      <c r="CJ229" s="14" t="str">
        <f>IF(AND(ISNUMBER($I229),OR($K229="Milestone",$K229="Deadline"),$I229&gt;=CJ$4,$I229&lt;CJ$4+7),IF($K229="Deadline","◇","◆"),"")</f>
        <v/>
      </c>
      <c r="CK229" s="14" t="str">
        <f>IF(AND(ISNUMBER($I229),OR($K229="Milestone",$K229="Deadline"),$I229&gt;=CK$4,$I229&lt;CK$4+7),IF($K229="Deadline","◇","◆"),"")</f>
        <v/>
      </c>
      <c r="CL229" s="14" t="str">
        <f>IF(AND(ISNUMBER($I229),OR($K229="Milestone",$K229="Deadline"),$I229&gt;=CL$4,$I229&lt;CL$4+7),IF($K229="Deadline","◇","◆"),"")</f>
        <v/>
      </c>
      <c r="CM229" s="14" t="str">
        <f>IF(AND(ISNUMBER($I229),OR($K229="Milestone",$K229="Deadline"),$I229&gt;=CM$4,$I229&lt;CM$4+7),IF($K229="Deadline","◇","◆"),"")</f>
        <v/>
      </c>
    </row>
    <row r="230" spans="1:91">
      <c r="A230" s="9" t="s">
        <v>486</v>
      </c>
      <c r="B230" s="9" t="s">
        <v>487</v>
      </c>
      <c r="C230" s="9" t="s">
        <v>93</v>
      </c>
      <c r="D230" s="9" t="s">
        <v>168</v>
      </c>
      <c r="E230" s="9" t="s">
        <v>169</v>
      </c>
      <c r="F230" s="9" t="s">
        <v>204</v>
      </c>
      <c r="G230" s="9" t="s">
        <v>198</v>
      </c>
      <c r="H230" s="9">
        <v>3</v>
      </c>
      <c r="I230" s="51">
        <f>MAX($C$2,J94+1)</f>
        <v>46368</v>
      </c>
      <c r="J230" s="11">
        <f>IF(AND(ISNUMBER(I230),ISNUMBER(H230)),I230+H230-1,"")</f>
        <v>46370</v>
      </c>
      <c r="K230" s="9" t="s">
        <v>27</v>
      </c>
      <c r="L230" s="9"/>
      <c r="M230" s="12" t="s">
        <v>280</v>
      </c>
      <c r="N230" s="9"/>
      <c r="O230" s="12">
        <f>IF(AND(ISNUMBER(I230),ISNUMBER(J230)),J230-I230+1,"")</f>
        <v>3</v>
      </c>
      <c r="P230" s="13"/>
      <c r="Q230" s="13" t="s">
        <v>140</v>
      </c>
      <c r="R230" s="13"/>
      <c r="S230" s="13"/>
      <c r="T230" s="13"/>
      <c r="U230" s="13"/>
      <c r="V230" s="13"/>
      <c r="W230" s="13" t="s">
        <v>140</v>
      </c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4" t="str">
        <f>IF(AND(ISNUMBER($I230),OR($K230="Milestone",$K230="Deadline"),$I230&gt;=AO$4,$I230&lt;AO$4+7),IF($K230="Deadline","◇","◆"),"")</f>
        <v/>
      </c>
      <c r="AP230" s="14" t="str">
        <f>IF(AND(ISNUMBER($I230),OR($K230="Milestone",$K230="Deadline"),$I230&gt;=AP$4,$I230&lt;AP$4+7),IF($K230="Deadline","◇","◆"),"")</f>
        <v/>
      </c>
      <c r="AQ230" s="14" t="str">
        <f>IF(AND(ISNUMBER($I230),OR($K230="Milestone",$K230="Deadline"),$I230&gt;=AQ$4,$I230&lt;AQ$4+7),IF($K230="Deadline","◇","◆"),"")</f>
        <v/>
      </c>
      <c r="AR230" s="14" t="str">
        <f>IF(AND(ISNUMBER($I230),OR($K230="Milestone",$K230="Deadline"),$I230&gt;=AR$4,$I230&lt;AR$4+7),IF($K230="Deadline","◇","◆"),"")</f>
        <v/>
      </c>
      <c r="AS230" s="14" t="str">
        <f>IF(AND(ISNUMBER($I230),OR($K230="Milestone",$K230="Deadline"),$I230&gt;=AS$4,$I230&lt;AS$4+7),IF($K230="Deadline","◇","◆"),"")</f>
        <v/>
      </c>
      <c r="AT230" s="14" t="str">
        <f>IF(AND(ISNUMBER($I230),OR($K230="Milestone",$K230="Deadline"),$I230&gt;=AT$4,$I230&lt;AT$4+7),IF($K230="Deadline","◇","◆"),"")</f>
        <v/>
      </c>
      <c r="AU230" s="14" t="str">
        <f>IF(AND(ISNUMBER($I230),OR($K230="Milestone",$K230="Deadline"),$I230&gt;=AU$4,$I230&lt;AU$4+7),IF($K230="Deadline","◇","◆"),"")</f>
        <v/>
      </c>
      <c r="AV230" s="14" t="str">
        <f>IF(AND(ISNUMBER($I230),OR($K230="Milestone",$K230="Deadline"),$I230&gt;=AV$4,$I230&lt;AV$4+7),IF($K230="Deadline","◇","◆"),"")</f>
        <v/>
      </c>
      <c r="AW230" s="14" t="str">
        <f>IF(AND(ISNUMBER($I230),OR($K230="Milestone",$K230="Deadline"),$I230&gt;=AW$4,$I230&lt;AW$4+7),IF($K230="Deadline","◇","◆"),"")</f>
        <v/>
      </c>
      <c r="AX230" s="14" t="str">
        <f>IF(AND(ISNUMBER($I230),OR($K230="Milestone",$K230="Deadline"),$I230&gt;=AX$4,$I230&lt;AX$4+7),IF($K230="Deadline","◇","◆"),"")</f>
        <v/>
      </c>
      <c r="AY230" s="14" t="str">
        <f>IF(AND(ISNUMBER($I230),OR($K230="Milestone",$K230="Deadline"),$I230&gt;=AY$4,$I230&lt;AY$4+7),IF($K230="Deadline","◇","◆"),"")</f>
        <v/>
      </c>
      <c r="AZ230" s="14" t="str">
        <f>IF(AND(ISNUMBER($I230),OR($K230="Milestone",$K230="Deadline"),$I230&gt;=AZ$4,$I230&lt;AZ$4+7),IF($K230="Deadline","◇","◆"),"")</f>
        <v/>
      </c>
      <c r="BA230" s="14" t="str">
        <f>IF(AND(ISNUMBER($I230),OR($K230="Milestone",$K230="Deadline"),$I230&gt;=BA$4,$I230&lt;BA$4+7),IF($K230="Deadline","◇","◆"),"")</f>
        <v/>
      </c>
      <c r="BB230" s="14" t="str">
        <f>IF(AND(ISNUMBER($I230),OR($K230="Milestone",$K230="Deadline"),$I230&gt;=BB$4,$I230&lt;BB$4+7),IF($K230="Deadline","◇","◆"),"")</f>
        <v/>
      </c>
      <c r="BC230" s="14" t="str">
        <f>IF(AND(ISNUMBER($I230),OR($K230="Milestone",$K230="Deadline"),$I230&gt;=BC$4,$I230&lt;BC$4+7),IF($K230="Deadline","◇","◆"),"")</f>
        <v/>
      </c>
      <c r="BD230" s="14" t="str">
        <f>IF(AND(ISNUMBER($I230),OR($K230="Milestone",$K230="Deadline"),$I230&gt;=BD$4,$I230&lt;BD$4+7),IF($K230="Deadline","◇","◆"),"")</f>
        <v/>
      </c>
      <c r="BE230" s="14" t="str">
        <f>IF(AND(ISNUMBER($I230),OR($K230="Milestone",$K230="Deadline"),$I230&gt;=BE$4,$I230&lt;BE$4+7),IF($K230="Deadline","◇","◆"),"")</f>
        <v/>
      </c>
      <c r="BF230" s="14" t="str">
        <f>IF(AND(ISNUMBER($I230),OR($K230="Milestone",$K230="Deadline"),$I230&gt;=BF$4,$I230&lt;BF$4+7),IF($K230="Deadline","◇","◆"),"")</f>
        <v/>
      </c>
      <c r="BG230" s="14" t="str">
        <f>IF(AND(ISNUMBER($I230),OR($K230="Milestone",$K230="Deadline"),$I230&gt;=BG$4,$I230&lt;BG$4+7),IF($K230="Deadline","◇","◆"),"")</f>
        <v/>
      </c>
      <c r="BH230" s="14" t="str">
        <f>IF(AND(ISNUMBER($I230),OR($K230="Milestone",$K230="Deadline"),$I230&gt;=BH$4,$I230&lt;BH$4+7),IF($K230="Deadline","◇","◆"),"")</f>
        <v/>
      </c>
      <c r="BI230" s="14" t="str">
        <f>IF(AND(ISNUMBER($I230),OR($K230="Milestone",$K230="Deadline"),$I230&gt;=BI$4,$I230&lt;BI$4+7),IF($K230="Deadline","◇","◆"),"")</f>
        <v/>
      </c>
      <c r="BJ230" s="14" t="str">
        <f>IF(AND(ISNUMBER($I230),OR($K230="Milestone",$K230="Deadline"),$I230&gt;=BJ$4,$I230&lt;BJ$4+7),IF($K230="Deadline","◇","◆"),"")</f>
        <v/>
      </c>
      <c r="BK230" s="14" t="str">
        <f>IF(AND(ISNUMBER($I230),OR($K230="Milestone",$K230="Deadline"),$I230&gt;=BK$4,$I230&lt;BK$4+7),IF($K230="Deadline","◇","◆"),"")</f>
        <v/>
      </c>
      <c r="BL230" s="14" t="str">
        <f>IF(AND(ISNUMBER($I230),OR($K230="Milestone",$K230="Deadline"),$I230&gt;=BL$4,$I230&lt;BL$4+7),IF($K230="Deadline","◇","◆"),"")</f>
        <v/>
      </c>
      <c r="BM230" s="14" t="str">
        <f>IF(AND(ISNUMBER($I230),OR($K230="Milestone",$K230="Deadline"),$I230&gt;=BM$4,$I230&lt;BM$4+7),IF($K230="Deadline","◇","◆"),"")</f>
        <v/>
      </c>
      <c r="BN230" s="14" t="str">
        <f>IF(AND(ISNUMBER($I230),OR($K230="Milestone",$K230="Deadline"),$I230&gt;=BN$4,$I230&lt;BN$4+7),IF($K230="Deadline","◇","◆"),"")</f>
        <v/>
      </c>
      <c r="BO230" s="14" t="str">
        <f>IF(AND(ISNUMBER($I230),OR($K230="Milestone",$K230="Deadline"),$I230&gt;=BO$4,$I230&lt;BO$4+7),IF($K230="Deadline","◇","◆"),"")</f>
        <v/>
      </c>
      <c r="BP230" s="14" t="str">
        <f>IF(AND(ISNUMBER($I230),OR($K230="Milestone",$K230="Deadline"),$I230&gt;=BP$4,$I230&lt;BP$4+7),IF($K230="Deadline","◇","◆"),"")</f>
        <v/>
      </c>
      <c r="BQ230" s="14" t="str">
        <f>IF(AND(ISNUMBER($I230),OR($K230="Milestone",$K230="Deadline"),$I230&gt;=BQ$4,$I230&lt;BQ$4+7),IF($K230="Deadline","◇","◆"),"")</f>
        <v/>
      </c>
      <c r="BR230" s="14" t="str">
        <f>IF(AND(ISNUMBER($I230),OR($K230="Milestone",$K230="Deadline"),$I230&gt;=BR$4,$I230&lt;BR$4+7),IF($K230="Deadline","◇","◆"),"")</f>
        <v/>
      </c>
      <c r="BS230" s="14" t="str">
        <f>IF(AND(ISNUMBER($I230),OR($K230="Milestone",$K230="Deadline"),$I230&gt;=BS$4,$I230&lt;BS$4+7),IF($K230="Deadline","◇","◆"),"")</f>
        <v/>
      </c>
      <c r="BT230" s="14" t="str">
        <f>IF(AND(ISNUMBER($I230),OR($K230="Milestone",$K230="Deadline"),$I230&gt;=BT$4,$I230&lt;BT$4+7),IF($K230="Deadline","◇","◆"),"")</f>
        <v/>
      </c>
      <c r="BU230" s="14" t="str">
        <f>IF(AND(ISNUMBER($I230),OR($K230="Milestone",$K230="Deadline"),$I230&gt;=BU$4,$I230&lt;BU$4+7),IF($K230="Deadline","◇","◆"),"")</f>
        <v/>
      </c>
      <c r="BV230" s="14" t="str">
        <f>IF(AND(ISNUMBER($I230),OR($K230="Milestone",$K230="Deadline"),$I230&gt;=BV$4,$I230&lt;BV$4+7),IF($K230="Deadline","◇","◆"),"")</f>
        <v/>
      </c>
      <c r="BW230" s="14" t="str">
        <f>IF(AND(ISNUMBER($I230),OR($K230="Milestone",$K230="Deadline"),$I230&gt;=BW$4,$I230&lt;BW$4+7),IF($K230="Deadline","◇","◆"),"")</f>
        <v/>
      </c>
      <c r="BX230" s="14" t="str">
        <f>IF(AND(ISNUMBER($I230),OR($K230="Milestone",$K230="Deadline"),$I230&gt;=BX$4,$I230&lt;BX$4+7),IF($K230="Deadline","◇","◆"),"")</f>
        <v/>
      </c>
      <c r="BY230" s="14" t="str">
        <f>IF(AND(ISNUMBER($I230),OR($K230="Milestone",$K230="Deadline"),$I230&gt;=BY$4,$I230&lt;BY$4+7),IF($K230="Deadline","◇","◆"),"")</f>
        <v/>
      </c>
      <c r="BZ230" s="14" t="str">
        <f>IF(AND(ISNUMBER($I230),OR($K230="Milestone",$K230="Deadline"),$I230&gt;=BZ$4,$I230&lt;BZ$4+7),IF($K230="Deadline","◇","◆"),"")</f>
        <v/>
      </c>
      <c r="CA230" s="14" t="str">
        <f>IF(AND(ISNUMBER($I230),OR($K230="Milestone",$K230="Deadline"),$I230&gt;=CA$4,$I230&lt;CA$4+7),IF($K230="Deadline","◇","◆"),"")</f>
        <v/>
      </c>
      <c r="CB230" s="14" t="str">
        <f>IF(AND(ISNUMBER($I230),OR($K230="Milestone",$K230="Deadline"),$I230&gt;=CB$4,$I230&lt;CB$4+7),IF($K230="Deadline","◇","◆"),"")</f>
        <v/>
      </c>
      <c r="CC230" s="14" t="str">
        <f>IF(AND(ISNUMBER($I230),OR($K230="Milestone",$K230="Deadline"),$I230&gt;=CC$4,$I230&lt;CC$4+7),IF($K230="Deadline","◇","◆"),"")</f>
        <v/>
      </c>
      <c r="CD230" s="14" t="str">
        <f>IF(AND(ISNUMBER($I230),OR($K230="Milestone",$K230="Deadline"),$I230&gt;=CD$4,$I230&lt;CD$4+7),IF($K230="Deadline","◇","◆"),"")</f>
        <v/>
      </c>
      <c r="CE230" s="14" t="str">
        <f>IF(AND(ISNUMBER($I230),OR($K230="Milestone",$K230="Deadline"),$I230&gt;=CE$4,$I230&lt;CE$4+7),IF($K230="Deadline","◇","◆"),"")</f>
        <v/>
      </c>
      <c r="CF230" s="14" t="str">
        <f>IF(AND(ISNUMBER($I230),OR($K230="Milestone",$K230="Deadline"),$I230&gt;=CF$4,$I230&lt;CF$4+7),IF($K230="Deadline","◇","◆"),"")</f>
        <v/>
      </c>
      <c r="CG230" s="14" t="str">
        <f>IF(AND(ISNUMBER($I230),OR($K230="Milestone",$K230="Deadline"),$I230&gt;=CG$4,$I230&lt;CG$4+7),IF($K230="Deadline","◇","◆"),"")</f>
        <v/>
      </c>
      <c r="CH230" s="14" t="str">
        <f>IF(AND(ISNUMBER($I230),OR($K230="Milestone",$K230="Deadline"),$I230&gt;=CH$4,$I230&lt;CH$4+7),IF($K230="Deadline","◇","◆"),"")</f>
        <v/>
      </c>
      <c r="CI230" s="14" t="str">
        <f>IF(AND(ISNUMBER($I230),OR($K230="Milestone",$K230="Deadline"),$I230&gt;=CI$4,$I230&lt;CI$4+7),IF($K230="Deadline","◇","◆"),"")</f>
        <v/>
      </c>
      <c r="CJ230" s="14" t="str">
        <f>IF(AND(ISNUMBER($I230),OR($K230="Milestone",$K230="Deadline"),$I230&gt;=CJ$4,$I230&lt;CJ$4+7),IF($K230="Deadline","◇","◆"),"")</f>
        <v/>
      </c>
      <c r="CK230" s="14" t="str">
        <f>IF(AND(ISNUMBER($I230),OR($K230="Milestone",$K230="Deadline"),$I230&gt;=CK$4,$I230&lt;CK$4+7),IF($K230="Deadline","◇","◆"),"")</f>
        <v/>
      </c>
      <c r="CL230" s="14" t="str">
        <f>IF(AND(ISNUMBER($I230),OR($K230="Milestone",$K230="Deadline"),$I230&gt;=CL$4,$I230&lt;CL$4+7),IF($K230="Deadline","◇","◆"),"")</f>
        <v/>
      </c>
      <c r="CM230" s="14" t="str">
        <f>IF(AND(ISNUMBER($I230),OR($K230="Milestone",$K230="Deadline"),$I230&gt;=CM$4,$I230&lt;CM$4+7),IF($K230="Deadline","◇","◆"),"")</f>
        <v/>
      </c>
    </row>
    <row r="231" spans="1:91">
      <c r="A231" s="9" t="s">
        <v>488</v>
      </c>
      <c r="B231" s="9" t="s">
        <v>487</v>
      </c>
      <c r="C231" s="9" t="s">
        <v>93</v>
      </c>
      <c r="D231" s="9" t="s">
        <v>168</v>
      </c>
      <c r="E231" s="9" t="s">
        <v>169</v>
      </c>
      <c r="F231" s="9" t="s">
        <v>197</v>
      </c>
      <c r="G231" s="9" t="s">
        <v>198</v>
      </c>
      <c r="H231" s="9">
        <v>3</v>
      </c>
      <c r="I231" s="51">
        <f>MAX($C$2,J97+1)</f>
        <v>46367</v>
      </c>
      <c r="J231" s="11">
        <f>IF(AND(ISNUMBER(I231),ISNUMBER(H231)),I231+H231-1,"")</f>
        <v>46369</v>
      </c>
      <c r="K231" s="9" t="s">
        <v>27</v>
      </c>
      <c r="L231" s="9"/>
      <c r="M231" s="12" t="s">
        <v>284</v>
      </c>
      <c r="N231" s="9"/>
      <c r="O231" s="12">
        <f>IF(AND(ISNUMBER(I231),ISNUMBER(J231)),J231-I231+1,"")</f>
        <v>3</v>
      </c>
      <c r="P231" s="13"/>
      <c r="Q231" s="13"/>
      <c r="R231" s="13"/>
      <c r="S231" s="13"/>
      <c r="T231" s="13" t="s">
        <v>140</v>
      </c>
      <c r="U231" s="13"/>
      <c r="V231" s="13" t="s">
        <v>140</v>
      </c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4" t="str">
        <f>IF(AND(ISNUMBER($I231),OR($K231="Milestone",$K231="Deadline"),$I231&gt;=AO$4,$I231&lt;AO$4+7),IF($K231="Deadline","◇","◆"),"")</f>
        <v/>
      </c>
      <c r="AP231" s="14" t="str">
        <f>IF(AND(ISNUMBER($I231),OR($K231="Milestone",$K231="Deadline"),$I231&gt;=AP$4,$I231&lt;AP$4+7),IF($K231="Deadline","◇","◆"),"")</f>
        <v/>
      </c>
      <c r="AQ231" s="14" t="str">
        <f>IF(AND(ISNUMBER($I231),OR($K231="Milestone",$K231="Deadline"),$I231&gt;=AQ$4,$I231&lt;AQ$4+7),IF($K231="Deadline","◇","◆"),"")</f>
        <v/>
      </c>
      <c r="AR231" s="14" t="str">
        <f>IF(AND(ISNUMBER($I231),OR($K231="Milestone",$K231="Deadline"),$I231&gt;=AR$4,$I231&lt;AR$4+7),IF($K231="Deadline","◇","◆"),"")</f>
        <v/>
      </c>
      <c r="AS231" s="14" t="str">
        <f>IF(AND(ISNUMBER($I231),OR($K231="Milestone",$K231="Deadline"),$I231&gt;=AS$4,$I231&lt;AS$4+7),IF($K231="Deadline","◇","◆"),"")</f>
        <v/>
      </c>
      <c r="AT231" s="14" t="str">
        <f>IF(AND(ISNUMBER($I231),OR($K231="Milestone",$K231="Deadline"),$I231&gt;=AT$4,$I231&lt;AT$4+7),IF($K231="Deadline","◇","◆"),"")</f>
        <v/>
      </c>
      <c r="AU231" s="14" t="str">
        <f>IF(AND(ISNUMBER($I231),OR($K231="Milestone",$K231="Deadline"),$I231&gt;=AU$4,$I231&lt;AU$4+7),IF($K231="Deadline","◇","◆"),"")</f>
        <v/>
      </c>
      <c r="AV231" s="14" t="str">
        <f>IF(AND(ISNUMBER($I231),OR($K231="Milestone",$K231="Deadline"),$I231&gt;=AV$4,$I231&lt;AV$4+7),IF($K231="Deadline","◇","◆"),"")</f>
        <v/>
      </c>
      <c r="AW231" s="14" t="str">
        <f>IF(AND(ISNUMBER($I231),OR($K231="Milestone",$K231="Deadline"),$I231&gt;=AW$4,$I231&lt;AW$4+7),IF($K231="Deadline","◇","◆"),"")</f>
        <v/>
      </c>
      <c r="AX231" s="14" t="str">
        <f>IF(AND(ISNUMBER($I231),OR($K231="Milestone",$K231="Deadline"),$I231&gt;=AX$4,$I231&lt;AX$4+7),IF($K231="Deadline","◇","◆"),"")</f>
        <v/>
      </c>
      <c r="AY231" s="14" t="str">
        <f>IF(AND(ISNUMBER($I231),OR($K231="Milestone",$K231="Deadline"),$I231&gt;=AY$4,$I231&lt;AY$4+7),IF($K231="Deadline","◇","◆"),"")</f>
        <v/>
      </c>
      <c r="AZ231" s="14" t="str">
        <f>IF(AND(ISNUMBER($I231),OR($K231="Milestone",$K231="Deadline"),$I231&gt;=AZ$4,$I231&lt;AZ$4+7),IF($K231="Deadline","◇","◆"),"")</f>
        <v/>
      </c>
      <c r="BA231" s="14" t="str">
        <f>IF(AND(ISNUMBER($I231),OR($K231="Milestone",$K231="Deadline"),$I231&gt;=BA$4,$I231&lt;BA$4+7),IF($K231="Deadline","◇","◆"),"")</f>
        <v/>
      </c>
      <c r="BB231" s="14" t="str">
        <f>IF(AND(ISNUMBER($I231),OR($K231="Milestone",$K231="Deadline"),$I231&gt;=BB$4,$I231&lt;BB$4+7),IF($K231="Deadline","◇","◆"),"")</f>
        <v/>
      </c>
      <c r="BC231" s="14" t="str">
        <f>IF(AND(ISNUMBER($I231),OR($K231="Milestone",$K231="Deadline"),$I231&gt;=BC$4,$I231&lt;BC$4+7),IF($K231="Deadline","◇","◆"),"")</f>
        <v/>
      </c>
      <c r="BD231" s="14" t="str">
        <f>IF(AND(ISNUMBER($I231),OR($K231="Milestone",$K231="Deadline"),$I231&gt;=BD$4,$I231&lt;BD$4+7),IF($K231="Deadline","◇","◆"),"")</f>
        <v/>
      </c>
      <c r="BE231" s="14" t="str">
        <f>IF(AND(ISNUMBER($I231),OR($K231="Milestone",$K231="Deadline"),$I231&gt;=BE$4,$I231&lt;BE$4+7),IF($K231="Deadline","◇","◆"),"")</f>
        <v/>
      </c>
      <c r="BF231" s="14" t="str">
        <f>IF(AND(ISNUMBER($I231),OR($K231="Milestone",$K231="Deadline"),$I231&gt;=BF$4,$I231&lt;BF$4+7),IF($K231="Deadline","◇","◆"),"")</f>
        <v/>
      </c>
      <c r="BG231" s="14" t="str">
        <f>IF(AND(ISNUMBER($I231),OR($K231="Milestone",$K231="Deadline"),$I231&gt;=BG$4,$I231&lt;BG$4+7),IF($K231="Deadline","◇","◆"),"")</f>
        <v/>
      </c>
      <c r="BH231" s="14" t="str">
        <f>IF(AND(ISNUMBER($I231),OR($K231="Milestone",$K231="Deadline"),$I231&gt;=BH$4,$I231&lt;BH$4+7),IF($K231="Deadline","◇","◆"),"")</f>
        <v/>
      </c>
      <c r="BI231" s="14" t="str">
        <f>IF(AND(ISNUMBER($I231),OR($K231="Milestone",$K231="Deadline"),$I231&gt;=BI$4,$I231&lt;BI$4+7),IF($K231="Deadline","◇","◆"),"")</f>
        <v/>
      </c>
      <c r="BJ231" s="14" t="str">
        <f>IF(AND(ISNUMBER($I231),OR($K231="Milestone",$K231="Deadline"),$I231&gt;=BJ$4,$I231&lt;BJ$4+7),IF($K231="Deadline","◇","◆"),"")</f>
        <v/>
      </c>
      <c r="BK231" s="14" t="str">
        <f>IF(AND(ISNUMBER($I231),OR($K231="Milestone",$K231="Deadline"),$I231&gt;=BK$4,$I231&lt;BK$4+7),IF($K231="Deadline","◇","◆"),"")</f>
        <v/>
      </c>
      <c r="BL231" s="14" t="str">
        <f>IF(AND(ISNUMBER($I231),OR($K231="Milestone",$K231="Deadline"),$I231&gt;=BL$4,$I231&lt;BL$4+7),IF($K231="Deadline","◇","◆"),"")</f>
        <v/>
      </c>
      <c r="BM231" s="14" t="str">
        <f>IF(AND(ISNUMBER($I231),OR($K231="Milestone",$K231="Deadline"),$I231&gt;=BM$4,$I231&lt;BM$4+7),IF($K231="Deadline","◇","◆"),"")</f>
        <v/>
      </c>
      <c r="BN231" s="14" t="str">
        <f>IF(AND(ISNUMBER($I231),OR($K231="Milestone",$K231="Deadline"),$I231&gt;=BN$4,$I231&lt;BN$4+7),IF($K231="Deadline","◇","◆"),"")</f>
        <v/>
      </c>
      <c r="BO231" s="14" t="str">
        <f>IF(AND(ISNUMBER($I231),OR($K231="Milestone",$K231="Deadline"),$I231&gt;=BO$4,$I231&lt;BO$4+7),IF($K231="Deadline","◇","◆"),"")</f>
        <v/>
      </c>
      <c r="BP231" s="14" t="str">
        <f>IF(AND(ISNUMBER($I231),OR($K231="Milestone",$K231="Deadline"),$I231&gt;=BP$4,$I231&lt;BP$4+7),IF($K231="Deadline","◇","◆"),"")</f>
        <v/>
      </c>
      <c r="BQ231" s="14" t="str">
        <f>IF(AND(ISNUMBER($I231),OR($K231="Milestone",$K231="Deadline"),$I231&gt;=BQ$4,$I231&lt;BQ$4+7),IF($K231="Deadline","◇","◆"),"")</f>
        <v/>
      </c>
      <c r="BR231" s="14" t="str">
        <f>IF(AND(ISNUMBER($I231),OR($K231="Milestone",$K231="Deadline"),$I231&gt;=BR$4,$I231&lt;BR$4+7),IF($K231="Deadline","◇","◆"),"")</f>
        <v/>
      </c>
      <c r="BS231" s="14" t="str">
        <f>IF(AND(ISNUMBER($I231),OR($K231="Milestone",$K231="Deadline"),$I231&gt;=BS$4,$I231&lt;BS$4+7),IF($K231="Deadline","◇","◆"),"")</f>
        <v/>
      </c>
      <c r="BT231" s="14" t="str">
        <f>IF(AND(ISNUMBER($I231),OR($K231="Milestone",$K231="Deadline"),$I231&gt;=BT$4,$I231&lt;BT$4+7),IF($K231="Deadline","◇","◆"),"")</f>
        <v/>
      </c>
      <c r="BU231" s="14" t="str">
        <f>IF(AND(ISNUMBER($I231),OR($K231="Milestone",$K231="Deadline"),$I231&gt;=BU$4,$I231&lt;BU$4+7),IF($K231="Deadline","◇","◆"),"")</f>
        <v/>
      </c>
      <c r="BV231" s="14" t="str">
        <f>IF(AND(ISNUMBER($I231),OR($K231="Milestone",$K231="Deadline"),$I231&gt;=BV$4,$I231&lt;BV$4+7),IF($K231="Deadline","◇","◆"),"")</f>
        <v/>
      </c>
      <c r="BW231" s="14" t="str">
        <f>IF(AND(ISNUMBER($I231),OR($K231="Milestone",$K231="Deadline"),$I231&gt;=BW$4,$I231&lt;BW$4+7),IF($K231="Deadline","◇","◆"),"")</f>
        <v/>
      </c>
      <c r="BX231" s="14" t="str">
        <f>IF(AND(ISNUMBER($I231),OR($K231="Milestone",$K231="Deadline"),$I231&gt;=BX$4,$I231&lt;BX$4+7),IF($K231="Deadline","◇","◆"),"")</f>
        <v/>
      </c>
      <c r="BY231" s="14" t="str">
        <f>IF(AND(ISNUMBER($I231),OR($K231="Milestone",$K231="Deadline"),$I231&gt;=BY$4,$I231&lt;BY$4+7),IF($K231="Deadline","◇","◆"),"")</f>
        <v/>
      </c>
      <c r="BZ231" s="14" t="str">
        <f>IF(AND(ISNUMBER($I231),OR($K231="Milestone",$K231="Deadline"),$I231&gt;=BZ$4,$I231&lt;BZ$4+7),IF($K231="Deadline","◇","◆"),"")</f>
        <v/>
      </c>
      <c r="CA231" s="14" t="str">
        <f>IF(AND(ISNUMBER($I231),OR($K231="Milestone",$K231="Deadline"),$I231&gt;=CA$4,$I231&lt;CA$4+7),IF($K231="Deadline","◇","◆"),"")</f>
        <v/>
      </c>
      <c r="CB231" s="14" t="str">
        <f>IF(AND(ISNUMBER($I231),OR($K231="Milestone",$K231="Deadline"),$I231&gt;=CB$4,$I231&lt;CB$4+7),IF($K231="Deadline","◇","◆"),"")</f>
        <v/>
      </c>
      <c r="CC231" s="14" t="str">
        <f>IF(AND(ISNUMBER($I231),OR($K231="Milestone",$K231="Deadline"),$I231&gt;=CC$4,$I231&lt;CC$4+7),IF($K231="Deadline","◇","◆"),"")</f>
        <v/>
      </c>
      <c r="CD231" s="14" t="str">
        <f>IF(AND(ISNUMBER($I231),OR($K231="Milestone",$K231="Deadline"),$I231&gt;=CD$4,$I231&lt;CD$4+7),IF($K231="Deadline","◇","◆"),"")</f>
        <v/>
      </c>
      <c r="CE231" s="14" t="str">
        <f>IF(AND(ISNUMBER($I231),OR($K231="Milestone",$K231="Deadline"),$I231&gt;=CE$4,$I231&lt;CE$4+7),IF($K231="Deadline","◇","◆"),"")</f>
        <v/>
      </c>
      <c r="CF231" s="14" t="str">
        <f>IF(AND(ISNUMBER($I231),OR($K231="Milestone",$K231="Deadline"),$I231&gt;=CF$4,$I231&lt;CF$4+7),IF($K231="Deadline","◇","◆"),"")</f>
        <v/>
      </c>
      <c r="CG231" s="14" t="str">
        <f>IF(AND(ISNUMBER($I231),OR($K231="Milestone",$K231="Deadline"),$I231&gt;=CG$4,$I231&lt;CG$4+7),IF($K231="Deadline","◇","◆"),"")</f>
        <v/>
      </c>
      <c r="CH231" s="14" t="str">
        <f>IF(AND(ISNUMBER($I231),OR($K231="Milestone",$K231="Deadline"),$I231&gt;=CH$4,$I231&lt;CH$4+7),IF($K231="Deadline","◇","◆"),"")</f>
        <v/>
      </c>
      <c r="CI231" s="14" t="str">
        <f>IF(AND(ISNUMBER($I231),OR($K231="Milestone",$K231="Deadline"),$I231&gt;=CI$4,$I231&lt;CI$4+7),IF($K231="Deadline","◇","◆"),"")</f>
        <v/>
      </c>
      <c r="CJ231" s="14" t="str">
        <f>IF(AND(ISNUMBER($I231),OR($K231="Milestone",$K231="Deadline"),$I231&gt;=CJ$4,$I231&lt;CJ$4+7),IF($K231="Deadline","◇","◆"),"")</f>
        <v/>
      </c>
      <c r="CK231" s="14" t="str">
        <f>IF(AND(ISNUMBER($I231),OR($K231="Milestone",$K231="Deadline"),$I231&gt;=CK$4,$I231&lt;CK$4+7),IF($K231="Deadline","◇","◆"),"")</f>
        <v/>
      </c>
      <c r="CL231" s="14" t="str">
        <f>IF(AND(ISNUMBER($I231),OR($K231="Milestone",$K231="Deadline"),$I231&gt;=CL$4,$I231&lt;CL$4+7),IF($K231="Deadline","◇","◆"),"")</f>
        <v/>
      </c>
      <c r="CM231" s="14" t="str">
        <f>IF(AND(ISNUMBER($I231),OR($K231="Milestone",$K231="Deadline"),$I231&gt;=CM$4,$I231&lt;CM$4+7),IF($K231="Deadline","◇","◆"),"")</f>
        <v/>
      </c>
    </row>
    <row r="232" spans="1:91" hidden="1">
      <c r="A232" s="9" t="s">
        <v>489</v>
      </c>
      <c r="B232" s="9" t="s">
        <v>487</v>
      </c>
      <c r="C232" s="9" t="s">
        <v>93</v>
      </c>
      <c r="D232" s="9" t="s">
        <v>168</v>
      </c>
      <c r="E232" s="9" t="s">
        <v>169</v>
      </c>
      <c r="F232" s="9" t="s">
        <v>302</v>
      </c>
      <c r="G232" s="9" t="s">
        <v>387</v>
      </c>
      <c r="H232" s="9">
        <v>7</v>
      </c>
      <c r="I232" s="51">
        <f>MAX($C$2,J230+1,J231+1)</f>
        <v>46371</v>
      </c>
      <c r="J232" s="11">
        <f>IF(AND(ISNUMBER(I232),ISNUMBER(H232)),I232+H232-1,"")</f>
        <v>46377</v>
      </c>
      <c r="K232" s="9" t="s">
        <v>27</v>
      </c>
      <c r="L232" s="9" t="s">
        <v>490</v>
      </c>
      <c r="M232" s="12"/>
      <c r="N232" s="9"/>
      <c r="O232" s="12">
        <f>IF(AND(ISNUMBER(I232),ISNUMBER(J232)),J232-I232+1,"")</f>
        <v>7</v>
      </c>
      <c r="P232" s="13"/>
      <c r="Q232" s="13"/>
      <c r="R232" s="13"/>
      <c r="S232" s="13"/>
      <c r="T232" s="13"/>
      <c r="U232" s="13"/>
      <c r="V232" s="13"/>
      <c r="W232" s="13" t="s">
        <v>140</v>
      </c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4" t="str">
        <f>IF(AND(ISNUMBER($I232),OR($K232="Milestone",$K232="Deadline"),$I232&gt;=AO$4,$I232&lt;AO$4+7),IF($K232="Deadline","◇","◆"),"")</f>
        <v/>
      </c>
      <c r="AP232" s="14" t="str">
        <f>IF(AND(ISNUMBER($I232),OR($K232="Milestone",$K232="Deadline"),$I232&gt;=AP$4,$I232&lt;AP$4+7),IF($K232="Deadline","◇","◆"),"")</f>
        <v/>
      </c>
      <c r="AQ232" s="14" t="str">
        <f>IF(AND(ISNUMBER($I232),OR($K232="Milestone",$K232="Deadline"),$I232&gt;=AQ$4,$I232&lt;AQ$4+7),IF($K232="Deadline","◇","◆"),"")</f>
        <v/>
      </c>
      <c r="AR232" s="14" t="str">
        <f>IF(AND(ISNUMBER($I232),OR($K232="Milestone",$K232="Deadline"),$I232&gt;=AR$4,$I232&lt;AR$4+7),IF($K232="Deadline","◇","◆"),"")</f>
        <v/>
      </c>
      <c r="AS232" s="14" t="str">
        <f>IF(AND(ISNUMBER($I232),OR($K232="Milestone",$K232="Deadline"),$I232&gt;=AS$4,$I232&lt;AS$4+7),IF($K232="Deadline","◇","◆"),"")</f>
        <v/>
      </c>
      <c r="AT232" s="14" t="str">
        <f>IF(AND(ISNUMBER($I232),OR($K232="Milestone",$K232="Deadline"),$I232&gt;=AT$4,$I232&lt;AT$4+7),IF($K232="Deadline","◇","◆"),"")</f>
        <v/>
      </c>
      <c r="AU232" s="14" t="str">
        <f>IF(AND(ISNUMBER($I232),OR($K232="Milestone",$K232="Deadline"),$I232&gt;=AU$4,$I232&lt;AU$4+7),IF($K232="Deadline","◇","◆"),"")</f>
        <v/>
      </c>
      <c r="AV232" s="14" t="str">
        <f>IF(AND(ISNUMBER($I232),OR($K232="Milestone",$K232="Deadline"),$I232&gt;=AV$4,$I232&lt;AV$4+7),IF($K232="Deadline","◇","◆"),"")</f>
        <v/>
      </c>
      <c r="AW232" s="14" t="str">
        <f>IF(AND(ISNUMBER($I232),OR($K232="Milestone",$K232="Deadline"),$I232&gt;=AW$4,$I232&lt;AW$4+7),IF($K232="Deadline","◇","◆"),"")</f>
        <v/>
      </c>
      <c r="AX232" s="14" t="str">
        <f>IF(AND(ISNUMBER($I232),OR($K232="Milestone",$K232="Deadline"),$I232&gt;=AX$4,$I232&lt;AX$4+7),IF($K232="Deadline","◇","◆"),"")</f>
        <v/>
      </c>
      <c r="AY232" s="14" t="str">
        <f>IF(AND(ISNUMBER($I232),OR($K232="Milestone",$K232="Deadline"),$I232&gt;=AY$4,$I232&lt;AY$4+7),IF($K232="Deadline","◇","◆"),"")</f>
        <v/>
      </c>
      <c r="AZ232" s="14" t="str">
        <f>IF(AND(ISNUMBER($I232),OR($K232="Milestone",$K232="Deadline"),$I232&gt;=AZ$4,$I232&lt;AZ$4+7),IF($K232="Deadline","◇","◆"),"")</f>
        <v/>
      </c>
      <c r="BA232" s="14" t="str">
        <f>IF(AND(ISNUMBER($I232),OR($K232="Milestone",$K232="Deadline"),$I232&gt;=BA$4,$I232&lt;BA$4+7),IF($K232="Deadline","◇","◆"),"")</f>
        <v/>
      </c>
      <c r="BB232" s="14" t="str">
        <f>IF(AND(ISNUMBER($I232),OR($K232="Milestone",$K232="Deadline"),$I232&gt;=BB$4,$I232&lt;BB$4+7),IF($K232="Deadline","◇","◆"),"")</f>
        <v/>
      </c>
      <c r="BC232" s="14" t="str">
        <f>IF(AND(ISNUMBER($I232),OR($K232="Milestone",$K232="Deadline"),$I232&gt;=BC$4,$I232&lt;BC$4+7),IF($K232="Deadline","◇","◆"),"")</f>
        <v/>
      </c>
      <c r="BD232" s="14" t="str">
        <f>IF(AND(ISNUMBER($I232),OR($K232="Milestone",$K232="Deadline"),$I232&gt;=BD$4,$I232&lt;BD$4+7),IF($K232="Deadline","◇","◆"),"")</f>
        <v/>
      </c>
      <c r="BE232" s="14" t="str">
        <f>IF(AND(ISNUMBER($I232),OR($K232="Milestone",$K232="Deadline"),$I232&gt;=BE$4,$I232&lt;BE$4+7),IF($K232="Deadline","◇","◆"),"")</f>
        <v/>
      </c>
      <c r="BF232" s="14" t="str">
        <f>IF(AND(ISNUMBER($I232),OR($K232="Milestone",$K232="Deadline"),$I232&gt;=BF$4,$I232&lt;BF$4+7),IF($K232="Deadline","◇","◆"),"")</f>
        <v/>
      </c>
      <c r="BG232" s="14" t="str">
        <f>IF(AND(ISNUMBER($I232),OR($K232="Milestone",$K232="Deadline"),$I232&gt;=BG$4,$I232&lt;BG$4+7),IF($K232="Deadline","◇","◆"),"")</f>
        <v/>
      </c>
      <c r="BH232" s="14" t="str">
        <f>IF(AND(ISNUMBER($I232),OR($K232="Milestone",$K232="Deadline"),$I232&gt;=BH$4,$I232&lt;BH$4+7),IF($K232="Deadline","◇","◆"),"")</f>
        <v/>
      </c>
      <c r="BI232" s="14" t="str">
        <f>IF(AND(ISNUMBER($I232),OR($K232="Milestone",$K232="Deadline"),$I232&gt;=BI$4,$I232&lt;BI$4+7),IF($K232="Deadline","◇","◆"),"")</f>
        <v/>
      </c>
      <c r="BJ232" s="14" t="str">
        <f>IF(AND(ISNUMBER($I232),OR($K232="Milestone",$K232="Deadline"),$I232&gt;=BJ$4,$I232&lt;BJ$4+7),IF($K232="Deadline","◇","◆"),"")</f>
        <v/>
      </c>
      <c r="BK232" s="14" t="str">
        <f>IF(AND(ISNUMBER($I232),OR($K232="Milestone",$K232="Deadline"),$I232&gt;=BK$4,$I232&lt;BK$4+7),IF($K232="Deadline","◇","◆"),"")</f>
        <v/>
      </c>
      <c r="BL232" s="14" t="str">
        <f>IF(AND(ISNUMBER($I232),OR($K232="Milestone",$K232="Deadline"),$I232&gt;=BL$4,$I232&lt;BL$4+7),IF($K232="Deadline","◇","◆"),"")</f>
        <v/>
      </c>
      <c r="BM232" s="14" t="str">
        <f>IF(AND(ISNUMBER($I232),OR($K232="Milestone",$K232="Deadline"),$I232&gt;=BM$4,$I232&lt;BM$4+7),IF($K232="Deadline","◇","◆"),"")</f>
        <v/>
      </c>
      <c r="BN232" s="14" t="str">
        <f>IF(AND(ISNUMBER($I232),OR($K232="Milestone",$K232="Deadline"),$I232&gt;=BN$4,$I232&lt;BN$4+7),IF($K232="Deadline","◇","◆"),"")</f>
        <v/>
      </c>
      <c r="BO232" s="14" t="str">
        <f>IF(AND(ISNUMBER($I232),OR($K232="Milestone",$K232="Deadline"),$I232&gt;=BO$4,$I232&lt;BO$4+7),IF($K232="Deadline","◇","◆"),"")</f>
        <v/>
      </c>
      <c r="BP232" s="14" t="str">
        <f>IF(AND(ISNUMBER($I232),OR($K232="Milestone",$K232="Deadline"),$I232&gt;=BP$4,$I232&lt;BP$4+7),IF($K232="Deadline","◇","◆"),"")</f>
        <v/>
      </c>
      <c r="BQ232" s="14" t="str">
        <f>IF(AND(ISNUMBER($I232),OR($K232="Milestone",$K232="Deadline"),$I232&gt;=BQ$4,$I232&lt;BQ$4+7),IF($K232="Deadline","◇","◆"),"")</f>
        <v/>
      </c>
      <c r="BR232" s="14" t="str">
        <f>IF(AND(ISNUMBER($I232),OR($K232="Milestone",$K232="Deadline"),$I232&gt;=BR$4,$I232&lt;BR$4+7),IF($K232="Deadline","◇","◆"),"")</f>
        <v/>
      </c>
      <c r="BS232" s="14" t="str">
        <f>IF(AND(ISNUMBER($I232),OR($K232="Milestone",$K232="Deadline"),$I232&gt;=BS$4,$I232&lt;BS$4+7),IF($K232="Deadline","◇","◆"),"")</f>
        <v/>
      </c>
      <c r="BT232" s="14" t="str">
        <f>IF(AND(ISNUMBER($I232),OR($K232="Milestone",$K232="Deadline"),$I232&gt;=BT$4,$I232&lt;BT$4+7),IF($K232="Deadline","◇","◆"),"")</f>
        <v/>
      </c>
      <c r="BU232" s="14" t="str">
        <f>IF(AND(ISNUMBER($I232),OR($K232="Milestone",$K232="Deadline"),$I232&gt;=BU$4,$I232&lt;BU$4+7),IF($K232="Deadline","◇","◆"),"")</f>
        <v/>
      </c>
      <c r="BV232" s="14" t="str">
        <f>IF(AND(ISNUMBER($I232),OR($K232="Milestone",$K232="Deadline"),$I232&gt;=BV$4,$I232&lt;BV$4+7),IF($K232="Deadline","◇","◆"),"")</f>
        <v/>
      </c>
      <c r="BW232" s="14" t="str">
        <f>IF(AND(ISNUMBER($I232),OR($K232="Milestone",$K232="Deadline"),$I232&gt;=BW$4,$I232&lt;BW$4+7),IF($K232="Deadline","◇","◆"),"")</f>
        <v/>
      </c>
      <c r="BX232" s="14" t="str">
        <f>IF(AND(ISNUMBER($I232),OR($K232="Milestone",$K232="Deadline"),$I232&gt;=BX$4,$I232&lt;BX$4+7),IF($K232="Deadline","◇","◆"),"")</f>
        <v/>
      </c>
      <c r="BY232" s="14" t="str">
        <f>IF(AND(ISNUMBER($I232),OR($K232="Milestone",$K232="Deadline"),$I232&gt;=BY$4,$I232&lt;BY$4+7),IF($K232="Deadline","◇","◆"),"")</f>
        <v/>
      </c>
      <c r="BZ232" s="14" t="str">
        <f>IF(AND(ISNUMBER($I232),OR($K232="Milestone",$K232="Deadline"),$I232&gt;=BZ$4,$I232&lt;BZ$4+7),IF($K232="Deadline","◇","◆"),"")</f>
        <v/>
      </c>
      <c r="CA232" s="14" t="str">
        <f>IF(AND(ISNUMBER($I232),OR($K232="Milestone",$K232="Deadline"),$I232&gt;=CA$4,$I232&lt;CA$4+7),IF($K232="Deadline","◇","◆"),"")</f>
        <v/>
      </c>
      <c r="CB232" s="14" t="str">
        <f>IF(AND(ISNUMBER($I232),OR($K232="Milestone",$K232="Deadline"),$I232&gt;=CB$4,$I232&lt;CB$4+7),IF($K232="Deadline","◇","◆"),"")</f>
        <v/>
      </c>
      <c r="CC232" s="14" t="str">
        <f>IF(AND(ISNUMBER($I232),OR($K232="Milestone",$K232="Deadline"),$I232&gt;=CC$4,$I232&lt;CC$4+7),IF($K232="Deadline","◇","◆"),"")</f>
        <v/>
      </c>
      <c r="CD232" s="14" t="str">
        <f>IF(AND(ISNUMBER($I232),OR($K232="Milestone",$K232="Deadline"),$I232&gt;=CD$4,$I232&lt;CD$4+7),IF($K232="Deadline","◇","◆"),"")</f>
        <v/>
      </c>
      <c r="CE232" s="14" t="str">
        <f>IF(AND(ISNUMBER($I232),OR($K232="Milestone",$K232="Deadline"),$I232&gt;=CE$4,$I232&lt;CE$4+7),IF($K232="Deadline","◇","◆"),"")</f>
        <v/>
      </c>
      <c r="CF232" s="14" t="str">
        <f>IF(AND(ISNUMBER($I232),OR($K232="Milestone",$K232="Deadline"),$I232&gt;=CF$4,$I232&lt;CF$4+7),IF($K232="Deadline","◇","◆"),"")</f>
        <v/>
      </c>
      <c r="CG232" s="14" t="str">
        <f>IF(AND(ISNUMBER($I232),OR($K232="Milestone",$K232="Deadline"),$I232&gt;=CG$4,$I232&lt;CG$4+7),IF($K232="Deadline","◇","◆"),"")</f>
        <v/>
      </c>
      <c r="CH232" s="14" t="str">
        <f>IF(AND(ISNUMBER($I232),OR($K232="Milestone",$K232="Deadline"),$I232&gt;=CH$4,$I232&lt;CH$4+7),IF($K232="Deadline","◇","◆"),"")</f>
        <v/>
      </c>
      <c r="CI232" s="14" t="str">
        <f>IF(AND(ISNUMBER($I232),OR($K232="Milestone",$K232="Deadline"),$I232&gt;=CI$4,$I232&lt;CI$4+7),IF($K232="Deadline","◇","◆"),"")</f>
        <v/>
      </c>
      <c r="CJ232" s="14" t="str">
        <f>IF(AND(ISNUMBER($I232),OR($K232="Milestone",$K232="Deadline"),$I232&gt;=CJ$4,$I232&lt;CJ$4+7),IF($K232="Deadline","◇","◆"),"")</f>
        <v/>
      </c>
      <c r="CK232" s="14" t="str">
        <f>IF(AND(ISNUMBER($I232),OR($K232="Milestone",$K232="Deadline"),$I232&gt;=CK$4,$I232&lt;CK$4+7),IF($K232="Deadline","◇","◆"),"")</f>
        <v/>
      </c>
      <c r="CL232" s="14" t="str">
        <f>IF(AND(ISNUMBER($I232),OR($K232="Milestone",$K232="Deadline"),$I232&gt;=CL$4,$I232&lt;CL$4+7),IF($K232="Deadline","◇","◆"),"")</f>
        <v/>
      </c>
      <c r="CM232" s="14" t="str">
        <f>IF(AND(ISNUMBER($I232),OR($K232="Milestone",$K232="Deadline"),$I232&gt;=CM$4,$I232&lt;CM$4+7),IF($K232="Deadline","◇","◆"),"")</f>
        <v/>
      </c>
    </row>
    <row r="233" spans="1:91" hidden="1">
      <c r="A233" s="9" t="s">
        <v>491</v>
      </c>
      <c r="B233" s="9" t="s">
        <v>487</v>
      </c>
      <c r="C233" s="9" t="s">
        <v>93</v>
      </c>
      <c r="D233" s="9" t="s">
        <v>168</v>
      </c>
      <c r="E233" s="9" t="s">
        <v>169</v>
      </c>
      <c r="F233" s="9" t="s">
        <v>302</v>
      </c>
      <c r="G233" s="9" t="s">
        <v>176</v>
      </c>
      <c r="H233" s="9">
        <v>2</v>
      </c>
      <c r="I233" s="51">
        <f>MAX($C$2,J12+1)</f>
        <v>46343</v>
      </c>
      <c r="J233" s="11">
        <f>IF(AND(ISNUMBER(I233),ISNUMBER(H233)),I233+H233-1,"")</f>
        <v>46344</v>
      </c>
      <c r="K233" s="9" t="s">
        <v>27</v>
      </c>
      <c r="L233" s="9" t="s">
        <v>83</v>
      </c>
      <c r="M233" s="12"/>
      <c r="N233" s="9"/>
      <c r="O233" s="12">
        <f>IF(AND(ISNUMBER(I233),ISNUMBER(J233)),J233-I233+1,"")</f>
        <v>2</v>
      </c>
      <c r="P233" s="13"/>
      <c r="Q233" s="13"/>
      <c r="R233" s="13"/>
      <c r="S233" s="13"/>
      <c r="T233" s="13"/>
      <c r="U233" s="13"/>
      <c r="V233" s="13"/>
      <c r="W233" s="13" t="s">
        <v>140</v>
      </c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4" t="str">
        <f>IF(AND(ISNUMBER($I233),OR($K233="Milestone",$K233="Deadline"),$I233&gt;=AO$4,$I233&lt;AO$4+7),IF($K233="Deadline","◇","◆"),"")</f>
        <v/>
      </c>
      <c r="AP233" s="14" t="str">
        <f>IF(AND(ISNUMBER($I233),OR($K233="Milestone",$K233="Deadline"),$I233&gt;=AP$4,$I233&lt;AP$4+7),IF($K233="Deadline","◇","◆"),"")</f>
        <v/>
      </c>
      <c r="AQ233" s="14" t="str">
        <f>IF(AND(ISNUMBER($I233),OR($K233="Milestone",$K233="Deadline"),$I233&gt;=AQ$4,$I233&lt;AQ$4+7),IF($K233="Deadline","◇","◆"),"")</f>
        <v/>
      </c>
      <c r="AR233" s="14" t="str">
        <f>IF(AND(ISNUMBER($I233),OR($K233="Milestone",$K233="Deadline"),$I233&gt;=AR$4,$I233&lt;AR$4+7),IF($K233="Deadline","◇","◆"),"")</f>
        <v/>
      </c>
      <c r="AS233" s="14" t="str">
        <f>IF(AND(ISNUMBER($I233),OR($K233="Milestone",$K233="Deadline"),$I233&gt;=AS$4,$I233&lt;AS$4+7),IF($K233="Deadline","◇","◆"),"")</f>
        <v/>
      </c>
      <c r="AT233" s="14" t="str">
        <f>IF(AND(ISNUMBER($I233),OR($K233="Milestone",$K233="Deadline"),$I233&gt;=AT$4,$I233&lt;AT$4+7),IF($K233="Deadline","◇","◆"),"")</f>
        <v/>
      </c>
      <c r="AU233" s="14" t="str">
        <f>IF(AND(ISNUMBER($I233),OR($K233="Milestone",$K233="Deadline"),$I233&gt;=AU$4,$I233&lt;AU$4+7),IF($K233="Deadline","◇","◆"),"")</f>
        <v/>
      </c>
      <c r="AV233" s="14" t="str">
        <f>IF(AND(ISNUMBER($I233),OR($K233="Milestone",$K233="Deadline"),$I233&gt;=AV$4,$I233&lt;AV$4+7),IF($K233="Deadline","◇","◆"),"")</f>
        <v/>
      </c>
      <c r="AW233" s="14" t="str">
        <f>IF(AND(ISNUMBER($I233),OR($K233="Milestone",$K233="Deadline"),$I233&gt;=AW$4,$I233&lt;AW$4+7),IF($K233="Deadline","◇","◆"),"")</f>
        <v/>
      </c>
      <c r="AX233" s="14" t="str">
        <f>IF(AND(ISNUMBER($I233),OR($K233="Milestone",$K233="Deadline"),$I233&gt;=AX$4,$I233&lt;AX$4+7),IF($K233="Deadline","◇","◆"),"")</f>
        <v/>
      </c>
      <c r="AY233" s="14" t="str">
        <f>IF(AND(ISNUMBER($I233),OR($K233="Milestone",$K233="Deadline"),$I233&gt;=AY$4,$I233&lt;AY$4+7),IF($K233="Deadline","◇","◆"),"")</f>
        <v/>
      </c>
      <c r="AZ233" s="14" t="str">
        <f>IF(AND(ISNUMBER($I233),OR($K233="Milestone",$K233="Deadline"),$I233&gt;=AZ$4,$I233&lt;AZ$4+7),IF($K233="Deadline","◇","◆"),"")</f>
        <v/>
      </c>
      <c r="BA233" s="14" t="str">
        <f>IF(AND(ISNUMBER($I233),OR($K233="Milestone",$K233="Deadline"),$I233&gt;=BA$4,$I233&lt;BA$4+7),IF($K233="Deadline","◇","◆"),"")</f>
        <v/>
      </c>
      <c r="BB233" s="14" t="str">
        <f>IF(AND(ISNUMBER($I233),OR($K233="Milestone",$K233="Deadline"),$I233&gt;=BB$4,$I233&lt;BB$4+7),IF($K233="Deadline","◇","◆"),"")</f>
        <v/>
      </c>
      <c r="BC233" s="14" t="str">
        <f>IF(AND(ISNUMBER($I233),OR($K233="Milestone",$K233="Deadline"),$I233&gt;=BC$4,$I233&lt;BC$4+7),IF($K233="Deadline","◇","◆"),"")</f>
        <v/>
      </c>
      <c r="BD233" s="14" t="str">
        <f>IF(AND(ISNUMBER($I233),OR($K233="Milestone",$K233="Deadline"),$I233&gt;=BD$4,$I233&lt;BD$4+7),IF($K233="Deadline","◇","◆"),"")</f>
        <v/>
      </c>
      <c r="BE233" s="14" t="str">
        <f>IF(AND(ISNUMBER($I233),OR($K233="Milestone",$K233="Deadline"),$I233&gt;=BE$4,$I233&lt;BE$4+7),IF($K233="Deadline","◇","◆"),"")</f>
        <v/>
      </c>
      <c r="BF233" s="14" t="str">
        <f>IF(AND(ISNUMBER($I233),OR($K233="Milestone",$K233="Deadline"),$I233&gt;=BF$4,$I233&lt;BF$4+7),IF($K233="Deadline","◇","◆"),"")</f>
        <v/>
      </c>
      <c r="BG233" s="14" t="str">
        <f>IF(AND(ISNUMBER($I233),OR($K233="Milestone",$K233="Deadline"),$I233&gt;=BG$4,$I233&lt;BG$4+7),IF($K233="Deadline","◇","◆"),"")</f>
        <v/>
      </c>
      <c r="BH233" s="14" t="str">
        <f>IF(AND(ISNUMBER($I233),OR($K233="Milestone",$K233="Deadline"),$I233&gt;=BH$4,$I233&lt;BH$4+7),IF($K233="Deadline","◇","◆"),"")</f>
        <v/>
      </c>
      <c r="BI233" s="14" t="str">
        <f>IF(AND(ISNUMBER($I233),OR($K233="Milestone",$K233="Deadline"),$I233&gt;=BI$4,$I233&lt;BI$4+7),IF($K233="Deadline","◇","◆"),"")</f>
        <v/>
      </c>
      <c r="BJ233" s="14" t="str">
        <f>IF(AND(ISNUMBER($I233),OR($K233="Milestone",$K233="Deadline"),$I233&gt;=BJ$4,$I233&lt;BJ$4+7),IF($K233="Deadline","◇","◆"),"")</f>
        <v/>
      </c>
      <c r="BK233" s="14" t="str">
        <f>IF(AND(ISNUMBER($I233),OR($K233="Milestone",$K233="Deadline"),$I233&gt;=BK$4,$I233&lt;BK$4+7),IF($K233="Deadline","◇","◆"),"")</f>
        <v/>
      </c>
      <c r="BL233" s="14" t="str">
        <f>IF(AND(ISNUMBER($I233),OR($K233="Milestone",$K233="Deadline"),$I233&gt;=BL$4,$I233&lt;BL$4+7),IF($K233="Deadline","◇","◆"),"")</f>
        <v/>
      </c>
      <c r="BM233" s="14" t="str">
        <f>IF(AND(ISNUMBER($I233),OR($K233="Milestone",$K233="Deadline"),$I233&gt;=BM$4,$I233&lt;BM$4+7),IF($K233="Deadline","◇","◆"),"")</f>
        <v/>
      </c>
      <c r="BN233" s="14" t="str">
        <f>IF(AND(ISNUMBER($I233),OR($K233="Milestone",$K233="Deadline"),$I233&gt;=BN$4,$I233&lt;BN$4+7),IF($K233="Deadline","◇","◆"),"")</f>
        <v/>
      </c>
      <c r="BO233" s="14" t="str">
        <f>IF(AND(ISNUMBER($I233),OR($K233="Milestone",$K233="Deadline"),$I233&gt;=BO$4,$I233&lt;BO$4+7),IF($K233="Deadline","◇","◆"),"")</f>
        <v/>
      </c>
      <c r="BP233" s="14" t="str">
        <f>IF(AND(ISNUMBER($I233),OR($K233="Milestone",$K233="Deadline"),$I233&gt;=BP$4,$I233&lt;BP$4+7),IF($K233="Deadline","◇","◆"),"")</f>
        <v/>
      </c>
      <c r="BQ233" s="14" t="str">
        <f>IF(AND(ISNUMBER($I233),OR($K233="Milestone",$K233="Deadline"),$I233&gt;=BQ$4,$I233&lt;BQ$4+7),IF($K233="Deadline","◇","◆"),"")</f>
        <v/>
      </c>
      <c r="BR233" s="14" t="str">
        <f>IF(AND(ISNUMBER($I233),OR($K233="Milestone",$K233="Deadline"),$I233&gt;=BR$4,$I233&lt;BR$4+7),IF($K233="Deadline","◇","◆"),"")</f>
        <v/>
      </c>
      <c r="BS233" s="14" t="str">
        <f>IF(AND(ISNUMBER($I233),OR($K233="Milestone",$K233="Deadline"),$I233&gt;=BS$4,$I233&lt;BS$4+7),IF($K233="Deadline","◇","◆"),"")</f>
        <v/>
      </c>
      <c r="BT233" s="14" t="str">
        <f>IF(AND(ISNUMBER($I233),OR($K233="Milestone",$K233="Deadline"),$I233&gt;=BT$4,$I233&lt;BT$4+7),IF($K233="Deadline","◇","◆"),"")</f>
        <v/>
      </c>
      <c r="BU233" s="14" t="str">
        <f>IF(AND(ISNUMBER($I233),OR($K233="Milestone",$K233="Deadline"),$I233&gt;=BU$4,$I233&lt;BU$4+7),IF($K233="Deadline","◇","◆"),"")</f>
        <v/>
      </c>
      <c r="BV233" s="14" t="str">
        <f>IF(AND(ISNUMBER($I233),OR($K233="Milestone",$K233="Deadline"),$I233&gt;=BV$4,$I233&lt;BV$4+7),IF($K233="Deadline","◇","◆"),"")</f>
        <v/>
      </c>
      <c r="BW233" s="14" t="str">
        <f>IF(AND(ISNUMBER($I233),OR($K233="Milestone",$K233="Deadline"),$I233&gt;=BW$4,$I233&lt;BW$4+7),IF($K233="Deadline","◇","◆"),"")</f>
        <v/>
      </c>
      <c r="BX233" s="14" t="str">
        <f>IF(AND(ISNUMBER($I233),OR($K233="Milestone",$K233="Deadline"),$I233&gt;=BX$4,$I233&lt;BX$4+7),IF($K233="Deadline","◇","◆"),"")</f>
        <v/>
      </c>
      <c r="BY233" s="14" t="str">
        <f>IF(AND(ISNUMBER($I233),OR($K233="Milestone",$K233="Deadline"),$I233&gt;=BY$4,$I233&lt;BY$4+7),IF($K233="Deadline","◇","◆"),"")</f>
        <v/>
      </c>
      <c r="BZ233" s="14" t="str">
        <f>IF(AND(ISNUMBER($I233),OR($K233="Milestone",$K233="Deadline"),$I233&gt;=BZ$4,$I233&lt;BZ$4+7),IF($K233="Deadline","◇","◆"),"")</f>
        <v/>
      </c>
      <c r="CA233" s="14" t="str">
        <f>IF(AND(ISNUMBER($I233),OR($K233="Milestone",$K233="Deadline"),$I233&gt;=CA$4,$I233&lt;CA$4+7),IF($K233="Deadline","◇","◆"),"")</f>
        <v/>
      </c>
      <c r="CB233" s="14" t="str">
        <f>IF(AND(ISNUMBER($I233),OR($K233="Milestone",$K233="Deadline"),$I233&gt;=CB$4,$I233&lt;CB$4+7),IF($K233="Deadline","◇","◆"),"")</f>
        <v/>
      </c>
      <c r="CC233" s="14" t="str">
        <f>IF(AND(ISNUMBER($I233),OR($K233="Milestone",$K233="Deadline"),$I233&gt;=CC$4,$I233&lt;CC$4+7),IF($K233="Deadline","◇","◆"),"")</f>
        <v/>
      </c>
      <c r="CD233" s="14" t="str">
        <f>IF(AND(ISNUMBER($I233),OR($K233="Milestone",$K233="Deadline"),$I233&gt;=CD$4,$I233&lt;CD$4+7),IF($K233="Deadline","◇","◆"),"")</f>
        <v/>
      </c>
      <c r="CE233" s="14" t="str">
        <f>IF(AND(ISNUMBER($I233),OR($K233="Milestone",$K233="Deadline"),$I233&gt;=CE$4,$I233&lt;CE$4+7),IF($K233="Deadline","◇","◆"),"")</f>
        <v/>
      </c>
      <c r="CF233" s="14" t="str">
        <f>IF(AND(ISNUMBER($I233),OR($K233="Milestone",$K233="Deadline"),$I233&gt;=CF$4,$I233&lt;CF$4+7),IF($K233="Deadline","◇","◆"),"")</f>
        <v/>
      </c>
      <c r="CG233" s="14" t="str">
        <f>IF(AND(ISNUMBER($I233),OR($K233="Milestone",$K233="Deadline"),$I233&gt;=CG$4,$I233&lt;CG$4+7),IF($K233="Deadline","◇","◆"),"")</f>
        <v/>
      </c>
      <c r="CH233" s="14" t="str">
        <f>IF(AND(ISNUMBER($I233),OR($K233="Milestone",$K233="Deadline"),$I233&gt;=CH$4,$I233&lt;CH$4+7),IF($K233="Deadline","◇","◆"),"")</f>
        <v/>
      </c>
      <c r="CI233" s="14" t="str">
        <f>IF(AND(ISNUMBER($I233),OR($K233="Milestone",$K233="Deadline"),$I233&gt;=CI$4,$I233&lt;CI$4+7),IF($K233="Deadline","◇","◆"),"")</f>
        <v/>
      </c>
      <c r="CJ233" s="14" t="str">
        <f>IF(AND(ISNUMBER($I233),OR($K233="Milestone",$K233="Deadline"),$I233&gt;=CJ$4,$I233&lt;CJ$4+7),IF($K233="Deadline","◇","◆"),"")</f>
        <v/>
      </c>
      <c r="CK233" s="14" t="str">
        <f>IF(AND(ISNUMBER($I233),OR($K233="Milestone",$K233="Deadline"),$I233&gt;=CK$4,$I233&lt;CK$4+7),IF($K233="Deadline","◇","◆"),"")</f>
        <v/>
      </c>
      <c r="CL233" s="14" t="str">
        <f>IF(AND(ISNUMBER($I233),OR($K233="Milestone",$K233="Deadline"),$I233&gt;=CL$4,$I233&lt;CL$4+7),IF($K233="Deadline","◇","◆"),"")</f>
        <v/>
      </c>
      <c r="CM233" s="14" t="str">
        <f>IF(AND(ISNUMBER($I233),OR($K233="Milestone",$K233="Deadline"),$I233&gt;=CM$4,$I233&lt;CM$4+7),IF($K233="Deadline","◇","◆"),"")</f>
        <v/>
      </c>
    </row>
    <row r="234" spans="1:91" hidden="1">
      <c r="A234" s="9" t="s">
        <v>492</v>
      </c>
      <c r="B234" s="9" t="s">
        <v>487</v>
      </c>
      <c r="C234" s="9" t="s">
        <v>93</v>
      </c>
      <c r="D234" s="9" t="s">
        <v>168</v>
      </c>
      <c r="E234" s="9" t="s">
        <v>169</v>
      </c>
      <c r="F234" s="9" t="s">
        <v>302</v>
      </c>
      <c r="G234" s="9" t="s">
        <v>184</v>
      </c>
      <c r="H234" s="9">
        <v>7</v>
      </c>
      <c r="I234" s="51">
        <f>MAX($C$2,J233+1,J99+1)</f>
        <v>46399</v>
      </c>
      <c r="J234" s="11">
        <f>IF(AND(ISNUMBER(I234),ISNUMBER(H234)),I234+H234-1,"")</f>
        <v>46405</v>
      </c>
      <c r="K234" s="9" t="s">
        <v>27</v>
      </c>
      <c r="L234" s="9" t="s">
        <v>491</v>
      </c>
      <c r="M234" s="12" t="s">
        <v>286</v>
      </c>
      <c r="N234" s="9"/>
      <c r="O234" s="12">
        <f>IF(AND(ISNUMBER(I234),ISNUMBER(J234)),J234-I234+1,"")</f>
        <v>7</v>
      </c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 t="s">
        <v>140</v>
      </c>
      <c r="AJ234" s="13"/>
      <c r="AK234" s="13"/>
      <c r="AL234" s="13"/>
      <c r="AM234" s="13"/>
      <c r="AN234" s="13"/>
      <c r="AO234" s="14" t="str">
        <f>IF(AND(ISNUMBER($I234),OR($K234="Milestone",$K234="Deadline"),$I234&gt;=AO$4,$I234&lt;AO$4+7),IF($K234="Deadline","◇","◆"),"")</f>
        <v/>
      </c>
      <c r="AP234" s="14" t="str">
        <f>IF(AND(ISNUMBER($I234),OR($K234="Milestone",$K234="Deadline"),$I234&gt;=AP$4,$I234&lt;AP$4+7),IF($K234="Deadline","◇","◆"),"")</f>
        <v/>
      </c>
      <c r="AQ234" s="14" t="str">
        <f>IF(AND(ISNUMBER($I234),OR($K234="Milestone",$K234="Deadline"),$I234&gt;=AQ$4,$I234&lt;AQ$4+7),IF($K234="Deadline","◇","◆"),"")</f>
        <v/>
      </c>
      <c r="AR234" s="14" t="str">
        <f>IF(AND(ISNUMBER($I234),OR($K234="Milestone",$K234="Deadline"),$I234&gt;=AR$4,$I234&lt;AR$4+7),IF($K234="Deadline","◇","◆"),"")</f>
        <v/>
      </c>
      <c r="AS234" s="14" t="str">
        <f>IF(AND(ISNUMBER($I234),OR($K234="Milestone",$K234="Deadline"),$I234&gt;=AS$4,$I234&lt;AS$4+7),IF($K234="Deadline","◇","◆"),"")</f>
        <v/>
      </c>
      <c r="AT234" s="14" t="str">
        <f>IF(AND(ISNUMBER($I234),OR($K234="Milestone",$K234="Deadline"),$I234&gt;=AT$4,$I234&lt;AT$4+7),IF($K234="Deadline","◇","◆"),"")</f>
        <v/>
      </c>
      <c r="AU234" s="14" t="str">
        <f>IF(AND(ISNUMBER($I234),OR($K234="Milestone",$K234="Deadline"),$I234&gt;=AU$4,$I234&lt;AU$4+7),IF($K234="Deadline","◇","◆"),"")</f>
        <v/>
      </c>
      <c r="AV234" s="14" t="str">
        <f>IF(AND(ISNUMBER($I234),OR($K234="Milestone",$K234="Deadline"),$I234&gt;=AV$4,$I234&lt;AV$4+7),IF($K234="Deadline","◇","◆"),"")</f>
        <v/>
      </c>
      <c r="AW234" s="14" t="str">
        <f>IF(AND(ISNUMBER($I234),OR($K234="Milestone",$K234="Deadline"),$I234&gt;=AW$4,$I234&lt;AW$4+7),IF($K234="Deadline","◇","◆"),"")</f>
        <v/>
      </c>
      <c r="AX234" s="14" t="str">
        <f>IF(AND(ISNUMBER($I234),OR($K234="Milestone",$K234="Deadline"),$I234&gt;=AX$4,$I234&lt;AX$4+7),IF($K234="Deadline","◇","◆"),"")</f>
        <v/>
      </c>
      <c r="AY234" s="14" t="str">
        <f>IF(AND(ISNUMBER($I234),OR($K234="Milestone",$K234="Deadline"),$I234&gt;=AY$4,$I234&lt;AY$4+7),IF($K234="Deadline","◇","◆"),"")</f>
        <v/>
      </c>
      <c r="AZ234" s="14" t="str">
        <f>IF(AND(ISNUMBER($I234),OR($K234="Milestone",$K234="Deadline"),$I234&gt;=AZ$4,$I234&lt;AZ$4+7),IF($K234="Deadline","◇","◆"),"")</f>
        <v/>
      </c>
      <c r="BA234" s="14" t="str">
        <f>IF(AND(ISNUMBER($I234),OR($K234="Milestone",$K234="Deadline"),$I234&gt;=BA$4,$I234&lt;BA$4+7),IF($K234="Deadline","◇","◆"),"")</f>
        <v/>
      </c>
      <c r="BB234" s="14" t="str">
        <f>IF(AND(ISNUMBER($I234),OR($K234="Milestone",$K234="Deadline"),$I234&gt;=BB$4,$I234&lt;BB$4+7),IF($K234="Deadline","◇","◆"),"")</f>
        <v/>
      </c>
      <c r="BC234" s="14" t="str">
        <f>IF(AND(ISNUMBER($I234),OR($K234="Milestone",$K234="Deadline"),$I234&gt;=BC$4,$I234&lt;BC$4+7),IF($K234="Deadline","◇","◆"),"")</f>
        <v/>
      </c>
      <c r="BD234" s="14" t="str">
        <f>IF(AND(ISNUMBER($I234),OR($K234="Milestone",$K234="Deadline"),$I234&gt;=BD$4,$I234&lt;BD$4+7),IF($K234="Deadline","◇","◆"),"")</f>
        <v/>
      </c>
      <c r="BE234" s="14" t="str">
        <f>IF(AND(ISNUMBER($I234),OR($K234="Milestone",$K234="Deadline"),$I234&gt;=BE$4,$I234&lt;BE$4+7),IF($K234="Deadline","◇","◆"),"")</f>
        <v/>
      </c>
      <c r="BF234" s="14" t="str">
        <f>IF(AND(ISNUMBER($I234),OR($K234="Milestone",$K234="Deadline"),$I234&gt;=BF$4,$I234&lt;BF$4+7),IF($K234="Deadline","◇","◆"),"")</f>
        <v/>
      </c>
      <c r="BG234" s="14" t="str">
        <f>IF(AND(ISNUMBER($I234),OR($K234="Milestone",$K234="Deadline"),$I234&gt;=BG$4,$I234&lt;BG$4+7),IF($K234="Deadline","◇","◆"),"")</f>
        <v/>
      </c>
      <c r="BH234" s="14" t="str">
        <f>IF(AND(ISNUMBER($I234),OR($K234="Milestone",$K234="Deadline"),$I234&gt;=BH$4,$I234&lt;BH$4+7),IF($K234="Deadline","◇","◆"),"")</f>
        <v/>
      </c>
      <c r="BI234" s="14" t="str">
        <f>IF(AND(ISNUMBER($I234),OR($K234="Milestone",$K234="Deadline"),$I234&gt;=BI$4,$I234&lt;BI$4+7),IF($K234="Deadline","◇","◆"),"")</f>
        <v/>
      </c>
      <c r="BJ234" s="14" t="str">
        <f>IF(AND(ISNUMBER($I234),OR($K234="Milestone",$K234="Deadline"),$I234&gt;=BJ$4,$I234&lt;BJ$4+7),IF($K234="Deadline","◇","◆"),"")</f>
        <v/>
      </c>
      <c r="BK234" s="14" t="str">
        <f>IF(AND(ISNUMBER($I234),OR($K234="Milestone",$K234="Deadline"),$I234&gt;=BK$4,$I234&lt;BK$4+7),IF($K234="Deadline","◇","◆"),"")</f>
        <v/>
      </c>
      <c r="BL234" s="14" t="str">
        <f>IF(AND(ISNUMBER($I234),OR($K234="Milestone",$K234="Deadline"),$I234&gt;=BL$4,$I234&lt;BL$4+7),IF($K234="Deadline","◇","◆"),"")</f>
        <v/>
      </c>
      <c r="BM234" s="14" t="str">
        <f>IF(AND(ISNUMBER($I234),OR($K234="Milestone",$K234="Deadline"),$I234&gt;=BM$4,$I234&lt;BM$4+7),IF($K234="Deadline","◇","◆"),"")</f>
        <v/>
      </c>
      <c r="BN234" s="14" t="str">
        <f>IF(AND(ISNUMBER($I234),OR($K234="Milestone",$K234="Deadline"),$I234&gt;=BN$4,$I234&lt;BN$4+7),IF($K234="Deadline","◇","◆"),"")</f>
        <v/>
      </c>
      <c r="BO234" s="14" t="str">
        <f>IF(AND(ISNUMBER($I234),OR($K234="Milestone",$K234="Deadline"),$I234&gt;=BO$4,$I234&lt;BO$4+7),IF($K234="Deadline","◇","◆"),"")</f>
        <v/>
      </c>
      <c r="BP234" s="14" t="str">
        <f>IF(AND(ISNUMBER($I234),OR($K234="Milestone",$K234="Deadline"),$I234&gt;=BP$4,$I234&lt;BP$4+7),IF($K234="Deadline","◇","◆"),"")</f>
        <v/>
      </c>
      <c r="BQ234" s="14" t="str">
        <f>IF(AND(ISNUMBER($I234),OR($K234="Milestone",$K234="Deadline"),$I234&gt;=BQ$4,$I234&lt;BQ$4+7),IF($K234="Deadline","◇","◆"),"")</f>
        <v/>
      </c>
      <c r="BR234" s="14" t="str">
        <f>IF(AND(ISNUMBER($I234),OR($K234="Milestone",$K234="Deadline"),$I234&gt;=BR$4,$I234&lt;BR$4+7),IF($K234="Deadline","◇","◆"),"")</f>
        <v/>
      </c>
      <c r="BS234" s="14" t="str">
        <f>IF(AND(ISNUMBER($I234),OR($K234="Milestone",$K234="Deadline"),$I234&gt;=BS$4,$I234&lt;BS$4+7),IF($K234="Deadline","◇","◆"),"")</f>
        <v/>
      </c>
      <c r="BT234" s="14" t="str">
        <f>IF(AND(ISNUMBER($I234),OR($K234="Milestone",$K234="Deadline"),$I234&gt;=BT$4,$I234&lt;BT$4+7),IF($K234="Deadline","◇","◆"),"")</f>
        <v/>
      </c>
      <c r="BU234" s="14" t="str">
        <f>IF(AND(ISNUMBER($I234),OR($K234="Milestone",$K234="Deadline"),$I234&gt;=BU$4,$I234&lt;BU$4+7),IF($K234="Deadline","◇","◆"),"")</f>
        <v/>
      </c>
      <c r="BV234" s="14" t="str">
        <f>IF(AND(ISNUMBER($I234),OR($K234="Milestone",$K234="Deadline"),$I234&gt;=BV$4,$I234&lt;BV$4+7),IF($K234="Deadline","◇","◆"),"")</f>
        <v/>
      </c>
      <c r="BW234" s="14" t="str">
        <f>IF(AND(ISNUMBER($I234),OR($K234="Milestone",$K234="Deadline"),$I234&gt;=BW$4,$I234&lt;BW$4+7),IF($K234="Deadline","◇","◆"),"")</f>
        <v/>
      </c>
      <c r="BX234" s="14" t="str">
        <f>IF(AND(ISNUMBER($I234),OR($K234="Milestone",$K234="Deadline"),$I234&gt;=BX$4,$I234&lt;BX$4+7),IF($K234="Deadline","◇","◆"),"")</f>
        <v/>
      </c>
      <c r="BY234" s="14" t="str">
        <f>IF(AND(ISNUMBER($I234),OR($K234="Milestone",$K234="Deadline"),$I234&gt;=BY$4,$I234&lt;BY$4+7),IF($K234="Deadline","◇","◆"),"")</f>
        <v/>
      </c>
      <c r="BZ234" s="14" t="str">
        <f>IF(AND(ISNUMBER($I234),OR($K234="Milestone",$K234="Deadline"),$I234&gt;=BZ$4,$I234&lt;BZ$4+7),IF($K234="Deadline","◇","◆"),"")</f>
        <v/>
      </c>
      <c r="CA234" s="14" t="str">
        <f>IF(AND(ISNUMBER($I234),OR($K234="Milestone",$K234="Deadline"),$I234&gt;=CA$4,$I234&lt;CA$4+7),IF($K234="Deadline","◇","◆"),"")</f>
        <v/>
      </c>
      <c r="CB234" s="14" t="str">
        <f>IF(AND(ISNUMBER($I234),OR($K234="Milestone",$K234="Deadline"),$I234&gt;=CB$4,$I234&lt;CB$4+7),IF($K234="Deadline","◇","◆"),"")</f>
        <v/>
      </c>
      <c r="CC234" s="14" t="str">
        <f>IF(AND(ISNUMBER($I234),OR($K234="Milestone",$K234="Deadline"),$I234&gt;=CC$4,$I234&lt;CC$4+7),IF($K234="Deadline","◇","◆"),"")</f>
        <v/>
      </c>
      <c r="CD234" s="14" t="str">
        <f>IF(AND(ISNUMBER($I234),OR($K234="Milestone",$K234="Deadline"),$I234&gt;=CD$4,$I234&lt;CD$4+7),IF($K234="Deadline","◇","◆"),"")</f>
        <v/>
      </c>
      <c r="CE234" s="14" t="str">
        <f>IF(AND(ISNUMBER($I234),OR($K234="Milestone",$K234="Deadline"),$I234&gt;=CE$4,$I234&lt;CE$4+7),IF($K234="Deadline","◇","◆"),"")</f>
        <v/>
      </c>
      <c r="CF234" s="14" t="str">
        <f>IF(AND(ISNUMBER($I234),OR($K234="Milestone",$K234="Deadline"),$I234&gt;=CF$4,$I234&lt;CF$4+7),IF($K234="Deadline","◇","◆"),"")</f>
        <v/>
      </c>
      <c r="CG234" s="14" t="str">
        <f>IF(AND(ISNUMBER($I234),OR($K234="Milestone",$K234="Deadline"),$I234&gt;=CG$4,$I234&lt;CG$4+7),IF($K234="Deadline","◇","◆"),"")</f>
        <v/>
      </c>
      <c r="CH234" s="14" t="str">
        <f>IF(AND(ISNUMBER($I234),OR($K234="Milestone",$K234="Deadline"),$I234&gt;=CH$4,$I234&lt;CH$4+7),IF($K234="Deadline","◇","◆"),"")</f>
        <v/>
      </c>
      <c r="CI234" s="14" t="str">
        <f>IF(AND(ISNUMBER($I234),OR($K234="Milestone",$K234="Deadline"),$I234&gt;=CI$4,$I234&lt;CI$4+7),IF($K234="Deadline","◇","◆"),"")</f>
        <v/>
      </c>
      <c r="CJ234" s="14" t="str">
        <f>IF(AND(ISNUMBER($I234),OR($K234="Milestone",$K234="Deadline"),$I234&gt;=CJ$4,$I234&lt;CJ$4+7),IF($K234="Deadline","◇","◆"),"")</f>
        <v/>
      </c>
      <c r="CK234" s="14" t="str">
        <f>IF(AND(ISNUMBER($I234),OR($K234="Milestone",$K234="Deadline"),$I234&gt;=CK$4,$I234&lt;CK$4+7),IF($K234="Deadline","◇","◆"),"")</f>
        <v/>
      </c>
      <c r="CL234" s="14" t="str">
        <f>IF(AND(ISNUMBER($I234),OR($K234="Milestone",$K234="Deadline"),$I234&gt;=CL$4,$I234&lt;CL$4+7),IF($K234="Deadline","◇","◆"),"")</f>
        <v/>
      </c>
      <c r="CM234" s="14" t="str">
        <f>IF(AND(ISNUMBER($I234),OR($K234="Milestone",$K234="Deadline"),$I234&gt;=CM$4,$I234&lt;CM$4+7),IF($K234="Deadline","◇","◆"),"")</f>
        <v/>
      </c>
    </row>
    <row r="235" spans="1:91" hidden="1">
      <c r="A235" s="9" t="s">
        <v>493</v>
      </c>
      <c r="B235" s="9" t="s">
        <v>487</v>
      </c>
      <c r="C235" s="9" t="s">
        <v>93</v>
      </c>
      <c r="D235" s="9" t="s">
        <v>168</v>
      </c>
      <c r="E235" s="9" t="s">
        <v>169</v>
      </c>
      <c r="F235" s="9" t="s">
        <v>302</v>
      </c>
      <c r="G235" s="9" t="s">
        <v>275</v>
      </c>
      <c r="H235" s="9">
        <v>8</v>
      </c>
      <c r="I235" s="51">
        <f>MAX($C$2,J234+1,J100+1)</f>
        <v>46433</v>
      </c>
      <c r="J235" s="11">
        <f>IF(AND(ISNUMBER(I235),ISNUMBER(H235)),I235+H235-1,"")</f>
        <v>46440</v>
      </c>
      <c r="K235" s="9" t="s">
        <v>27</v>
      </c>
      <c r="L235" s="9" t="s">
        <v>492</v>
      </c>
      <c r="M235" s="12" t="s">
        <v>287</v>
      </c>
      <c r="N235" s="9"/>
      <c r="O235" s="12">
        <f>IF(AND(ISNUMBER(I235),ISNUMBER(J235)),J235-I235+1,"")</f>
        <v>8</v>
      </c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 t="s">
        <v>140</v>
      </c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4" t="str">
        <f>IF(AND(ISNUMBER($I235),OR($K235="Milestone",$K235="Deadline"),$I235&gt;=AO$4,$I235&lt;AO$4+7),IF($K235="Deadline","◇","◆"),"")</f>
        <v/>
      </c>
      <c r="AP235" s="14" t="str">
        <f>IF(AND(ISNUMBER($I235),OR($K235="Milestone",$K235="Deadline"),$I235&gt;=AP$4,$I235&lt;AP$4+7),IF($K235="Deadline","◇","◆"),"")</f>
        <v/>
      </c>
      <c r="AQ235" s="14" t="str">
        <f>IF(AND(ISNUMBER($I235),OR($K235="Milestone",$K235="Deadline"),$I235&gt;=AQ$4,$I235&lt;AQ$4+7),IF($K235="Deadline","◇","◆"),"")</f>
        <v/>
      </c>
      <c r="AR235" s="14" t="str">
        <f>IF(AND(ISNUMBER($I235),OR($K235="Milestone",$K235="Deadline"),$I235&gt;=AR$4,$I235&lt;AR$4+7),IF($K235="Deadline","◇","◆"),"")</f>
        <v/>
      </c>
      <c r="AS235" s="14" t="str">
        <f>IF(AND(ISNUMBER($I235),OR($K235="Milestone",$K235="Deadline"),$I235&gt;=AS$4,$I235&lt;AS$4+7),IF($K235="Deadline","◇","◆"),"")</f>
        <v/>
      </c>
      <c r="AT235" s="14" t="str">
        <f>IF(AND(ISNUMBER($I235),OR($K235="Milestone",$K235="Deadline"),$I235&gt;=AT$4,$I235&lt;AT$4+7),IF($K235="Deadline","◇","◆"),"")</f>
        <v/>
      </c>
      <c r="AU235" s="14" t="str">
        <f>IF(AND(ISNUMBER($I235),OR($K235="Milestone",$K235="Deadline"),$I235&gt;=AU$4,$I235&lt;AU$4+7),IF($K235="Deadline","◇","◆"),"")</f>
        <v/>
      </c>
      <c r="AV235" s="14" t="str">
        <f>IF(AND(ISNUMBER($I235),OR($K235="Milestone",$K235="Deadline"),$I235&gt;=AV$4,$I235&lt;AV$4+7),IF($K235="Deadline","◇","◆"),"")</f>
        <v/>
      </c>
      <c r="AW235" s="14" t="str">
        <f>IF(AND(ISNUMBER($I235),OR($K235="Milestone",$K235="Deadline"),$I235&gt;=AW$4,$I235&lt;AW$4+7),IF($K235="Deadline","◇","◆"),"")</f>
        <v/>
      </c>
      <c r="AX235" s="14" t="str">
        <f>IF(AND(ISNUMBER($I235),OR($K235="Milestone",$K235="Deadline"),$I235&gt;=AX$4,$I235&lt;AX$4+7),IF($K235="Deadline","◇","◆"),"")</f>
        <v/>
      </c>
      <c r="AY235" s="14" t="str">
        <f>IF(AND(ISNUMBER($I235),OR($K235="Milestone",$K235="Deadline"),$I235&gt;=AY$4,$I235&lt;AY$4+7),IF($K235="Deadline","◇","◆"),"")</f>
        <v/>
      </c>
      <c r="AZ235" s="14" t="str">
        <f>IF(AND(ISNUMBER($I235),OR($K235="Milestone",$K235="Deadline"),$I235&gt;=AZ$4,$I235&lt;AZ$4+7),IF($K235="Deadline","◇","◆"),"")</f>
        <v/>
      </c>
      <c r="BA235" s="14" t="str">
        <f>IF(AND(ISNUMBER($I235),OR($K235="Milestone",$K235="Deadline"),$I235&gt;=BA$4,$I235&lt;BA$4+7),IF($K235="Deadline","◇","◆"),"")</f>
        <v/>
      </c>
      <c r="BB235" s="14" t="str">
        <f>IF(AND(ISNUMBER($I235),OR($K235="Milestone",$K235="Deadline"),$I235&gt;=BB$4,$I235&lt;BB$4+7),IF($K235="Deadline","◇","◆"),"")</f>
        <v/>
      </c>
      <c r="BC235" s="14" t="str">
        <f>IF(AND(ISNUMBER($I235),OR($K235="Milestone",$K235="Deadline"),$I235&gt;=BC$4,$I235&lt;BC$4+7),IF($K235="Deadline","◇","◆"),"")</f>
        <v/>
      </c>
      <c r="BD235" s="14" t="str">
        <f>IF(AND(ISNUMBER($I235),OR($K235="Milestone",$K235="Deadline"),$I235&gt;=BD$4,$I235&lt;BD$4+7),IF($K235="Deadline","◇","◆"),"")</f>
        <v/>
      </c>
      <c r="BE235" s="14" t="str">
        <f>IF(AND(ISNUMBER($I235),OR($K235="Milestone",$K235="Deadline"),$I235&gt;=BE$4,$I235&lt;BE$4+7),IF($K235="Deadline","◇","◆"),"")</f>
        <v/>
      </c>
      <c r="BF235" s="14" t="str">
        <f>IF(AND(ISNUMBER($I235),OR($K235="Milestone",$K235="Deadline"),$I235&gt;=BF$4,$I235&lt;BF$4+7),IF($K235="Deadline","◇","◆"),"")</f>
        <v/>
      </c>
      <c r="BG235" s="14" t="str">
        <f>IF(AND(ISNUMBER($I235),OR($K235="Milestone",$K235="Deadline"),$I235&gt;=BG$4,$I235&lt;BG$4+7),IF($K235="Deadline","◇","◆"),"")</f>
        <v/>
      </c>
      <c r="BH235" s="14" t="str">
        <f>IF(AND(ISNUMBER($I235),OR($K235="Milestone",$K235="Deadline"),$I235&gt;=BH$4,$I235&lt;BH$4+7),IF($K235="Deadline","◇","◆"),"")</f>
        <v/>
      </c>
      <c r="BI235" s="14" t="str">
        <f>IF(AND(ISNUMBER($I235),OR($K235="Milestone",$K235="Deadline"),$I235&gt;=BI$4,$I235&lt;BI$4+7),IF($K235="Deadline","◇","◆"),"")</f>
        <v/>
      </c>
      <c r="BJ235" s="14" t="str">
        <f>IF(AND(ISNUMBER($I235),OR($K235="Milestone",$K235="Deadline"),$I235&gt;=BJ$4,$I235&lt;BJ$4+7),IF($K235="Deadline","◇","◆"),"")</f>
        <v/>
      </c>
      <c r="BK235" s="14" t="str">
        <f>IF(AND(ISNUMBER($I235),OR($K235="Milestone",$K235="Deadline"),$I235&gt;=BK$4,$I235&lt;BK$4+7),IF($K235="Deadline","◇","◆"),"")</f>
        <v/>
      </c>
      <c r="BL235" s="14" t="str">
        <f>IF(AND(ISNUMBER($I235),OR($K235="Milestone",$K235="Deadline"),$I235&gt;=BL$4,$I235&lt;BL$4+7),IF($K235="Deadline","◇","◆"),"")</f>
        <v/>
      </c>
      <c r="BM235" s="14" t="str">
        <f>IF(AND(ISNUMBER($I235),OR($K235="Milestone",$K235="Deadline"),$I235&gt;=BM$4,$I235&lt;BM$4+7),IF($K235="Deadline","◇","◆"),"")</f>
        <v/>
      </c>
      <c r="BN235" s="14" t="str">
        <f>IF(AND(ISNUMBER($I235),OR($K235="Milestone",$K235="Deadline"),$I235&gt;=BN$4,$I235&lt;BN$4+7),IF($K235="Deadline","◇","◆"),"")</f>
        <v/>
      </c>
      <c r="BO235" s="14" t="str">
        <f>IF(AND(ISNUMBER($I235),OR($K235="Milestone",$K235="Deadline"),$I235&gt;=BO$4,$I235&lt;BO$4+7),IF($K235="Deadline","◇","◆"),"")</f>
        <v/>
      </c>
      <c r="BP235" s="14" t="str">
        <f>IF(AND(ISNUMBER($I235),OR($K235="Milestone",$K235="Deadline"),$I235&gt;=BP$4,$I235&lt;BP$4+7),IF($K235="Deadline","◇","◆"),"")</f>
        <v/>
      </c>
      <c r="BQ235" s="14" t="str">
        <f>IF(AND(ISNUMBER($I235),OR($K235="Milestone",$K235="Deadline"),$I235&gt;=BQ$4,$I235&lt;BQ$4+7),IF($K235="Deadline","◇","◆"),"")</f>
        <v/>
      </c>
      <c r="BR235" s="14" t="str">
        <f>IF(AND(ISNUMBER($I235),OR($K235="Milestone",$K235="Deadline"),$I235&gt;=BR$4,$I235&lt;BR$4+7),IF($K235="Deadline","◇","◆"),"")</f>
        <v/>
      </c>
      <c r="BS235" s="14" t="str">
        <f>IF(AND(ISNUMBER($I235),OR($K235="Milestone",$K235="Deadline"),$I235&gt;=BS$4,$I235&lt;BS$4+7),IF($K235="Deadline","◇","◆"),"")</f>
        <v/>
      </c>
      <c r="BT235" s="14" t="str">
        <f>IF(AND(ISNUMBER($I235),OR($K235="Milestone",$K235="Deadline"),$I235&gt;=BT$4,$I235&lt;BT$4+7),IF($K235="Deadline","◇","◆"),"")</f>
        <v/>
      </c>
      <c r="BU235" s="14" t="str">
        <f>IF(AND(ISNUMBER($I235),OR($K235="Milestone",$K235="Deadline"),$I235&gt;=BU$4,$I235&lt;BU$4+7),IF($K235="Deadline","◇","◆"),"")</f>
        <v/>
      </c>
      <c r="BV235" s="14" t="str">
        <f>IF(AND(ISNUMBER($I235),OR($K235="Milestone",$K235="Deadline"),$I235&gt;=BV$4,$I235&lt;BV$4+7),IF($K235="Deadline","◇","◆"),"")</f>
        <v/>
      </c>
      <c r="BW235" s="14" t="str">
        <f>IF(AND(ISNUMBER($I235),OR($K235="Milestone",$K235="Deadline"),$I235&gt;=BW$4,$I235&lt;BW$4+7),IF($K235="Deadline","◇","◆"),"")</f>
        <v/>
      </c>
      <c r="BX235" s="14" t="str">
        <f>IF(AND(ISNUMBER($I235),OR($K235="Milestone",$K235="Deadline"),$I235&gt;=BX$4,$I235&lt;BX$4+7),IF($K235="Deadline","◇","◆"),"")</f>
        <v/>
      </c>
      <c r="BY235" s="14" t="str">
        <f>IF(AND(ISNUMBER($I235),OR($K235="Milestone",$K235="Deadline"),$I235&gt;=BY$4,$I235&lt;BY$4+7),IF($K235="Deadline","◇","◆"),"")</f>
        <v/>
      </c>
      <c r="BZ235" s="14" t="str">
        <f>IF(AND(ISNUMBER($I235),OR($K235="Milestone",$K235="Deadline"),$I235&gt;=BZ$4,$I235&lt;BZ$4+7),IF($K235="Deadline","◇","◆"),"")</f>
        <v/>
      </c>
      <c r="CA235" s="14" t="str">
        <f>IF(AND(ISNUMBER($I235),OR($K235="Milestone",$K235="Deadline"),$I235&gt;=CA$4,$I235&lt;CA$4+7),IF($K235="Deadline","◇","◆"),"")</f>
        <v/>
      </c>
      <c r="CB235" s="14" t="str">
        <f>IF(AND(ISNUMBER($I235),OR($K235="Milestone",$K235="Deadline"),$I235&gt;=CB$4,$I235&lt;CB$4+7),IF($K235="Deadline","◇","◆"),"")</f>
        <v/>
      </c>
      <c r="CC235" s="14" t="str">
        <f>IF(AND(ISNUMBER($I235),OR($K235="Milestone",$K235="Deadline"),$I235&gt;=CC$4,$I235&lt;CC$4+7),IF($K235="Deadline","◇","◆"),"")</f>
        <v/>
      </c>
      <c r="CD235" s="14" t="str">
        <f>IF(AND(ISNUMBER($I235),OR($K235="Milestone",$K235="Deadline"),$I235&gt;=CD$4,$I235&lt;CD$4+7),IF($K235="Deadline","◇","◆"),"")</f>
        <v/>
      </c>
      <c r="CE235" s="14" t="str">
        <f>IF(AND(ISNUMBER($I235),OR($K235="Milestone",$K235="Deadline"),$I235&gt;=CE$4,$I235&lt;CE$4+7),IF($K235="Deadline","◇","◆"),"")</f>
        <v/>
      </c>
      <c r="CF235" s="14" t="str">
        <f>IF(AND(ISNUMBER($I235),OR($K235="Milestone",$K235="Deadline"),$I235&gt;=CF$4,$I235&lt;CF$4+7),IF($K235="Deadline","◇","◆"),"")</f>
        <v/>
      </c>
      <c r="CG235" s="14" t="str">
        <f>IF(AND(ISNUMBER($I235),OR($K235="Milestone",$K235="Deadline"),$I235&gt;=CG$4,$I235&lt;CG$4+7),IF($K235="Deadline","◇","◆"),"")</f>
        <v/>
      </c>
      <c r="CH235" s="14" t="str">
        <f>IF(AND(ISNUMBER($I235),OR($K235="Milestone",$K235="Deadline"),$I235&gt;=CH$4,$I235&lt;CH$4+7),IF($K235="Deadline","◇","◆"),"")</f>
        <v/>
      </c>
      <c r="CI235" s="14" t="str">
        <f>IF(AND(ISNUMBER($I235),OR($K235="Milestone",$K235="Deadline"),$I235&gt;=CI$4,$I235&lt;CI$4+7),IF($K235="Deadline","◇","◆"),"")</f>
        <v/>
      </c>
      <c r="CJ235" s="14" t="str">
        <f>IF(AND(ISNUMBER($I235),OR($K235="Milestone",$K235="Deadline"),$I235&gt;=CJ$4,$I235&lt;CJ$4+7),IF($K235="Deadline","◇","◆"),"")</f>
        <v/>
      </c>
      <c r="CK235" s="14" t="str">
        <f>IF(AND(ISNUMBER($I235),OR($K235="Milestone",$K235="Deadline"),$I235&gt;=CK$4,$I235&lt;CK$4+7),IF($K235="Deadline","◇","◆"),"")</f>
        <v/>
      </c>
      <c r="CL235" s="14" t="str">
        <f>IF(AND(ISNUMBER($I235),OR($K235="Milestone",$K235="Deadline"),$I235&gt;=CL$4,$I235&lt;CL$4+7),IF($K235="Deadline","◇","◆"),"")</f>
        <v/>
      </c>
      <c r="CM235" s="14" t="str">
        <f>IF(AND(ISNUMBER($I235),OR($K235="Milestone",$K235="Deadline"),$I235&gt;=CM$4,$I235&lt;CM$4+7),IF($K235="Deadline","◇","◆"),"")</f>
        <v/>
      </c>
    </row>
    <row r="236" spans="1:91" hidden="1">
      <c r="A236" s="9" t="s">
        <v>494</v>
      </c>
      <c r="B236" s="9" t="s">
        <v>487</v>
      </c>
      <c r="C236" s="9" t="s">
        <v>191</v>
      </c>
      <c r="D236" s="9" t="s">
        <v>168</v>
      </c>
      <c r="E236" s="9" t="s">
        <v>169</v>
      </c>
      <c r="F236" s="9" t="s">
        <v>302</v>
      </c>
      <c r="G236" s="9" t="s">
        <v>278</v>
      </c>
      <c r="H236" s="9">
        <v>6</v>
      </c>
      <c r="I236" s="51">
        <f>MAX(DATE(2027,3,1),J235+1,J191+1)</f>
        <v>46464</v>
      </c>
      <c r="J236" s="11">
        <f>IF(AND(ISNUMBER(I236),ISNUMBER(H236)),I236+H236-1,"")</f>
        <v>46469</v>
      </c>
      <c r="K236" s="9" t="s">
        <v>27</v>
      </c>
      <c r="L236" s="9" t="s">
        <v>493</v>
      </c>
      <c r="M236" s="12" t="s">
        <v>433</v>
      </c>
      <c r="N236" s="9"/>
      <c r="O236" s="12">
        <f>IF(AND(ISNUMBER(I236),ISNUMBER(J236)),J236-I236+1,"")</f>
        <v>6</v>
      </c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 t="s">
        <v>140</v>
      </c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4" t="str">
        <f>IF(AND(ISNUMBER($I236),OR($K236="Milestone",$K236="Deadline"),$I236&gt;=AO$4,$I236&lt;AO$4+7),IF($K236="Deadline","◇","◆"),"")</f>
        <v/>
      </c>
      <c r="AP236" s="14" t="str">
        <f>IF(AND(ISNUMBER($I236),OR($K236="Milestone",$K236="Deadline"),$I236&gt;=AP$4,$I236&lt;AP$4+7),IF($K236="Deadline","◇","◆"),"")</f>
        <v/>
      </c>
      <c r="AQ236" s="14" t="str">
        <f>IF(AND(ISNUMBER($I236),OR($K236="Milestone",$K236="Deadline"),$I236&gt;=AQ$4,$I236&lt;AQ$4+7),IF($K236="Deadline","◇","◆"),"")</f>
        <v/>
      </c>
      <c r="AR236" s="14" t="str">
        <f>IF(AND(ISNUMBER($I236),OR($K236="Milestone",$K236="Deadline"),$I236&gt;=AR$4,$I236&lt;AR$4+7),IF($K236="Deadline","◇","◆"),"")</f>
        <v/>
      </c>
      <c r="AS236" s="14" t="str">
        <f>IF(AND(ISNUMBER($I236),OR($K236="Milestone",$K236="Deadline"),$I236&gt;=AS$4,$I236&lt;AS$4+7),IF($K236="Deadline","◇","◆"),"")</f>
        <v/>
      </c>
      <c r="AT236" s="14" t="str">
        <f>IF(AND(ISNUMBER($I236),OR($K236="Milestone",$K236="Deadline"),$I236&gt;=AT$4,$I236&lt;AT$4+7),IF($K236="Deadline","◇","◆"),"")</f>
        <v/>
      </c>
      <c r="AU236" s="14" t="str">
        <f>IF(AND(ISNUMBER($I236),OR($K236="Milestone",$K236="Deadline"),$I236&gt;=AU$4,$I236&lt;AU$4+7),IF($K236="Deadline","◇","◆"),"")</f>
        <v/>
      </c>
      <c r="AV236" s="14" t="str">
        <f>IF(AND(ISNUMBER($I236),OR($K236="Milestone",$K236="Deadline"),$I236&gt;=AV$4,$I236&lt;AV$4+7),IF($K236="Deadline","◇","◆"),"")</f>
        <v/>
      </c>
      <c r="AW236" s="14" t="str">
        <f>IF(AND(ISNUMBER($I236),OR($K236="Milestone",$K236="Deadline"),$I236&gt;=AW$4,$I236&lt;AW$4+7),IF($K236="Deadline","◇","◆"),"")</f>
        <v/>
      </c>
      <c r="AX236" s="14" t="str">
        <f>IF(AND(ISNUMBER($I236),OR($K236="Milestone",$K236="Deadline"),$I236&gt;=AX$4,$I236&lt;AX$4+7),IF($K236="Deadline","◇","◆"),"")</f>
        <v/>
      </c>
      <c r="AY236" s="14" t="str">
        <f>IF(AND(ISNUMBER($I236),OR($K236="Milestone",$K236="Deadline"),$I236&gt;=AY$4,$I236&lt;AY$4+7),IF($K236="Deadline","◇","◆"),"")</f>
        <v/>
      </c>
      <c r="AZ236" s="14" t="str">
        <f>IF(AND(ISNUMBER($I236),OR($K236="Milestone",$K236="Deadline"),$I236&gt;=AZ$4,$I236&lt;AZ$4+7),IF($K236="Deadline","◇","◆"),"")</f>
        <v/>
      </c>
      <c r="BA236" s="14" t="str">
        <f>IF(AND(ISNUMBER($I236),OR($K236="Milestone",$K236="Deadline"),$I236&gt;=BA$4,$I236&lt;BA$4+7),IF($K236="Deadline","◇","◆"),"")</f>
        <v/>
      </c>
      <c r="BB236" s="14" t="str">
        <f>IF(AND(ISNUMBER($I236),OR($K236="Milestone",$K236="Deadline"),$I236&gt;=BB$4,$I236&lt;BB$4+7),IF($K236="Deadline","◇","◆"),"")</f>
        <v/>
      </c>
      <c r="BC236" s="14" t="str">
        <f>IF(AND(ISNUMBER($I236),OR($K236="Milestone",$K236="Deadline"),$I236&gt;=BC$4,$I236&lt;BC$4+7),IF($K236="Deadline","◇","◆"),"")</f>
        <v/>
      </c>
      <c r="BD236" s="14" t="str">
        <f>IF(AND(ISNUMBER($I236),OR($K236="Milestone",$K236="Deadline"),$I236&gt;=BD$4,$I236&lt;BD$4+7),IF($K236="Deadline","◇","◆"),"")</f>
        <v/>
      </c>
      <c r="BE236" s="14" t="str">
        <f>IF(AND(ISNUMBER($I236),OR($K236="Milestone",$K236="Deadline"),$I236&gt;=BE$4,$I236&lt;BE$4+7),IF($K236="Deadline","◇","◆"),"")</f>
        <v/>
      </c>
      <c r="BF236" s="14" t="str">
        <f>IF(AND(ISNUMBER($I236),OR($K236="Milestone",$K236="Deadline"),$I236&gt;=BF$4,$I236&lt;BF$4+7),IF($K236="Deadline","◇","◆"),"")</f>
        <v/>
      </c>
      <c r="BG236" s="14" t="str">
        <f>IF(AND(ISNUMBER($I236),OR($K236="Milestone",$K236="Deadline"),$I236&gt;=BG$4,$I236&lt;BG$4+7),IF($K236="Deadline","◇","◆"),"")</f>
        <v/>
      </c>
      <c r="BH236" s="14" t="str">
        <f>IF(AND(ISNUMBER($I236),OR($K236="Milestone",$K236="Deadline"),$I236&gt;=BH$4,$I236&lt;BH$4+7),IF($K236="Deadline","◇","◆"),"")</f>
        <v/>
      </c>
      <c r="BI236" s="14" t="str">
        <f>IF(AND(ISNUMBER($I236),OR($K236="Milestone",$K236="Deadline"),$I236&gt;=BI$4,$I236&lt;BI$4+7),IF($K236="Deadline","◇","◆"),"")</f>
        <v/>
      </c>
      <c r="BJ236" s="14" t="str">
        <f>IF(AND(ISNUMBER($I236),OR($K236="Milestone",$K236="Deadline"),$I236&gt;=BJ$4,$I236&lt;BJ$4+7),IF($K236="Deadline","◇","◆"),"")</f>
        <v/>
      </c>
      <c r="BK236" s="14" t="str">
        <f>IF(AND(ISNUMBER($I236),OR($K236="Milestone",$K236="Deadline"),$I236&gt;=BK$4,$I236&lt;BK$4+7),IF($K236="Deadline","◇","◆"),"")</f>
        <v/>
      </c>
      <c r="BL236" s="14" t="str">
        <f>IF(AND(ISNUMBER($I236),OR($K236="Milestone",$K236="Deadline"),$I236&gt;=BL$4,$I236&lt;BL$4+7),IF($K236="Deadline","◇","◆"),"")</f>
        <v/>
      </c>
      <c r="BM236" s="14" t="str">
        <f>IF(AND(ISNUMBER($I236),OR($K236="Milestone",$K236="Deadline"),$I236&gt;=BM$4,$I236&lt;BM$4+7),IF($K236="Deadline","◇","◆"),"")</f>
        <v/>
      </c>
      <c r="BN236" s="14" t="str">
        <f>IF(AND(ISNUMBER($I236),OR($K236="Milestone",$K236="Deadline"),$I236&gt;=BN$4,$I236&lt;BN$4+7),IF($K236="Deadline","◇","◆"),"")</f>
        <v/>
      </c>
      <c r="BO236" s="14" t="str">
        <f>IF(AND(ISNUMBER($I236),OR($K236="Milestone",$K236="Deadline"),$I236&gt;=BO$4,$I236&lt;BO$4+7),IF($K236="Deadline","◇","◆"),"")</f>
        <v/>
      </c>
      <c r="BP236" s="14" t="str">
        <f>IF(AND(ISNUMBER($I236),OR($K236="Milestone",$K236="Deadline"),$I236&gt;=BP$4,$I236&lt;BP$4+7),IF($K236="Deadline","◇","◆"),"")</f>
        <v/>
      </c>
      <c r="BQ236" s="14" t="str">
        <f>IF(AND(ISNUMBER($I236),OR($K236="Milestone",$K236="Deadline"),$I236&gt;=BQ$4,$I236&lt;BQ$4+7),IF($K236="Deadline","◇","◆"),"")</f>
        <v/>
      </c>
      <c r="BR236" s="14" t="str">
        <f>IF(AND(ISNUMBER($I236),OR($K236="Milestone",$K236="Deadline"),$I236&gt;=BR$4,$I236&lt;BR$4+7),IF($K236="Deadline","◇","◆"),"")</f>
        <v/>
      </c>
      <c r="BS236" s="14" t="str">
        <f>IF(AND(ISNUMBER($I236),OR($K236="Milestone",$K236="Deadline"),$I236&gt;=BS$4,$I236&lt;BS$4+7),IF($K236="Deadline","◇","◆"),"")</f>
        <v/>
      </c>
      <c r="BT236" s="14" t="str">
        <f>IF(AND(ISNUMBER($I236),OR($K236="Milestone",$K236="Deadline"),$I236&gt;=BT$4,$I236&lt;BT$4+7),IF($K236="Deadline","◇","◆"),"")</f>
        <v/>
      </c>
      <c r="BU236" s="14" t="str">
        <f>IF(AND(ISNUMBER($I236),OR($K236="Milestone",$K236="Deadline"),$I236&gt;=BU$4,$I236&lt;BU$4+7),IF($K236="Deadline","◇","◆"),"")</f>
        <v/>
      </c>
      <c r="BV236" s="14" t="str">
        <f>IF(AND(ISNUMBER($I236),OR($K236="Milestone",$K236="Deadline"),$I236&gt;=BV$4,$I236&lt;BV$4+7),IF($K236="Deadline","◇","◆"),"")</f>
        <v/>
      </c>
      <c r="BW236" s="14" t="str">
        <f>IF(AND(ISNUMBER($I236),OR($K236="Milestone",$K236="Deadline"),$I236&gt;=BW$4,$I236&lt;BW$4+7),IF($K236="Deadline","◇","◆"),"")</f>
        <v/>
      </c>
      <c r="BX236" s="14" t="str">
        <f>IF(AND(ISNUMBER($I236),OR($K236="Milestone",$K236="Deadline"),$I236&gt;=BX$4,$I236&lt;BX$4+7),IF($K236="Deadline","◇","◆"),"")</f>
        <v/>
      </c>
      <c r="BY236" s="14" t="str">
        <f>IF(AND(ISNUMBER($I236),OR($K236="Milestone",$K236="Deadline"),$I236&gt;=BY$4,$I236&lt;BY$4+7),IF($K236="Deadline","◇","◆"),"")</f>
        <v/>
      </c>
      <c r="BZ236" s="14" t="str">
        <f>IF(AND(ISNUMBER($I236),OR($K236="Milestone",$K236="Deadline"),$I236&gt;=BZ$4,$I236&lt;BZ$4+7),IF($K236="Deadline","◇","◆"),"")</f>
        <v/>
      </c>
      <c r="CA236" s="14" t="str">
        <f>IF(AND(ISNUMBER($I236),OR($K236="Milestone",$K236="Deadline"),$I236&gt;=CA$4,$I236&lt;CA$4+7),IF($K236="Deadline","◇","◆"),"")</f>
        <v/>
      </c>
      <c r="CB236" s="14" t="str">
        <f>IF(AND(ISNUMBER($I236),OR($K236="Milestone",$K236="Deadline"),$I236&gt;=CB$4,$I236&lt;CB$4+7),IF($K236="Deadline","◇","◆"),"")</f>
        <v/>
      </c>
      <c r="CC236" s="14" t="str">
        <f>IF(AND(ISNUMBER($I236),OR($K236="Milestone",$K236="Deadline"),$I236&gt;=CC$4,$I236&lt;CC$4+7),IF($K236="Deadline","◇","◆"),"")</f>
        <v/>
      </c>
      <c r="CD236" s="14" t="str">
        <f>IF(AND(ISNUMBER($I236),OR($K236="Milestone",$K236="Deadline"),$I236&gt;=CD$4,$I236&lt;CD$4+7),IF($K236="Deadline","◇","◆"),"")</f>
        <v/>
      </c>
      <c r="CE236" s="14" t="str">
        <f>IF(AND(ISNUMBER($I236),OR($K236="Milestone",$K236="Deadline"),$I236&gt;=CE$4,$I236&lt;CE$4+7),IF($K236="Deadline","◇","◆"),"")</f>
        <v/>
      </c>
      <c r="CF236" s="14" t="str">
        <f>IF(AND(ISNUMBER($I236),OR($K236="Milestone",$K236="Deadline"),$I236&gt;=CF$4,$I236&lt;CF$4+7),IF($K236="Deadline","◇","◆"),"")</f>
        <v/>
      </c>
      <c r="CG236" s="14" t="str">
        <f>IF(AND(ISNUMBER($I236),OR($K236="Milestone",$K236="Deadline"),$I236&gt;=CG$4,$I236&lt;CG$4+7),IF($K236="Deadline","◇","◆"),"")</f>
        <v/>
      </c>
      <c r="CH236" s="14" t="str">
        <f>IF(AND(ISNUMBER($I236),OR($K236="Milestone",$K236="Deadline"),$I236&gt;=CH$4,$I236&lt;CH$4+7),IF($K236="Deadline","◇","◆"),"")</f>
        <v/>
      </c>
      <c r="CI236" s="14" t="str">
        <f>IF(AND(ISNUMBER($I236),OR($K236="Milestone",$K236="Deadline"),$I236&gt;=CI$4,$I236&lt;CI$4+7),IF($K236="Deadline","◇","◆"),"")</f>
        <v/>
      </c>
      <c r="CJ236" s="14" t="str">
        <f>IF(AND(ISNUMBER($I236),OR($K236="Milestone",$K236="Deadline"),$I236&gt;=CJ$4,$I236&lt;CJ$4+7),IF($K236="Deadline","◇","◆"),"")</f>
        <v/>
      </c>
      <c r="CK236" s="14" t="str">
        <f>IF(AND(ISNUMBER($I236),OR($K236="Milestone",$K236="Deadline"),$I236&gt;=CK$4,$I236&lt;CK$4+7),IF($K236="Deadline","◇","◆"),"")</f>
        <v/>
      </c>
      <c r="CL236" s="14" t="str">
        <f>IF(AND(ISNUMBER($I236),OR($K236="Milestone",$K236="Deadline"),$I236&gt;=CL$4,$I236&lt;CL$4+7),IF($K236="Deadline","◇","◆"),"")</f>
        <v/>
      </c>
      <c r="CM236" s="14" t="str">
        <f>IF(AND(ISNUMBER($I236),OR($K236="Milestone",$K236="Deadline"),$I236&gt;=CM$4,$I236&lt;CM$4+7),IF($K236="Deadline","◇","◆"),"")</f>
        <v/>
      </c>
    </row>
    <row r="237" spans="1:91" hidden="1">
      <c r="A237" s="9" t="s">
        <v>219</v>
      </c>
      <c r="B237" s="9" t="s">
        <v>487</v>
      </c>
      <c r="C237" s="9" t="s">
        <v>191</v>
      </c>
      <c r="D237" s="9" t="s">
        <v>168</v>
      </c>
      <c r="E237" s="9"/>
      <c r="F237" s="9" t="s">
        <v>216</v>
      </c>
      <c r="G237" s="9" t="s">
        <v>217</v>
      </c>
      <c r="H237" s="9">
        <v>14</v>
      </c>
      <c r="I237" s="51">
        <f>MAX($C$2,J230+1,J231+1,J242+1)</f>
        <v>46373</v>
      </c>
      <c r="J237" s="11">
        <f>IF(AND(ISNUMBER(I237),ISNUMBER(H237)),I237+H237-1,"")</f>
        <v>46386</v>
      </c>
      <c r="K237" s="9" t="s">
        <v>27</v>
      </c>
      <c r="L237" s="9" t="s">
        <v>490</v>
      </c>
      <c r="M237" s="12" t="s">
        <v>495</v>
      </c>
      <c r="N237" s="9"/>
      <c r="O237" s="12">
        <f>IF(AND(ISNUMBER(I237),ISNUMBER(J237)),J237-I237+1,"")</f>
        <v>14</v>
      </c>
      <c r="P237" s="13"/>
      <c r="Q237" s="13"/>
      <c r="R237" s="13"/>
      <c r="S237" s="13"/>
      <c r="T237" s="13" t="s">
        <v>140</v>
      </c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4" t="str">
        <f>IF(AND(ISNUMBER($I237),OR($K237="Milestone",$K237="Deadline"),$I237&gt;=AO$4,$I237&lt;AO$4+7),IF($K237="Deadline","◇","◆"),"")</f>
        <v/>
      </c>
      <c r="AP237" s="14" t="str">
        <f>IF(AND(ISNUMBER($I237),OR($K237="Milestone",$K237="Deadline"),$I237&gt;=AP$4,$I237&lt;AP$4+7),IF($K237="Deadline","◇","◆"),"")</f>
        <v/>
      </c>
      <c r="AQ237" s="14" t="str">
        <f>IF(AND(ISNUMBER($I237),OR($K237="Milestone",$K237="Deadline"),$I237&gt;=AQ$4,$I237&lt;AQ$4+7),IF($K237="Deadline","◇","◆"),"")</f>
        <v/>
      </c>
      <c r="AR237" s="14" t="str">
        <f>IF(AND(ISNUMBER($I237),OR($K237="Milestone",$K237="Deadline"),$I237&gt;=AR$4,$I237&lt;AR$4+7),IF($K237="Deadline","◇","◆"),"")</f>
        <v/>
      </c>
      <c r="AS237" s="14" t="str">
        <f>IF(AND(ISNUMBER($I237),OR($K237="Milestone",$K237="Deadline"),$I237&gt;=AS$4,$I237&lt;AS$4+7),IF($K237="Deadline","◇","◆"),"")</f>
        <v/>
      </c>
      <c r="AT237" s="14" t="str">
        <f>IF(AND(ISNUMBER($I237),OR($K237="Milestone",$K237="Deadline"),$I237&gt;=AT$4,$I237&lt;AT$4+7),IF($K237="Deadline","◇","◆"),"")</f>
        <v/>
      </c>
      <c r="AU237" s="14" t="str">
        <f>IF(AND(ISNUMBER($I237),OR($K237="Milestone",$K237="Deadline"),$I237&gt;=AU$4,$I237&lt;AU$4+7),IF($K237="Deadline","◇","◆"),"")</f>
        <v/>
      </c>
      <c r="AV237" s="14" t="str">
        <f>IF(AND(ISNUMBER($I237),OR($K237="Milestone",$K237="Deadline"),$I237&gt;=AV$4,$I237&lt;AV$4+7),IF($K237="Deadline","◇","◆"),"")</f>
        <v/>
      </c>
      <c r="AW237" s="14" t="str">
        <f>IF(AND(ISNUMBER($I237),OR($K237="Milestone",$K237="Deadline"),$I237&gt;=AW$4,$I237&lt;AW$4+7),IF($K237="Deadline","◇","◆"),"")</f>
        <v/>
      </c>
      <c r="AX237" s="14" t="str">
        <f>IF(AND(ISNUMBER($I237),OR($K237="Milestone",$K237="Deadline"),$I237&gt;=AX$4,$I237&lt;AX$4+7),IF($K237="Deadline","◇","◆"),"")</f>
        <v/>
      </c>
      <c r="AY237" s="14" t="str">
        <f>IF(AND(ISNUMBER($I237),OR($K237="Milestone",$K237="Deadline"),$I237&gt;=AY$4,$I237&lt;AY$4+7),IF($K237="Deadline","◇","◆"),"")</f>
        <v/>
      </c>
      <c r="AZ237" s="14" t="str">
        <f>IF(AND(ISNUMBER($I237),OR($K237="Milestone",$K237="Deadline"),$I237&gt;=AZ$4,$I237&lt;AZ$4+7),IF($K237="Deadline","◇","◆"),"")</f>
        <v/>
      </c>
      <c r="BA237" s="14" t="str">
        <f>IF(AND(ISNUMBER($I237),OR($K237="Milestone",$K237="Deadline"),$I237&gt;=BA$4,$I237&lt;BA$4+7),IF($K237="Deadline","◇","◆"),"")</f>
        <v/>
      </c>
      <c r="BB237" s="14" t="str">
        <f>IF(AND(ISNUMBER($I237),OR($K237="Milestone",$K237="Deadline"),$I237&gt;=BB$4,$I237&lt;BB$4+7),IF($K237="Deadline","◇","◆"),"")</f>
        <v/>
      </c>
      <c r="BC237" s="14" t="str">
        <f>IF(AND(ISNUMBER($I237),OR($K237="Milestone",$K237="Deadline"),$I237&gt;=BC$4,$I237&lt;BC$4+7),IF($K237="Deadline","◇","◆"),"")</f>
        <v/>
      </c>
      <c r="BD237" s="14" t="str">
        <f>IF(AND(ISNUMBER($I237),OR($K237="Milestone",$K237="Deadline"),$I237&gt;=BD$4,$I237&lt;BD$4+7),IF($K237="Deadline","◇","◆"),"")</f>
        <v/>
      </c>
      <c r="BE237" s="14" t="str">
        <f>IF(AND(ISNUMBER($I237),OR($K237="Milestone",$K237="Deadline"),$I237&gt;=BE$4,$I237&lt;BE$4+7),IF($K237="Deadline","◇","◆"),"")</f>
        <v/>
      </c>
      <c r="BF237" s="14" t="str">
        <f>IF(AND(ISNUMBER($I237),OR($K237="Milestone",$K237="Deadline"),$I237&gt;=BF$4,$I237&lt;BF$4+7),IF($K237="Deadline","◇","◆"),"")</f>
        <v/>
      </c>
      <c r="BG237" s="14" t="str">
        <f>IF(AND(ISNUMBER($I237),OR($K237="Milestone",$K237="Deadline"),$I237&gt;=BG$4,$I237&lt;BG$4+7),IF($K237="Deadline","◇","◆"),"")</f>
        <v/>
      </c>
      <c r="BH237" s="14" t="str">
        <f>IF(AND(ISNUMBER($I237),OR($K237="Milestone",$K237="Deadline"),$I237&gt;=BH$4,$I237&lt;BH$4+7),IF($K237="Deadline","◇","◆"),"")</f>
        <v/>
      </c>
      <c r="BI237" s="14" t="str">
        <f>IF(AND(ISNUMBER($I237),OR($K237="Milestone",$K237="Deadline"),$I237&gt;=BI$4,$I237&lt;BI$4+7),IF($K237="Deadline","◇","◆"),"")</f>
        <v/>
      </c>
      <c r="BJ237" s="14" t="str">
        <f>IF(AND(ISNUMBER($I237),OR($K237="Milestone",$K237="Deadline"),$I237&gt;=BJ$4,$I237&lt;BJ$4+7),IF($K237="Deadline","◇","◆"),"")</f>
        <v/>
      </c>
      <c r="BK237" s="14" t="str">
        <f>IF(AND(ISNUMBER($I237),OR($K237="Milestone",$K237="Deadline"),$I237&gt;=BK$4,$I237&lt;BK$4+7),IF($K237="Deadline","◇","◆"),"")</f>
        <v/>
      </c>
      <c r="BL237" s="14" t="str">
        <f>IF(AND(ISNUMBER($I237),OR($K237="Milestone",$K237="Deadline"),$I237&gt;=BL$4,$I237&lt;BL$4+7),IF($K237="Deadline","◇","◆"),"")</f>
        <v/>
      </c>
      <c r="BM237" s="14" t="str">
        <f>IF(AND(ISNUMBER($I237),OR($K237="Milestone",$K237="Deadline"),$I237&gt;=BM$4,$I237&lt;BM$4+7),IF($K237="Deadline","◇","◆"),"")</f>
        <v/>
      </c>
      <c r="BN237" s="14" t="str">
        <f>IF(AND(ISNUMBER($I237),OR($K237="Milestone",$K237="Deadline"),$I237&gt;=BN$4,$I237&lt;BN$4+7),IF($K237="Deadline","◇","◆"),"")</f>
        <v/>
      </c>
      <c r="BO237" s="14" t="str">
        <f>IF(AND(ISNUMBER($I237),OR($K237="Milestone",$K237="Deadline"),$I237&gt;=BO$4,$I237&lt;BO$4+7),IF($K237="Deadline","◇","◆"),"")</f>
        <v/>
      </c>
      <c r="BP237" s="14" t="str">
        <f>IF(AND(ISNUMBER($I237),OR($K237="Milestone",$K237="Deadline"),$I237&gt;=BP$4,$I237&lt;BP$4+7),IF($K237="Deadline","◇","◆"),"")</f>
        <v/>
      </c>
      <c r="BQ237" s="14" t="str">
        <f>IF(AND(ISNUMBER($I237),OR($K237="Milestone",$K237="Deadline"),$I237&gt;=BQ$4,$I237&lt;BQ$4+7),IF($K237="Deadline","◇","◆"),"")</f>
        <v/>
      </c>
      <c r="BR237" s="14" t="str">
        <f>IF(AND(ISNUMBER($I237),OR($K237="Milestone",$K237="Deadline"),$I237&gt;=BR$4,$I237&lt;BR$4+7),IF($K237="Deadline","◇","◆"),"")</f>
        <v/>
      </c>
      <c r="BS237" s="14" t="str">
        <f>IF(AND(ISNUMBER($I237),OR($K237="Milestone",$K237="Deadline"),$I237&gt;=BS$4,$I237&lt;BS$4+7),IF($K237="Deadline","◇","◆"),"")</f>
        <v/>
      </c>
      <c r="BT237" s="14" t="str">
        <f>IF(AND(ISNUMBER($I237),OR($K237="Milestone",$K237="Deadline"),$I237&gt;=BT$4,$I237&lt;BT$4+7),IF($K237="Deadline","◇","◆"),"")</f>
        <v/>
      </c>
      <c r="BU237" s="14" t="str">
        <f>IF(AND(ISNUMBER($I237),OR($K237="Milestone",$K237="Deadline"),$I237&gt;=BU$4,$I237&lt;BU$4+7),IF($K237="Deadline","◇","◆"),"")</f>
        <v/>
      </c>
      <c r="BV237" s="14" t="str">
        <f>IF(AND(ISNUMBER($I237),OR($K237="Milestone",$K237="Deadline"),$I237&gt;=BV$4,$I237&lt;BV$4+7),IF($K237="Deadline","◇","◆"),"")</f>
        <v/>
      </c>
      <c r="BW237" s="14" t="str">
        <f>IF(AND(ISNUMBER($I237),OR($K237="Milestone",$K237="Deadline"),$I237&gt;=BW$4,$I237&lt;BW$4+7),IF($K237="Deadline","◇","◆"),"")</f>
        <v/>
      </c>
      <c r="BX237" s="14" t="str">
        <f>IF(AND(ISNUMBER($I237),OR($K237="Milestone",$K237="Deadline"),$I237&gt;=BX$4,$I237&lt;BX$4+7),IF($K237="Deadline","◇","◆"),"")</f>
        <v/>
      </c>
      <c r="BY237" s="14" t="str">
        <f>IF(AND(ISNUMBER($I237),OR($K237="Milestone",$K237="Deadline"),$I237&gt;=BY$4,$I237&lt;BY$4+7),IF($K237="Deadline","◇","◆"),"")</f>
        <v/>
      </c>
      <c r="BZ237" s="14" t="str">
        <f>IF(AND(ISNUMBER($I237),OR($K237="Milestone",$K237="Deadline"),$I237&gt;=BZ$4,$I237&lt;BZ$4+7),IF($K237="Deadline","◇","◆"),"")</f>
        <v/>
      </c>
      <c r="CA237" s="14" t="str">
        <f>IF(AND(ISNUMBER($I237),OR($K237="Milestone",$K237="Deadline"),$I237&gt;=CA$4,$I237&lt;CA$4+7),IF($K237="Deadline","◇","◆"),"")</f>
        <v/>
      </c>
      <c r="CB237" s="14" t="str">
        <f>IF(AND(ISNUMBER($I237),OR($K237="Milestone",$K237="Deadline"),$I237&gt;=CB$4,$I237&lt;CB$4+7),IF($K237="Deadline","◇","◆"),"")</f>
        <v/>
      </c>
      <c r="CC237" s="14" t="str">
        <f>IF(AND(ISNUMBER($I237),OR($K237="Milestone",$K237="Deadline"),$I237&gt;=CC$4,$I237&lt;CC$4+7),IF($K237="Deadline","◇","◆"),"")</f>
        <v/>
      </c>
      <c r="CD237" s="14" t="str">
        <f>IF(AND(ISNUMBER($I237),OR($K237="Milestone",$K237="Deadline"),$I237&gt;=CD$4,$I237&lt;CD$4+7),IF($K237="Deadline","◇","◆"),"")</f>
        <v/>
      </c>
      <c r="CE237" s="14" t="str">
        <f>IF(AND(ISNUMBER($I237),OR($K237="Milestone",$K237="Deadline"),$I237&gt;=CE$4,$I237&lt;CE$4+7),IF($K237="Deadline","◇","◆"),"")</f>
        <v/>
      </c>
      <c r="CF237" s="14" t="str">
        <f>IF(AND(ISNUMBER($I237),OR($K237="Milestone",$K237="Deadline"),$I237&gt;=CF$4,$I237&lt;CF$4+7),IF($K237="Deadline","◇","◆"),"")</f>
        <v/>
      </c>
      <c r="CG237" s="14" t="str">
        <f>IF(AND(ISNUMBER($I237),OR($K237="Milestone",$K237="Deadline"),$I237&gt;=CG$4,$I237&lt;CG$4+7),IF($K237="Deadline","◇","◆"),"")</f>
        <v/>
      </c>
      <c r="CH237" s="14" t="str">
        <f>IF(AND(ISNUMBER($I237),OR($K237="Milestone",$K237="Deadline"),$I237&gt;=CH$4,$I237&lt;CH$4+7),IF($K237="Deadline","◇","◆"),"")</f>
        <v/>
      </c>
      <c r="CI237" s="14" t="str">
        <f>IF(AND(ISNUMBER($I237),OR($K237="Milestone",$K237="Deadline"),$I237&gt;=CI$4,$I237&lt;CI$4+7),IF($K237="Deadline","◇","◆"),"")</f>
        <v/>
      </c>
      <c r="CJ237" s="14" t="str">
        <f>IF(AND(ISNUMBER($I237),OR($K237="Milestone",$K237="Deadline"),$I237&gt;=CJ$4,$I237&lt;CJ$4+7),IF($K237="Deadline","◇","◆"),"")</f>
        <v/>
      </c>
      <c r="CK237" s="14" t="str">
        <f>IF(AND(ISNUMBER($I237),OR($K237="Milestone",$K237="Deadline"),$I237&gt;=CK$4,$I237&lt;CK$4+7),IF($K237="Deadline","◇","◆"),"")</f>
        <v/>
      </c>
      <c r="CL237" s="14" t="str">
        <f>IF(AND(ISNUMBER($I237),OR($K237="Milestone",$K237="Deadline"),$I237&gt;=CL$4,$I237&lt;CL$4+7),IF($K237="Deadline","◇","◆"),"")</f>
        <v/>
      </c>
      <c r="CM237" s="14" t="str">
        <f>IF(AND(ISNUMBER($I237),OR($K237="Milestone",$K237="Deadline"),$I237&gt;=CM$4,$I237&lt;CM$4+7),IF($K237="Deadline","◇","◆"),"")</f>
        <v/>
      </c>
    </row>
    <row r="238" spans="1:91" hidden="1">
      <c r="A238" s="9" t="s">
        <v>496</v>
      </c>
      <c r="B238" s="9" t="s">
        <v>487</v>
      </c>
      <c r="C238" s="9" t="s">
        <v>221</v>
      </c>
      <c r="D238" s="9" t="s">
        <v>168</v>
      </c>
      <c r="E238" s="9"/>
      <c r="F238" s="9" t="s">
        <v>216</v>
      </c>
      <c r="G238" s="9" t="s">
        <v>222</v>
      </c>
      <c r="H238" s="9">
        <v>7</v>
      </c>
      <c r="I238" s="51">
        <f>MAX($C$2,J235+1,J251+1,J203+1)</f>
        <v>46524</v>
      </c>
      <c r="J238" s="11">
        <f>IF(AND(ISNUMBER(I238),ISNUMBER(H238)),I238+H238-1,"")</f>
        <v>46530</v>
      </c>
      <c r="K238" s="9" t="s">
        <v>27</v>
      </c>
      <c r="L238" s="9" t="s">
        <v>493</v>
      </c>
      <c r="M238" s="12" t="s">
        <v>497</v>
      </c>
      <c r="N238" s="9"/>
      <c r="O238" s="12">
        <f>IF(AND(ISNUMBER(I238),ISNUMBER(J238)),J238-I238+1,"")</f>
        <v>7</v>
      </c>
      <c r="P238" s="13"/>
      <c r="Q238" s="13"/>
      <c r="R238" s="13"/>
      <c r="S238" s="13" t="s">
        <v>140</v>
      </c>
      <c r="T238" s="13"/>
      <c r="U238" s="13"/>
      <c r="V238" s="13"/>
      <c r="W238" s="13"/>
      <c r="X238" s="13"/>
      <c r="Y238" s="13"/>
      <c r="Z238" s="13"/>
      <c r="AA238" s="13"/>
      <c r="AB238" s="13"/>
      <c r="AC238" s="13" t="s">
        <v>140</v>
      </c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4" t="str">
        <f>IF(AND(ISNUMBER($I238),OR($K238="Milestone",$K238="Deadline"),$I238&gt;=AO$4,$I238&lt;AO$4+7),IF($K238="Deadline","◇","◆"),"")</f>
        <v/>
      </c>
      <c r="AP238" s="14" t="str">
        <f>IF(AND(ISNUMBER($I238),OR($K238="Milestone",$K238="Deadline"),$I238&gt;=AP$4,$I238&lt;AP$4+7),IF($K238="Deadline","◇","◆"),"")</f>
        <v/>
      </c>
      <c r="AQ238" s="14" t="str">
        <f>IF(AND(ISNUMBER($I238),OR($K238="Milestone",$K238="Deadline"),$I238&gt;=AQ$4,$I238&lt;AQ$4+7),IF($K238="Deadline","◇","◆"),"")</f>
        <v/>
      </c>
      <c r="AR238" s="14" t="str">
        <f>IF(AND(ISNUMBER($I238),OR($K238="Milestone",$K238="Deadline"),$I238&gt;=AR$4,$I238&lt;AR$4+7),IF($K238="Deadline","◇","◆"),"")</f>
        <v/>
      </c>
      <c r="AS238" s="14" t="str">
        <f>IF(AND(ISNUMBER($I238),OR($K238="Milestone",$K238="Deadline"),$I238&gt;=AS$4,$I238&lt;AS$4+7),IF($K238="Deadline","◇","◆"),"")</f>
        <v/>
      </c>
      <c r="AT238" s="14" t="str">
        <f>IF(AND(ISNUMBER($I238),OR($K238="Milestone",$K238="Deadline"),$I238&gt;=AT$4,$I238&lt;AT$4+7),IF($K238="Deadline","◇","◆"),"")</f>
        <v/>
      </c>
      <c r="AU238" s="14" t="str">
        <f>IF(AND(ISNUMBER($I238),OR($K238="Milestone",$K238="Deadline"),$I238&gt;=AU$4,$I238&lt;AU$4+7),IF($K238="Deadline","◇","◆"),"")</f>
        <v/>
      </c>
      <c r="AV238" s="14" t="str">
        <f>IF(AND(ISNUMBER($I238),OR($K238="Milestone",$K238="Deadline"),$I238&gt;=AV$4,$I238&lt;AV$4+7),IF($K238="Deadline","◇","◆"),"")</f>
        <v/>
      </c>
      <c r="AW238" s="14" t="str">
        <f>IF(AND(ISNUMBER($I238),OR($K238="Milestone",$K238="Deadline"),$I238&gt;=AW$4,$I238&lt;AW$4+7),IF($K238="Deadline","◇","◆"),"")</f>
        <v/>
      </c>
      <c r="AX238" s="14" t="str">
        <f>IF(AND(ISNUMBER($I238),OR($K238="Milestone",$K238="Deadline"),$I238&gt;=AX$4,$I238&lt;AX$4+7),IF($K238="Deadline","◇","◆"),"")</f>
        <v/>
      </c>
      <c r="AY238" s="14" t="str">
        <f>IF(AND(ISNUMBER($I238),OR($K238="Milestone",$K238="Deadline"),$I238&gt;=AY$4,$I238&lt;AY$4+7),IF($K238="Deadline","◇","◆"),"")</f>
        <v/>
      </c>
      <c r="AZ238" s="14" t="str">
        <f>IF(AND(ISNUMBER($I238),OR($K238="Milestone",$K238="Deadline"),$I238&gt;=AZ$4,$I238&lt;AZ$4+7),IF($K238="Deadline","◇","◆"),"")</f>
        <v/>
      </c>
      <c r="BA238" s="14" t="str">
        <f>IF(AND(ISNUMBER($I238),OR($K238="Milestone",$K238="Deadline"),$I238&gt;=BA$4,$I238&lt;BA$4+7),IF($K238="Deadline","◇","◆"),"")</f>
        <v/>
      </c>
      <c r="BB238" s="14" t="str">
        <f>IF(AND(ISNUMBER($I238),OR($K238="Milestone",$K238="Deadline"),$I238&gt;=BB$4,$I238&lt;BB$4+7),IF($K238="Deadline","◇","◆"),"")</f>
        <v/>
      </c>
      <c r="BC238" s="14" t="str">
        <f>IF(AND(ISNUMBER($I238),OR($K238="Milestone",$K238="Deadline"),$I238&gt;=BC$4,$I238&lt;BC$4+7),IF($K238="Deadline","◇","◆"),"")</f>
        <v/>
      </c>
      <c r="BD238" s="14" t="str">
        <f>IF(AND(ISNUMBER($I238),OR($K238="Milestone",$K238="Deadline"),$I238&gt;=BD$4,$I238&lt;BD$4+7),IF($K238="Deadline","◇","◆"),"")</f>
        <v/>
      </c>
      <c r="BE238" s="14" t="str">
        <f>IF(AND(ISNUMBER($I238),OR($K238="Milestone",$K238="Deadline"),$I238&gt;=BE$4,$I238&lt;BE$4+7),IF($K238="Deadline","◇","◆"),"")</f>
        <v/>
      </c>
      <c r="BF238" s="14" t="str">
        <f>IF(AND(ISNUMBER($I238),OR($K238="Milestone",$K238="Deadline"),$I238&gt;=BF$4,$I238&lt;BF$4+7),IF($K238="Deadline","◇","◆"),"")</f>
        <v/>
      </c>
      <c r="BG238" s="14" t="str">
        <f>IF(AND(ISNUMBER($I238),OR($K238="Milestone",$K238="Deadline"),$I238&gt;=BG$4,$I238&lt;BG$4+7),IF($K238="Deadline","◇","◆"),"")</f>
        <v/>
      </c>
      <c r="BH238" s="14" t="str">
        <f>IF(AND(ISNUMBER($I238),OR($K238="Milestone",$K238="Deadline"),$I238&gt;=BH$4,$I238&lt;BH$4+7),IF($K238="Deadline","◇","◆"),"")</f>
        <v/>
      </c>
      <c r="BI238" s="14" t="str">
        <f>IF(AND(ISNUMBER($I238),OR($K238="Milestone",$K238="Deadline"),$I238&gt;=BI$4,$I238&lt;BI$4+7),IF($K238="Deadline","◇","◆"),"")</f>
        <v/>
      </c>
      <c r="BJ238" s="14" t="str">
        <f>IF(AND(ISNUMBER($I238),OR($K238="Milestone",$K238="Deadline"),$I238&gt;=BJ$4,$I238&lt;BJ$4+7),IF($K238="Deadline","◇","◆"),"")</f>
        <v/>
      </c>
      <c r="BK238" s="14" t="str">
        <f>IF(AND(ISNUMBER($I238),OR($K238="Milestone",$K238="Deadline"),$I238&gt;=BK$4,$I238&lt;BK$4+7),IF($K238="Deadline","◇","◆"),"")</f>
        <v/>
      </c>
      <c r="BL238" s="14" t="str">
        <f>IF(AND(ISNUMBER($I238),OR($K238="Milestone",$K238="Deadline"),$I238&gt;=BL$4,$I238&lt;BL$4+7),IF($K238="Deadline","◇","◆"),"")</f>
        <v/>
      </c>
      <c r="BM238" s="14" t="str">
        <f>IF(AND(ISNUMBER($I238),OR($K238="Milestone",$K238="Deadline"),$I238&gt;=BM$4,$I238&lt;BM$4+7),IF($K238="Deadline","◇","◆"),"")</f>
        <v/>
      </c>
      <c r="BN238" s="14" t="str">
        <f>IF(AND(ISNUMBER($I238),OR($K238="Milestone",$K238="Deadline"),$I238&gt;=BN$4,$I238&lt;BN$4+7),IF($K238="Deadline","◇","◆"),"")</f>
        <v/>
      </c>
      <c r="BO238" s="14" t="str">
        <f>IF(AND(ISNUMBER($I238),OR($K238="Milestone",$K238="Deadline"),$I238&gt;=BO$4,$I238&lt;BO$4+7),IF($K238="Deadline","◇","◆"),"")</f>
        <v/>
      </c>
      <c r="BP238" s="14" t="str">
        <f>IF(AND(ISNUMBER($I238),OR($K238="Milestone",$K238="Deadline"),$I238&gt;=BP$4,$I238&lt;BP$4+7),IF($K238="Deadline","◇","◆"),"")</f>
        <v/>
      </c>
      <c r="BQ238" s="14" t="str">
        <f>IF(AND(ISNUMBER($I238),OR($K238="Milestone",$K238="Deadline"),$I238&gt;=BQ$4,$I238&lt;BQ$4+7),IF($K238="Deadline","◇","◆"),"")</f>
        <v/>
      </c>
      <c r="BR238" s="14" t="str">
        <f>IF(AND(ISNUMBER($I238),OR($K238="Milestone",$K238="Deadline"),$I238&gt;=BR$4,$I238&lt;BR$4+7),IF($K238="Deadline","◇","◆"),"")</f>
        <v/>
      </c>
      <c r="BS238" s="14" t="str">
        <f>IF(AND(ISNUMBER($I238),OR($K238="Milestone",$K238="Deadline"),$I238&gt;=BS$4,$I238&lt;BS$4+7),IF($K238="Deadline","◇","◆"),"")</f>
        <v/>
      </c>
      <c r="BT238" s="14" t="str">
        <f>IF(AND(ISNUMBER($I238),OR($K238="Milestone",$K238="Deadline"),$I238&gt;=BT$4,$I238&lt;BT$4+7),IF($K238="Deadline","◇","◆"),"")</f>
        <v/>
      </c>
      <c r="BU238" s="14" t="str">
        <f>IF(AND(ISNUMBER($I238),OR($K238="Milestone",$K238="Deadline"),$I238&gt;=BU$4,$I238&lt;BU$4+7),IF($K238="Deadline","◇","◆"),"")</f>
        <v/>
      </c>
      <c r="BV238" s="14" t="str">
        <f>IF(AND(ISNUMBER($I238),OR($K238="Milestone",$K238="Deadline"),$I238&gt;=BV$4,$I238&lt;BV$4+7),IF($K238="Deadline","◇","◆"),"")</f>
        <v/>
      </c>
      <c r="BW238" s="14" t="str">
        <f>IF(AND(ISNUMBER($I238),OR($K238="Milestone",$K238="Deadline"),$I238&gt;=BW$4,$I238&lt;BW$4+7),IF($K238="Deadline","◇","◆"),"")</f>
        <v/>
      </c>
      <c r="BX238" s="14" t="str">
        <f>IF(AND(ISNUMBER($I238),OR($K238="Milestone",$K238="Deadline"),$I238&gt;=BX$4,$I238&lt;BX$4+7),IF($K238="Deadline","◇","◆"),"")</f>
        <v/>
      </c>
      <c r="BY238" s="14" t="str">
        <f>IF(AND(ISNUMBER($I238),OR($K238="Milestone",$K238="Deadline"),$I238&gt;=BY$4,$I238&lt;BY$4+7),IF($K238="Deadline","◇","◆"),"")</f>
        <v/>
      </c>
      <c r="BZ238" s="14" t="str">
        <f>IF(AND(ISNUMBER($I238),OR($K238="Milestone",$K238="Deadline"),$I238&gt;=BZ$4,$I238&lt;BZ$4+7),IF($K238="Deadline","◇","◆"),"")</f>
        <v/>
      </c>
      <c r="CA238" s="14" t="str">
        <f>IF(AND(ISNUMBER($I238),OR($K238="Milestone",$K238="Deadline"),$I238&gt;=CA$4,$I238&lt;CA$4+7),IF($K238="Deadline","◇","◆"),"")</f>
        <v/>
      </c>
      <c r="CB238" s="14" t="str">
        <f>IF(AND(ISNUMBER($I238),OR($K238="Milestone",$K238="Deadline"),$I238&gt;=CB$4,$I238&lt;CB$4+7),IF($K238="Deadline","◇","◆"),"")</f>
        <v/>
      </c>
      <c r="CC238" s="14" t="str">
        <f>IF(AND(ISNUMBER($I238),OR($K238="Milestone",$K238="Deadline"),$I238&gt;=CC$4,$I238&lt;CC$4+7),IF($K238="Deadline","◇","◆"),"")</f>
        <v/>
      </c>
      <c r="CD238" s="14" t="str">
        <f>IF(AND(ISNUMBER($I238),OR($K238="Milestone",$K238="Deadline"),$I238&gt;=CD$4,$I238&lt;CD$4+7),IF($K238="Deadline","◇","◆"),"")</f>
        <v/>
      </c>
      <c r="CE238" s="14" t="str">
        <f>IF(AND(ISNUMBER($I238),OR($K238="Milestone",$K238="Deadline"),$I238&gt;=CE$4,$I238&lt;CE$4+7),IF($K238="Deadline","◇","◆"),"")</f>
        <v/>
      </c>
      <c r="CF238" s="14" t="str">
        <f>IF(AND(ISNUMBER($I238),OR($K238="Milestone",$K238="Deadline"),$I238&gt;=CF$4,$I238&lt;CF$4+7),IF($K238="Deadline","◇","◆"),"")</f>
        <v/>
      </c>
      <c r="CG238" s="14" t="str">
        <f>IF(AND(ISNUMBER($I238),OR($K238="Milestone",$K238="Deadline"),$I238&gt;=CG$4,$I238&lt;CG$4+7),IF($K238="Deadline","◇","◆"),"")</f>
        <v/>
      </c>
      <c r="CH238" s="14" t="str">
        <f>IF(AND(ISNUMBER($I238),OR($K238="Milestone",$K238="Deadline"),$I238&gt;=CH$4,$I238&lt;CH$4+7),IF($K238="Deadline","◇","◆"),"")</f>
        <v/>
      </c>
      <c r="CI238" s="14" t="str">
        <f>IF(AND(ISNUMBER($I238),OR($K238="Milestone",$K238="Deadline"),$I238&gt;=CI$4,$I238&lt;CI$4+7),IF($K238="Deadline","◇","◆"),"")</f>
        <v/>
      </c>
      <c r="CJ238" s="14" t="str">
        <f>IF(AND(ISNUMBER($I238),OR($K238="Milestone",$K238="Deadline"),$I238&gt;=CJ$4,$I238&lt;CJ$4+7),IF($K238="Deadline","◇","◆"),"")</f>
        <v/>
      </c>
      <c r="CK238" s="14" t="str">
        <f>IF(AND(ISNUMBER($I238),OR($K238="Milestone",$K238="Deadline"),$I238&gt;=CK$4,$I238&lt;CK$4+7),IF($K238="Deadline","◇","◆"),"")</f>
        <v/>
      </c>
      <c r="CL238" s="14" t="str">
        <f>IF(AND(ISNUMBER($I238),OR($K238="Milestone",$K238="Deadline"),$I238&gt;=CL$4,$I238&lt;CL$4+7),IF($K238="Deadline","◇","◆"),"")</f>
        <v/>
      </c>
      <c r="CM238" s="14" t="str">
        <f>IF(AND(ISNUMBER($I238),OR($K238="Milestone",$K238="Deadline"),$I238&gt;=CM$4,$I238&lt;CM$4+7),IF($K238="Deadline","◇","◆"),"")</f>
        <v/>
      </c>
    </row>
    <row r="239" spans="1:91" hidden="1">
      <c r="A239" s="9" t="s">
        <v>498</v>
      </c>
      <c r="B239" s="9" t="s">
        <v>487</v>
      </c>
      <c r="C239" s="9" t="s">
        <v>226</v>
      </c>
      <c r="D239" s="9" t="s">
        <v>168</v>
      </c>
      <c r="E239" s="9"/>
      <c r="F239" s="9" t="s">
        <v>216</v>
      </c>
      <c r="G239" s="9" t="s">
        <v>227</v>
      </c>
      <c r="H239" s="9">
        <v>7</v>
      </c>
      <c r="I239" s="51">
        <f>MAX($C$2,J228+1)</f>
        <v>46476</v>
      </c>
      <c r="J239" s="11">
        <f>IF(AND(ISNUMBER(I239),ISNUMBER(H239)),I239+H239-1,"")</f>
        <v>46482</v>
      </c>
      <c r="K239" s="9" t="s">
        <v>27</v>
      </c>
      <c r="L239" s="9"/>
      <c r="M239" s="12" t="s">
        <v>484</v>
      </c>
      <c r="N239" s="9"/>
      <c r="O239" s="12">
        <f>IF(AND(ISNUMBER(I239),ISNUMBER(J239)),J239-I239+1,"")</f>
        <v>7</v>
      </c>
      <c r="P239" s="13" t="s">
        <v>140</v>
      </c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  <c r="AC239" s="13"/>
      <c r="AD239" s="13"/>
      <c r="AE239" s="13"/>
      <c r="AF239" s="13"/>
      <c r="AG239" s="13"/>
      <c r="AH239" s="13"/>
      <c r="AI239" s="13"/>
      <c r="AJ239" s="13"/>
      <c r="AK239" s="13"/>
      <c r="AL239" s="13"/>
      <c r="AM239" s="13"/>
      <c r="AN239" s="13"/>
      <c r="AO239" s="14" t="str">
        <f>IF(AND(ISNUMBER($I239),OR($K239="Milestone",$K239="Deadline"),$I239&gt;=AO$4,$I239&lt;AO$4+7),IF($K239="Deadline","◇","◆"),"")</f>
        <v/>
      </c>
      <c r="AP239" s="14" t="str">
        <f>IF(AND(ISNUMBER($I239),OR($K239="Milestone",$K239="Deadline"),$I239&gt;=AP$4,$I239&lt;AP$4+7),IF($K239="Deadline","◇","◆"),"")</f>
        <v/>
      </c>
      <c r="AQ239" s="14" t="str">
        <f>IF(AND(ISNUMBER($I239),OR($K239="Milestone",$K239="Deadline"),$I239&gt;=AQ$4,$I239&lt;AQ$4+7),IF($K239="Deadline","◇","◆"),"")</f>
        <v/>
      </c>
      <c r="AR239" s="14" t="str">
        <f>IF(AND(ISNUMBER($I239),OR($K239="Milestone",$K239="Deadline"),$I239&gt;=AR$4,$I239&lt;AR$4+7),IF($K239="Deadline","◇","◆"),"")</f>
        <v/>
      </c>
      <c r="AS239" s="14" t="str">
        <f>IF(AND(ISNUMBER($I239),OR($K239="Milestone",$K239="Deadline"),$I239&gt;=AS$4,$I239&lt;AS$4+7),IF($K239="Deadline","◇","◆"),"")</f>
        <v/>
      </c>
      <c r="AT239" s="14" t="str">
        <f>IF(AND(ISNUMBER($I239),OR($K239="Milestone",$K239="Deadline"),$I239&gt;=AT$4,$I239&lt;AT$4+7),IF($K239="Deadline","◇","◆"),"")</f>
        <v/>
      </c>
      <c r="AU239" s="14" t="str">
        <f>IF(AND(ISNUMBER($I239),OR($K239="Milestone",$K239="Deadline"),$I239&gt;=AU$4,$I239&lt;AU$4+7),IF($K239="Deadline","◇","◆"),"")</f>
        <v/>
      </c>
      <c r="AV239" s="14" t="str">
        <f>IF(AND(ISNUMBER($I239),OR($K239="Milestone",$K239="Deadline"),$I239&gt;=AV$4,$I239&lt;AV$4+7),IF($K239="Deadline","◇","◆"),"")</f>
        <v/>
      </c>
      <c r="AW239" s="14" t="str">
        <f>IF(AND(ISNUMBER($I239),OR($K239="Milestone",$K239="Deadline"),$I239&gt;=AW$4,$I239&lt;AW$4+7),IF($K239="Deadline","◇","◆"),"")</f>
        <v/>
      </c>
      <c r="AX239" s="14" t="str">
        <f>IF(AND(ISNUMBER($I239),OR($K239="Milestone",$K239="Deadline"),$I239&gt;=AX$4,$I239&lt;AX$4+7),IF($K239="Deadline","◇","◆"),"")</f>
        <v/>
      </c>
      <c r="AY239" s="14" t="str">
        <f>IF(AND(ISNUMBER($I239),OR($K239="Milestone",$K239="Deadline"),$I239&gt;=AY$4,$I239&lt;AY$4+7),IF($K239="Deadline","◇","◆"),"")</f>
        <v/>
      </c>
      <c r="AZ239" s="14" t="str">
        <f>IF(AND(ISNUMBER($I239),OR($K239="Milestone",$K239="Deadline"),$I239&gt;=AZ$4,$I239&lt;AZ$4+7),IF($K239="Deadline","◇","◆"),"")</f>
        <v/>
      </c>
      <c r="BA239" s="14" t="str">
        <f>IF(AND(ISNUMBER($I239),OR($K239="Milestone",$K239="Deadline"),$I239&gt;=BA$4,$I239&lt;BA$4+7),IF($K239="Deadline","◇","◆"),"")</f>
        <v/>
      </c>
      <c r="BB239" s="14" t="str">
        <f>IF(AND(ISNUMBER($I239),OR($K239="Milestone",$K239="Deadline"),$I239&gt;=BB$4,$I239&lt;BB$4+7),IF($K239="Deadline","◇","◆"),"")</f>
        <v/>
      </c>
      <c r="BC239" s="14" t="str">
        <f>IF(AND(ISNUMBER($I239),OR($K239="Milestone",$K239="Deadline"),$I239&gt;=BC$4,$I239&lt;BC$4+7),IF($K239="Deadline","◇","◆"),"")</f>
        <v/>
      </c>
      <c r="BD239" s="14" t="str">
        <f>IF(AND(ISNUMBER($I239),OR($K239="Milestone",$K239="Deadline"),$I239&gt;=BD$4,$I239&lt;BD$4+7),IF($K239="Deadline","◇","◆"),"")</f>
        <v/>
      </c>
      <c r="BE239" s="14" t="str">
        <f>IF(AND(ISNUMBER($I239),OR($K239="Milestone",$K239="Deadline"),$I239&gt;=BE$4,$I239&lt;BE$4+7),IF($K239="Deadline","◇","◆"),"")</f>
        <v/>
      </c>
      <c r="BF239" s="14" t="str">
        <f>IF(AND(ISNUMBER($I239),OR($K239="Milestone",$K239="Deadline"),$I239&gt;=BF$4,$I239&lt;BF$4+7),IF($K239="Deadline","◇","◆"),"")</f>
        <v/>
      </c>
      <c r="BG239" s="14" t="str">
        <f>IF(AND(ISNUMBER($I239),OR($K239="Milestone",$K239="Deadline"),$I239&gt;=BG$4,$I239&lt;BG$4+7),IF($K239="Deadline","◇","◆"),"")</f>
        <v/>
      </c>
      <c r="BH239" s="14" t="str">
        <f>IF(AND(ISNUMBER($I239),OR($K239="Milestone",$K239="Deadline"),$I239&gt;=BH$4,$I239&lt;BH$4+7),IF($K239="Deadline","◇","◆"),"")</f>
        <v/>
      </c>
      <c r="BI239" s="14" t="str">
        <f>IF(AND(ISNUMBER($I239),OR($K239="Milestone",$K239="Deadline"),$I239&gt;=BI$4,$I239&lt;BI$4+7),IF($K239="Deadline","◇","◆"),"")</f>
        <v/>
      </c>
      <c r="BJ239" s="14" t="str">
        <f>IF(AND(ISNUMBER($I239),OR($K239="Milestone",$K239="Deadline"),$I239&gt;=BJ$4,$I239&lt;BJ$4+7),IF($K239="Deadline","◇","◆"),"")</f>
        <v/>
      </c>
      <c r="BK239" s="14" t="str">
        <f>IF(AND(ISNUMBER($I239),OR($K239="Milestone",$K239="Deadline"),$I239&gt;=BK$4,$I239&lt;BK$4+7),IF($K239="Deadline","◇","◆"),"")</f>
        <v/>
      </c>
      <c r="BL239" s="14" t="str">
        <f>IF(AND(ISNUMBER($I239),OR($K239="Milestone",$K239="Deadline"),$I239&gt;=BL$4,$I239&lt;BL$4+7),IF($K239="Deadline","◇","◆"),"")</f>
        <v/>
      </c>
      <c r="BM239" s="14" t="str">
        <f>IF(AND(ISNUMBER($I239),OR($K239="Milestone",$K239="Deadline"),$I239&gt;=BM$4,$I239&lt;BM$4+7),IF($K239="Deadline","◇","◆"),"")</f>
        <v/>
      </c>
      <c r="BN239" s="14" t="str">
        <f>IF(AND(ISNUMBER($I239),OR($K239="Milestone",$K239="Deadline"),$I239&gt;=BN$4,$I239&lt;BN$4+7),IF($K239="Deadline","◇","◆"),"")</f>
        <v/>
      </c>
      <c r="BO239" s="14" t="str">
        <f>IF(AND(ISNUMBER($I239),OR($K239="Milestone",$K239="Deadline"),$I239&gt;=BO$4,$I239&lt;BO$4+7),IF($K239="Deadline","◇","◆"),"")</f>
        <v/>
      </c>
      <c r="BP239" s="14" t="str">
        <f>IF(AND(ISNUMBER($I239),OR($K239="Milestone",$K239="Deadline"),$I239&gt;=BP$4,$I239&lt;BP$4+7),IF($K239="Deadline","◇","◆"),"")</f>
        <v/>
      </c>
      <c r="BQ239" s="14" t="str">
        <f>IF(AND(ISNUMBER($I239),OR($K239="Milestone",$K239="Deadline"),$I239&gt;=BQ$4,$I239&lt;BQ$4+7),IF($K239="Deadline","◇","◆"),"")</f>
        <v/>
      </c>
      <c r="BR239" s="14" t="str">
        <f>IF(AND(ISNUMBER($I239),OR($K239="Milestone",$K239="Deadline"),$I239&gt;=BR$4,$I239&lt;BR$4+7),IF($K239="Deadline","◇","◆"),"")</f>
        <v/>
      </c>
      <c r="BS239" s="14" t="str">
        <f>IF(AND(ISNUMBER($I239),OR($K239="Milestone",$K239="Deadline"),$I239&gt;=BS$4,$I239&lt;BS$4+7),IF($K239="Deadline","◇","◆"),"")</f>
        <v/>
      </c>
      <c r="BT239" s="14" t="str">
        <f>IF(AND(ISNUMBER($I239),OR($K239="Milestone",$K239="Deadline"),$I239&gt;=BT$4,$I239&lt;BT$4+7),IF($K239="Deadline","◇","◆"),"")</f>
        <v/>
      </c>
      <c r="BU239" s="14" t="str">
        <f>IF(AND(ISNUMBER($I239),OR($K239="Milestone",$K239="Deadline"),$I239&gt;=BU$4,$I239&lt;BU$4+7),IF($K239="Deadline","◇","◆"),"")</f>
        <v/>
      </c>
      <c r="BV239" s="14" t="str">
        <f>IF(AND(ISNUMBER($I239),OR($K239="Milestone",$K239="Deadline"),$I239&gt;=BV$4,$I239&lt;BV$4+7),IF($K239="Deadline","◇","◆"),"")</f>
        <v/>
      </c>
      <c r="BW239" s="14" t="str">
        <f>IF(AND(ISNUMBER($I239),OR($K239="Milestone",$K239="Deadline"),$I239&gt;=BW$4,$I239&lt;BW$4+7),IF($K239="Deadline","◇","◆"),"")</f>
        <v/>
      </c>
      <c r="BX239" s="14" t="str">
        <f>IF(AND(ISNUMBER($I239),OR($K239="Milestone",$K239="Deadline"),$I239&gt;=BX$4,$I239&lt;BX$4+7),IF($K239="Deadline","◇","◆"),"")</f>
        <v/>
      </c>
      <c r="BY239" s="14" t="str">
        <f>IF(AND(ISNUMBER($I239),OR($K239="Milestone",$K239="Deadline"),$I239&gt;=BY$4,$I239&lt;BY$4+7),IF($K239="Deadline","◇","◆"),"")</f>
        <v/>
      </c>
      <c r="BZ239" s="14" t="str">
        <f>IF(AND(ISNUMBER($I239),OR($K239="Milestone",$K239="Deadline"),$I239&gt;=BZ$4,$I239&lt;BZ$4+7),IF($K239="Deadline","◇","◆"),"")</f>
        <v/>
      </c>
      <c r="CA239" s="14" t="str">
        <f>IF(AND(ISNUMBER($I239),OR($K239="Milestone",$K239="Deadline"),$I239&gt;=CA$4,$I239&lt;CA$4+7),IF($K239="Deadline","◇","◆"),"")</f>
        <v/>
      </c>
      <c r="CB239" s="14" t="str">
        <f>IF(AND(ISNUMBER($I239),OR($K239="Milestone",$K239="Deadline"),$I239&gt;=CB$4,$I239&lt;CB$4+7),IF($K239="Deadline","◇","◆"),"")</f>
        <v/>
      </c>
      <c r="CC239" s="14" t="str">
        <f>IF(AND(ISNUMBER($I239),OR($K239="Milestone",$K239="Deadline"),$I239&gt;=CC$4,$I239&lt;CC$4+7),IF($K239="Deadline","◇","◆"),"")</f>
        <v/>
      </c>
      <c r="CD239" s="14" t="str">
        <f>IF(AND(ISNUMBER($I239),OR($K239="Milestone",$K239="Deadline"),$I239&gt;=CD$4,$I239&lt;CD$4+7),IF($K239="Deadline","◇","◆"),"")</f>
        <v/>
      </c>
      <c r="CE239" s="14" t="str">
        <f>IF(AND(ISNUMBER($I239),OR($K239="Milestone",$K239="Deadline"),$I239&gt;=CE$4,$I239&lt;CE$4+7),IF($K239="Deadline","◇","◆"),"")</f>
        <v/>
      </c>
      <c r="CF239" s="14" t="str">
        <f>IF(AND(ISNUMBER($I239),OR($K239="Milestone",$K239="Deadline"),$I239&gt;=CF$4,$I239&lt;CF$4+7),IF($K239="Deadline","◇","◆"),"")</f>
        <v/>
      </c>
      <c r="CG239" s="14" t="str">
        <f>IF(AND(ISNUMBER($I239),OR($K239="Milestone",$K239="Deadline"),$I239&gt;=CG$4,$I239&lt;CG$4+7),IF($K239="Deadline","◇","◆"),"")</f>
        <v/>
      </c>
      <c r="CH239" s="14" t="str">
        <f>IF(AND(ISNUMBER($I239),OR($K239="Milestone",$K239="Deadline"),$I239&gt;=CH$4,$I239&lt;CH$4+7),IF($K239="Deadline","◇","◆"),"")</f>
        <v/>
      </c>
      <c r="CI239" s="14" t="str">
        <f>IF(AND(ISNUMBER($I239),OR($K239="Milestone",$K239="Deadline"),$I239&gt;=CI$4,$I239&lt;CI$4+7),IF($K239="Deadline","◇","◆"),"")</f>
        <v/>
      </c>
      <c r="CJ239" s="14" t="str">
        <f>IF(AND(ISNUMBER($I239),OR($K239="Milestone",$K239="Deadline"),$I239&gt;=CJ$4,$I239&lt;CJ$4+7),IF($K239="Deadline","◇","◆"),"")</f>
        <v/>
      </c>
      <c r="CK239" s="14" t="str">
        <f>IF(AND(ISNUMBER($I239),OR($K239="Milestone",$K239="Deadline"),$I239&gt;=CK$4,$I239&lt;CK$4+7),IF($K239="Deadline","◇","◆"),"")</f>
        <v/>
      </c>
      <c r="CL239" s="14" t="str">
        <f>IF(AND(ISNUMBER($I239),OR($K239="Milestone",$K239="Deadline"),$I239&gt;=CL$4,$I239&lt;CL$4+7),IF($K239="Deadline","◇","◆"),"")</f>
        <v/>
      </c>
      <c r="CM239" s="14" t="str">
        <f>IF(AND(ISNUMBER($I239),OR($K239="Milestone",$K239="Deadline"),$I239&gt;=CM$4,$I239&lt;CM$4+7),IF($K239="Deadline","◇","◆"),"")</f>
        <v/>
      </c>
    </row>
    <row r="240" spans="1:91" hidden="1">
      <c r="A240" s="9" t="s">
        <v>499</v>
      </c>
      <c r="B240" s="9" t="s">
        <v>487</v>
      </c>
      <c r="C240" s="9" t="s">
        <v>230</v>
      </c>
      <c r="D240" s="9" t="s">
        <v>168</v>
      </c>
      <c r="E240" s="9"/>
      <c r="F240" s="9" t="s">
        <v>216</v>
      </c>
      <c r="G240" s="9" t="s">
        <v>231</v>
      </c>
      <c r="H240" s="9">
        <v>14</v>
      </c>
      <c r="I240" s="51">
        <f>MAX(DATE(2027,3,8),J156+1)</f>
        <v>46496</v>
      </c>
      <c r="J240" s="11">
        <f>IF(AND(ISNUMBER(I240),ISNUMBER(H240)),I240+H240-1,"")</f>
        <v>46509</v>
      </c>
      <c r="K240" s="9" t="s">
        <v>27</v>
      </c>
      <c r="L240" s="9"/>
      <c r="M240" s="12" t="s">
        <v>384</v>
      </c>
      <c r="N240" s="9"/>
      <c r="O240" s="12">
        <f>IF(AND(ISNUMBER(I240),ISNUMBER(J240)),J240-I240+1,"")</f>
        <v>14</v>
      </c>
      <c r="P240" s="13"/>
      <c r="Q240" s="13"/>
      <c r="R240" s="13"/>
      <c r="S240" s="13" t="s">
        <v>140</v>
      </c>
      <c r="T240" s="13"/>
      <c r="U240" s="13"/>
      <c r="V240" s="13"/>
      <c r="W240" s="13"/>
      <c r="X240" s="13"/>
      <c r="Y240" s="13"/>
      <c r="Z240" s="13"/>
      <c r="AA240" s="13"/>
      <c r="AB240" s="13"/>
      <c r="AC240" s="13"/>
      <c r="AD240" s="13"/>
      <c r="AE240" s="13"/>
      <c r="AF240" s="13"/>
      <c r="AG240" s="13"/>
      <c r="AH240" s="13"/>
      <c r="AI240" s="13"/>
      <c r="AJ240" s="13"/>
      <c r="AK240" s="13"/>
      <c r="AL240" s="13"/>
      <c r="AM240" s="13"/>
      <c r="AN240" s="13"/>
      <c r="AO240" s="14" t="str">
        <f>IF(AND(ISNUMBER($I240),OR($K240="Milestone",$K240="Deadline"),$I240&gt;=AO$4,$I240&lt;AO$4+7),IF($K240="Deadline","◇","◆"),"")</f>
        <v/>
      </c>
      <c r="AP240" s="14" t="str">
        <f>IF(AND(ISNUMBER($I240),OR($K240="Milestone",$K240="Deadline"),$I240&gt;=AP$4,$I240&lt;AP$4+7),IF($K240="Deadline","◇","◆"),"")</f>
        <v/>
      </c>
      <c r="AQ240" s="14" t="str">
        <f>IF(AND(ISNUMBER($I240),OR($K240="Milestone",$K240="Deadline"),$I240&gt;=AQ$4,$I240&lt;AQ$4+7),IF($K240="Deadline","◇","◆"),"")</f>
        <v/>
      </c>
      <c r="AR240" s="14" t="str">
        <f>IF(AND(ISNUMBER($I240),OR($K240="Milestone",$K240="Deadline"),$I240&gt;=AR$4,$I240&lt;AR$4+7),IF($K240="Deadline","◇","◆"),"")</f>
        <v/>
      </c>
      <c r="AS240" s="14" t="str">
        <f>IF(AND(ISNUMBER($I240),OR($K240="Milestone",$K240="Deadline"),$I240&gt;=AS$4,$I240&lt;AS$4+7),IF($K240="Deadline","◇","◆"),"")</f>
        <v/>
      </c>
      <c r="AT240" s="14" t="str">
        <f>IF(AND(ISNUMBER($I240),OR($K240="Milestone",$K240="Deadline"),$I240&gt;=AT$4,$I240&lt;AT$4+7),IF($K240="Deadline","◇","◆"),"")</f>
        <v/>
      </c>
      <c r="AU240" s="14" t="str">
        <f>IF(AND(ISNUMBER($I240),OR($K240="Milestone",$K240="Deadline"),$I240&gt;=AU$4,$I240&lt;AU$4+7),IF($K240="Deadline","◇","◆"),"")</f>
        <v/>
      </c>
      <c r="AV240" s="14" t="str">
        <f>IF(AND(ISNUMBER($I240),OR($K240="Milestone",$K240="Deadline"),$I240&gt;=AV$4,$I240&lt;AV$4+7),IF($K240="Deadline","◇","◆"),"")</f>
        <v/>
      </c>
      <c r="AW240" s="14" t="str">
        <f>IF(AND(ISNUMBER($I240),OR($K240="Milestone",$K240="Deadline"),$I240&gt;=AW$4,$I240&lt;AW$4+7),IF($K240="Deadline","◇","◆"),"")</f>
        <v/>
      </c>
      <c r="AX240" s="14" t="str">
        <f>IF(AND(ISNUMBER($I240),OR($K240="Milestone",$K240="Deadline"),$I240&gt;=AX$4,$I240&lt;AX$4+7),IF($K240="Deadline","◇","◆"),"")</f>
        <v/>
      </c>
      <c r="AY240" s="14" t="str">
        <f>IF(AND(ISNUMBER($I240),OR($K240="Milestone",$K240="Deadline"),$I240&gt;=AY$4,$I240&lt;AY$4+7),IF($K240="Deadline","◇","◆"),"")</f>
        <v/>
      </c>
      <c r="AZ240" s="14" t="str">
        <f>IF(AND(ISNUMBER($I240),OR($K240="Milestone",$K240="Deadline"),$I240&gt;=AZ$4,$I240&lt;AZ$4+7),IF($K240="Deadline","◇","◆"),"")</f>
        <v/>
      </c>
      <c r="BA240" s="14" t="str">
        <f>IF(AND(ISNUMBER($I240),OR($K240="Milestone",$K240="Deadline"),$I240&gt;=BA$4,$I240&lt;BA$4+7),IF($K240="Deadline","◇","◆"),"")</f>
        <v/>
      </c>
      <c r="BB240" s="14" t="str">
        <f>IF(AND(ISNUMBER($I240),OR($K240="Milestone",$K240="Deadline"),$I240&gt;=BB$4,$I240&lt;BB$4+7),IF($K240="Deadline","◇","◆"),"")</f>
        <v/>
      </c>
      <c r="BC240" s="14" t="str">
        <f>IF(AND(ISNUMBER($I240),OR($K240="Milestone",$K240="Deadline"),$I240&gt;=BC$4,$I240&lt;BC$4+7),IF($K240="Deadline","◇","◆"),"")</f>
        <v/>
      </c>
      <c r="BD240" s="14" t="str">
        <f>IF(AND(ISNUMBER($I240),OR($K240="Milestone",$K240="Deadline"),$I240&gt;=BD$4,$I240&lt;BD$4+7),IF($K240="Deadline","◇","◆"),"")</f>
        <v/>
      </c>
      <c r="BE240" s="14" t="str">
        <f>IF(AND(ISNUMBER($I240),OR($K240="Milestone",$K240="Deadline"),$I240&gt;=BE$4,$I240&lt;BE$4+7),IF($K240="Deadline","◇","◆"),"")</f>
        <v/>
      </c>
      <c r="BF240" s="14" t="str">
        <f>IF(AND(ISNUMBER($I240),OR($K240="Milestone",$K240="Deadline"),$I240&gt;=BF$4,$I240&lt;BF$4+7),IF($K240="Deadline","◇","◆"),"")</f>
        <v/>
      </c>
      <c r="BG240" s="14" t="str">
        <f>IF(AND(ISNUMBER($I240),OR($K240="Milestone",$K240="Deadline"),$I240&gt;=BG$4,$I240&lt;BG$4+7),IF($K240="Deadline","◇","◆"),"")</f>
        <v/>
      </c>
      <c r="BH240" s="14" t="str">
        <f>IF(AND(ISNUMBER($I240),OR($K240="Milestone",$K240="Deadline"),$I240&gt;=BH$4,$I240&lt;BH$4+7),IF($K240="Deadline","◇","◆"),"")</f>
        <v/>
      </c>
      <c r="BI240" s="14" t="str">
        <f>IF(AND(ISNUMBER($I240),OR($K240="Milestone",$K240="Deadline"),$I240&gt;=BI$4,$I240&lt;BI$4+7),IF($K240="Deadline","◇","◆"),"")</f>
        <v/>
      </c>
      <c r="BJ240" s="14" t="str">
        <f>IF(AND(ISNUMBER($I240),OR($K240="Milestone",$K240="Deadline"),$I240&gt;=BJ$4,$I240&lt;BJ$4+7),IF($K240="Deadline","◇","◆"),"")</f>
        <v/>
      </c>
      <c r="BK240" s="14" t="str">
        <f>IF(AND(ISNUMBER($I240),OR($K240="Milestone",$K240="Deadline"),$I240&gt;=BK$4,$I240&lt;BK$4+7),IF($K240="Deadline","◇","◆"),"")</f>
        <v/>
      </c>
      <c r="BL240" s="14" t="str">
        <f>IF(AND(ISNUMBER($I240),OR($K240="Milestone",$K240="Deadline"),$I240&gt;=BL$4,$I240&lt;BL$4+7),IF($K240="Deadline","◇","◆"),"")</f>
        <v/>
      </c>
      <c r="BM240" s="14" t="str">
        <f>IF(AND(ISNUMBER($I240),OR($K240="Milestone",$K240="Deadline"),$I240&gt;=BM$4,$I240&lt;BM$4+7),IF($K240="Deadline","◇","◆"),"")</f>
        <v/>
      </c>
      <c r="BN240" s="14" t="str">
        <f>IF(AND(ISNUMBER($I240),OR($K240="Milestone",$K240="Deadline"),$I240&gt;=BN$4,$I240&lt;BN$4+7),IF($K240="Deadline","◇","◆"),"")</f>
        <v/>
      </c>
      <c r="BO240" s="14" t="str">
        <f>IF(AND(ISNUMBER($I240),OR($K240="Milestone",$K240="Deadline"),$I240&gt;=BO$4,$I240&lt;BO$4+7),IF($K240="Deadline","◇","◆"),"")</f>
        <v/>
      </c>
      <c r="BP240" s="14" t="str">
        <f>IF(AND(ISNUMBER($I240),OR($K240="Milestone",$K240="Deadline"),$I240&gt;=BP$4,$I240&lt;BP$4+7),IF($K240="Deadline","◇","◆"),"")</f>
        <v/>
      </c>
      <c r="BQ240" s="14" t="str">
        <f>IF(AND(ISNUMBER($I240),OR($K240="Milestone",$K240="Deadline"),$I240&gt;=BQ$4,$I240&lt;BQ$4+7),IF($K240="Deadline","◇","◆"),"")</f>
        <v/>
      </c>
      <c r="BR240" s="14" t="str">
        <f>IF(AND(ISNUMBER($I240),OR($K240="Milestone",$K240="Deadline"),$I240&gt;=BR$4,$I240&lt;BR$4+7),IF($K240="Deadline","◇","◆"),"")</f>
        <v/>
      </c>
      <c r="BS240" s="14" t="str">
        <f>IF(AND(ISNUMBER($I240),OR($K240="Milestone",$K240="Deadline"),$I240&gt;=BS$4,$I240&lt;BS$4+7),IF($K240="Deadline","◇","◆"),"")</f>
        <v/>
      </c>
      <c r="BT240" s="14" t="str">
        <f>IF(AND(ISNUMBER($I240),OR($K240="Milestone",$K240="Deadline"),$I240&gt;=BT$4,$I240&lt;BT$4+7),IF($K240="Deadline","◇","◆"),"")</f>
        <v/>
      </c>
      <c r="BU240" s="14" t="str">
        <f>IF(AND(ISNUMBER($I240),OR($K240="Milestone",$K240="Deadline"),$I240&gt;=BU$4,$I240&lt;BU$4+7),IF($K240="Deadline","◇","◆"),"")</f>
        <v/>
      </c>
      <c r="BV240" s="14" t="str">
        <f>IF(AND(ISNUMBER($I240),OR($K240="Milestone",$K240="Deadline"),$I240&gt;=BV$4,$I240&lt;BV$4+7),IF($K240="Deadline","◇","◆"),"")</f>
        <v/>
      </c>
      <c r="BW240" s="14" t="str">
        <f>IF(AND(ISNUMBER($I240),OR($K240="Milestone",$K240="Deadline"),$I240&gt;=BW$4,$I240&lt;BW$4+7),IF($K240="Deadline","◇","◆"),"")</f>
        <v/>
      </c>
      <c r="BX240" s="14" t="str">
        <f>IF(AND(ISNUMBER($I240),OR($K240="Milestone",$K240="Deadline"),$I240&gt;=BX$4,$I240&lt;BX$4+7),IF($K240="Deadline","◇","◆"),"")</f>
        <v/>
      </c>
      <c r="BY240" s="14" t="str">
        <f>IF(AND(ISNUMBER($I240),OR($K240="Milestone",$K240="Deadline"),$I240&gt;=BY$4,$I240&lt;BY$4+7),IF($K240="Deadline","◇","◆"),"")</f>
        <v/>
      </c>
      <c r="BZ240" s="14" t="str">
        <f>IF(AND(ISNUMBER($I240),OR($K240="Milestone",$K240="Deadline"),$I240&gt;=BZ$4,$I240&lt;BZ$4+7),IF($K240="Deadline","◇","◆"),"")</f>
        <v/>
      </c>
      <c r="CA240" s="14" t="str">
        <f>IF(AND(ISNUMBER($I240),OR($K240="Milestone",$K240="Deadline"),$I240&gt;=CA$4,$I240&lt;CA$4+7),IF($K240="Deadline","◇","◆"),"")</f>
        <v/>
      </c>
      <c r="CB240" s="14" t="str">
        <f>IF(AND(ISNUMBER($I240),OR($K240="Milestone",$K240="Deadline"),$I240&gt;=CB$4,$I240&lt;CB$4+7),IF($K240="Deadline","◇","◆"),"")</f>
        <v/>
      </c>
      <c r="CC240" s="14" t="str">
        <f>IF(AND(ISNUMBER($I240),OR($K240="Milestone",$K240="Deadline"),$I240&gt;=CC$4,$I240&lt;CC$4+7),IF($K240="Deadline","◇","◆"),"")</f>
        <v/>
      </c>
      <c r="CD240" s="14" t="str">
        <f>IF(AND(ISNUMBER($I240),OR($K240="Milestone",$K240="Deadline"),$I240&gt;=CD$4,$I240&lt;CD$4+7),IF($K240="Deadline","◇","◆"),"")</f>
        <v/>
      </c>
      <c r="CE240" s="14" t="str">
        <f>IF(AND(ISNUMBER($I240),OR($K240="Milestone",$K240="Deadline"),$I240&gt;=CE$4,$I240&lt;CE$4+7),IF($K240="Deadline","◇","◆"),"")</f>
        <v/>
      </c>
      <c r="CF240" s="14" t="str">
        <f>IF(AND(ISNUMBER($I240),OR($K240="Milestone",$K240="Deadline"),$I240&gt;=CF$4,$I240&lt;CF$4+7),IF($K240="Deadline","◇","◆"),"")</f>
        <v/>
      </c>
      <c r="CG240" s="14" t="str">
        <f>IF(AND(ISNUMBER($I240),OR($K240="Milestone",$K240="Deadline"),$I240&gt;=CG$4,$I240&lt;CG$4+7),IF($K240="Deadline","◇","◆"),"")</f>
        <v/>
      </c>
      <c r="CH240" s="14" t="str">
        <f>IF(AND(ISNUMBER($I240),OR($K240="Milestone",$K240="Deadline"),$I240&gt;=CH$4,$I240&lt;CH$4+7),IF($K240="Deadline","◇","◆"),"")</f>
        <v/>
      </c>
      <c r="CI240" s="14" t="str">
        <f>IF(AND(ISNUMBER($I240),OR($K240="Milestone",$K240="Deadline"),$I240&gt;=CI$4,$I240&lt;CI$4+7),IF($K240="Deadline","◇","◆"),"")</f>
        <v/>
      </c>
      <c r="CJ240" s="14" t="str">
        <f>IF(AND(ISNUMBER($I240),OR($K240="Milestone",$K240="Deadline"),$I240&gt;=CJ$4,$I240&lt;CJ$4+7),IF($K240="Deadline","◇","◆"),"")</f>
        <v/>
      </c>
      <c r="CK240" s="14" t="str">
        <f>IF(AND(ISNUMBER($I240),OR($K240="Milestone",$K240="Deadline"),$I240&gt;=CK$4,$I240&lt;CK$4+7),IF($K240="Deadline","◇","◆"),"")</f>
        <v/>
      </c>
      <c r="CL240" s="14" t="str">
        <f>IF(AND(ISNUMBER($I240),OR($K240="Milestone",$K240="Deadline"),$I240&gt;=CL$4,$I240&lt;CL$4+7),IF($K240="Deadline","◇","◆"),"")</f>
        <v/>
      </c>
      <c r="CM240" s="14" t="str">
        <f>IF(AND(ISNUMBER($I240),OR($K240="Milestone",$K240="Deadline"),$I240&gt;=CM$4,$I240&lt;CM$4+7),IF($K240="Deadline","◇","◆"),"")</f>
        <v/>
      </c>
    </row>
    <row r="241" spans="1:91">
      <c r="A241" s="9" t="s">
        <v>500</v>
      </c>
      <c r="B241" s="9" t="s">
        <v>501</v>
      </c>
      <c r="C241" s="9" t="s">
        <v>93</v>
      </c>
      <c r="D241" s="9" t="s">
        <v>168</v>
      </c>
      <c r="E241" s="9" t="s">
        <v>169</v>
      </c>
      <c r="F241" s="9" t="s">
        <v>204</v>
      </c>
      <c r="G241" s="9" t="s">
        <v>198</v>
      </c>
      <c r="H241" s="9">
        <v>3</v>
      </c>
      <c r="I241" s="51">
        <f>MAX($C$2,J230+1)</f>
        <v>46371</v>
      </c>
      <c r="J241" s="11">
        <f>IF(AND(ISNUMBER(I241),ISNUMBER(H241)),I241+H241-1,"")</f>
        <v>46373</v>
      </c>
      <c r="K241" s="9" t="s">
        <v>27</v>
      </c>
      <c r="L241" s="9"/>
      <c r="M241" s="12" t="s">
        <v>486</v>
      </c>
      <c r="N241" s="9"/>
      <c r="O241" s="12">
        <f>IF(AND(ISNUMBER(I241),ISNUMBER(J241)),J241-I241+1,"")</f>
        <v>3</v>
      </c>
      <c r="P241" s="13"/>
      <c r="Q241" s="13" t="s">
        <v>140</v>
      </c>
      <c r="R241" s="13"/>
      <c r="S241" s="13"/>
      <c r="T241" s="13"/>
      <c r="U241" s="13"/>
      <c r="V241" s="13"/>
      <c r="W241" s="13" t="s">
        <v>140</v>
      </c>
      <c r="X241" s="13"/>
      <c r="Y241" s="13"/>
      <c r="Z241" s="13"/>
      <c r="AA241" s="13"/>
      <c r="AB241" s="13"/>
      <c r="AC241" s="13"/>
      <c r="AD241" s="13"/>
      <c r="AE241" s="13"/>
      <c r="AF241" s="13"/>
      <c r="AG241" s="13"/>
      <c r="AH241" s="13"/>
      <c r="AI241" s="13"/>
      <c r="AJ241" s="13"/>
      <c r="AK241" s="13"/>
      <c r="AL241" s="13"/>
      <c r="AM241" s="13"/>
      <c r="AN241" s="13"/>
      <c r="AO241" s="14" t="str">
        <f>IF(AND(ISNUMBER($I241),OR($K241="Milestone",$K241="Deadline"),$I241&gt;=AO$4,$I241&lt;AO$4+7),IF($K241="Deadline","◇","◆"),"")</f>
        <v/>
      </c>
      <c r="AP241" s="14" t="str">
        <f>IF(AND(ISNUMBER($I241),OR($K241="Milestone",$K241="Deadline"),$I241&gt;=AP$4,$I241&lt;AP$4+7),IF($K241="Deadline","◇","◆"),"")</f>
        <v/>
      </c>
      <c r="AQ241" s="14" t="str">
        <f>IF(AND(ISNUMBER($I241),OR($K241="Milestone",$K241="Deadline"),$I241&gt;=AQ$4,$I241&lt;AQ$4+7),IF($K241="Deadline","◇","◆"),"")</f>
        <v/>
      </c>
      <c r="AR241" s="14" t="str">
        <f>IF(AND(ISNUMBER($I241),OR($K241="Milestone",$K241="Deadline"),$I241&gt;=AR$4,$I241&lt;AR$4+7),IF($K241="Deadline","◇","◆"),"")</f>
        <v/>
      </c>
      <c r="AS241" s="14" t="str">
        <f>IF(AND(ISNUMBER($I241),OR($K241="Milestone",$K241="Deadline"),$I241&gt;=AS$4,$I241&lt;AS$4+7),IF($K241="Deadline","◇","◆"),"")</f>
        <v/>
      </c>
      <c r="AT241" s="14" t="str">
        <f>IF(AND(ISNUMBER($I241),OR($K241="Milestone",$K241="Deadline"),$I241&gt;=AT$4,$I241&lt;AT$4+7),IF($K241="Deadline","◇","◆"),"")</f>
        <v/>
      </c>
      <c r="AU241" s="14" t="str">
        <f>IF(AND(ISNUMBER($I241),OR($K241="Milestone",$K241="Deadline"),$I241&gt;=AU$4,$I241&lt;AU$4+7),IF($K241="Deadline","◇","◆"),"")</f>
        <v/>
      </c>
      <c r="AV241" s="14" t="str">
        <f>IF(AND(ISNUMBER($I241),OR($K241="Milestone",$K241="Deadline"),$I241&gt;=AV$4,$I241&lt;AV$4+7),IF($K241="Deadline","◇","◆"),"")</f>
        <v/>
      </c>
      <c r="AW241" s="14" t="str">
        <f>IF(AND(ISNUMBER($I241),OR($K241="Milestone",$K241="Deadline"),$I241&gt;=AW$4,$I241&lt;AW$4+7),IF($K241="Deadline","◇","◆"),"")</f>
        <v/>
      </c>
      <c r="AX241" s="14" t="str">
        <f>IF(AND(ISNUMBER($I241),OR($K241="Milestone",$K241="Deadline"),$I241&gt;=AX$4,$I241&lt;AX$4+7),IF($K241="Deadline","◇","◆"),"")</f>
        <v/>
      </c>
      <c r="AY241" s="14" t="str">
        <f>IF(AND(ISNUMBER($I241),OR($K241="Milestone",$K241="Deadline"),$I241&gt;=AY$4,$I241&lt;AY$4+7),IF($K241="Deadline","◇","◆"),"")</f>
        <v/>
      </c>
      <c r="AZ241" s="14" t="str">
        <f>IF(AND(ISNUMBER($I241),OR($K241="Milestone",$K241="Deadline"),$I241&gt;=AZ$4,$I241&lt;AZ$4+7),IF($K241="Deadline","◇","◆"),"")</f>
        <v/>
      </c>
      <c r="BA241" s="14" t="str">
        <f>IF(AND(ISNUMBER($I241),OR($K241="Milestone",$K241="Deadline"),$I241&gt;=BA$4,$I241&lt;BA$4+7),IF($K241="Deadline","◇","◆"),"")</f>
        <v/>
      </c>
      <c r="BB241" s="14" t="str">
        <f>IF(AND(ISNUMBER($I241),OR($K241="Milestone",$K241="Deadline"),$I241&gt;=BB$4,$I241&lt;BB$4+7),IF($K241="Deadline","◇","◆"),"")</f>
        <v/>
      </c>
      <c r="BC241" s="14" t="str">
        <f>IF(AND(ISNUMBER($I241),OR($K241="Milestone",$K241="Deadline"),$I241&gt;=BC$4,$I241&lt;BC$4+7),IF($K241="Deadline","◇","◆"),"")</f>
        <v/>
      </c>
      <c r="BD241" s="14" t="str">
        <f>IF(AND(ISNUMBER($I241),OR($K241="Milestone",$K241="Deadline"),$I241&gt;=BD$4,$I241&lt;BD$4+7),IF($K241="Deadline","◇","◆"),"")</f>
        <v/>
      </c>
      <c r="BE241" s="14" t="str">
        <f>IF(AND(ISNUMBER($I241),OR($K241="Milestone",$K241="Deadline"),$I241&gt;=BE$4,$I241&lt;BE$4+7),IF($K241="Deadline","◇","◆"),"")</f>
        <v/>
      </c>
      <c r="BF241" s="14" t="str">
        <f>IF(AND(ISNUMBER($I241),OR($K241="Milestone",$K241="Deadline"),$I241&gt;=BF$4,$I241&lt;BF$4+7),IF($K241="Deadline","◇","◆"),"")</f>
        <v/>
      </c>
      <c r="BG241" s="14" t="str">
        <f>IF(AND(ISNUMBER($I241),OR($K241="Milestone",$K241="Deadline"),$I241&gt;=BG$4,$I241&lt;BG$4+7),IF($K241="Deadline","◇","◆"),"")</f>
        <v/>
      </c>
      <c r="BH241" s="14" t="str">
        <f>IF(AND(ISNUMBER($I241),OR($K241="Milestone",$K241="Deadline"),$I241&gt;=BH$4,$I241&lt;BH$4+7),IF($K241="Deadline","◇","◆"),"")</f>
        <v/>
      </c>
      <c r="BI241" s="14" t="str">
        <f>IF(AND(ISNUMBER($I241),OR($K241="Milestone",$K241="Deadline"),$I241&gt;=BI$4,$I241&lt;BI$4+7),IF($K241="Deadline","◇","◆"),"")</f>
        <v/>
      </c>
      <c r="BJ241" s="14" t="str">
        <f>IF(AND(ISNUMBER($I241),OR($K241="Milestone",$K241="Deadline"),$I241&gt;=BJ$4,$I241&lt;BJ$4+7),IF($K241="Deadline","◇","◆"),"")</f>
        <v/>
      </c>
      <c r="BK241" s="14" t="str">
        <f>IF(AND(ISNUMBER($I241),OR($K241="Milestone",$K241="Deadline"),$I241&gt;=BK$4,$I241&lt;BK$4+7),IF($K241="Deadline","◇","◆"),"")</f>
        <v/>
      </c>
      <c r="BL241" s="14" t="str">
        <f>IF(AND(ISNUMBER($I241),OR($K241="Milestone",$K241="Deadline"),$I241&gt;=BL$4,$I241&lt;BL$4+7),IF($K241="Deadline","◇","◆"),"")</f>
        <v/>
      </c>
      <c r="BM241" s="14" t="str">
        <f>IF(AND(ISNUMBER($I241),OR($K241="Milestone",$K241="Deadline"),$I241&gt;=BM$4,$I241&lt;BM$4+7),IF($K241="Deadline","◇","◆"),"")</f>
        <v/>
      </c>
      <c r="BN241" s="14" t="str">
        <f>IF(AND(ISNUMBER($I241),OR($K241="Milestone",$K241="Deadline"),$I241&gt;=BN$4,$I241&lt;BN$4+7),IF($K241="Deadline","◇","◆"),"")</f>
        <v/>
      </c>
      <c r="BO241" s="14" t="str">
        <f>IF(AND(ISNUMBER($I241),OR($K241="Milestone",$K241="Deadline"),$I241&gt;=BO$4,$I241&lt;BO$4+7),IF($K241="Deadline","◇","◆"),"")</f>
        <v/>
      </c>
      <c r="BP241" s="14" t="str">
        <f>IF(AND(ISNUMBER($I241),OR($K241="Milestone",$K241="Deadline"),$I241&gt;=BP$4,$I241&lt;BP$4+7),IF($K241="Deadline","◇","◆"),"")</f>
        <v/>
      </c>
      <c r="BQ241" s="14" t="str">
        <f>IF(AND(ISNUMBER($I241),OR($K241="Milestone",$K241="Deadline"),$I241&gt;=BQ$4,$I241&lt;BQ$4+7),IF($K241="Deadline","◇","◆"),"")</f>
        <v/>
      </c>
      <c r="BR241" s="14" t="str">
        <f>IF(AND(ISNUMBER($I241),OR($K241="Milestone",$K241="Deadline"),$I241&gt;=BR$4,$I241&lt;BR$4+7),IF($K241="Deadline","◇","◆"),"")</f>
        <v/>
      </c>
      <c r="BS241" s="14" t="str">
        <f>IF(AND(ISNUMBER($I241),OR($K241="Milestone",$K241="Deadline"),$I241&gt;=BS$4,$I241&lt;BS$4+7),IF($K241="Deadline","◇","◆"),"")</f>
        <v/>
      </c>
      <c r="BT241" s="14" t="str">
        <f>IF(AND(ISNUMBER($I241),OR($K241="Milestone",$K241="Deadline"),$I241&gt;=BT$4,$I241&lt;BT$4+7),IF($K241="Deadline","◇","◆"),"")</f>
        <v/>
      </c>
      <c r="BU241" s="14" t="str">
        <f>IF(AND(ISNUMBER($I241),OR($K241="Milestone",$K241="Deadline"),$I241&gt;=BU$4,$I241&lt;BU$4+7),IF($K241="Deadline","◇","◆"),"")</f>
        <v/>
      </c>
      <c r="BV241" s="14" t="str">
        <f>IF(AND(ISNUMBER($I241),OR($K241="Milestone",$K241="Deadline"),$I241&gt;=BV$4,$I241&lt;BV$4+7),IF($K241="Deadline","◇","◆"),"")</f>
        <v/>
      </c>
      <c r="BW241" s="14" t="str">
        <f>IF(AND(ISNUMBER($I241),OR($K241="Milestone",$K241="Deadline"),$I241&gt;=BW$4,$I241&lt;BW$4+7),IF($K241="Deadline","◇","◆"),"")</f>
        <v/>
      </c>
      <c r="BX241" s="14" t="str">
        <f>IF(AND(ISNUMBER($I241),OR($K241="Milestone",$K241="Deadline"),$I241&gt;=BX$4,$I241&lt;BX$4+7),IF($K241="Deadline","◇","◆"),"")</f>
        <v/>
      </c>
      <c r="BY241" s="14" t="str">
        <f>IF(AND(ISNUMBER($I241),OR($K241="Milestone",$K241="Deadline"),$I241&gt;=BY$4,$I241&lt;BY$4+7),IF($K241="Deadline","◇","◆"),"")</f>
        <v/>
      </c>
      <c r="BZ241" s="14" t="str">
        <f>IF(AND(ISNUMBER($I241),OR($K241="Milestone",$K241="Deadline"),$I241&gt;=BZ$4,$I241&lt;BZ$4+7),IF($K241="Deadline","◇","◆"),"")</f>
        <v/>
      </c>
      <c r="CA241" s="14" t="str">
        <f>IF(AND(ISNUMBER($I241),OR($K241="Milestone",$K241="Deadline"),$I241&gt;=CA$4,$I241&lt;CA$4+7),IF($K241="Deadline","◇","◆"),"")</f>
        <v/>
      </c>
      <c r="CB241" s="14" t="str">
        <f>IF(AND(ISNUMBER($I241),OR($K241="Milestone",$K241="Deadline"),$I241&gt;=CB$4,$I241&lt;CB$4+7),IF($K241="Deadline","◇","◆"),"")</f>
        <v/>
      </c>
      <c r="CC241" s="14" t="str">
        <f>IF(AND(ISNUMBER($I241),OR($K241="Milestone",$K241="Deadline"),$I241&gt;=CC$4,$I241&lt;CC$4+7),IF($K241="Deadline","◇","◆"),"")</f>
        <v/>
      </c>
      <c r="CD241" s="14" t="str">
        <f>IF(AND(ISNUMBER($I241),OR($K241="Milestone",$K241="Deadline"),$I241&gt;=CD$4,$I241&lt;CD$4+7),IF($K241="Deadline","◇","◆"),"")</f>
        <v/>
      </c>
      <c r="CE241" s="14" t="str">
        <f>IF(AND(ISNUMBER($I241),OR($K241="Milestone",$K241="Deadline"),$I241&gt;=CE$4,$I241&lt;CE$4+7),IF($K241="Deadline","◇","◆"),"")</f>
        <v/>
      </c>
      <c r="CF241" s="14" t="str">
        <f>IF(AND(ISNUMBER($I241),OR($K241="Milestone",$K241="Deadline"),$I241&gt;=CF$4,$I241&lt;CF$4+7),IF($K241="Deadline","◇","◆"),"")</f>
        <v/>
      </c>
      <c r="CG241" s="14" t="str">
        <f>IF(AND(ISNUMBER($I241),OR($K241="Milestone",$K241="Deadline"),$I241&gt;=CG$4,$I241&lt;CG$4+7),IF($K241="Deadline","◇","◆"),"")</f>
        <v/>
      </c>
      <c r="CH241" s="14" t="str">
        <f>IF(AND(ISNUMBER($I241),OR($K241="Milestone",$K241="Deadline"),$I241&gt;=CH$4,$I241&lt;CH$4+7),IF($K241="Deadline","◇","◆"),"")</f>
        <v/>
      </c>
      <c r="CI241" s="14" t="str">
        <f>IF(AND(ISNUMBER($I241),OR($K241="Milestone",$K241="Deadline"),$I241&gt;=CI$4,$I241&lt;CI$4+7),IF($K241="Deadline","◇","◆"),"")</f>
        <v/>
      </c>
      <c r="CJ241" s="14" t="str">
        <f>IF(AND(ISNUMBER($I241),OR($K241="Milestone",$K241="Deadline"),$I241&gt;=CJ$4,$I241&lt;CJ$4+7),IF($K241="Deadline","◇","◆"),"")</f>
        <v/>
      </c>
      <c r="CK241" s="14" t="str">
        <f>IF(AND(ISNUMBER($I241),OR($K241="Milestone",$K241="Deadline"),$I241&gt;=CK$4,$I241&lt;CK$4+7),IF($K241="Deadline","◇","◆"),"")</f>
        <v/>
      </c>
      <c r="CL241" s="14" t="str">
        <f>IF(AND(ISNUMBER($I241),OR($K241="Milestone",$K241="Deadline"),$I241&gt;=CL$4,$I241&lt;CL$4+7),IF($K241="Deadline","◇","◆"),"")</f>
        <v/>
      </c>
      <c r="CM241" s="14" t="str">
        <f>IF(AND(ISNUMBER($I241),OR($K241="Milestone",$K241="Deadline"),$I241&gt;=CM$4,$I241&lt;CM$4+7),IF($K241="Deadline","◇","◆"),"")</f>
        <v/>
      </c>
    </row>
    <row r="242" spans="1:91">
      <c r="A242" s="9" t="s">
        <v>495</v>
      </c>
      <c r="B242" s="9" t="s">
        <v>501</v>
      </c>
      <c r="C242" s="9" t="s">
        <v>93</v>
      </c>
      <c r="D242" s="9" t="s">
        <v>168</v>
      </c>
      <c r="E242" s="9" t="s">
        <v>169</v>
      </c>
      <c r="F242" s="9" t="s">
        <v>197</v>
      </c>
      <c r="G242" s="9" t="s">
        <v>198</v>
      </c>
      <c r="H242" s="9">
        <v>3</v>
      </c>
      <c r="I242" s="51">
        <f>MAX($C$2,J231+1)</f>
        <v>46370</v>
      </c>
      <c r="J242" s="11">
        <f>IF(AND(ISNUMBER(I242),ISNUMBER(H242)),I242+H242-1,"")</f>
        <v>46372</v>
      </c>
      <c r="K242" s="9" t="s">
        <v>27</v>
      </c>
      <c r="L242" s="9"/>
      <c r="M242" s="12" t="s">
        <v>488</v>
      </c>
      <c r="N242" s="9"/>
      <c r="O242" s="12">
        <f>IF(AND(ISNUMBER(I242),ISNUMBER(J242)),J242-I242+1,"")</f>
        <v>3</v>
      </c>
      <c r="P242" s="13"/>
      <c r="Q242" s="13"/>
      <c r="R242" s="13"/>
      <c r="S242" s="13"/>
      <c r="T242" s="13" t="s">
        <v>140</v>
      </c>
      <c r="U242" s="13"/>
      <c r="V242" s="13" t="s">
        <v>140</v>
      </c>
      <c r="W242" s="13"/>
      <c r="X242" s="13"/>
      <c r="Y242" s="13"/>
      <c r="Z242" s="13"/>
      <c r="AA242" s="13"/>
      <c r="AB242" s="13"/>
      <c r="AC242" s="13"/>
      <c r="AD242" s="13"/>
      <c r="AE242" s="13"/>
      <c r="AF242" s="13"/>
      <c r="AG242" s="13"/>
      <c r="AH242" s="13"/>
      <c r="AI242" s="13"/>
      <c r="AJ242" s="13"/>
      <c r="AK242" s="13"/>
      <c r="AL242" s="13"/>
      <c r="AM242" s="13"/>
      <c r="AN242" s="13"/>
      <c r="AO242" s="14" t="str">
        <f>IF(AND(ISNUMBER($I242),OR($K242="Milestone",$K242="Deadline"),$I242&gt;=AO$4,$I242&lt;AO$4+7),IF($K242="Deadline","◇","◆"),"")</f>
        <v/>
      </c>
      <c r="AP242" s="14" t="str">
        <f>IF(AND(ISNUMBER($I242),OR($K242="Milestone",$K242="Deadline"),$I242&gt;=AP$4,$I242&lt;AP$4+7),IF($K242="Deadline","◇","◆"),"")</f>
        <v/>
      </c>
      <c r="AQ242" s="14" t="str">
        <f>IF(AND(ISNUMBER($I242),OR($K242="Milestone",$K242="Deadline"),$I242&gt;=AQ$4,$I242&lt;AQ$4+7),IF($K242="Deadline","◇","◆"),"")</f>
        <v/>
      </c>
      <c r="AR242" s="14" t="str">
        <f>IF(AND(ISNUMBER($I242),OR($K242="Milestone",$K242="Deadline"),$I242&gt;=AR$4,$I242&lt;AR$4+7),IF($K242="Deadline","◇","◆"),"")</f>
        <v/>
      </c>
      <c r="AS242" s="14" t="str">
        <f>IF(AND(ISNUMBER($I242),OR($K242="Milestone",$K242="Deadline"),$I242&gt;=AS$4,$I242&lt;AS$4+7),IF($K242="Deadline","◇","◆"),"")</f>
        <v/>
      </c>
      <c r="AT242" s="14" t="str">
        <f>IF(AND(ISNUMBER($I242),OR($K242="Milestone",$K242="Deadline"),$I242&gt;=AT$4,$I242&lt;AT$4+7),IF($K242="Deadline","◇","◆"),"")</f>
        <v/>
      </c>
      <c r="AU242" s="14" t="str">
        <f>IF(AND(ISNUMBER($I242),OR($K242="Milestone",$K242="Deadline"),$I242&gt;=AU$4,$I242&lt;AU$4+7),IF($K242="Deadline","◇","◆"),"")</f>
        <v/>
      </c>
      <c r="AV242" s="14" t="str">
        <f>IF(AND(ISNUMBER($I242),OR($K242="Milestone",$K242="Deadline"),$I242&gt;=AV$4,$I242&lt;AV$4+7),IF($K242="Deadline","◇","◆"),"")</f>
        <v/>
      </c>
      <c r="AW242" s="14" t="str">
        <f>IF(AND(ISNUMBER($I242),OR($K242="Milestone",$K242="Deadline"),$I242&gt;=AW$4,$I242&lt;AW$4+7),IF($K242="Deadline","◇","◆"),"")</f>
        <v/>
      </c>
      <c r="AX242" s="14" t="str">
        <f>IF(AND(ISNUMBER($I242),OR($K242="Milestone",$K242="Deadline"),$I242&gt;=AX$4,$I242&lt;AX$4+7),IF($K242="Deadline","◇","◆"),"")</f>
        <v/>
      </c>
      <c r="AY242" s="14" t="str">
        <f>IF(AND(ISNUMBER($I242),OR($K242="Milestone",$K242="Deadline"),$I242&gt;=AY$4,$I242&lt;AY$4+7),IF($K242="Deadline","◇","◆"),"")</f>
        <v/>
      </c>
      <c r="AZ242" s="14" t="str">
        <f>IF(AND(ISNUMBER($I242),OR($K242="Milestone",$K242="Deadline"),$I242&gt;=AZ$4,$I242&lt;AZ$4+7),IF($K242="Deadline","◇","◆"),"")</f>
        <v/>
      </c>
      <c r="BA242" s="14" t="str">
        <f>IF(AND(ISNUMBER($I242),OR($K242="Milestone",$K242="Deadline"),$I242&gt;=BA$4,$I242&lt;BA$4+7),IF($K242="Deadline","◇","◆"),"")</f>
        <v/>
      </c>
      <c r="BB242" s="14" t="str">
        <f>IF(AND(ISNUMBER($I242),OR($K242="Milestone",$K242="Deadline"),$I242&gt;=BB$4,$I242&lt;BB$4+7),IF($K242="Deadline","◇","◆"),"")</f>
        <v/>
      </c>
      <c r="BC242" s="14" t="str">
        <f>IF(AND(ISNUMBER($I242),OR($K242="Milestone",$K242="Deadline"),$I242&gt;=BC$4,$I242&lt;BC$4+7),IF($K242="Deadline","◇","◆"),"")</f>
        <v/>
      </c>
      <c r="BD242" s="14" t="str">
        <f>IF(AND(ISNUMBER($I242),OR($K242="Milestone",$K242="Deadline"),$I242&gt;=BD$4,$I242&lt;BD$4+7),IF($K242="Deadline","◇","◆"),"")</f>
        <v/>
      </c>
      <c r="BE242" s="14" t="str">
        <f>IF(AND(ISNUMBER($I242),OR($K242="Milestone",$K242="Deadline"),$I242&gt;=BE$4,$I242&lt;BE$4+7),IF($K242="Deadline","◇","◆"),"")</f>
        <v/>
      </c>
      <c r="BF242" s="14" t="str">
        <f>IF(AND(ISNUMBER($I242),OR($K242="Milestone",$K242="Deadline"),$I242&gt;=BF$4,$I242&lt;BF$4+7),IF($K242="Deadline","◇","◆"),"")</f>
        <v/>
      </c>
      <c r="BG242" s="14" t="str">
        <f>IF(AND(ISNUMBER($I242),OR($K242="Milestone",$K242="Deadline"),$I242&gt;=BG$4,$I242&lt;BG$4+7),IF($K242="Deadline","◇","◆"),"")</f>
        <v/>
      </c>
      <c r="BH242" s="14" t="str">
        <f>IF(AND(ISNUMBER($I242),OR($K242="Milestone",$K242="Deadline"),$I242&gt;=BH$4,$I242&lt;BH$4+7),IF($K242="Deadline","◇","◆"),"")</f>
        <v/>
      </c>
      <c r="BI242" s="14" t="str">
        <f>IF(AND(ISNUMBER($I242),OR($K242="Milestone",$K242="Deadline"),$I242&gt;=BI$4,$I242&lt;BI$4+7),IF($K242="Deadline","◇","◆"),"")</f>
        <v/>
      </c>
      <c r="BJ242" s="14" t="str">
        <f>IF(AND(ISNUMBER($I242),OR($K242="Milestone",$K242="Deadline"),$I242&gt;=BJ$4,$I242&lt;BJ$4+7),IF($K242="Deadline","◇","◆"),"")</f>
        <v/>
      </c>
      <c r="BK242" s="14" t="str">
        <f>IF(AND(ISNUMBER($I242),OR($K242="Milestone",$K242="Deadline"),$I242&gt;=BK$4,$I242&lt;BK$4+7),IF($K242="Deadline","◇","◆"),"")</f>
        <v/>
      </c>
      <c r="BL242" s="14" t="str">
        <f>IF(AND(ISNUMBER($I242),OR($K242="Milestone",$K242="Deadline"),$I242&gt;=BL$4,$I242&lt;BL$4+7),IF($K242="Deadline","◇","◆"),"")</f>
        <v/>
      </c>
      <c r="BM242" s="14" t="str">
        <f>IF(AND(ISNUMBER($I242),OR($K242="Milestone",$K242="Deadline"),$I242&gt;=BM$4,$I242&lt;BM$4+7),IF($K242="Deadline","◇","◆"),"")</f>
        <v/>
      </c>
      <c r="BN242" s="14" t="str">
        <f>IF(AND(ISNUMBER($I242),OR($K242="Milestone",$K242="Deadline"),$I242&gt;=BN$4,$I242&lt;BN$4+7),IF($K242="Deadline","◇","◆"),"")</f>
        <v/>
      </c>
      <c r="BO242" s="14" t="str">
        <f>IF(AND(ISNUMBER($I242),OR($K242="Milestone",$K242="Deadline"),$I242&gt;=BO$4,$I242&lt;BO$4+7),IF($K242="Deadline","◇","◆"),"")</f>
        <v/>
      </c>
      <c r="BP242" s="14" t="str">
        <f>IF(AND(ISNUMBER($I242),OR($K242="Milestone",$K242="Deadline"),$I242&gt;=BP$4,$I242&lt;BP$4+7),IF($K242="Deadline","◇","◆"),"")</f>
        <v/>
      </c>
      <c r="BQ242" s="14" t="str">
        <f>IF(AND(ISNUMBER($I242),OR($K242="Milestone",$K242="Deadline"),$I242&gt;=BQ$4,$I242&lt;BQ$4+7),IF($K242="Deadline","◇","◆"),"")</f>
        <v/>
      </c>
      <c r="BR242" s="14" t="str">
        <f>IF(AND(ISNUMBER($I242),OR($K242="Milestone",$K242="Deadline"),$I242&gt;=BR$4,$I242&lt;BR$4+7),IF($K242="Deadline","◇","◆"),"")</f>
        <v/>
      </c>
      <c r="BS242" s="14" t="str">
        <f>IF(AND(ISNUMBER($I242),OR($K242="Milestone",$K242="Deadline"),$I242&gt;=BS$4,$I242&lt;BS$4+7),IF($K242="Deadline","◇","◆"),"")</f>
        <v/>
      </c>
      <c r="BT242" s="14" t="str">
        <f>IF(AND(ISNUMBER($I242),OR($K242="Milestone",$K242="Deadline"),$I242&gt;=BT$4,$I242&lt;BT$4+7),IF($K242="Deadline","◇","◆"),"")</f>
        <v/>
      </c>
      <c r="BU242" s="14" t="str">
        <f>IF(AND(ISNUMBER($I242),OR($K242="Milestone",$K242="Deadline"),$I242&gt;=BU$4,$I242&lt;BU$4+7),IF($K242="Deadline","◇","◆"),"")</f>
        <v/>
      </c>
      <c r="BV242" s="14" t="str">
        <f>IF(AND(ISNUMBER($I242),OR($K242="Milestone",$K242="Deadline"),$I242&gt;=BV$4,$I242&lt;BV$4+7),IF($K242="Deadline","◇","◆"),"")</f>
        <v/>
      </c>
      <c r="BW242" s="14" t="str">
        <f>IF(AND(ISNUMBER($I242),OR($K242="Milestone",$K242="Deadline"),$I242&gt;=BW$4,$I242&lt;BW$4+7),IF($K242="Deadline","◇","◆"),"")</f>
        <v/>
      </c>
      <c r="BX242" s="14" t="str">
        <f>IF(AND(ISNUMBER($I242),OR($K242="Milestone",$K242="Deadline"),$I242&gt;=BX$4,$I242&lt;BX$4+7),IF($K242="Deadline","◇","◆"),"")</f>
        <v/>
      </c>
      <c r="BY242" s="14" t="str">
        <f>IF(AND(ISNUMBER($I242),OR($K242="Milestone",$K242="Deadline"),$I242&gt;=BY$4,$I242&lt;BY$4+7),IF($K242="Deadline","◇","◆"),"")</f>
        <v/>
      </c>
      <c r="BZ242" s="14" t="str">
        <f>IF(AND(ISNUMBER($I242),OR($K242="Milestone",$K242="Deadline"),$I242&gt;=BZ$4,$I242&lt;BZ$4+7),IF($K242="Deadline","◇","◆"),"")</f>
        <v/>
      </c>
      <c r="CA242" s="14" t="str">
        <f>IF(AND(ISNUMBER($I242),OR($K242="Milestone",$K242="Deadline"),$I242&gt;=CA$4,$I242&lt;CA$4+7),IF($K242="Deadline","◇","◆"),"")</f>
        <v/>
      </c>
      <c r="CB242" s="14" t="str">
        <f>IF(AND(ISNUMBER($I242),OR($K242="Milestone",$K242="Deadline"),$I242&gt;=CB$4,$I242&lt;CB$4+7),IF($K242="Deadline","◇","◆"),"")</f>
        <v/>
      </c>
      <c r="CC242" s="14" t="str">
        <f>IF(AND(ISNUMBER($I242),OR($K242="Milestone",$K242="Deadline"),$I242&gt;=CC$4,$I242&lt;CC$4+7),IF($K242="Deadline","◇","◆"),"")</f>
        <v/>
      </c>
      <c r="CD242" s="14" t="str">
        <f>IF(AND(ISNUMBER($I242),OR($K242="Milestone",$K242="Deadline"),$I242&gt;=CD$4,$I242&lt;CD$4+7),IF($K242="Deadline","◇","◆"),"")</f>
        <v/>
      </c>
      <c r="CE242" s="14" t="str">
        <f>IF(AND(ISNUMBER($I242),OR($K242="Milestone",$K242="Deadline"),$I242&gt;=CE$4,$I242&lt;CE$4+7),IF($K242="Deadline","◇","◆"),"")</f>
        <v/>
      </c>
      <c r="CF242" s="14" t="str">
        <f>IF(AND(ISNUMBER($I242),OR($K242="Milestone",$K242="Deadline"),$I242&gt;=CF$4,$I242&lt;CF$4+7),IF($K242="Deadline","◇","◆"),"")</f>
        <v/>
      </c>
      <c r="CG242" s="14" t="str">
        <f>IF(AND(ISNUMBER($I242),OR($K242="Milestone",$K242="Deadline"),$I242&gt;=CG$4,$I242&lt;CG$4+7),IF($K242="Deadline","◇","◆"),"")</f>
        <v/>
      </c>
      <c r="CH242" s="14" t="str">
        <f>IF(AND(ISNUMBER($I242),OR($K242="Milestone",$K242="Deadline"),$I242&gt;=CH$4,$I242&lt;CH$4+7),IF($K242="Deadline","◇","◆"),"")</f>
        <v/>
      </c>
      <c r="CI242" s="14" t="str">
        <f>IF(AND(ISNUMBER($I242),OR($K242="Milestone",$K242="Deadline"),$I242&gt;=CI$4,$I242&lt;CI$4+7),IF($K242="Deadline","◇","◆"),"")</f>
        <v/>
      </c>
      <c r="CJ242" s="14" t="str">
        <f>IF(AND(ISNUMBER($I242),OR($K242="Milestone",$K242="Deadline"),$I242&gt;=CJ$4,$I242&lt;CJ$4+7),IF($K242="Deadline","◇","◆"),"")</f>
        <v/>
      </c>
      <c r="CK242" s="14" t="str">
        <f>IF(AND(ISNUMBER($I242),OR($K242="Milestone",$K242="Deadline"),$I242&gt;=CK$4,$I242&lt;CK$4+7),IF($K242="Deadline","◇","◆"),"")</f>
        <v/>
      </c>
      <c r="CL242" s="14" t="str">
        <f>IF(AND(ISNUMBER($I242),OR($K242="Milestone",$K242="Deadline"),$I242&gt;=CL$4,$I242&lt;CL$4+7),IF($K242="Deadline","◇","◆"),"")</f>
        <v/>
      </c>
      <c r="CM242" s="14" t="str">
        <f>IF(AND(ISNUMBER($I242),OR($K242="Milestone",$K242="Deadline"),$I242&gt;=CM$4,$I242&lt;CM$4+7),IF($K242="Deadline","◇","◆"),"")</f>
        <v/>
      </c>
    </row>
    <row r="243" spans="1:91" hidden="1">
      <c r="A243" s="9" t="s">
        <v>502</v>
      </c>
      <c r="B243" s="9" t="s">
        <v>501</v>
      </c>
      <c r="C243" s="9" t="s">
        <v>93</v>
      </c>
      <c r="D243" s="9" t="s">
        <v>168</v>
      </c>
      <c r="E243" s="9" t="s">
        <v>169</v>
      </c>
      <c r="F243" s="9" t="s">
        <v>302</v>
      </c>
      <c r="G243" s="9" t="s">
        <v>387</v>
      </c>
      <c r="H243" s="9">
        <v>7</v>
      </c>
      <c r="I243" s="51">
        <f>MAX($C$2,J241+1,J242+1)</f>
        <v>46374</v>
      </c>
      <c r="J243" s="11">
        <f>IF(AND(ISNUMBER(I243),ISNUMBER(H243)),I243+H243-1,"")</f>
        <v>46380</v>
      </c>
      <c r="K243" s="9" t="s">
        <v>27</v>
      </c>
      <c r="L243" s="9" t="s">
        <v>503</v>
      </c>
      <c r="M243" s="12"/>
      <c r="N243" s="9"/>
      <c r="O243" s="12">
        <f>IF(AND(ISNUMBER(I243),ISNUMBER(J243)),J243-I243+1,"")</f>
        <v>7</v>
      </c>
      <c r="P243" s="13"/>
      <c r="Q243" s="13"/>
      <c r="R243" s="13"/>
      <c r="S243" s="13"/>
      <c r="T243" s="13"/>
      <c r="U243" s="13"/>
      <c r="V243" s="13"/>
      <c r="W243" s="13" t="s">
        <v>140</v>
      </c>
      <c r="X243" s="13"/>
      <c r="Y243" s="13"/>
      <c r="Z243" s="13"/>
      <c r="AA243" s="13"/>
      <c r="AB243" s="13"/>
      <c r="AC243" s="13"/>
      <c r="AD243" s="13"/>
      <c r="AE243" s="13"/>
      <c r="AF243" s="13"/>
      <c r="AG243" s="13"/>
      <c r="AH243" s="13"/>
      <c r="AI243" s="13"/>
      <c r="AJ243" s="13"/>
      <c r="AK243" s="13"/>
      <c r="AL243" s="13"/>
      <c r="AM243" s="13"/>
      <c r="AN243" s="13"/>
      <c r="AO243" s="14" t="str">
        <f>IF(AND(ISNUMBER($I243),OR($K243="Milestone",$K243="Deadline"),$I243&gt;=AO$4,$I243&lt;AO$4+7),IF($K243="Deadline","◇","◆"),"")</f>
        <v/>
      </c>
      <c r="AP243" s="14" t="str">
        <f>IF(AND(ISNUMBER($I243),OR($K243="Milestone",$K243="Deadline"),$I243&gt;=AP$4,$I243&lt;AP$4+7),IF($K243="Deadline","◇","◆"),"")</f>
        <v/>
      </c>
      <c r="AQ243" s="14" t="str">
        <f>IF(AND(ISNUMBER($I243),OR($K243="Milestone",$K243="Deadline"),$I243&gt;=AQ$4,$I243&lt;AQ$4+7),IF($K243="Deadline","◇","◆"),"")</f>
        <v/>
      </c>
      <c r="AR243" s="14" t="str">
        <f>IF(AND(ISNUMBER($I243),OR($K243="Milestone",$K243="Deadline"),$I243&gt;=AR$4,$I243&lt;AR$4+7),IF($K243="Deadline","◇","◆"),"")</f>
        <v/>
      </c>
      <c r="AS243" s="14" t="str">
        <f>IF(AND(ISNUMBER($I243),OR($K243="Milestone",$K243="Deadline"),$I243&gt;=AS$4,$I243&lt;AS$4+7),IF($K243="Deadline","◇","◆"),"")</f>
        <v/>
      </c>
      <c r="AT243" s="14" t="str">
        <f>IF(AND(ISNUMBER($I243),OR($K243="Milestone",$K243="Deadline"),$I243&gt;=AT$4,$I243&lt;AT$4+7),IF($K243="Deadline","◇","◆"),"")</f>
        <v/>
      </c>
      <c r="AU243" s="14" t="str">
        <f>IF(AND(ISNUMBER($I243),OR($K243="Milestone",$K243="Deadline"),$I243&gt;=AU$4,$I243&lt;AU$4+7),IF($K243="Deadline","◇","◆"),"")</f>
        <v/>
      </c>
      <c r="AV243" s="14" t="str">
        <f>IF(AND(ISNUMBER($I243),OR($K243="Milestone",$K243="Deadline"),$I243&gt;=AV$4,$I243&lt;AV$4+7),IF($K243="Deadline","◇","◆"),"")</f>
        <v/>
      </c>
      <c r="AW243" s="14" t="str">
        <f>IF(AND(ISNUMBER($I243),OR($K243="Milestone",$K243="Deadline"),$I243&gt;=AW$4,$I243&lt;AW$4+7),IF($K243="Deadline","◇","◆"),"")</f>
        <v/>
      </c>
      <c r="AX243" s="14" t="str">
        <f>IF(AND(ISNUMBER($I243),OR($K243="Milestone",$K243="Deadline"),$I243&gt;=AX$4,$I243&lt;AX$4+7),IF($K243="Deadline","◇","◆"),"")</f>
        <v/>
      </c>
      <c r="AY243" s="14" t="str">
        <f>IF(AND(ISNUMBER($I243),OR($K243="Milestone",$K243="Deadline"),$I243&gt;=AY$4,$I243&lt;AY$4+7),IF($K243="Deadline","◇","◆"),"")</f>
        <v/>
      </c>
      <c r="AZ243" s="14" t="str">
        <f>IF(AND(ISNUMBER($I243),OR($K243="Milestone",$K243="Deadline"),$I243&gt;=AZ$4,$I243&lt;AZ$4+7),IF($K243="Deadline","◇","◆"),"")</f>
        <v/>
      </c>
      <c r="BA243" s="14" t="str">
        <f>IF(AND(ISNUMBER($I243),OR($K243="Milestone",$K243="Deadline"),$I243&gt;=BA$4,$I243&lt;BA$4+7),IF($K243="Deadline","◇","◆"),"")</f>
        <v/>
      </c>
      <c r="BB243" s="14" t="str">
        <f>IF(AND(ISNUMBER($I243),OR($K243="Milestone",$K243="Deadline"),$I243&gt;=BB$4,$I243&lt;BB$4+7),IF($K243="Deadline","◇","◆"),"")</f>
        <v/>
      </c>
      <c r="BC243" s="14" t="str">
        <f>IF(AND(ISNUMBER($I243),OR($K243="Milestone",$K243="Deadline"),$I243&gt;=BC$4,$I243&lt;BC$4+7),IF($K243="Deadline","◇","◆"),"")</f>
        <v/>
      </c>
      <c r="BD243" s="14" t="str">
        <f>IF(AND(ISNUMBER($I243),OR($K243="Milestone",$K243="Deadline"),$I243&gt;=BD$4,$I243&lt;BD$4+7),IF($K243="Deadline","◇","◆"),"")</f>
        <v/>
      </c>
      <c r="BE243" s="14" t="str">
        <f>IF(AND(ISNUMBER($I243),OR($K243="Milestone",$K243="Deadline"),$I243&gt;=BE$4,$I243&lt;BE$4+7),IF($K243="Deadline","◇","◆"),"")</f>
        <v/>
      </c>
      <c r="BF243" s="14" t="str">
        <f>IF(AND(ISNUMBER($I243),OR($K243="Milestone",$K243="Deadline"),$I243&gt;=BF$4,$I243&lt;BF$4+7),IF($K243="Deadline","◇","◆"),"")</f>
        <v/>
      </c>
      <c r="BG243" s="14" t="str">
        <f>IF(AND(ISNUMBER($I243),OR($K243="Milestone",$K243="Deadline"),$I243&gt;=BG$4,$I243&lt;BG$4+7),IF($K243="Deadline","◇","◆"),"")</f>
        <v/>
      </c>
      <c r="BH243" s="14" t="str">
        <f>IF(AND(ISNUMBER($I243),OR($K243="Milestone",$K243="Deadline"),$I243&gt;=BH$4,$I243&lt;BH$4+7),IF($K243="Deadline","◇","◆"),"")</f>
        <v/>
      </c>
      <c r="BI243" s="14" t="str">
        <f>IF(AND(ISNUMBER($I243),OR($K243="Milestone",$K243="Deadline"),$I243&gt;=BI$4,$I243&lt;BI$4+7),IF($K243="Deadline","◇","◆"),"")</f>
        <v/>
      </c>
      <c r="BJ243" s="14" t="str">
        <f>IF(AND(ISNUMBER($I243),OR($K243="Milestone",$K243="Deadline"),$I243&gt;=BJ$4,$I243&lt;BJ$4+7),IF($K243="Deadline","◇","◆"),"")</f>
        <v/>
      </c>
      <c r="BK243" s="14" t="str">
        <f>IF(AND(ISNUMBER($I243),OR($K243="Milestone",$K243="Deadline"),$I243&gt;=BK$4,$I243&lt;BK$4+7),IF($K243="Deadline","◇","◆"),"")</f>
        <v/>
      </c>
      <c r="BL243" s="14" t="str">
        <f>IF(AND(ISNUMBER($I243),OR($K243="Milestone",$K243="Deadline"),$I243&gt;=BL$4,$I243&lt;BL$4+7),IF($K243="Deadline","◇","◆"),"")</f>
        <v/>
      </c>
      <c r="BM243" s="14" t="str">
        <f>IF(AND(ISNUMBER($I243),OR($K243="Milestone",$K243="Deadline"),$I243&gt;=BM$4,$I243&lt;BM$4+7),IF($K243="Deadline","◇","◆"),"")</f>
        <v/>
      </c>
      <c r="BN243" s="14" t="str">
        <f>IF(AND(ISNUMBER($I243),OR($K243="Milestone",$K243="Deadline"),$I243&gt;=BN$4,$I243&lt;BN$4+7),IF($K243="Deadline","◇","◆"),"")</f>
        <v/>
      </c>
      <c r="BO243" s="14" t="str">
        <f>IF(AND(ISNUMBER($I243),OR($K243="Milestone",$K243="Deadline"),$I243&gt;=BO$4,$I243&lt;BO$4+7),IF($K243="Deadline","◇","◆"),"")</f>
        <v/>
      </c>
      <c r="BP243" s="14" t="str">
        <f>IF(AND(ISNUMBER($I243),OR($K243="Milestone",$K243="Deadline"),$I243&gt;=BP$4,$I243&lt;BP$4+7),IF($K243="Deadline","◇","◆"),"")</f>
        <v/>
      </c>
      <c r="BQ243" s="14" t="str">
        <f>IF(AND(ISNUMBER($I243),OR($K243="Milestone",$K243="Deadline"),$I243&gt;=BQ$4,$I243&lt;BQ$4+7),IF($K243="Deadline","◇","◆"),"")</f>
        <v/>
      </c>
      <c r="BR243" s="14" t="str">
        <f>IF(AND(ISNUMBER($I243),OR($K243="Milestone",$K243="Deadline"),$I243&gt;=BR$4,$I243&lt;BR$4+7),IF($K243="Deadline","◇","◆"),"")</f>
        <v/>
      </c>
      <c r="BS243" s="14" t="str">
        <f>IF(AND(ISNUMBER($I243),OR($K243="Milestone",$K243="Deadline"),$I243&gt;=BS$4,$I243&lt;BS$4+7),IF($K243="Deadline","◇","◆"),"")</f>
        <v/>
      </c>
      <c r="BT243" s="14" t="str">
        <f>IF(AND(ISNUMBER($I243),OR($K243="Milestone",$K243="Deadline"),$I243&gt;=BT$4,$I243&lt;BT$4+7),IF($K243="Deadline","◇","◆"),"")</f>
        <v/>
      </c>
      <c r="BU243" s="14" t="str">
        <f>IF(AND(ISNUMBER($I243),OR($K243="Milestone",$K243="Deadline"),$I243&gt;=BU$4,$I243&lt;BU$4+7),IF($K243="Deadline","◇","◆"),"")</f>
        <v/>
      </c>
      <c r="BV243" s="14" t="str">
        <f>IF(AND(ISNUMBER($I243),OR($K243="Milestone",$K243="Deadline"),$I243&gt;=BV$4,$I243&lt;BV$4+7),IF($K243="Deadline","◇","◆"),"")</f>
        <v/>
      </c>
      <c r="BW243" s="14" t="str">
        <f>IF(AND(ISNUMBER($I243),OR($K243="Milestone",$K243="Deadline"),$I243&gt;=BW$4,$I243&lt;BW$4+7),IF($K243="Deadline","◇","◆"),"")</f>
        <v/>
      </c>
      <c r="BX243" s="14" t="str">
        <f>IF(AND(ISNUMBER($I243),OR($K243="Milestone",$K243="Deadline"),$I243&gt;=BX$4,$I243&lt;BX$4+7),IF($K243="Deadline","◇","◆"),"")</f>
        <v/>
      </c>
      <c r="BY243" s="14" t="str">
        <f>IF(AND(ISNUMBER($I243),OR($K243="Milestone",$K243="Deadline"),$I243&gt;=BY$4,$I243&lt;BY$4+7),IF($K243="Deadline","◇","◆"),"")</f>
        <v/>
      </c>
      <c r="BZ243" s="14" t="str">
        <f>IF(AND(ISNUMBER($I243),OR($K243="Milestone",$K243="Deadline"),$I243&gt;=BZ$4,$I243&lt;BZ$4+7),IF($K243="Deadline","◇","◆"),"")</f>
        <v/>
      </c>
      <c r="CA243" s="14" t="str">
        <f>IF(AND(ISNUMBER($I243),OR($K243="Milestone",$K243="Deadline"),$I243&gt;=CA$4,$I243&lt;CA$4+7),IF($K243="Deadline","◇","◆"),"")</f>
        <v/>
      </c>
      <c r="CB243" s="14" t="str">
        <f>IF(AND(ISNUMBER($I243),OR($K243="Milestone",$K243="Deadline"),$I243&gt;=CB$4,$I243&lt;CB$4+7),IF($K243="Deadline","◇","◆"),"")</f>
        <v/>
      </c>
      <c r="CC243" s="14" t="str">
        <f>IF(AND(ISNUMBER($I243),OR($K243="Milestone",$K243="Deadline"),$I243&gt;=CC$4,$I243&lt;CC$4+7),IF($K243="Deadline","◇","◆"),"")</f>
        <v/>
      </c>
      <c r="CD243" s="14" t="str">
        <f>IF(AND(ISNUMBER($I243),OR($K243="Milestone",$K243="Deadline"),$I243&gt;=CD$4,$I243&lt;CD$4+7),IF($K243="Deadline","◇","◆"),"")</f>
        <v/>
      </c>
      <c r="CE243" s="14" t="str">
        <f>IF(AND(ISNUMBER($I243),OR($K243="Milestone",$K243="Deadline"),$I243&gt;=CE$4,$I243&lt;CE$4+7),IF($K243="Deadline","◇","◆"),"")</f>
        <v/>
      </c>
      <c r="CF243" s="14" t="str">
        <f>IF(AND(ISNUMBER($I243),OR($K243="Milestone",$K243="Deadline"),$I243&gt;=CF$4,$I243&lt;CF$4+7),IF($K243="Deadline","◇","◆"),"")</f>
        <v/>
      </c>
      <c r="CG243" s="14" t="str">
        <f>IF(AND(ISNUMBER($I243),OR($K243="Milestone",$K243="Deadline"),$I243&gt;=CG$4,$I243&lt;CG$4+7),IF($K243="Deadline","◇","◆"),"")</f>
        <v/>
      </c>
      <c r="CH243" s="14" t="str">
        <f>IF(AND(ISNUMBER($I243),OR($K243="Milestone",$K243="Deadline"),$I243&gt;=CH$4,$I243&lt;CH$4+7),IF($K243="Deadline","◇","◆"),"")</f>
        <v/>
      </c>
      <c r="CI243" s="14" t="str">
        <f>IF(AND(ISNUMBER($I243),OR($K243="Milestone",$K243="Deadline"),$I243&gt;=CI$4,$I243&lt;CI$4+7),IF($K243="Deadline","◇","◆"),"")</f>
        <v/>
      </c>
      <c r="CJ243" s="14" t="str">
        <f>IF(AND(ISNUMBER($I243),OR($K243="Milestone",$K243="Deadline"),$I243&gt;=CJ$4,$I243&lt;CJ$4+7),IF($K243="Deadline","◇","◆"),"")</f>
        <v/>
      </c>
      <c r="CK243" s="14" t="str">
        <f>IF(AND(ISNUMBER($I243),OR($K243="Milestone",$K243="Deadline"),$I243&gt;=CK$4,$I243&lt;CK$4+7),IF($K243="Deadline","◇","◆"),"")</f>
        <v/>
      </c>
      <c r="CL243" s="14" t="str">
        <f>IF(AND(ISNUMBER($I243),OR($K243="Milestone",$K243="Deadline"),$I243&gt;=CL$4,$I243&lt;CL$4+7),IF($K243="Deadline","◇","◆"),"")</f>
        <v/>
      </c>
      <c r="CM243" s="14" t="str">
        <f>IF(AND(ISNUMBER($I243),OR($K243="Milestone",$K243="Deadline"),$I243&gt;=CM$4,$I243&lt;CM$4+7),IF($K243="Deadline","◇","◆"),"")</f>
        <v/>
      </c>
    </row>
    <row r="244" spans="1:91" hidden="1">
      <c r="A244" s="9" t="s">
        <v>504</v>
      </c>
      <c r="B244" s="9" t="s">
        <v>501</v>
      </c>
      <c r="C244" s="9" t="s">
        <v>93</v>
      </c>
      <c r="D244" s="9" t="s">
        <v>168</v>
      </c>
      <c r="E244" s="9" t="s">
        <v>169</v>
      </c>
      <c r="F244" s="9" t="s">
        <v>302</v>
      </c>
      <c r="G244" s="9" t="s">
        <v>176</v>
      </c>
      <c r="H244" s="9">
        <v>2</v>
      </c>
      <c r="I244" s="51">
        <f>MAX($C$2,J243+1)</f>
        <v>46381</v>
      </c>
      <c r="J244" s="11">
        <f>IF(AND(ISNUMBER(I244),ISNUMBER(H244)),I244+H244-1,"")</f>
        <v>46382</v>
      </c>
      <c r="K244" s="9" t="s">
        <v>27</v>
      </c>
      <c r="L244" s="9" t="s">
        <v>502</v>
      </c>
      <c r="M244" s="12"/>
      <c r="N244" s="9"/>
      <c r="O244" s="12">
        <f>IF(AND(ISNUMBER(I244),ISNUMBER(J244)),J244-I244+1,"")</f>
        <v>2</v>
      </c>
      <c r="P244" s="13"/>
      <c r="Q244" s="13"/>
      <c r="R244" s="13"/>
      <c r="S244" s="13"/>
      <c r="T244" s="13"/>
      <c r="U244" s="13"/>
      <c r="V244" s="13"/>
      <c r="W244" s="13" t="s">
        <v>140</v>
      </c>
      <c r="X244" s="13"/>
      <c r="Y244" s="13"/>
      <c r="Z244" s="13"/>
      <c r="AA244" s="13"/>
      <c r="AB244" s="13"/>
      <c r="AC244" s="13"/>
      <c r="AD244" s="13"/>
      <c r="AE244" s="13"/>
      <c r="AF244" s="13"/>
      <c r="AG244" s="13"/>
      <c r="AH244" s="13"/>
      <c r="AI244" s="13"/>
      <c r="AJ244" s="13"/>
      <c r="AK244" s="13"/>
      <c r="AL244" s="13"/>
      <c r="AM244" s="13"/>
      <c r="AN244" s="13"/>
      <c r="AO244" s="14" t="str">
        <f>IF(AND(ISNUMBER($I244),OR($K244="Milestone",$K244="Deadline"),$I244&gt;=AO$4,$I244&lt;AO$4+7),IF($K244="Deadline","◇","◆"),"")</f>
        <v/>
      </c>
      <c r="AP244" s="14" t="str">
        <f>IF(AND(ISNUMBER($I244),OR($K244="Milestone",$K244="Deadline"),$I244&gt;=AP$4,$I244&lt;AP$4+7),IF($K244="Deadline","◇","◆"),"")</f>
        <v/>
      </c>
      <c r="AQ244" s="14" t="str">
        <f>IF(AND(ISNUMBER($I244),OR($K244="Milestone",$K244="Deadline"),$I244&gt;=AQ$4,$I244&lt;AQ$4+7),IF($K244="Deadline","◇","◆"),"")</f>
        <v/>
      </c>
      <c r="AR244" s="14" t="str">
        <f>IF(AND(ISNUMBER($I244),OR($K244="Milestone",$K244="Deadline"),$I244&gt;=AR$4,$I244&lt;AR$4+7),IF($K244="Deadline","◇","◆"),"")</f>
        <v/>
      </c>
      <c r="AS244" s="14" t="str">
        <f>IF(AND(ISNUMBER($I244),OR($K244="Milestone",$K244="Deadline"),$I244&gt;=AS$4,$I244&lt;AS$4+7),IF($K244="Deadline","◇","◆"),"")</f>
        <v/>
      </c>
      <c r="AT244" s="14" t="str">
        <f>IF(AND(ISNUMBER($I244),OR($K244="Milestone",$K244="Deadline"),$I244&gt;=AT$4,$I244&lt;AT$4+7),IF($K244="Deadline","◇","◆"),"")</f>
        <v/>
      </c>
      <c r="AU244" s="14" t="str">
        <f>IF(AND(ISNUMBER($I244),OR($K244="Milestone",$K244="Deadline"),$I244&gt;=AU$4,$I244&lt;AU$4+7),IF($K244="Deadline","◇","◆"),"")</f>
        <v/>
      </c>
      <c r="AV244" s="14" t="str">
        <f>IF(AND(ISNUMBER($I244),OR($K244="Milestone",$K244="Deadline"),$I244&gt;=AV$4,$I244&lt;AV$4+7),IF($K244="Deadline","◇","◆"),"")</f>
        <v/>
      </c>
      <c r="AW244" s="14" t="str">
        <f>IF(AND(ISNUMBER($I244),OR($K244="Milestone",$K244="Deadline"),$I244&gt;=AW$4,$I244&lt;AW$4+7),IF($K244="Deadline","◇","◆"),"")</f>
        <v/>
      </c>
      <c r="AX244" s="14" t="str">
        <f>IF(AND(ISNUMBER($I244),OR($K244="Milestone",$K244="Deadline"),$I244&gt;=AX$4,$I244&lt;AX$4+7),IF($K244="Deadline","◇","◆"),"")</f>
        <v/>
      </c>
      <c r="AY244" s="14" t="str">
        <f>IF(AND(ISNUMBER($I244),OR($K244="Milestone",$K244="Deadline"),$I244&gt;=AY$4,$I244&lt;AY$4+7),IF($K244="Deadline","◇","◆"),"")</f>
        <v/>
      </c>
      <c r="AZ244" s="14" t="str">
        <f>IF(AND(ISNUMBER($I244),OR($K244="Milestone",$K244="Deadline"),$I244&gt;=AZ$4,$I244&lt;AZ$4+7),IF($K244="Deadline","◇","◆"),"")</f>
        <v/>
      </c>
      <c r="BA244" s="14" t="str">
        <f>IF(AND(ISNUMBER($I244),OR($K244="Milestone",$K244="Deadline"),$I244&gt;=BA$4,$I244&lt;BA$4+7),IF($K244="Deadline","◇","◆"),"")</f>
        <v/>
      </c>
      <c r="BB244" s="14" t="str">
        <f>IF(AND(ISNUMBER($I244),OR($K244="Milestone",$K244="Deadline"),$I244&gt;=BB$4,$I244&lt;BB$4+7),IF($K244="Deadline","◇","◆"),"")</f>
        <v/>
      </c>
      <c r="BC244" s="14" t="str">
        <f>IF(AND(ISNUMBER($I244),OR($K244="Milestone",$K244="Deadline"),$I244&gt;=BC$4,$I244&lt;BC$4+7),IF($K244="Deadline","◇","◆"),"")</f>
        <v/>
      </c>
      <c r="BD244" s="14" t="str">
        <f>IF(AND(ISNUMBER($I244),OR($K244="Milestone",$K244="Deadline"),$I244&gt;=BD$4,$I244&lt;BD$4+7),IF($K244="Deadline","◇","◆"),"")</f>
        <v/>
      </c>
      <c r="BE244" s="14" t="str">
        <f>IF(AND(ISNUMBER($I244),OR($K244="Milestone",$K244="Deadline"),$I244&gt;=BE$4,$I244&lt;BE$4+7),IF($K244="Deadline","◇","◆"),"")</f>
        <v/>
      </c>
      <c r="BF244" s="14" t="str">
        <f>IF(AND(ISNUMBER($I244),OR($K244="Milestone",$K244="Deadline"),$I244&gt;=BF$4,$I244&lt;BF$4+7),IF($K244="Deadline","◇","◆"),"")</f>
        <v/>
      </c>
      <c r="BG244" s="14" t="str">
        <f>IF(AND(ISNUMBER($I244),OR($K244="Milestone",$K244="Deadline"),$I244&gt;=BG$4,$I244&lt;BG$4+7),IF($K244="Deadline","◇","◆"),"")</f>
        <v/>
      </c>
      <c r="BH244" s="14" t="str">
        <f>IF(AND(ISNUMBER($I244),OR($K244="Milestone",$K244="Deadline"),$I244&gt;=BH$4,$I244&lt;BH$4+7),IF($K244="Deadline","◇","◆"),"")</f>
        <v/>
      </c>
      <c r="BI244" s="14" t="str">
        <f>IF(AND(ISNUMBER($I244),OR($K244="Milestone",$K244="Deadline"),$I244&gt;=BI$4,$I244&lt;BI$4+7),IF($K244="Deadline","◇","◆"),"")</f>
        <v/>
      </c>
      <c r="BJ244" s="14" t="str">
        <f>IF(AND(ISNUMBER($I244),OR($K244="Milestone",$K244="Deadline"),$I244&gt;=BJ$4,$I244&lt;BJ$4+7),IF($K244="Deadline","◇","◆"),"")</f>
        <v/>
      </c>
      <c r="BK244" s="14" t="str">
        <f>IF(AND(ISNUMBER($I244),OR($K244="Milestone",$K244="Deadline"),$I244&gt;=BK$4,$I244&lt;BK$4+7),IF($K244="Deadline","◇","◆"),"")</f>
        <v/>
      </c>
      <c r="BL244" s="14" t="str">
        <f>IF(AND(ISNUMBER($I244),OR($K244="Milestone",$K244="Deadline"),$I244&gt;=BL$4,$I244&lt;BL$4+7),IF($K244="Deadline","◇","◆"),"")</f>
        <v/>
      </c>
      <c r="BM244" s="14" t="str">
        <f>IF(AND(ISNUMBER($I244),OR($K244="Milestone",$K244="Deadline"),$I244&gt;=BM$4,$I244&lt;BM$4+7),IF($K244="Deadline","◇","◆"),"")</f>
        <v/>
      </c>
      <c r="BN244" s="14" t="str">
        <f>IF(AND(ISNUMBER($I244),OR($K244="Milestone",$K244="Deadline"),$I244&gt;=BN$4,$I244&lt;BN$4+7),IF($K244="Deadline","◇","◆"),"")</f>
        <v/>
      </c>
      <c r="BO244" s="14" t="str">
        <f>IF(AND(ISNUMBER($I244),OR($K244="Milestone",$K244="Deadline"),$I244&gt;=BO$4,$I244&lt;BO$4+7),IF($K244="Deadline","◇","◆"),"")</f>
        <v/>
      </c>
      <c r="BP244" s="14" t="str">
        <f>IF(AND(ISNUMBER($I244),OR($K244="Milestone",$K244="Deadline"),$I244&gt;=BP$4,$I244&lt;BP$4+7),IF($K244="Deadline","◇","◆"),"")</f>
        <v/>
      </c>
      <c r="BQ244" s="14" t="str">
        <f>IF(AND(ISNUMBER($I244),OR($K244="Milestone",$K244="Deadline"),$I244&gt;=BQ$4,$I244&lt;BQ$4+7),IF($K244="Deadline","◇","◆"),"")</f>
        <v/>
      </c>
      <c r="BR244" s="14" t="str">
        <f>IF(AND(ISNUMBER($I244),OR($K244="Milestone",$K244="Deadline"),$I244&gt;=BR$4,$I244&lt;BR$4+7),IF($K244="Deadline","◇","◆"),"")</f>
        <v/>
      </c>
      <c r="BS244" s="14" t="str">
        <f>IF(AND(ISNUMBER($I244),OR($K244="Milestone",$K244="Deadline"),$I244&gt;=BS$4,$I244&lt;BS$4+7),IF($K244="Deadline","◇","◆"),"")</f>
        <v/>
      </c>
      <c r="BT244" s="14" t="str">
        <f>IF(AND(ISNUMBER($I244),OR($K244="Milestone",$K244="Deadline"),$I244&gt;=BT$4,$I244&lt;BT$4+7),IF($K244="Deadline","◇","◆"),"")</f>
        <v/>
      </c>
      <c r="BU244" s="14" t="str">
        <f>IF(AND(ISNUMBER($I244),OR($K244="Milestone",$K244="Deadline"),$I244&gt;=BU$4,$I244&lt;BU$4+7),IF($K244="Deadline","◇","◆"),"")</f>
        <v/>
      </c>
      <c r="BV244" s="14" t="str">
        <f>IF(AND(ISNUMBER($I244),OR($K244="Milestone",$K244="Deadline"),$I244&gt;=BV$4,$I244&lt;BV$4+7),IF($K244="Deadline","◇","◆"),"")</f>
        <v/>
      </c>
      <c r="BW244" s="14" t="str">
        <f>IF(AND(ISNUMBER($I244),OR($K244="Milestone",$K244="Deadline"),$I244&gt;=BW$4,$I244&lt;BW$4+7),IF($K244="Deadline","◇","◆"),"")</f>
        <v/>
      </c>
      <c r="BX244" s="14" t="str">
        <f>IF(AND(ISNUMBER($I244),OR($K244="Milestone",$K244="Deadline"),$I244&gt;=BX$4,$I244&lt;BX$4+7),IF($K244="Deadline","◇","◆"),"")</f>
        <v/>
      </c>
      <c r="BY244" s="14" t="str">
        <f>IF(AND(ISNUMBER($I244),OR($K244="Milestone",$K244="Deadline"),$I244&gt;=BY$4,$I244&lt;BY$4+7),IF($K244="Deadline","◇","◆"),"")</f>
        <v/>
      </c>
      <c r="BZ244" s="14" t="str">
        <f>IF(AND(ISNUMBER($I244),OR($K244="Milestone",$K244="Deadline"),$I244&gt;=BZ$4,$I244&lt;BZ$4+7),IF($K244="Deadline","◇","◆"),"")</f>
        <v/>
      </c>
      <c r="CA244" s="14" t="str">
        <f>IF(AND(ISNUMBER($I244),OR($K244="Milestone",$K244="Deadline"),$I244&gt;=CA$4,$I244&lt;CA$4+7),IF($K244="Deadline","◇","◆"),"")</f>
        <v/>
      </c>
      <c r="CB244" s="14" t="str">
        <f>IF(AND(ISNUMBER($I244),OR($K244="Milestone",$K244="Deadline"),$I244&gt;=CB$4,$I244&lt;CB$4+7),IF($K244="Deadline","◇","◆"),"")</f>
        <v/>
      </c>
      <c r="CC244" s="14" t="str">
        <f>IF(AND(ISNUMBER($I244),OR($K244="Milestone",$K244="Deadline"),$I244&gt;=CC$4,$I244&lt;CC$4+7),IF($K244="Deadline","◇","◆"),"")</f>
        <v/>
      </c>
      <c r="CD244" s="14" t="str">
        <f>IF(AND(ISNUMBER($I244),OR($K244="Milestone",$K244="Deadline"),$I244&gt;=CD$4,$I244&lt;CD$4+7),IF($K244="Deadline","◇","◆"),"")</f>
        <v/>
      </c>
      <c r="CE244" s="14" t="str">
        <f>IF(AND(ISNUMBER($I244),OR($K244="Milestone",$K244="Deadline"),$I244&gt;=CE$4,$I244&lt;CE$4+7),IF($K244="Deadline","◇","◆"),"")</f>
        <v/>
      </c>
      <c r="CF244" s="14" t="str">
        <f>IF(AND(ISNUMBER($I244),OR($K244="Milestone",$K244="Deadline"),$I244&gt;=CF$4,$I244&lt;CF$4+7),IF($K244="Deadline","◇","◆"),"")</f>
        <v/>
      </c>
      <c r="CG244" s="14" t="str">
        <f>IF(AND(ISNUMBER($I244),OR($K244="Milestone",$K244="Deadline"),$I244&gt;=CG$4,$I244&lt;CG$4+7),IF($K244="Deadline","◇","◆"),"")</f>
        <v/>
      </c>
      <c r="CH244" s="14" t="str">
        <f>IF(AND(ISNUMBER($I244),OR($K244="Milestone",$K244="Deadline"),$I244&gt;=CH$4,$I244&lt;CH$4+7),IF($K244="Deadline","◇","◆"),"")</f>
        <v/>
      </c>
      <c r="CI244" s="14" t="str">
        <f>IF(AND(ISNUMBER($I244),OR($K244="Milestone",$K244="Deadline"),$I244&gt;=CI$4,$I244&lt;CI$4+7),IF($K244="Deadline","◇","◆"),"")</f>
        <v/>
      </c>
      <c r="CJ244" s="14" t="str">
        <f>IF(AND(ISNUMBER($I244),OR($K244="Milestone",$K244="Deadline"),$I244&gt;=CJ$4,$I244&lt;CJ$4+7),IF($K244="Deadline","◇","◆"),"")</f>
        <v/>
      </c>
      <c r="CK244" s="14" t="str">
        <f>IF(AND(ISNUMBER($I244),OR($K244="Milestone",$K244="Deadline"),$I244&gt;=CK$4,$I244&lt;CK$4+7),IF($K244="Deadline","◇","◆"),"")</f>
        <v/>
      </c>
      <c r="CL244" s="14" t="str">
        <f>IF(AND(ISNUMBER($I244),OR($K244="Milestone",$K244="Deadline"),$I244&gt;=CL$4,$I244&lt;CL$4+7),IF($K244="Deadline","◇","◆"),"")</f>
        <v/>
      </c>
      <c r="CM244" s="14" t="str">
        <f>IF(AND(ISNUMBER($I244),OR($K244="Milestone",$K244="Deadline"),$I244&gt;=CM$4,$I244&lt;CM$4+7),IF($K244="Deadline","◇","◆"),"")</f>
        <v/>
      </c>
    </row>
    <row r="245" spans="1:91" hidden="1">
      <c r="A245" s="9" t="s">
        <v>310</v>
      </c>
      <c r="B245" s="9" t="s">
        <v>501</v>
      </c>
      <c r="C245" s="9" t="s">
        <v>93</v>
      </c>
      <c r="D245" s="9" t="s">
        <v>168</v>
      </c>
      <c r="E245" s="9" t="s">
        <v>169</v>
      </c>
      <c r="F245" s="9" t="s">
        <v>302</v>
      </c>
      <c r="G245" s="9" t="s">
        <v>184</v>
      </c>
      <c r="H245" s="9">
        <v>7</v>
      </c>
      <c r="I245" s="51">
        <f>MAX($C$2,J244+1,J117+1)</f>
        <v>46400</v>
      </c>
      <c r="J245" s="11">
        <f>IF(AND(ISNUMBER(I245),ISNUMBER(H245)),I245+H245-1,"")</f>
        <v>46406</v>
      </c>
      <c r="K245" s="9" t="s">
        <v>27</v>
      </c>
      <c r="L245" s="9" t="s">
        <v>504</v>
      </c>
      <c r="M245" s="12" t="s">
        <v>319</v>
      </c>
      <c r="N245" s="9"/>
      <c r="O245" s="12">
        <f>IF(AND(ISNUMBER(I245),ISNUMBER(J245)),J245-I245+1,"")</f>
        <v>7</v>
      </c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 t="s">
        <v>140</v>
      </c>
      <c r="AA245" s="13"/>
      <c r="AB245" s="13"/>
      <c r="AC245" s="13"/>
      <c r="AD245" s="13"/>
      <c r="AE245" s="13"/>
      <c r="AF245" s="13"/>
      <c r="AG245" s="13"/>
      <c r="AH245" s="13"/>
      <c r="AI245" s="13"/>
      <c r="AJ245" s="13"/>
      <c r="AK245" s="13"/>
      <c r="AL245" s="13"/>
      <c r="AM245" s="13"/>
      <c r="AN245" s="13"/>
      <c r="AO245" s="14" t="str">
        <f>IF(AND(ISNUMBER($I245),OR($K245="Milestone",$K245="Deadline"),$I245&gt;=AO$4,$I245&lt;AO$4+7),IF($K245="Deadline","◇","◆"),"")</f>
        <v/>
      </c>
      <c r="AP245" s="14" t="str">
        <f>IF(AND(ISNUMBER($I245),OR($K245="Milestone",$K245="Deadline"),$I245&gt;=AP$4,$I245&lt;AP$4+7),IF($K245="Deadline","◇","◆"),"")</f>
        <v/>
      </c>
      <c r="AQ245" s="14" t="str">
        <f>IF(AND(ISNUMBER($I245),OR($K245="Milestone",$K245="Deadline"),$I245&gt;=AQ$4,$I245&lt;AQ$4+7),IF($K245="Deadline","◇","◆"),"")</f>
        <v/>
      </c>
      <c r="AR245" s="14" t="str">
        <f>IF(AND(ISNUMBER($I245),OR($K245="Milestone",$K245="Deadline"),$I245&gt;=AR$4,$I245&lt;AR$4+7),IF($K245="Deadline","◇","◆"),"")</f>
        <v/>
      </c>
      <c r="AS245" s="14" t="str">
        <f>IF(AND(ISNUMBER($I245),OR($K245="Milestone",$K245="Deadline"),$I245&gt;=AS$4,$I245&lt;AS$4+7),IF($K245="Deadline","◇","◆"),"")</f>
        <v/>
      </c>
      <c r="AT245" s="14" t="str">
        <f>IF(AND(ISNUMBER($I245),OR($K245="Milestone",$K245="Deadline"),$I245&gt;=AT$4,$I245&lt;AT$4+7),IF($K245="Deadline","◇","◆"),"")</f>
        <v/>
      </c>
      <c r="AU245" s="14" t="str">
        <f>IF(AND(ISNUMBER($I245),OR($K245="Milestone",$K245="Deadline"),$I245&gt;=AU$4,$I245&lt;AU$4+7),IF($K245="Deadline","◇","◆"),"")</f>
        <v/>
      </c>
      <c r="AV245" s="14" t="str">
        <f>IF(AND(ISNUMBER($I245),OR($K245="Milestone",$K245="Deadline"),$I245&gt;=AV$4,$I245&lt;AV$4+7),IF($K245="Deadline","◇","◆"),"")</f>
        <v/>
      </c>
      <c r="AW245" s="14" t="str">
        <f>IF(AND(ISNUMBER($I245),OR($K245="Milestone",$K245="Deadline"),$I245&gt;=AW$4,$I245&lt;AW$4+7),IF($K245="Deadline","◇","◆"),"")</f>
        <v/>
      </c>
      <c r="AX245" s="14" t="str">
        <f>IF(AND(ISNUMBER($I245),OR($K245="Milestone",$K245="Deadline"),$I245&gt;=AX$4,$I245&lt;AX$4+7),IF($K245="Deadline","◇","◆"),"")</f>
        <v/>
      </c>
      <c r="AY245" s="14" t="str">
        <f>IF(AND(ISNUMBER($I245),OR($K245="Milestone",$K245="Deadline"),$I245&gt;=AY$4,$I245&lt;AY$4+7),IF($K245="Deadline","◇","◆"),"")</f>
        <v/>
      </c>
      <c r="AZ245" s="14" t="str">
        <f>IF(AND(ISNUMBER($I245),OR($K245="Milestone",$K245="Deadline"),$I245&gt;=AZ$4,$I245&lt;AZ$4+7),IF($K245="Deadline","◇","◆"),"")</f>
        <v/>
      </c>
      <c r="BA245" s="14" t="str">
        <f>IF(AND(ISNUMBER($I245),OR($K245="Milestone",$K245="Deadline"),$I245&gt;=BA$4,$I245&lt;BA$4+7),IF($K245="Deadline","◇","◆"),"")</f>
        <v/>
      </c>
      <c r="BB245" s="14" t="str">
        <f>IF(AND(ISNUMBER($I245),OR($K245="Milestone",$K245="Deadline"),$I245&gt;=BB$4,$I245&lt;BB$4+7),IF($K245="Deadline","◇","◆"),"")</f>
        <v/>
      </c>
      <c r="BC245" s="14" t="str">
        <f>IF(AND(ISNUMBER($I245),OR($K245="Milestone",$K245="Deadline"),$I245&gt;=BC$4,$I245&lt;BC$4+7),IF($K245="Deadline","◇","◆"),"")</f>
        <v/>
      </c>
      <c r="BD245" s="14" t="str">
        <f>IF(AND(ISNUMBER($I245),OR($K245="Milestone",$K245="Deadline"),$I245&gt;=BD$4,$I245&lt;BD$4+7),IF($K245="Deadline","◇","◆"),"")</f>
        <v/>
      </c>
      <c r="BE245" s="14" t="str">
        <f>IF(AND(ISNUMBER($I245),OR($K245="Milestone",$K245="Deadline"),$I245&gt;=BE$4,$I245&lt;BE$4+7),IF($K245="Deadline","◇","◆"),"")</f>
        <v/>
      </c>
      <c r="BF245" s="14" t="str">
        <f>IF(AND(ISNUMBER($I245),OR($K245="Milestone",$K245="Deadline"),$I245&gt;=BF$4,$I245&lt;BF$4+7),IF($K245="Deadline","◇","◆"),"")</f>
        <v/>
      </c>
      <c r="BG245" s="14" t="str">
        <f>IF(AND(ISNUMBER($I245),OR($K245="Milestone",$K245="Deadline"),$I245&gt;=BG$4,$I245&lt;BG$4+7),IF($K245="Deadline","◇","◆"),"")</f>
        <v/>
      </c>
      <c r="BH245" s="14" t="str">
        <f>IF(AND(ISNUMBER($I245),OR($K245="Milestone",$K245="Deadline"),$I245&gt;=BH$4,$I245&lt;BH$4+7),IF($K245="Deadline","◇","◆"),"")</f>
        <v/>
      </c>
      <c r="BI245" s="14" t="str">
        <f>IF(AND(ISNUMBER($I245),OR($K245="Milestone",$K245="Deadline"),$I245&gt;=BI$4,$I245&lt;BI$4+7),IF($K245="Deadline","◇","◆"),"")</f>
        <v/>
      </c>
      <c r="BJ245" s="14" t="str">
        <f>IF(AND(ISNUMBER($I245),OR($K245="Milestone",$K245="Deadline"),$I245&gt;=BJ$4,$I245&lt;BJ$4+7),IF($K245="Deadline","◇","◆"),"")</f>
        <v/>
      </c>
      <c r="BK245" s="14" t="str">
        <f>IF(AND(ISNUMBER($I245),OR($K245="Milestone",$K245="Deadline"),$I245&gt;=BK$4,$I245&lt;BK$4+7),IF($K245="Deadline","◇","◆"),"")</f>
        <v/>
      </c>
      <c r="BL245" s="14" t="str">
        <f>IF(AND(ISNUMBER($I245),OR($K245="Milestone",$K245="Deadline"),$I245&gt;=BL$4,$I245&lt;BL$4+7),IF($K245="Deadline","◇","◆"),"")</f>
        <v/>
      </c>
      <c r="BM245" s="14" t="str">
        <f>IF(AND(ISNUMBER($I245),OR($K245="Milestone",$K245="Deadline"),$I245&gt;=BM$4,$I245&lt;BM$4+7),IF($K245="Deadline","◇","◆"),"")</f>
        <v/>
      </c>
      <c r="BN245" s="14" t="str">
        <f>IF(AND(ISNUMBER($I245),OR($K245="Milestone",$K245="Deadline"),$I245&gt;=BN$4,$I245&lt;BN$4+7),IF($K245="Deadline","◇","◆"),"")</f>
        <v/>
      </c>
      <c r="BO245" s="14" t="str">
        <f>IF(AND(ISNUMBER($I245),OR($K245="Milestone",$K245="Deadline"),$I245&gt;=BO$4,$I245&lt;BO$4+7),IF($K245="Deadline","◇","◆"),"")</f>
        <v/>
      </c>
      <c r="BP245" s="14" t="str">
        <f>IF(AND(ISNUMBER($I245),OR($K245="Milestone",$K245="Deadline"),$I245&gt;=BP$4,$I245&lt;BP$4+7),IF($K245="Deadline","◇","◆"),"")</f>
        <v/>
      </c>
      <c r="BQ245" s="14" t="str">
        <f>IF(AND(ISNUMBER($I245),OR($K245="Milestone",$K245="Deadline"),$I245&gt;=BQ$4,$I245&lt;BQ$4+7),IF($K245="Deadline","◇","◆"),"")</f>
        <v/>
      </c>
      <c r="BR245" s="14" t="str">
        <f>IF(AND(ISNUMBER($I245),OR($K245="Milestone",$K245="Deadline"),$I245&gt;=BR$4,$I245&lt;BR$4+7),IF($K245="Deadline","◇","◆"),"")</f>
        <v/>
      </c>
      <c r="BS245" s="14" t="str">
        <f>IF(AND(ISNUMBER($I245),OR($K245="Milestone",$K245="Deadline"),$I245&gt;=BS$4,$I245&lt;BS$4+7),IF($K245="Deadline","◇","◆"),"")</f>
        <v/>
      </c>
      <c r="BT245" s="14" t="str">
        <f>IF(AND(ISNUMBER($I245),OR($K245="Milestone",$K245="Deadline"),$I245&gt;=BT$4,$I245&lt;BT$4+7),IF($K245="Deadline","◇","◆"),"")</f>
        <v/>
      </c>
      <c r="BU245" s="14" t="str">
        <f>IF(AND(ISNUMBER($I245),OR($K245="Milestone",$K245="Deadline"),$I245&gt;=BU$4,$I245&lt;BU$4+7),IF($K245="Deadline","◇","◆"),"")</f>
        <v/>
      </c>
      <c r="BV245" s="14" t="str">
        <f>IF(AND(ISNUMBER($I245),OR($K245="Milestone",$K245="Deadline"),$I245&gt;=BV$4,$I245&lt;BV$4+7),IF($K245="Deadline","◇","◆"),"")</f>
        <v/>
      </c>
      <c r="BW245" s="14" t="str">
        <f>IF(AND(ISNUMBER($I245),OR($K245="Milestone",$K245="Deadline"),$I245&gt;=BW$4,$I245&lt;BW$4+7),IF($K245="Deadline","◇","◆"),"")</f>
        <v/>
      </c>
      <c r="BX245" s="14" t="str">
        <f>IF(AND(ISNUMBER($I245),OR($K245="Milestone",$K245="Deadline"),$I245&gt;=BX$4,$I245&lt;BX$4+7),IF($K245="Deadline","◇","◆"),"")</f>
        <v/>
      </c>
      <c r="BY245" s="14" t="str">
        <f>IF(AND(ISNUMBER($I245),OR($K245="Milestone",$K245="Deadline"),$I245&gt;=BY$4,$I245&lt;BY$4+7),IF($K245="Deadline","◇","◆"),"")</f>
        <v/>
      </c>
      <c r="BZ245" s="14" t="str">
        <f>IF(AND(ISNUMBER($I245),OR($K245="Milestone",$K245="Deadline"),$I245&gt;=BZ$4,$I245&lt;BZ$4+7),IF($K245="Deadline","◇","◆"),"")</f>
        <v/>
      </c>
      <c r="CA245" s="14" t="str">
        <f>IF(AND(ISNUMBER($I245),OR($K245="Milestone",$K245="Deadline"),$I245&gt;=CA$4,$I245&lt;CA$4+7),IF($K245="Deadline","◇","◆"),"")</f>
        <v/>
      </c>
      <c r="CB245" s="14" t="str">
        <f>IF(AND(ISNUMBER($I245),OR($K245="Milestone",$K245="Deadline"),$I245&gt;=CB$4,$I245&lt;CB$4+7),IF($K245="Deadline","◇","◆"),"")</f>
        <v/>
      </c>
      <c r="CC245" s="14" t="str">
        <f>IF(AND(ISNUMBER($I245),OR($K245="Milestone",$K245="Deadline"),$I245&gt;=CC$4,$I245&lt;CC$4+7),IF($K245="Deadline","◇","◆"),"")</f>
        <v/>
      </c>
      <c r="CD245" s="14" t="str">
        <f>IF(AND(ISNUMBER($I245),OR($K245="Milestone",$K245="Deadline"),$I245&gt;=CD$4,$I245&lt;CD$4+7),IF($K245="Deadline","◇","◆"),"")</f>
        <v/>
      </c>
      <c r="CE245" s="14" t="str">
        <f>IF(AND(ISNUMBER($I245),OR($K245="Milestone",$K245="Deadline"),$I245&gt;=CE$4,$I245&lt;CE$4+7),IF($K245="Deadline","◇","◆"),"")</f>
        <v/>
      </c>
      <c r="CF245" s="14" t="str">
        <f>IF(AND(ISNUMBER($I245),OR($K245="Milestone",$K245="Deadline"),$I245&gt;=CF$4,$I245&lt;CF$4+7),IF($K245="Deadline","◇","◆"),"")</f>
        <v/>
      </c>
      <c r="CG245" s="14" t="str">
        <f>IF(AND(ISNUMBER($I245),OR($K245="Milestone",$K245="Deadline"),$I245&gt;=CG$4,$I245&lt;CG$4+7),IF($K245="Deadline","◇","◆"),"")</f>
        <v/>
      </c>
      <c r="CH245" s="14" t="str">
        <f>IF(AND(ISNUMBER($I245),OR($K245="Milestone",$K245="Deadline"),$I245&gt;=CH$4,$I245&lt;CH$4+7),IF($K245="Deadline","◇","◆"),"")</f>
        <v/>
      </c>
      <c r="CI245" s="14" t="str">
        <f>IF(AND(ISNUMBER($I245),OR($K245="Milestone",$K245="Deadline"),$I245&gt;=CI$4,$I245&lt;CI$4+7),IF($K245="Deadline","◇","◆"),"")</f>
        <v/>
      </c>
      <c r="CJ245" s="14" t="str">
        <f>IF(AND(ISNUMBER($I245),OR($K245="Milestone",$K245="Deadline"),$I245&gt;=CJ$4,$I245&lt;CJ$4+7),IF($K245="Deadline","◇","◆"),"")</f>
        <v/>
      </c>
      <c r="CK245" s="14" t="str">
        <f>IF(AND(ISNUMBER($I245),OR($K245="Milestone",$K245="Deadline"),$I245&gt;=CK$4,$I245&lt;CK$4+7),IF($K245="Deadline","◇","◆"),"")</f>
        <v/>
      </c>
      <c r="CL245" s="14" t="str">
        <f>IF(AND(ISNUMBER($I245),OR($K245="Milestone",$K245="Deadline"),$I245&gt;=CL$4,$I245&lt;CL$4+7),IF($K245="Deadline","◇","◆"),"")</f>
        <v/>
      </c>
      <c r="CM245" s="14" t="str">
        <f>IF(AND(ISNUMBER($I245),OR($K245="Milestone",$K245="Deadline"),$I245&gt;=CM$4,$I245&lt;CM$4+7),IF($K245="Deadline","◇","◆"),"")</f>
        <v/>
      </c>
    </row>
    <row r="246" spans="1:91" hidden="1">
      <c r="A246" s="9" t="s">
        <v>505</v>
      </c>
      <c r="B246" s="9" t="s">
        <v>501</v>
      </c>
      <c r="C246" s="9" t="s">
        <v>93</v>
      </c>
      <c r="D246" s="9" t="s">
        <v>168</v>
      </c>
      <c r="E246" s="9" t="s">
        <v>169</v>
      </c>
      <c r="F246" s="9" t="s">
        <v>302</v>
      </c>
      <c r="G246" s="9" t="s">
        <v>275</v>
      </c>
      <c r="H246" s="9">
        <v>8</v>
      </c>
      <c r="I246" s="51">
        <f>MAX($C$2,J245+1,J234+1)</f>
        <v>46407</v>
      </c>
      <c r="J246" s="11">
        <f>IF(AND(ISNUMBER(I246),ISNUMBER(H246)),I246+H246-1,"")</f>
        <v>46414</v>
      </c>
      <c r="K246" s="9" t="s">
        <v>27</v>
      </c>
      <c r="L246" s="9" t="s">
        <v>310</v>
      </c>
      <c r="M246" s="12" t="s">
        <v>492</v>
      </c>
      <c r="N246" s="9"/>
      <c r="O246" s="12">
        <f>IF(AND(ISNUMBER(I246),ISNUMBER(J246)),J246-I246+1,"")</f>
        <v>8</v>
      </c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  <c r="AG246" s="13"/>
      <c r="AH246" s="13"/>
      <c r="AI246" s="13" t="s">
        <v>140</v>
      </c>
      <c r="AJ246" s="13"/>
      <c r="AK246" s="13"/>
      <c r="AL246" s="13"/>
      <c r="AM246" s="13"/>
      <c r="AN246" s="13"/>
      <c r="AO246" s="14" t="str">
        <f>IF(AND(ISNUMBER($I246),OR($K246="Milestone",$K246="Deadline"),$I246&gt;=AO$4,$I246&lt;AO$4+7),IF($K246="Deadline","◇","◆"),"")</f>
        <v/>
      </c>
      <c r="AP246" s="14" t="str">
        <f>IF(AND(ISNUMBER($I246),OR($K246="Milestone",$K246="Deadline"),$I246&gt;=AP$4,$I246&lt;AP$4+7),IF($K246="Deadline","◇","◆"),"")</f>
        <v/>
      </c>
      <c r="AQ246" s="14" t="str">
        <f>IF(AND(ISNUMBER($I246),OR($K246="Milestone",$K246="Deadline"),$I246&gt;=AQ$4,$I246&lt;AQ$4+7),IF($K246="Deadline","◇","◆"),"")</f>
        <v/>
      </c>
      <c r="AR246" s="14" t="str">
        <f>IF(AND(ISNUMBER($I246),OR($K246="Milestone",$K246="Deadline"),$I246&gt;=AR$4,$I246&lt;AR$4+7),IF($K246="Deadline","◇","◆"),"")</f>
        <v/>
      </c>
      <c r="AS246" s="14" t="str">
        <f>IF(AND(ISNUMBER($I246),OR($K246="Milestone",$K246="Deadline"),$I246&gt;=AS$4,$I246&lt;AS$4+7),IF($K246="Deadline","◇","◆"),"")</f>
        <v/>
      </c>
      <c r="AT246" s="14" t="str">
        <f>IF(AND(ISNUMBER($I246),OR($K246="Milestone",$K246="Deadline"),$I246&gt;=AT$4,$I246&lt;AT$4+7),IF($K246="Deadline","◇","◆"),"")</f>
        <v/>
      </c>
      <c r="AU246" s="14" t="str">
        <f>IF(AND(ISNUMBER($I246),OR($K246="Milestone",$K246="Deadline"),$I246&gt;=AU$4,$I246&lt;AU$4+7),IF($K246="Deadline","◇","◆"),"")</f>
        <v/>
      </c>
      <c r="AV246" s="14" t="str">
        <f>IF(AND(ISNUMBER($I246),OR($K246="Milestone",$K246="Deadline"),$I246&gt;=AV$4,$I246&lt;AV$4+7),IF($K246="Deadline","◇","◆"),"")</f>
        <v/>
      </c>
      <c r="AW246" s="14" t="str">
        <f>IF(AND(ISNUMBER($I246),OR($K246="Milestone",$K246="Deadline"),$I246&gt;=AW$4,$I246&lt;AW$4+7),IF($K246="Deadline","◇","◆"),"")</f>
        <v/>
      </c>
      <c r="AX246" s="14" t="str">
        <f>IF(AND(ISNUMBER($I246),OR($K246="Milestone",$K246="Deadline"),$I246&gt;=AX$4,$I246&lt;AX$4+7),IF($K246="Deadline","◇","◆"),"")</f>
        <v/>
      </c>
      <c r="AY246" s="14" t="str">
        <f>IF(AND(ISNUMBER($I246),OR($K246="Milestone",$K246="Deadline"),$I246&gt;=AY$4,$I246&lt;AY$4+7),IF($K246="Deadline","◇","◆"),"")</f>
        <v/>
      </c>
      <c r="AZ246" s="14" t="str">
        <f>IF(AND(ISNUMBER($I246),OR($K246="Milestone",$K246="Deadline"),$I246&gt;=AZ$4,$I246&lt;AZ$4+7),IF($K246="Deadline","◇","◆"),"")</f>
        <v/>
      </c>
      <c r="BA246" s="14" t="str">
        <f>IF(AND(ISNUMBER($I246),OR($K246="Milestone",$K246="Deadline"),$I246&gt;=BA$4,$I246&lt;BA$4+7),IF($K246="Deadline","◇","◆"),"")</f>
        <v/>
      </c>
      <c r="BB246" s="14" t="str">
        <f>IF(AND(ISNUMBER($I246),OR($K246="Milestone",$K246="Deadline"),$I246&gt;=BB$4,$I246&lt;BB$4+7),IF($K246="Deadline","◇","◆"),"")</f>
        <v/>
      </c>
      <c r="BC246" s="14" t="str">
        <f>IF(AND(ISNUMBER($I246),OR($K246="Milestone",$K246="Deadline"),$I246&gt;=BC$4,$I246&lt;BC$4+7),IF($K246="Deadline","◇","◆"),"")</f>
        <v/>
      </c>
      <c r="BD246" s="14" t="str">
        <f>IF(AND(ISNUMBER($I246),OR($K246="Milestone",$K246="Deadline"),$I246&gt;=BD$4,$I246&lt;BD$4+7),IF($K246="Deadline","◇","◆"),"")</f>
        <v/>
      </c>
      <c r="BE246" s="14" t="str">
        <f>IF(AND(ISNUMBER($I246),OR($K246="Milestone",$K246="Deadline"),$I246&gt;=BE$4,$I246&lt;BE$4+7),IF($K246="Deadline","◇","◆"),"")</f>
        <v/>
      </c>
      <c r="BF246" s="14" t="str">
        <f>IF(AND(ISNUMBER($I246),OR($K246="Milestone",$K246="Deadline"),$I246&gt;=BF$4,$I246&lt;BF$4+7),IF($K246="Deadline","◇","◆"),"")</f>
        <v/>
      </c>
      <c r="BG246" s="14" t="str">
        <f>IF(AND(ISNUMBER($I246),OR($K246="Milestone",$K246="Deadline"),$I246&gt;=BG$4,$I246&lt;BG$4+7),IF($K246="Deadline","◇","◆"),"")</f>
        <v/>
      </c>
      <c r="BH246" s="14" t="str">
        <f>IF(AND(ISNUMBER($I246),OR($K246="Milestone",$K246="Deadline"),$I246&gt;=BH$4,$I246&lt;BH$4+7),IF($K246="Deadline","◇","◆"),"")</f>
        <v/>
      </c>
      <c r="BI246" s="14" t="str">
        <f>IF(AND(ISNUMBER($I246),OR($K246="Milestone",$K246="Deadline"),$I246&gt;=BI$4,$I246&lt;BI$4+7),IF($K246="Deadline","◇","◆"),"")</f>
        <v/>
      </c>
      <c r="BJ246" s="14" t="str">
        <f>IF(AND(ISNUMBER($I246),OR($K246="Milestone",$K246="Deadline"),$I246&gt;=BJ$4,$I246&lt;BJ$4+7),IF($K246="Deadline","◇","◆"),"")</f>
        <v/>
      </c>
      <c r="BK246" s="14" t="str">
        <f>IF(AND(ISNUMBER($I246),OR($K246="Milestone",$K246="Deadline"),$I246&gt;=BK$4,$I246&lt;BK$4+7),IF($K246="Deadline","◇","◆"),"")</f>
        <v/>
      </c>
      <c r="BL246" s="14" t="str">
        <f>IF(AND(ISNUMBER($I246),OR($K246="Milestone",$K246="Deadline"),$I246&gt;=BL$4,$I246&lt;BL$4+7),IF($K246="Deadline","◇","◆"),"")</f>
        <v/>
      </c>
      <c r="BM246" s="14" t="str">
        <f>IF(AND(ISNUMBER($I246),OR($K246="Milestone",$K246="Deadline"),$I246&gt;=BM$4,$I246&lt;BM$4+7),IF($K246="Deadline","◇","◆"),"")</f>
        <v/>
      </c>
      <c r="BN246" s="14" t="str">
        <f>IF(AND(ISNUMBER($I246),OR($K246="Milestone",$K246="Deadline"),$I246&gt;=BN$4,$I246&lt;BN$4+7),IF($K246="Deadline","◇","◆"),"")</f>
        <v/>
      </c>
      <c r="BO246" s="14" t="str">
        <f>IF(AND(ISNUMBER($I246),OR($K246="Milestone",$K246="Deadline"),$I246&gt;=BO$4,$I246&lt;BO$4+7),IF($K246="Deadline","◇","◆"),"")</f>
        <v/>
      </c>
      <c r="BP246" s="14" t="str">
        <f>IF(AND(ISNUMBER($I246),OR($K246="Milestone",$K246="Deadline"),$I246&gt;=BP$4,$I246&lt;BP$4+7),IF($K246="Deadline","◇","◆"),"")</f>
        <v/>
      </c>
      <c r="BQ246" s="14" t="str">
        <f>IF(AND(ISNUMBER($I246),OR($K246="Milestone",$K246="Deadline"),$I246&gt;=BQ$4,$I246&lt;BQ$4+7),IF($K246="Deadline","◇","◆"),"")</f>
        <v/>
      </c>
      <c r="BR246" s="14" t="str">
        <f>IF(AND(ISNUMBER($I246),OR($K246="Milestone",$K246="Deadline"),$I246&gt;=BR$4,$I246&lt;BR$4+7),IF($K246="Deadline","◇","◆"),"")</f>
        <v/>
      </c>
      <c r="BS246" s="14" t="str">
        <f>IF(AND(ISNUMBER($I246),OR($K246="Milestone",$K246="Deadline"),$I246&gt;=BS$4,$I246&lt;BS$4+7),IF($K246="Deadline","◇","◆"),"")</f>
        <v/>
      </c>
      <c r="BT246" s="14" t="str">
        <f>IF(AND(ISNUMBER($I246),OR($K246="Milestone",$K246="Deadline"),$I246&gt;=BT$4,$I246&lt;BT$4+7),IF($K246="Deadline","◇","◆"),"")</f>
        <v/>
      </c>
      <c r="BU246" s="14" t="str">
        <f>IF(AND(ISNUMBER($I246),OR($K246="Milestone",$K246="Deadline"),$I246&gt;=BU$4,$I246&lt;BU$4+7),IF($K246="Deadline","◇","◆"),"")</f>
        <v/>
      </c>
      <c r="BV246" s="14" t="str">
        <f>IF(AND(ISNUMBER($I246),OR($K246="Milestone",$K246="Deadline"),$I246&gt;=BV$4,$I246&lt;BV$4+7),IF($K246="Deadline","◇","◆"),"")</f>
        <v/>
      </c>
      <c r="BW246" s="14" t="str">
        <f>IF(AND(ISNUMBER($I246),OR($K246="Milestone",$K246="Deadline"),$I246&gt;=BW$4,$I246&lt;BW$4+7),IF($K246="Deadline","◇","◆"),"")</f>
        <v/>
      </c>
      <c r="BX246" s="14" t="str">
        <f>IF(AND(ISNUMBER($I246),OR($K246="Milestone",$K246="Deadline"),$I246&gt;=BX$4,$I246&lt;BX$4+7),IF($K246="Deadline","◇","◆"),"")</f>
        <v/>
      </c>
      <c r="BY246" s="14" t="str">
        <f>IF(AND(ISNUMBER($I246),OR($K246="Milestone",$K246="Deadline"),$I246&gt;=BY$4,$I246&lt;BY$4+7),IF($K246="Deadline","◇","◆"),"")</f>
        <v/>
      </c>
      <c r="BZ246" s="14" t="str">
        <f>IF(AND(ISNUMBER($I246),OR($K246="Milestone",$K246="Deadline"),$I246&gt;=BZ$4,$I246&lt;BZ$4+7),IF($K246="Deadline","◇","◆"),"")</f>
        <v/>
      </c>
      <c r="CA246" s="14" t="str">
        <f>IF(AND(ISNUMBER($I246),OR($K246="Milestone",$K246="Deadline"),$I246&gt;=CA$4,$I246&lt;CA$4+7),IF($K246="Deadline","◇","◆"),"")</f>
        <v/>
      </c>
      <c r="CB246" s="14" t="str">
        <f>IF(AND(ISNUMBER($I246),OR($K246="Milestone",$K246="Deadline"),$I246&gt;=CB$4,$I246&lt;CB$4+7),IF($K246="Deadline","◇","◆"),"")</f>
        <v/>
      </c>
      <c r="CC246" s="14" t="str">
        <f>IF(AND(ISNUMBER($I246),OR($K246="Milestone",$K246="Deadline"),$I246&gt;=CC$4,$I246&lt;CC$4+7),IF($K246="Deadline","◇","◆"),"")</f>
        <v/>
      </c>
      <c r="CD246" s="14" t="str">
        <f>IF(AND(ISNUMBER($I246),OR($K246="Milestone",$K246="Deadline"),$I246&gt;=CD$4,$I246&lt;CD$4+7),IF($K246="Deadline","◇","◆"),"")</f>
        <v/>
      </c>
      <c r="CE246" s="14" t="str">
        <f>IF(AND(ISNUMBER($I246),OR($K246="Milestone",$K246="Deadline"),$I246&gt;=CE$4,$I246&lt;CE$4+7),IF($K246="Deadline","◇","◆"),"")</f>
        <v/>
      </c>
      <c r="CF246" s="14" t="str">
        <f>IF(AND(ISNUMBER($I246),OR($K246="Milestone",$K246="Deadline"),$I246&gt;=CF$4,$I246&lt;CF$4+7),IF($K246="Deadline","◇","◆"),"")</f>
        <v/>
      </c>
      <c r="CG246" s="14" t="str">
        <f>IF(AND(ISNUMBER($I246),OR($K246="Milestone",$K246="Deadline"),$I246&gt;=CG$4,$I246&lt;CG$4+7),IF($K246="Deadline","◇","◆"),"")</f>
        <v/>
      </c>
      <c r="CH246" s="14" t="str">
        <f>IF(AND(ISNUMBER($I246),OR($K246="Milestone",$K246="Deadline"),$I246&gt;=CH$4,$I246&lt;CH$4+7),IF($K246="Deadline","◇","◆"),"")</f>
        <v/>
      </c>
      <c r="CI246" s="14" t="str">
        <f>IF(AND(ISNUMBER($I246),OR($K246="Milestone",$K246="Deadline"),$I246&gt;=CI$4,$I246&lt;CI$4+7),IF($K246="Deadline","◇","◆"),"")</f>
        <v/>
      </c>
      <c r="CJ246" s="14" t="str">
        <f>IF(AND(ISNUMBER($I246),OR($K246="Milestone",$K246="Deadline"),$I246&gt;=CJ$4,$I246&lt;CJ$4+7),IF($K246="Deadline","◇","◆"),"")</f>
        <v/>
      </c>
      <c r="CK246" s="14" t="str">
        <f>IF(AND(ISNUMBER($I246),OR($K246="Milestone",$K246="Deadline"),$I246&gt;=CK$4,$I246&lt;CK$4+7),IF($K246="Deadline","◇","◆"),"")</f>
        <v/>
      </c>
      <c r="CL246" s="14" t="str">
        <f>IF(AND(ISNUMBER($I246),OR($K246="Milestone",$K246="Deadline"),$I246&gt;=CL$4,$I246&lt;CL$4+7),IF($K246="Deadline","◇","◆"),"")</f>
        <v/>
      </c>
      <c r="CM246" s="14" t="str">
        <f>IF(AND(ISNUMBER($I246),OR($K246="Milestone",$K246="Deadline"),$I246&gt;=CM$4,$I246&lt;CM$4+7),IF($K246="Deadline","◇","◆"),"")</f>
        <v/>
      </c>
    </row>
    <row r="247" spans="1:91" hidden="1">
      <c r="A247" s="9" t="s">
        <v>506</v>
      </c>
      <c r="B247" s="9" t="s">
        <v>501</v>
      </c>
      <c r="C247" s="9" t="s">
        <v>191</v>
      </c>
      <c r="D247" s="9" t="s">
        <v>168</v>
      </c>
      <c r="E247" s="9" t="s">
        <v>169</v>
      </c>
      <c r="F247" s="9" t="s">
        <v>302</v>
      </c>
      <c r="G247" s="9" t="s">
        <v>278</v>
      </c>
      <c r="H247" s="9">
        <v>6</v>
      </c>
      <c r="I247" s="51">
        <f>MAX(DATE(2027,3,1),J246+1,J267+1)</f>
        <v>46447</v>
      </c>
      <c r="J247" s="11">
        <f>IF(AND(ISNUMBER(I247),ISNUMBER(H247)),I247+H247-1,"")</f>
        <v>46452</v>
      </c>
      <c r="K247" s="9" t="s">
        <v>27</v>
      </c>
      <c r="L247" s="9" t="s">
        <v>505</v>
      </c>
      <c r="M247" s="12" t="s">
        <v>507</v>
      </c>
      <c r="N247" s="9"/>
      <c r="O247" s="12">
        <f>IF(AND(ISNUMBER(I247),ISNUMBER(J247)),J247-I247+1,"")</f>
        <v>6</v>
      </c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 t="s">
        <v>140</v>
      </c>
      <c r="AA247" s="13"/>
      <c r="AB247" s="13"/>
      <c r="AC247" s="13"/>
      <c r="AD247" s="13"/>
      <c r="AE247" s="13"/>
      <c r="AF247" s="13"/>
      <c r="AG247" s="13"/>
      <c r="AH247" s="13"/>
      <c r="AI247" s="13"/>
      <c r="AJ247" s="13"/>
      <c r="AK247" s="13"/>
      <c r="AL247" s="13"/>
      <c r="AM247" s="13"/>
      <c r="AN247" s="13"/>
      <c r="AO247" s="14" t="str">
        <f>IF(AND(ISNUMBER($I247),OR($K247="Milestone",$K247="Deadline"),$I247&gt;=AO$4,$I247&lt;AO$4+7),IF($K247="Deadline","◇","◆"),"")</f>
        <v/>
      </c>
      <c r="AP247" s="14" t="str">
        <f>IF(AND(ISNUMBER($I247),OR($K247="Milestone",$K247="Deadline"),$I247&gt;=AP$4,$I247&lt;AP$4+7),IF($K247="Deadline","◇","◆"),"")</f>
        <v/>
      </c>
      <c r="AQ247" s="14" t="str">
        <f>IF(AND(ISNUMBER($I247),OR($K247="Milestone",$K247="Deadline"),$I247&gt;=AQ$4,$I247&lt;AQ$4+7),IF($K247="Deadline","◇","◆"),"")</f>
        <v/>
      </c>
      <c r="AR247" s="14" t="str">
        <f>IF(AND(ISNUMBER($I247),OR($K247="Milestone",$K247="Deadline"),$I247&gt;=AR$4,$I247&lt;AR$4+7),IF($K247="Deadline","◇","◆"),"")</f>
        <v/>
      </c>
      <c r="AS247" s="14" t="str">
        <f>IF(AND(ISNUMBER($I247),OR($K247="Milestone",$K247="Deadline"),$I247&gt;=AS$4,$I247&lt;AS$4+7),IF($K247="Deadline","◇","◆"),"")</f>
        <v/>
      </c>
      <c r="AT247" s="14" t="str">
        <f>IF(AND(ISNUMBER($I247),OR($K247="Milestone",$K247="Deadline"),$I247&gt;=AT$4,$I247&lt;AT$4+7),IF($K247="Deadline","◇","◆"),"")</f>
        <v/>
      </c>
      <c r="AU247" s="14" t="str">
        <f>IF(AND(ISNUMBER($I247),OR($K247="Milestone",$K247="Deadline"),$I247&gt;=AU$4,$I247&lt;AU$4+7),IF($K247="Deadline","◇","◆"),"")</f>
        <v/>
      </c>
      <c r="AV247" s="14" t="str">
        <f>IF(AND(ISNUMBER($I247),OR($K247="Milestone",$K247="Deadline"),$I247&gt;=AV$4,$I247&lt;AV$4+7),IF($K247="Deadline","◇","◆"),"")</f>
        <v/>
      </c>
      <c r="AW247" s="14" t="str">
        <f>IF(AND(ISNUMBER($I247),OR($K247="Milestone",$K247="Deadline"),$I247&gt;=AW$4,$I247&lt;AW$4+7),IF($K247="Deadline","◇","◆"),"")</f>
        <v/>
      </c>
      <c r="AX247" s="14" t="str">
        <f>IF(AND(ISNUMBER($I247),OR($K247="Milestone",$K247="Deadline"),$I247&gt;=AX$4,$I247&lt;AX$4+7),IF($K247="Deadline","◇","◆"),"")</f>
        <v/>
      </c>
      <c r="AY247" s="14" t="str">
        <f>IF(AND(ISNUMBER($I247),OR($K247="Milestone",$K247="Deadline"),$I247&gt;=AY$4,$I247&lt;AY$4+7),IF($K247="Deadline","◇","◆"),"")</f>
        <v/>
      </c>
      <c r="AZ247" s="14" t="str">
        <f>IF(AND(ISNUMBER($I247),OR($K247="Milestone",$K247="Deadline"),$I247&gt;=AZ$4,$I247&lt;AZ$4+7),IF($K247="Deadline","◇","◆"),"")</f>
        <v/>
      </c>
      <c r="BA247" s="14" t="str">
        <f>IF(AND(ISNUMBER($I247),OR($K247="Milestone",$K247="Deadline"),$I247&gt;=BA$4,$I247&lt;BA$4+7),IF($K247="Deadline","◇","◆"),"")</f>
        <v/>
      </c>
      <c r="BB247" s="14" t="str">
        <f>IF(AND(ISNUMBER($I247),OR($K247="Milestone",$K247="Deadline"),$I247&gt;=BB$4,$I247&lt;BB$4+7),IF($K247="Deadline","◇","◆"),"")</f>
        <v/>
      </c>
      <c r="BC247" s="14" t="str">
        <f>IF(AND(ISNUMBER($I247),OR($K247="Milestone",$K247="Deadline"),$I247&gt;=BC$4,$I247&lt;BC$4+7),IF($K247="Deadline","◇","◆"),"")</f>
        <v/>
      </c>
      <c r="BD247" s="14" t="str">
        <f>IF(AND(ISNUMBER($I247),OR($K247="Milestone",$K247="Deadline"),$I247&gt;=BD$4,$I247&lt;BD$4+7),IF($K247="Deadline","◇","◆"),"")</f>
        <v/>
      </c>
      <c r="BE247" s="14" t="str">
        <f>IF(AND(ISNUMBER($I247),OR($K247="Milestone",$K247="Deadline"),$I247&gt;=BE$4,$I247&lt;BE$4+7),IF($K247="Deadline","◇","◆"),"")</f>
        <v/>
      </c>
      <c r="BF247" s="14" t="str">
        <f>IF(AND(ISNUMBER($I247),OR($K247="Milestone",$K247="Deadline"),$I247&gt;=BF$4,$I247&lt;BF$4+7),IF($K247="Deadline","◇","◆"),"")</f>
        <v/>
      </c>
      <c r="BG247" s="14" t="str">
        <f>IF(AND(ISNUMBER($I247),OR($K247="Milestone",$K247="Deadline"),$I247&gt;=BG$4,$I247&lt;BG$4+7),IF($K247="Deadline","◇","◆"),"")</f>
        <v/>
      </c>
      <c r="BH247" s="14" t="str">
        <f>IF(AND(ISNUMBER($I247),OR($K247="Milestone",$K247="Deadline"),$I247&gt;=BH$4,$I247&lt;BH$4+7),IF($K247="Deadline","◇","◆"),"")</f>
        <v/>
      </c>
      <c r="BI247" s="14" t="str">
        <f>IF(AND(ISNUMBER($I247),OR($K247="Milestone",$K247="Deadline"),$I247&gt;=BI$4,$I247&lt;BI$4+7),IF($K247="Deadline","◇","◆"),"")</f>
        <v/>
      </c>
      <c r="BJ247" s="14" t="str">
        <f>IF(AND(ISNUMBER($I247),OR($K247="Milestone",$K247="Deadline"),$I247&gt;=BJ$4,$I247&lt;BJ$4+7),IF($K247="Deadline","◇","◆"),"")</f>
        <v/>
      </c>
      <c r="BK247" s="14" t="str">
        <f>IF(AND(ISNUMBER($I247),OR($K247="Milestone",$K247="Deadline"),$I247&gt;=BK$4,$I247&lt;BK$4+7),IF($K247="Deadline","◇","◆"),"")</f>
        <v/>
      </c>
      <c r="BL247" s="14" t="str">
        <f>IF(AND(ISNUMBER($I247),OR($K247="Milestone",$K247="Deadline"),$I247&gt;=BL$4,$I247&lt;BL$4+7),IF($K247="Deadline","◇","◆"),"")</f>
        <v/>
      </c>
      <c r="BM247" s="14" t="str">
        <f>IF(AND(ISNUMBER($I247),OR($K247="Milestone",$K247="Deadline"),$I247&gt;=BM$4,$I247&lt;BM$4+7),IF($K247="Deadline","◇","◆"),"")</f>
        <v/>
      </c>
      <c r="BN247" s="14" t="str">
        <f>IF(AND(ISNUMBER($I247),OR($K247="Milestone",$K247="Deadline"),$I247&gt;=BN$4,$I247&lt;BN$4+7),IF($K247="Deadline","◇","◆"),"")</f>
        <v/>
      </c>
      <c r="BO247" s="14" t="str">
        <f>IF(AND(ISNUMBER($I247),OR($K247="Milestone",$K247="Deadline"),$I247&gt;=BO$4,$I247&lt;BO$4+7),IF($K247="Deadline","◇","◆"),"")</f>
        <v/>
      </c>
      <c r="BP247" s="14" t="str">
        <f>IF(AND(ISNUMBER($I247),OR($K247="Milestone",$K247="Deadline"),$I247&gt;=BP$4,$I247&lt;BP$4+7),IF($K247="Deadline","◇","◆"),"")</f>
        <v/>
      </c>
      <c r="BQ247" s="14" t="str">
        <f>IF(AND(ISNUMBER($I247),OR($K247="Milestone",$K247="Deadline"),$I247&gt;=BQ$4,$I247&lt;BQ$4+7),IF($K247="Deadline","◇","◆"),"")</f>
        <v/>
      </c>
      <c r="BR247" s="14" t="str">
        <f>IF(AND(ISNUMBER($I247),OR($K247="Milestone",$K247="Deadline"),$I247&gt;=BR$4,$I247&lt;BR$4+7),IF($K247="Deadline","◇","◆"),"")</f>
        <v/>
      </c>
      <c r="BS247" s="14" t="str">
        <f>IF(AND(ISNUMBER($I247),OR($K247="Milestone",$K247="Deadline"),$I247&gt;=BS$4,$I247&lt;BS$4+7),IF($K247="Deadline","◇","◆"),"")</f>
        <v/>
      </c>
      <c r="BT247" s="14" t="str">
        <f>IF(AND(ISNUMBER($I247),OR($K247="Milestone",$K247="Deadline"),$I247&gt;=BT$4,$I247&lt;BT$4+7),IF($K247="Deadline","◇","◆"),"")</f>
        <v/>
      </c>
      <c r="BU247" s="14" t="str">
        <f>IF(AND(ISNUMBER($I247),OR($K247="Milestone",$K247="Deadline"),$I247&gt;=BU$4,$I247&lt;BU$4+7),IF($K247="Deadline","◇","◆"),"")</f>
        <v/>
      </c>
      <c r="BV247" s="14" t="str">
        <f>IF(AND(ISNUMBER($I247),OR($K247="Milestone",$K247="Deadline"),$I247&gt;=BV$4,$I247&lt;BV$4+7),IF($K247="Deadline","◇","◆"),"")</f>
        <v/>
      </c>
      <c r="BW247" s="14" t="str">
        <f>IF(AND(ISNUMBER($I247),OR($K247="Milestone",$K247="Deadline"),$I247&gt;=BW$4,$I247&lt;BW$4+7),IF($K247="Deadline","◇","◆"),"")</f>
        <v/>
      </c>
      <c r="BX247" s="14" t="str">
        <f>IF(AND(ISNUMBER($I247),OR($K247="Milestone",$K247="Deadline"),$I247&gt;=BX$4,$I247&lt;BX$4+7),IF($K247="Deadline","◇","◆"),"")</f>
        <v/>
      </c>
      <c r="BY247" s="14" t="str">
        <f>IF(AND(ISNUMBER($I247),OR($K247="Milestone",$K247="Deadline"),$I247&gt;=BY$4,$I247&lt;BY$4+7),IF($K247="Deadline","◇","◆"),"")</f>
        <v/>
      </c>
      <c r="BZ247" s="14" t="str">
        <f>IF(AND(ISNUMBER($I247),OR($K247="Milestone",$K247="Deadline"),$I247&gt;=BZ$4,$I247&lt;BZ$4+7),IF($K247="Deadline","◇","◆"),"")</f>
        <v/>
      </c>
      <c r="CA247" s="14" t="str">
        <f>IF(AND(ISNUMBER($I247),OR($K247="Milestone",$K247="Deadline"),$I247&gt;=CA$4,$I247&lt;CA$4+7),IF($K247="Deadline","◇","◆"),"")</f>
        <v/>
      </c>
      <c r="CB247" s="14" t="str">
        <f>IF(AND(ISNUMBER($I247),OR($K247="Milestone",$K247="Deadline"),$I247&gt;=CB$4,$I247&lt;CB$4+7),IF($K247="Deadline","◇","◆"),"")</f>
        <v/>
      </c>
      <c r="CC247" s="14" t="str">
        <f>IF(AND(ISNUMBER($I247),OR($K247="Milestone",$K247="Deadline"),$I247&gt;=CC$4,$I247&lt;CC$4+7),IF($K247="Deadline","◇","◆"),"")</f>
        <v/>
      </c>
      <c r="CD247" s="14" t="str">
        <f>IF(AND(ISNUMBER($I247),OR($K247="Milestone",$K247="Deadline"),$I247&gt;=CD$4,$I247&lt;CD$4+7),IF($K247="Deadline","◇","◆"),"")</f>
        <v/>
      </c>
      <c r="CE247" s="14" t="str">
        <f>IF(AND(ISNUMBER($I247),OR($K247="Milestone",$K247="Deadline"),$I247&gt;=CE$4,$I247&lt;CE$4+7),IF($K247="Deadline","◇","◆"),"")</f>
        <v/>
      </c>
      <c r="CF247" s="14" t="str">
        <f>IF(AND(ISNUMBER($I247),OR($K247="Milestone",$K247="Deadline"),$I247&gt;=CF$4,$I247&lt;CF$4+7),IF($K247="Deadline","◇","◆"),"")</f>
        <v/>
      </c>
      <c r="CG247" s="14" t="str">
        <f>IF(AND(ISNUMBER($I247),OR($K247="Milestone",$K247="Deadline"),$I247&gt;=CG$4,$I247&lt;CG$4+7),IF($K247="Deadline","◇","◆"),"")</f>
        <v/>
      </c>
      <c r="CH247" s="14" t="str">
        <f>IF(AND(ISNUMBER($I247),OR($K247="Milestone",$K247="Deadline"),$I247&gt;=CH$4,$I247&lt;CH$4+7),IF($K247="Deadline","◇","◆"),"")</f>
        <v/>
      </c>
      <c r="CI247" s="14" t="str">
        <f>IF(AND(ISNUMBER($I247),OR($K247="Milestone",$K247="Deadline"),$I247&gt;=CI$4,$I247&lt;CI$4+7),IF($K247="Deadline","◇","◆"),"")</f>
        <v/>
      </c>
      <c r="CJ247" s="14" t="str">
        <f>IF(AND(ISNUMBER($I247),OR($K247="Milestone",$K247="Deadline"),$I247&gt;=CJ$4,$I247&lt;CJ$4+7),IF($K247="Deadline","◇","◆"),"")</f>
        <v/>
      </c>
      <c r="CK247" s="14" t="str">
        <f>IF(AND(ISNUMBER($I247),OR($K247="Milestone",$K247="Deadline"),$I247&gt;=CK$4,$I247&lt;CK$4+7),IF($K247="Deadline","◇","◆"),"")</f>
        <v/>
      </c>
      <c r="CL247" s="14" t="str">
        <f>IF(AND(ISNUMBER($I247),OR($K247="Milestone",$K247="Deadline"),$I247&gt;=CL$4,$I247&lt;CL$4+7),IF($K247="Deadline","◇","◆"),"")</f>
        <v/>
      </c>
      <c r="CM247" s="14" t="str">
        <f>IF(AND(ISNUMBER($I247),OR($K247="Milestone",$K247="Deadline"),$I247&gt;=CM$4,$I247&lt;CM$4+7),IF($K247="Deadline","◇","◆"),"")</f>
        <v/>
      </c>
    </row>
    <row r="248" spans="1:91" hidden="1">
      <c r="A248" s="9" t="s">
        <v>508</v>
      </c>
      <c r="B248" s="9" t="s">
        <v>501</v>
      </c>
      <c r="C248" s="9" t="s">
        <v>191</v>
      </c>
      <c r="D248" s="9" t="s">
        <v>168</v>
      </c>
      <c r="E248" s="9"/>
      <c r="F248" s="9" t="s">
        <v>216</v>
      </c>
      <c r="G248" s="9" t="s">
        <v>217</v>
      </c>
      <c r="H248" s="9">
        <v>14</v>
      </c>
      <c r="I248" s="51">
        <f>MAX($C$2,J241+1,J242+1,J275+1)</f>
        <v>46395</v>
      </c>
      <c r="J248" s="11">
        <f>IF(AND(ISNUMBER(I248),ISNUMBER(H248)),I248+H248-1,"")</f>
        <v>46408</v>
      </c>
      <c r="K248" s="9" t="s">
        <v>27</v>
      </c>
      <c r="L248" s="9" t="s">
        <v>503</v>
      </c>
      <c r="M248" s="12" t="s">
        <v>509</v>
      </c>
      <c r="N248" s="9"/>
      <c r="O248" s="12">
        <f>IF(AND(ISNUMBER(I248),ISNUMBER(J248)),J248-I248+1,"")</f>
        <v>14</v>
      </c>
      <c r="P248" s="13"/>
      <c r="Q248" s="13" t="s">
        <v>140</v>
      </c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  <c r="AF248" s="13"/>
      <c r="AG248" s="13"/>
      <c r="AH248" s="13"/>
      <c r="AI248" s="13"/>
      <c r="AJ248" s="13"/>
      <c r="AK248" s="13"/>
      <c r="AL248" s="13"/>
      <c r="AM248" s="13"/>
      <c r="AN248" s="13"/>
      <c r="AO248" s="14" t="str">
        <f>IF(AND(ISNUMBER($I248),OR($K248="Milestone",$K248="Deadline"),$I248&gt;=AO$4,$I248&lt;AO$4+7),IF($K248="Deadline","◇","◆"),"")</f>
        <v/>
      </c>
      <c r="AP248" s="14" t="str">
        <f>IF(AND(ISNUMBER($I248),OR($K248="Milestone",$K248="Deadline"),$I248&gt;=AP$4,$I248&lt;AP$4+7),IF($K248="Deadline","◇","◆"),"")</f>
        <v/>
      </c>
      <c r="AQ248" s="14" t="str">
        <f>IF(AND(ISNUMBER($I248),OR($K248="Milestone",$K248="Deadline"),$I248&gt;=AQ$4,$I248&lt;AQ$4+7),IF($K248="Deadline","◇","◆"),"")</f>
        <v/>
      </c>
      <c r="AR248" s="14" t="str">
        <f>IF(AND(ISNUMBER($I248),OR($K248="Milestone",$K248="Deadline"),$I248&gt;=AR$4,$I248&lt;AR$4+7),IF($K248="Deadline","◇","◆"),"")</f>
        <v/>
      </c>
      <c r="AS248" s="14" t="str">
        <f>IF(AND(ISNUMBER($I248),OR($K248="Milestone",$K248="Deadline"),$I248&gt;=AS$4,$I248&lt;AS$4+7),IF($K248="Deadline","◇","◆"),"")</f>
        <v/>
      </c>
      <c r="AT248" s="14" t="str">
        <f>IF(AND(ISNUMBER($I248),OR($K248="Milestone",$K248="Deadline"),$I248&gt;=AT$4,$I248&lt;AT$4+7),IF($K248="Deadline","◇","◆"),"")</f>
        <v/>
      </c>
      <c r="AU248" s="14" t="str">
        <f>IF(AND(ISNUMBER($I248),OR($K248="Milestone",$K248="Deadline"),$I248&gt;=AU$4,$I248&lt;AU$4+7),IF($K248="Deadline","◇","◆"),"")</f>
        <v/>
      </c>
      <c r="AV248" s="14" t="str">
        <f>IF(AND(ISNUMBER($I248),OR($K248="Milestone",$K248="Deadline"),$I248&gt;=AV$4,$I248&lt;AV$4+7),IF($K248="Deadline","◇","◆"),"")</f>
        <v/>
      </c>
      <c r="AW248" s="14" t="str">
        <f>IF(AND(ISNUMBER($I248),OR($K248="Milestone",$K248="Deadline"),$I248&gt;=AW$4,$I248&lt;AW$4+7),IF($K248="Deadline","◇","◆"),"")</f>
        <v/>
      </c>
      <c r="AX248" s="14" t="str">
        <f>IF(AND(ISNUMBER($I248),OR($K248="Milestone",$K248="Deadline"),$I248&gt;=AX$4,$I248&lt;AX$4+7),IF($K248="Deadline","◇","◆"),"")</f>
        <v/>
      </c>
      <c r="AY248" s="14" t="str">
        <f>IF(AND(ISNUMBER($I248),OR($K248="Milestone",$K248="Deadline"),$I248&gt;=AY$4,$I248&lt;AY$4+7),IF($K248="Deadline","◇","◆"),"")</f>
        <v/>
      </c>
      <c r="AZ248" s="14" t="str">
        <f>IF(AND(ISNUMBER($I248),OR($K248="Milestone",$K248="Deadline"),$I248&gt;=AZ$4,$I248&lt;AZ$4+7),IF($K248="Deadline","◇","◆"),"")</f>
        <v/>
      </c>
      <c r="BA248" s="14" t="str">
        <f>IF(AND(ISNUMBER($I248),OR($K248="Milestone",$K248="Deadline"),$I248&gt;=BA$4,$I248&lt;BA$4+7),IF($K248="Deadline","◇","◆"),"")</f>
        <v/>
      </c>
      <c r="BB248" s="14" t="str">
        <f>IF(AND(ISNUMBER($I248),OR($K248="Milestone",$K248="Deadline"),$I248&gt;=BB$4,$I248&lt;BB$4+7),IF($K248="Deadline","◇","◆"),"")</f>
        <v/>
      </c>
      <c r="BC248" s="14" t="str">
        <f>IF(AND(ISNUMBER($I248),OR($K248="Milestone",$K248="Deadline"),$I248&gt;=BC$4,$I248&lt;BC$4+7),IF($K248="Deadline","◇","◆"),"")</f>
        <v/>
      </c>
      <c r="BD248" s="14" t="str">
        <f>IF(AND(ISNUMBER($I248),OR($K248="Milestone",$K248="Deadline"),$I248&gt;=BD$4,$I248&lt;BD$4+7),IF($K248="Deadline","◇","◆"),"")</f>
        <v/>
      </c>
      <c r="BE248" s="14" t="str">
        <f>IF(AND(ISNUMBER($I248),OR($K248="Milestone",$K248="Deadline"),$I248&gt;=BE$4,$I248&lt;BE$4+7),IF($K248="Deadline","◇","◆"),"")</f>
        <v/>
      </c>
      <c r="BF248" s="14" t="str">
        <f>IF(AND(ISNUMBER($I248),OR($K248="Milestone",$K248="Deadline"),$I248&gt;=BF$4,$I248&lt;BF$4+7),IF($K248="Deadline","◇","◆"),"")</f>
        <v/>
      </c>
      <c r="BG248" s="14" t="str">
        <f>IF(AND(ISNUMBER($I248),OR($K248="Milestone",$K248="Deadline"),$I248&gt;=BG$4,$I248&lt;BG$4+7),IF($K248="Deadline","◇","◆"),"")</f>
        <v/>
      </c>
      <c r="BH248" s="14" t="str">
        <f>IF(AND(ISNUMBER($I248),OR($K248="Milestone",$K248="Deadline"),$I248&gt;=BH$4,$I248&lt;BH$4+7),IF($K248="Deadline","◇","◆"),"")</f>
        <v/>
      </c>
      <c r="BI248" s="14" t="str">
        <f>IF(AND(ISNUMBER($I248),OR($K248="Milestone",$K248="Deadline"),$I248&gt;=BI$4,$I248&lt;BI$4+7),IF($K248="Deadline","◇","◆"),"")</f>
        <v/>
      </c>
      <c r="BJ248" s="14" t="str">
        <f>IF(AND(ISNUMBER($I248),OR($K248="Milestone",$K248="Deadline"),$I248&gt;=BJ$4,$I248&lt;BJ$4+7),IF($K248="Deadline","◇","◆"),"")</f>
        <v/>
      </c>
      <c r="BK248" s="14" t="str">
        <f>IF(AND(ISNUMBER($I248),OR($K248="Milestone",$K248="Deadline"),$I248&gt;=BK$4,$I248&lt;BK$4+7),IF($K248="Deadline","◇","◆"),"")</f>
        <v/>
      </c>
      <c r="BL248" s="14" t="str">
        <f>IF(AND(ISNUMBER($I248),OR($K248="Milestone",$K248="Deadline"),$I248&gt;=BL$4,$I248&lt;BL$4+7),IF($K248="Deadline","◇","◆"),"")</f>
        <v/>
      </c>
      <c r="BM248" s="14" t="str">
        <f>IF(AND(ISNUMBER($I248),OR($K248="Milestone",$K248="Deadline"),$I248&gt;=BM$4,$I248&lt;BM$4+7),IF($K248="Deadline","◇","◆"),"")</f>
        <v/>
      </c>
      <c r="BN248" s="14" t="str">
        <f>IF(AND(ISNUMBER($I248),OR($K248="Milestone",$K248="Deadline"),$I248&gt;=BN$4,$I248&lt;BN$4+7),IF($K248="Deadline","◇","◆"),"")</f>
        <v/>
      </c>
      <c r="BO248" s="14" t="str">
        <f>IF(AND(ISNUMBER($I248),OR($K248="Milestone",$K248="Deadline"),$I248&gt;=BO$4,$I248&lt;BO$4+7),IF($K248="Deadline","◇","◆"),"")</f>
        <v/>
      </c>
      <c r="BP248" s="14" t="str">
        <f>IF(AND(ISNUMBER($I248),OR($K248="Milestone",$K248="Deadline"),$I248&gt;=BP$4,$I248&lt;BP$4+7),IF($K248="Deadline","◇","◆"),"")</f>
        <v/>
      </c>
      <c r="BQ248" s="14" t="str">
        <f>IF(AND(ISNUMBER($I248),OR($K248="Milestone",$K248="Deadline"),$I248&gt;=BQ$4,$I248&lt;BQ$4+7),IF($K248="Deadline","◇","◆"),"")</f>
        <v/>
      </c>
      <c r="BR248" s="14" t="str">
        <f>IF(AND(ISNUMBER($I248),OR($K248="Milestone",$K248="Deadline"),$I248&gt;=BR$4,$I248&lt;BR$4+7),IF($K248="Deadline","◇","◆"),"")</f>
        <v/>
      </c>
      <c r="BS248" s="14" t="str">
        <f>IF(AND(ISNUMBER($I248),OR($K248="Milestone",$K248="Deadline"),$I248&gt;=BS$4,$I248&lt;BS$4+7),IF($K248="Deadline","◇","◆"),"")</f>
        <v/>
      </c>
      <c r="BT248" s="14" t="str">
        <f>IF(AND(ISNUMBER($I248),OR($K248="Milestone",$K248="Deadline"),$I248&gt;=BT$4,$I248&lt;BT$4+7),IF($K248="Deadline","◇","◆"),"")</f>
        <v/>
      </c>
      <c r="BU248" s="14" t="str">
        <f>IF(AND(ISNUMBER($I248),OR($K248="Milestone",$K248="Deadline"),$I248&gt;=BU$4,$I248&lt;BU$4+7),IF($K248="Deadline","◇","◆"),"")</f>
        <v/>
      </c>
      <c r="BV248" s="14" t="str">
        <f>IF(AND(ISNUMBER($I248),OR($K248="Milestone",$K248="Deadline"),$I248&gt;=BV$4,$I248&lt;BV$4+7),IF($K248="Deadline","◇","◆"),"")</f>
        <v/>
      </c>
      <c r="BW248" s="14" t="str">
        <f>IF(AND(ISNUMBER($I248),OR($K248="Milestone",$K248="Deadline"),$I248&gt;=BW$4,$I248&lt;BW$4+7),IF($K248="Deadline","◇","◆"),"")</f>
        <v/>
      </c>
      <c r="BX248" s="14" t="str">
        <f>IF(AND(ISNUMBER($I248),OR($K248="Milestone",$K248="Deadline"),$I248&gt;=BX$4,$I248&lt;BX$4+7),IF($K248="Deadline","◇","◆"),"")</f>
        <v/>
      </c>
      <c r="BY248" s="14" t="str">
        <f>IF(AND(ISNUMBER($I248),OR($K248="Milestone",$K248="Deadline"),$I248&gt;=BY$4,$I248&lt;BY$4+7),IF($K248="Deadline","◇","◆"),"")</f>
        <v/>
      </c>
      <c r="BZ248" s="14" t="str">
        <f>IF(AND(ISNUMBER($I248),OR($K248="Milestone",$K248="Deadline"),$I248&gt;=BZ$4,$I248&lt;BZ$4+7),IF($K248="Deadline","◇","◆"),"")</f>
        <v/>
      </c>
      <c r="CA248" s="14" t="str">
        <f>IF(AND(ISNUMBER($I248),OR($K248="Milestone",$K248="Deadline"),$I248&gt;=CA$4,$I248&lt;CA$4+7),IF($K248="Deadline","◇","◆"),"")</f>
        <v/>
      </c>
      <c r="CB248" s="14" t="str">
        <f>IF(AND(ISNUMBER($I248),OR($K248="Milestone",$K248="Deadline"),$I248&gt;=CB$4,$I248&lt;CB$4+7),IF($K248="Deadline","◇","◆"),"")</f>
        <v/>
      </c>
      <c r="CC248" s="14" t="str">
        <f>IF(AND(ISNUMBER($I248),OR($K248="Milestone",$K248="Deadline"),$I248&gt;=CC$4,$I248&lt;CC$4+7),IF($K248="Deadline","◇","◆"),"")</f>
        <v/>
      </c>
      <c r="CD248" s="14" t="str">
        <f>IF(AND(ISNUMBER($I248),OR($K248="Milestone",$K248="Deadline"),$I248&gt;=CD$4,$I248&lt;CD$4+7),IF($K248="Deadline","◇","◆"),"")</f>
        <v/>
      </c>
      <c r="CE248" s="14" t="str">
        <f>IF(AND(ISNUMBER($I248),OR($K248="Milestone",$K248="Deadline"),$I248&gt;=CE$4,$I248&lt;CE$4+7),IF($K248="Deadline","◇","◆"),"")</f>
        <v/>
      </c>
      <c r="CF248" s="14" t="str">
        <f>IF(AND(ISNUMBER($I248),OR($K248="Milestone",$K248="Deadline"),$I248&gt;=CF$4,$I248&lt;CF$4+7),IF($K248="Deadline","◇","◆"),"")</f>
        <v/>
      </c>
      <c r="CG248" s="14" t="str">
        <f>IF(AND(ISNUMBER($I248),OR($K248="Milestone",$K248="Deadline"),$I248&gt;=CG$4,$I248&lt;CG$4+7),IF($K248="Deadline","◇","◆"),"")</f>
        <v/>
      </c>
      <c r="CH248" s="14" t="str">
        <f>IF(AND(ISNUMBER($I248),OR($K248="Milestone",$K248="Deadline"),$I248&gt;=CH$4,$I248&lt;CH$4+7),IF($K248="Deadline","◇","◆"),"")</f>
        <v/>
      </c>
      <c r="CI248" s="14" t="str">
        <f>IF(AND(ISNUMBER($I248),OR($K248="Milestone",$K248="Deadline"),$I248&gt;=CI$4,$I248&lt;CI$4+7),IF($K248="Deadline","◇","◆"),"")</f>
        <v/>
      </c>
      <c r="CJ248" s="14" t="str">
        <f>IF(AND(ISNUMBER($I248),OR($K248="Milestone",$K248="Deadline"),$I248&gt;=CJ$4,$I248&lt;CJ$4+7),IF($K248="Deadline","◇","◆"),"")</f>
        <v/>
      </c>
      <c r="CK248" s="14" t="str">
        <f>IF(AND(ISNUMBER($I248),OR($K248="Milestone",$K248="Deadline"),$I248&gt;=CK$4,$I248&lt;CK$4+7),IF($K248="Deadline","◇","◆"),"")</f>
        <v/>
      </c>
      <c r="CL248" s="14" t="str">
        <f>IF(AND(ISNUMBER($I248),OR($K248="Milestone",$K248="Deadline"),$I248&gt;=CL$4,$I248&lt;CL$4+7),IF($K248="Deadline","◇","◆"),"")</f>
        <v/>
      </c>
      <c r="CM248" s="14" t="str">
        <f>IF(AND(ISNUMBER($I248),OR($K248="Milestone",$K248="Deadline"),$I248&gt;=CM$4,$I248&lt;CM$4+7),IF($K248="Deadline","◇","◆"),"")</f>
        <v/>
      </c>
    </row>
    <row r="249" spans="1:91" hidden="1">
      <c r="A249" s="9" t="s">
        <v>292</v>
      </c>
      <c r="B249" s="9" t="s">
        <v>501</v>
      </c>
      <c r="C249" s="9" t="s">
        <v>221</v>
      </c>
      <c r="D249" s="9" t="s">
        <v>168</v>
      </c>
      <c r="E249" s="9"/>
      <c r="F249" s="9" t="s">
        <v>216</v>
      </c>
      <c r="G249" s="9" t="s">
        <v>222</v>
      </c>
      <c r="H249" s="9">
        <v>7</v>
      </c>
      <c r="I249" s="51">
        <f>MAX($C$2,J246+1,J176+1,J196+1)</f>
        <v>46434</v>
      </c>
      <c r="J249" s="11">
        <f>IF(AND(ISNUMBER(I249),ISNUMBER(H249)),I249+H249-1,"")</f>
        <v>46440</v>
      </c>
      <c r="K249" s="9" t="s">
        <v>27</v>
      </c>
      <c r="L249" s="9" t="s">
        <v>505</v>
      </c>
      <c r="M249" s="12" t="s">
        <v>510</v>
      </c>
      <c r="N249" s="9"/>
      <c r="O249" s="12">
        <f>IF(AND(ISNUMBER(I249),ISNUMBER(J249)),J249-I249+1,"")</f>
        <v>7</v>
      </c>
      <c r="P249" s="13"/>
      <c r="Q249" s="13"/>
      <c r="R249" s="13"/>
      <c r="S249" s="13" t="s">
        <v>140</v>
      </c>
      <c r="T249" s="13"/>
      <c r="U249" s="13"/>
      <c r="V249" s="13"/>
      <c r="W249" s="13"/>
      <c r="X249" s="13"/>
      <c r="Y249" s="13"/>
      <c r="Z249" s="13"/>
      <c r="AA249" s="13"/>
      <c r="AB249" s="13"/>
      <c r="AC249" s="13"/>
      <c r="AD249" s="13" t="s">
        <v>140</v>
      </c>
      <c r="AE249" s="13"/>
      <c r="AF249" s="13"/>
      <c r="AG249" s="13"/>
      <c r="AH249" s="13"/>
      <c r="AI249" s="13"/>
      <c r="AJ249" s="13"/>
      <c r="AK249" s="13"/>
      <c r="AL249" s="13"/>
      <c r="AM249" s="13"/>
      <c r="AN249" s="13"/>
      <c r="AO249" s="14" t="str">
        <f>IF(AND(ISNUMBER($I249),OR($K249="Milestone",$K249="Deadline"),$I249&gt;=AO$4,$I249&lt;AO$4+7),IF($K249="Deadline","◇","◆"),"")</f>
        <v/>
      </c>
      <c r="AP249" s="14" t="str">
        <f>IF(AND(ISNUMBER($I249),OR($K249="Milestone",$K249="Deadline"),$I249&gt;=AP$4,$I249&lt;AP$4+7),IF($K249="Deadline","◇","◆"),"")</f>
        <v/>
      </c>
      <c r="AQ249" s="14" t="str">
        <f>IF(AND(ISNUMBER($I249),OR($K249="Milestone",$K249="Deadline"),$I249&gt;=AQ$4,$I249&lt;AQ$4+7),IF($K249="Deadline","◇","◆"),"")</f>
        <v/>
      </c>
      <c r="AR249" s="14" t="str">
        <f>IF(AND(ISNUMBER($I249),OR($K249="Milestone",$K249="Deadline"),$I249&gt;=AR$4,$I249&lt;AR$4+7),IF($K249="Deadline","◇","◆"),"")</f>
        <v/>
      </c>
      <c r="AS249" s="14" t="str">
        <f>IF(AND(ISNUMBER($I249),OR($K249="Milestone",$K249="Deadline"),$I249&gt;=AS$4,$I249&lt;AS$4+7),IF($K249="Deadline","◇","◆"),"")</f>
        <v/>
      </c>
      <c r="AT249" s="14" t="str">
        <f>IF(AND(ISNUMBER($I249),OR($K249="Milestone",$K249="Deadline"),$I249&gt;=AT$4,$I249&lt;AT$4+7),IF($K249="Deadline","◇","◆"),"")</f>
        <v/>
      </c>
      <c r="AU249" s="14" t="str">
        <f>IF(AND(ISNUMBER($I249),OR($K249="Milestone",$K249="Deadline"),$I249&gt;=AU$4,$I249&lt;AU$4+7),IF($K249="Deadline","◇","◆"),"")</f>
        <v/>
      </c>
      <c r="AV249" s="14" t="str">
        <f>IF(AND(ISNUMBER($I249),OR($K249="Milestone",$K249="Deadline"),$I249&gt;=AV$4,$I249&lt;AV$4+7),IF($K249="Deadline","◇","◆"),"")</f>
        <v/>
      </c>
      <c r="AW249" s="14" t="str">
        <f>IF(AND(ISNUMBER($I249),OR($K249="Milestone",$K249="Deadline"),$I249&gt;=AW$4,$I249&lt;AW$4+7),IF($K249="Deadline","◇","◆"),"")</f>
        <v/>
      </c>
      <c r="AX249" s="14" t="str">
        <f>IF(AND(ISNUMBER($I249),OR($K249="Milestone",$K249="Deadline"),$I249&gt;=AX$4,$I249&lt;AX$4+7),IF($K249="Deadline","◇","◆"),"")</f>
        <v/>
      </c>
      <c r="AY249" s="14" t="str">
        <f>IF(AND(ISNUMBER($I249),OR($K249="Milestone",$K249="Deadline"),$I249&gt;=AY$4,$I249&lt;AY$4+7),IF($K249="Deadline","◇","◆"),"")</f>
        <v/>
      </c>
      <c r="AZ249" s="14" t="str">
        <f>IF(AND(ISNUMBER($I249),OR($K249="Milestone",$K249="Deadline"),$I249&gt;=AZ$4,$I249&lt;AZ$4+7),IF($K249="Deadline","◇","◆"),"")</f>
        <v/>
      </c>
      <c r="BA249" s="14" t="str">
        <f>IF(AND(ISNUMBER($I249),OR($K249="Milestone",$K249="Deadline"),$I249&gt;=BA$4,$I249&lt;BA$4+7),IF($K249="Deadline","◇","◆"),"")</f>
        <v/>
      </c>
      <c r="BB249" s="14" t="str">
        <f>IF(AND(ISNUMBER($I249),OR($K249="Milestone",$K249="Deadline"),$I249&gt;=BB$4,$I249&lt;BB$4+7),IF($K249="Deadline","◇","◆"),"")</f>
        <v/>
      </c>
      <c r="BC249" s="14" t="str">
        <f>IF(AND(ISNUMBER($I249),OR($K249="Milestone",$K249="Deadline"),$I249&gt;=BC$4,$I249&lt;BC$4+7),IF($K249="Deadline","◇","◆"),"")</f>
        <v/>
      </c>
      <c r="BD249" s="14" t="str">
        <f>IF(AND(ISNUMBER($I249),OR($K249="Milestone",$K249="Deadline"),$I249&gt;=BD$4,$I249&lt;BD$4+7),IF($K249="Deadline","◇","◆"),"")</f>
        <v/>
      </c>
      <c r="BE249" s="14" t="str">
        <f>IF(AND(ISNUMBER($I249),OR($K249="Milestone",$K249="Deadline"),$I249&gt;=BE$4,$I249&lt;BE$4+7),IF($K249="Deadline","◇","◆"),"")</f>
        <v/>
      </c>
      <c r="BF249" s="14" t="str">
        <f>IF(AND(ISNUMBER($I249),OR($K249="Milestone",$K249="Deadline"),$I249&gt;=BF$4,$I249&lt;BF$4+7),IF($K249="Deadline","◇","◆"),"")</f>
        <v/>
      </c>
      <c r="BG249" s="14" t="str">
        <f>IF(AND(ISNUMBER($I249),OR($K249="Milestone",$K249="Deadline"),$I249&gt;=BG$4,$I249&lt;BG$4+7),IF($K249="Deadline","◇","◆"),"")</f>
        <v/>
      </c>
      <c r="BH249" s="14" t="str">
        <f>IF(AND(ISNUMBER($I249),OR($K249="Milestone",$K249="Deadline"),$I249&gt;=BH$4,$I249&lt;BH$4+7),IF($K249="Deadline","◇","◆"),"")</f>
        <v/>
      </c>
      <c r="BI249" s="14" t="str">
        <f>IF(AND(ISNUMBER($I249),OR($K249="Milestone",$K249="Deadline"),$I249&gt;=BI$4,$I249&lt;BI$4+7),IF($K249="Deadline","◇","◆"),"")</f>
        <v/>
      </c>
      <c r="BJ249" s="14" t="str">
        <f>IF(AND(ISNUMBER($I249),OR($K249="Milestone",$K249="Deadline"),$I249&gt;=BJ$4,$I249&lt;BJ$4+7),IF($K249="Deadline","◇","◆"),"")</f>
        <v/>
      </c>
      <c r="BK249" s="14" t="str">
        <f>IF(AND(ISNUMBER($I249),OR($K249="Milestone",$K249="Deadline"),$I249&gt;=BK$4,$I249&lt;BK$4+7),IF($K249="Deadline","◇","◆"),"")</f>
        <v/>
      </c>
      <c r="BL249" s="14" t="str">
        <f>IF(AND(ISNUMBER($I249),OR($K249="Milestone",$K249="Deadline"),$I249&gt;=BL$4,$I249&lt;BL$4+7),IF($K249="Deadline","◇","◆"),"")</f>
        <v/>
      </c>
      <c r="BM249" s="14" t="str">
        <f>IF(AND(ISNUMBER($I249),OR($K249="Milestone",$K249="Deadline"),$I249&gt;=BM$4,$I249&lt;BM$4+7),IF($K249="Deadline","◇","◆"),"")</f>
        <v/>
      </c>
      <c r="BN249" s="14" t="str">
        <f>IF(AND(ISNUMBER($I249),OR($K249="Milestone",$K249="Deadline"),$I249&gt;=BN$4,$I249&lt;BN$4+7),IF($K249="Deadline","◇","◆"),"")</f>
        <v/>
      </c>
      <c r="BO249" s="14" t="str">
        <f>IF(AND(ISNUMBER($I249),OR($K249="Milestone",$K249="Deadline"),$I249&gt;=BO$4,$I249&lt;BO$4+7),IF($K249="Deadline","◇","◆"),"")</f>
        <v/>
      </c>
      <c r="BP249" s="14" t="str">
        <f>IF(AND(ISNUMBER($I249),OR($K249="Milestone",$K249="Deadline"),$I249&gt;=BP$4,$I249&lt;BP$4+7),IF($K249="Deadline","◇","◆"),"")</f>
        <v/>
      </c>
      <c r="BQ249" s="14" t="str">
        <f>IF(AND(ISNUMBER($I249),OR($K249="Milestone",$K249="Deadline"),$I249&gt;=BQ$4,$I249&lt;BQ$4+7),IF($K249="Deadline","◇","◆"),"")</f>
        <v/>
      </c>
      <c r="BR249" s="14" t="str">
        <f>IF(AND(ISNUMBER($I249),OR($K249="Milestone",$K249="Deadline"),$I249&gt;=BR$4,$I249&lt;BR$4+7),IF($K249="Deadline","◇","◆"),"")</f>
        <v/>
      </c>
      <c r="BS249" s="14" t="str">
        <f>IF(AND(ISNUMBER($I249),OR($K249="Milestone",$K249="Deadline"),$I249&gt;=BS$4,$I249&lt;BS$4+7),IF($K249="Deadline","◇","◆"),"")</f>
        <v/>
      </c>
      <c r="BT249" s="14" t="str">
        <f>IF(AND(ISNUMBER($I249),OR($K249="Milestone",$K249="Deadline"),$I249&gt;=BT$4,$I249&lt;BT$4+7),IF($K249="Deadline","◇","◆"),"")</f>
        <v/>
      </c>
      <c r="BU249" s="14" t="str">
        <f>IF(AND(ISNUMBER($I249),OR($K249="Milestone",$K249="Deadline"),$I249&gt;=BU$4,$I249&lt;BU$4+7),IF($K249="Deadline","◇","◆"),"")</f>
        <v/>
      </c>
      <c r="BV249" s="14" t="str">
        <f>IF(AND(ISNUMBER($I249),OR($K249="Milestone",$K249="Deadline"),$I249&gt;=BV$4,$I249&lt;BV$4+7),IF($K249="Deadline","◇","◆"),"")</f>
        <v/>
      </c>
      <c r="BW249" s="14" t="str">
        <f>IF(AND(ISNUMBER($I249),OR($K249="Milestone",$K249="Deadline"),$I249&gt;=BW$4,$I249&lt;BW$4+7),IF($K249="Deadline","◇","◆"),"")</f>
        <v/>
      </c>
      <c r="BX249" s="14" t="str">
        <f>IF(AND(ISNUMBER($I249),OR($K249="Milestone",$K249="Deadline"),$I249&gt;=BX$4,$I249&lt;BX$4+7),IF($K249="Deadline","◇","◆"),"")</f>
        <v/>
      </c>
      <c r="BY249" s="14" t="str">
        <f>IF(AND(ISNUMBER($I249),OR($K249="Milestone",$K249="Deadline"),$I249&gt;=BY$4,$I249&lt;BY$4+7),IF($K249="Deadline","◇","◆"),"")</f>
        <v/>
      </c>
      <c r="BZ249" s="14" t="str">
        <f>IF(AND(ISNUMBER($I249),OR($K249="Milestone",$K249="Deadline"),$I249&gt;=BZ$4,$I249&lt;BZ$4+7),IF($K249="Deadline","◇","◆"),"")</f>
        <v/>
      </c>
      <c r="CA249" s="14" t="str">
        <f>IF(AND(ISNUMBER($I249),OR($K249="Milestone",$K249="Deadline"),$I249&gt;=CA$4,$I249&lt;CA$4+7),IF($K249="Deadline","◇","◆"),"")</f>
        <v/>
      </c>
      <c r="CB249" s="14" t="str">
        <f>IF(AND(ISNUMBER($I249),OR($K249="Milestone",$K249="Deadline"),$I249&gt;=CB$4,$I249&lt;CB$4+7),IF($K249="Deadline","◇","◆"),"")</f>
        <v/>
      </c>
      <c r="CC249" s="14" t="str">
        <f>IF(AND(ISNUMBER($I249),OR($K249="Milestone",$K249="Deadline"),$I249&gt;=CC$4,$I249&lt;CC$4+7),IF($K249="Deadline","◇","◆"),"")</f>
        <v/>
      </c>
      <c r="CD249" s="14" t="str">
        <f>IF(AND(ISNUMBER($I249),OR($K249="Milestone",$K249="Deadline"),$I249&gt;=CD$4,$I249&lt;CD$4+7),IF($K249="Deadline","◇","◆"),"")</f>
        <v/>
      </c>
      <c r="CE249" s="14" t="str">
        <f>IF(AND(ISNUMBER($I249),OR($K249="Milestone",$K249="Deadline"),$I249&gt;=CE$4,$I249&lt;CE$4+7),IF($K249="Deadline","◇","◆"),"")</f>
        <v/>
      </c>
      <c r="CF249" s="14" t="str">
        <f>IF(AND(ISNUMBER($I249),OR($K249="Milestone",$K249="Deadline"),$I249&gt;=CF$4,$I249&lt;CF$4+7),IF($K249="Deadline","◇","◆"),"")</f>
        <v/>
      </c>
      <c r="CG249" s="14" t="str">
        <f>IF(AND(ISNUMBER($I249),OR($K249="Milestone",$K249="Deadline"),$I249&gt;=CG$4,$I249&lt;CG$4+7),IF($K249="Deadline","◇","◆"),"")</f>
        <v/>
      </c>
      <c r="CH249" s="14" t="str">
        <f>IF(AND(ISNUMBER($I249),OR($K249="Milestone",$K249="Deadline"),$I249&gt;=CH$4,$I249&lt;CH$4+7),IF($K249="Deadline","◇","◆"),"")</f>
        <v/>
      </c>
      <c r="CI249" s="14" t="str">
        <f>IF(AND(ISNUMBER($I249),OR($K249="Milestone",$K249="Deadline"),$I249&gt;=CI$4,$I249&lt;CI$4+7),IF($K249="Deadline","◇","◆"),"")</f>
        <v/>
      </c>
      <c r="CJ249" s="14" t="str">
        <f>IF(AND(ISNUMBER($I249),OR($K249="Milestone",$K249="Deadline"),$I249&gt;=CJ$4,$I249&lt;CJ$4+7),IF($K249="Deadline","◇","◆"),"")</f>
        <v/>
      </c>
      <c r="CK249" s="14" t="str">
        <f>IF(AND(ISNUMBER($I249),OR($K249="Milestone",$K249="Deadline"),$I249&gt;=CK$4,$I249&lt;CK$4+7),IF($K249="Deadline","◇","◆"),"")</f>
        <v/>
      </c>
      <c r="CL249" s="14" t="str">
        <f>IF(AND(ISNUMBER($I249),OR($K249="Milestone",$K249="Deadline"),$I249&gt;=CL$4,$I249&lt;CL$4+7),IF($K249="Deadline","◇","◆"),"")</f>
        <v/>
      </c>
      <c r="CM249" s="14" t="str">
        <f>IF(AND(ISNUMBER($I249),OR($K249="Milestone",$K249="Deadline"),$I249&gt;=CM$4,$I249&lt;CM$4+7),IF($K249="Deadline","◇","◆"),"")</f>
        <v/>
      </c>
    </row>
    <row r="250" spans="1:91" hidden="1">
      <c r="A250" s="9" t="s">
        <v>511</v>
      </c>
      <c r="B250" s="9" t="s">
        <v>501</v>
      </c>
      <c r="C250" s="9" t="s">
        <v>226</v>
      </c>
      <c r="D250" s="9" t="s">
        <v>168</v>
      </c>
      <c r="E250" s="9"/>
      <c r="F250" s="9" t="s">
        <v>216</v>
      </c>
      <c r="G250" s="9" t="s">
        <v>227</v>
      </c>
      <c r="H250" s="9">
        <v>7</v>
      </c>
      <c r="I250" s="51">
        <f>MAX($C$2,J239+1)</f>
        <v>46483</v>
      </c>
      <c r="J250" s="11">
        <f>IF(AND(ISNUMBER(I250),ISNUMBER(H250)),I250+H250-1,"")</f>
        <v>46489</v>
      </c>
      <c r="K250" s="9" t="s">
        <v>27</v>
      </c>
      <c r="L250" s="9"/>
      <c r="M250" s="12" t="s">
        <v>498</v>
      </c>
      <c r="N250" s="9"/>
      <c r="O250" s="12">
        <f>IF(AND(ISNUMBER(I250),ISNUMBER(J250)),J250-I250+1,"")</f>
        <v>7</v>
      </c>
      <c r="P250" s="13" t="s">
        <v>140</v>
      </c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  <c r="AG250" s="13"/>
      <c r="AH250" s="13"/>
      <c r="AI250" s="13"/>
      <c r="AJ250" s="13"/>
      <c r="AK250" s="13"/>
      <c r="AL250" s="13"/>
      <c r="AM250" s="13"/>
      <c r="AN250" s="13"/>
      <c r="AO250" s="14" t="str">
        <f>IF(AND(ISNUMBER($I250),OR($K250="Milestone",$K250="Deadline"),$I250&gt;=AO$4,$I250&lt;AO$4+7),IF($K250="Deadline","◇","◆"),"")</f>
        <v/>
      </c>
      <c r="AP250" s="14" t="str">
        <f>IF(AND(ISNUMBER($I250),OR($K250="Milestone",$K250="Deadline"),$I250&gt;=AP$4,$I250&lt;AP$4+7),IF($K250="Deadline","◇","◆"),"")</f>
        <v/>
      </c>
      <c r="AQ250" s="14" t="str">
        <f>IF(AND(ISNUMBER($I250),OR($K250="Milestone",$K250="Deadline"),$I250&gt;=AQ$4,$I250&lt;AQ$4+7),IF($K250="Deadline","◇","◆"),"")</f>
        <v/>
      </c>
      <c r="AR250" s="14" t="str">
        <f>IF(AND(ISNUMBER($I250),OR($K250="Milestone",$K250="Deadline"),$I250&gt;=AR$4,$I250&lt;AR$4+7),IF($K250="Deadline","◇","◆"),"")</f>
        <v/>
      </c>
      <c r="AS250" s="14" t="str">
        <f>IF(AND(ISNUMBER($I250),OR($K250="Milestone",$K250="Deadline"),$I250&gt;=AS$4,$I250&lt;AS$4+7),IF($K250="Deadline","◇","◆"),"")</f>
        <v/>
      </c>
      <c r="AT250" s="14" t="str">
        <f>IF(AND(ISNUMBER($I250),OR($K250="Milestone",$K250="Deadline"),$I250&gt;=AT$4,$I250&lt;AT$4+7),IF($K250="Deadline","◇","◆"),"")</f>
        <v/>
      </c>
      <c r="AU250" s="14" t="str">
        <f>IF(AND(ISNUMBER($I250),OR($K250="Milestone",$K250="Deadline"),$I250&gt;=AU$4,$I250&lt;AU$4+7),IF($K250="Deadline","◇","◆"),"")</f>
        <v/>
      </c>
      <c r="AV250" s="14" t="str">
        <f>IF(AND(ISNUMBER($I250),OR($K250="Milestone",$K250="Deadline"),$I250&gt;=AV$4,$I250&lt;AV$4+7),IF($K250="Deadline","◇","◆"),"")</f>
        <v/>
      </c>
      <c r="AW250" s="14" t="str">
        <f>IF(AND(ISNUMBER($I250),OR($K250="Milestone",$K250="Deadline"),$I250&gt;=AW$4,$I250&lt;AW$4+7),IF($K250="Deadline","◇","◆"),"")</f>
        <v/>
      </c>
      <c r="AX250" s="14" t="str">
        <f>IF(AND(ISNUMBER($I250),OR($K250="Milestone",$K250="Deadline"),$I250&gt;=AX$4,$I250&lt;AX$4+7),IF($K250="Deadline","◇","◆"),"")</f>
        <v/>
      </c>
      <c r="AY250" s="14" t="str">
        <f>IF(AND(ISNUMBER($I250),OR($K250="Milestone",$K250="Deadline"),$I250&gt;=AY$4,$I250&lt;AY$4+7),IF($K250="Deadline","◇","◆"),"")</f>
        <v/>
      </c>
      <c r="AZ250" s="14" t="str">
        <f>IF(AND(ISNUMBER($I250),OR($K250="Milestone",$K250="Deadline"),$I250&gt;=AZ$4,$I250&lt;AZ$4+7),IF($K250="Deadline","◇","◆"),"")</f>
        <v/>
      </c>
      <c r="BA250" s="14" t="str">
        <f>IF(AND(ISNUMBER($I250),OR($K250="Milestone",$K250="Deadline"),$I250&gt;=BA$4,$I250&lt;BA$4+7),IF($K250="Deadline","◇","◆"),"")</f>
        <v/>
      </c>
      <c r="BB250" s="14" t="str">
        <f>IF(AND(ISNUMBER($I250),OR($K250="Milestone",$K250="Deadline"),$I250&gt;=BB$4,$I250&lt;BB$4+7),IF($K250="Deadline","◇","◆"),"")</f>
        <v/>
      </c>
      <c r="BC250" s="14" t="str">
        <f>IF(AND(ISNUMBER($I250),OR($K250="Milestone",$K250="Deadline"),$I250&gt;=BC$4,$I250&lt;BC$4+7),IF($K250="Deadline","◇","◆"),"")</f>
        <v/>
      </c>
      <c r="BD250" s="14" t="str">
        <f>IF(AND(ISNUMBER($I250),OR($K250="Milestone",$K250="Deadline"),$I250&gt;=BD$4,$I250&lt;BD$4+7),IF($K250="Deadline","◇","◆"),"")</f>
        <v/>
      </c>
      <c r="BE250" s="14" t="str">
        <f>IF(AND(ISNUMBER($I250),OR($K250="Milestone",$K250="Deadline"),$I250&gt;=BE$4,$I250&lt;BE$4+7),IF($K250="Deadline","◇","◆"),"")</f>
        <v/>
      </c>
      <c r="BF250" s="14" t="str">
        <f>IF(AND(ISNUMBER($I250),OR($K250="Milestone",$K250="Deadline"),$I250&gt;=BF$4,$I250&lt;BF$4+7),IF($K250="Deadline","◇","◆"),"")</f>
        <v/>
      </c>
      <c r="BG250" s="14" t="str">
        <f>IF(AND(ISNUMBER($I250),OR($K250="Milestone",$K250="Deadline"),$I250&gt;=BG$4,$I250&lt;BG$4+7),IF($K250="Deadline","◇","◆"),"")</f>
        <v/>
      </c>
      <c r="BH250" s="14" t="str">
        <f>IF(AND(ISNUMBER($I250),OR($K250="Milestone",$K250="Deadline"),$I250&gt;=BH$4,$I250&lt;BH$4+7),IF($K250="Deadline","◇","◆"),"")</f>
        <v/>
      </c>
      <c r="BI250" s="14" t="str">
        <f>IF(AND(ISNUMBER($I250),OR($K250="Milestone",$K250="Deadline"),$I250&gt;=BI$4,$I250&lt;BI$4+7),IF($K250="Deadline","◇","◆"),"")</f>
        <v/>
      </c>
      <c r="BJ250" s="14" t="str">
        <f>IF(AND(ISNUMBER($I250),OR($K250="Milestone",$K250="Deadline"),$I250&gt;=BJ$4,$I250&lt;BJ$4+7),IF($K250="Deadline","◇","◆"),"")</f>
        <v/>
      </c>
      <c r="BK250" s="14" t="str">
        <f>IF(AND(ISNUMBER($I250),OR($K250="Milestone",$K250="Deadline"),$I250&gt;=BK$4,$I250&lt;BK$4+7),IF($K250="Deadline","◇","◆"),"")</f>
        <v/>
      </c>
      <c r="BL250" s="14" t="str">
        <f>IF(AND(ISNUMBER($I250),OR($K250="Milestone",$K250="Deadline"),$I250&gt;=BL$4,$I250&lt;BL$4+7),IF($K250="Deadline","◇","◆"),"")</f>
        <v/>
      </c>
      <c r="BM250" s="14" t="str">
        <f>IF(AND(ISNUMBER($I250),OR($K250="Milestone",$K250="Deadline"),$I250&gt;=BM$4,$I250&lt;BM$4+7),IF($K250="Deadline","◇","◆"),"")</f>
        <v/>
      </c>
      <c r="BN250" s="14" t="str">
        <f>IF(AND(ISNUMBER($I250),OR($K250="Milestone",$K250="Deadline"),$I250&gt;=BN$4,$I250&lt;BN$4+7),IF($K250="Deadline","◇","◆"),"")</f>
        <v/>
      </c>
      <c r="BO250" s="14" t="str">
        <f>IF(AND(ISNUMBER($I250),OR($K250="Milestone",$K250="Deadline"),$I250&gt;=BO$4,$I250&lt;BO$4+7),IF($K250="Deadline","◇","◆"),"")</f>
        <v/>
      </c>
      <c r="BP250" s="14" t="str">
        <f>IF(AND(ISNUMBER($I250),OR($K250="Milestone",$K250="Deadline"),$I250&gt;=BP$4,$I250&lt;BP$4+7),IF($K250="Deadline","◇","◆"),"")</f>
        <v/>
      </c>
      <c r="BQ250" s="14" t="str">
        <f>IF(AND(ISNUMBER($I250),OR($K250="Milestone",$K250="Deadline"),$I250&gt;=BQ$4,$I250&lt;BQ$4+7),IF($K250="Deadline","◇","◆"),"")</f>
        <v/>
      </c>
      <c r="BR250" s="14" t="str">
        <f>IF(AND(ISNUMBER($I250),OR($K250="Milestone",$K250="Deadline"),$I250&gt;=BR$4,$I250&lt;BR$4+7),IF($K250="Deadline","◇","◆"),"")</f>
        <v/>
      </c>
      <c r="BS250" s="14" t="str">
        <f>IF(AND(ISNUMBER($I250),OR($K250="Milestone",$K250="Deadline"),$I250&gt;=BS$4,$I250&lt;BS$4+7),IF($K250="Deadline","◇","◆"),"")</f>
        <v/>
      </c>
      <c r="BT250" s="14" t="str">
        <f>IF(AND(ISNUMBER($I250),OR($K250="Milestone",$K250="Deadline"),$I250&gt;=BT$4,$I250&lt;BT$4+7),IF($K250="Deadline","◇","◆"),"")</f>
        <v/>
      </c>
      <c r="BU250" s="14" t="str">
        <f>IF(AND(ISNUMBER($I250),OR($K250="Milestone",$K250="Deadline"),$I250&gt;=BU$4,$I250&lt;BU$4+7),IF($K250="Deadline","◇","◆"),"")</f>
        <v/>
      </c>
      <c r="BV250" s="14" t="str">
        <f>IF(AND(ISNUMBER($I250),OR($K250="Milestone",$K250="Deadline"),$I250&gt;=BV$4,$I250&lt;BV$4+7),IF($K250="Deadline","◇","◆"),"")</f>
        <v/>
      </c>
      <c r="BW250" s="14" t="str">
        <f>IF(AND(ISNUMBER($I250),OR($K250="Milestone",$K250="Deadline"),$I250&gt;=BW$4,$I250&lt;BW$4+7),IF($K250="Deadline","◇","◆"),"")</f>
        <v/>
      </c>
      <c r="BX250" s="14" t="str">
        <f>IF(AND(ISNUMBER($I250),OR($K250="Milestone",$K250="Deadline"),$I250&gt;=BX$4,$I250&lt;BX$4+7),IF($K250="Deadline","◇","◆"),"")</f>
        <v/>
      </c>
      <c r="BY250" s="14" t="str">
        <f>IF(AND(ISNUMBER($I250),OR($K250="Milestone",$K250="Deadline"),$I250&gt;=BY$4,$I250&lt;BY$4+7),IF($K250="Deadline","◇","◆"),"")</f>
        <v/>
      </c>
      <c r="BZ250" s="14" t="str">
        <f>IF(AND(ISNUMBER($I250),OR($K250="Milestone",$K250="Deadline"),$I250&gt;=BZ$4,$I250&lt;BZ$4+7),IF($K250="Deadline","◇","◆"),"")</f>
        <v/>
      </c>
      <c r="CA250" s="14" t="str">
        <f>IF(AND(ISNUMBER($I250),OR($K250="Milestone",$K250="Deadline"),$I250&gt;=CA$4,$I250&lt;CA$4+7),IF($K250="Deadline","◇","◆"),"")</f>
        <v/>
      </c>
      <c r="CB250" s="14" t="str">
        <f>IF(AND(ISNUMBER($I250),OR($K250="Milestone",$K250="Deadline"),$I250&gt;=CB$4,$I250&lt;CB$4+7),IF($K250="Deadline","◇","◆"),"")</f>
        <v/>
      </c>
      <c r="CC250" s="14" t="str">
        <f>IF(AND(ISNUMBER($I250),OR($K250="Milestone",$K250="Deadline"),$I250&gt;=CC$4,$I250&lt;CC$4+7),IF($K250="Deadline","◇","◆"),"")</f>
        <v/>
      </c>
      <c r="CD250" s="14" t="str">
        <f>IF(AND(ISNUMBER($I250),OR($K250="Milestone",$K250="Deadline"),$I250&gt;=CD$4,$I250&lt;CD$4+7),IF($K250="Deadline","◇","◆"),"")</f>
        <v/>
      </c>
      <c r="CE250" s="14" t="str">
        <f>IF(AND(ISNUMBER($I250),OR($K250="Milestone",$K250="Deadline"),$I250&gt;=CE$4,$I250&lt;CE$4+7),IF($K250="Deadline","◇","◆"),"")</f>
        <v/>
      </c>
      <c r="CF250" s="14" t="str">
        <f>IF(AND(ISNUMBER($I250),OR($K250="Milestone",$K250="Deadline"),$I250&gt;=CF$4,$I250&lt;CF$4+7),IF($K250="Deadline","◇","◆"),"")</f>
        <v/>
      </c>
      <c r="CG250" s="14" t="str">
        <f>IF(AND(ISNUMBER($I250),OR($K250="Milestone",$K250="Deadline"),$I250&gt;=CG$4,$I250&lt;CG$4+7),IF($K250="Deadline","◇","◆"),"")</f>
        <v/>
      </c>
      <c r="CH250" s="14" t="str">
        <f>IF(AND(ISNUMBER($I250),OR($K250="Milestone",$K250="Deadline"),$I250&gt;=CH$4,$I250&lt;CH$4+7),IF($K250="Deadline","◇","◆"),"")</f>
        <v/>
      </c>
      <c r="CI250" s="14" t="str">
        <f>IF(AND(ISNUMBER($I250),OR($K250="Milestone",$K250="Deadline"),$I250&gt;=CI$4,$I250&lt;CI$4+7),IF($K250="Deadline","◇","◆"),"")</f>
        <v/>
      </c>
      <c r="CJ250" s="14" t="str">
        <f>IF(AND(ISNUMBER($I250),OR($K250="Milestone",$K250="Deadline"),$I250&gt;=CJ$4,$I250&lt;CJ$4+7),IF($K250="Deadline","◇","◆"),"")</f>
        <v/>
      </c>
      <c r="CK250" s="14" t="str">
        <f>IF(AND(ISNUMBER($I250),OR($K250="Milestone",$K250="Deadline"),$I250&gt;=CK$4,$I250&lt;CK$4+7),IF($K250="Deadline","◇","◆"),"")</f>
        <v/>
      </c>
      <c r="CL250" s="14" t="str">
        <f>IF(AND(ISNUMBER($I250),OR($K250="Milestone",$K250="Deadline"),$I250&gt;=CL$4,$I250&lt;CL$4+7),IF($K250="Deadline","◇","◆"),"")</f>
        <v/>
      </c>
      <c r="CM250" s="14" t="str">
        <f>IF(AND(ISNUMBER($I250),OR($K250="Milestone",$K250="Deadline"),$I250&gt;=CM$4,$I250&lt;CM$4+7),IF($K250="Deadline","◇","◆"),"")</f>
        <v/>
      </c>
    </row>
    <row r="251" spans="1:91" hidden="1">
      <c r="A251" s="9" t="s">
        <v>512</v>
      </c>
      <c r="B251" s="9" t="s">
        <v>501</v>
      </c>
      <c r="C251" s="9" t="s">
        <v>230</v>
      </c>
      <c r="D251" s="9" t="s">
        <v>168</v>
      </c>
      <c r="E251" s="9"/>
      <c r="F251" s="9" t="s">
        <v>216</v>
      </c>
      <c r="G251" s="9" t="s">
        <v>231</v>
      </c>
      <c r="H251" s="9">
        <v>14</v>
      </c>
      <c r="I251" s="51">
        <f>MAX(DATE(2027,3,8),J240+1)</f>
        <v>46510</v>
      </c>
      <c r="J251" s="11">
        <f>IF(AND(ISNUMBER(I251),ISNUMBER(H251)),I251+H251-1,"")</f>
        <v>46523</v>
      </c>
      <c r="K251" s="9" t="s">
        <v>27</v>
      </c>
      <c r="L251" s="9"/>
      <c r="M251" s="12" t="s">
        <v>499</v>
      </c>
      <c r="N251" s="9"/>
      <c r="O251" s="12">
        <f>IF(AND(ISNUMBER(I251),ISNUMBER(J251)),J251-I251+1,"")</f>
        <v>14</v>
      </c>
      <c r="P251" s="13"/>
      <c r="Q251" s="13"/>
      <c r="R251" s="13"/>
      <c r="S251" s="13" t="s">
        <v>140</v>
      </c>
      <c r="T251" s="13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  <c r="AE251" s="13"/>
      <c r="AF251" s="13"/>
      <c r="AG251" s="13"/>
      <c r="AH251" s="13"/>
      <c r="AI251" s="13"/>
      <c r="AJ251" s="13"/>
      <c r="AK251" s="13"/>
      <c r="AL251" s="13"/>
      <c r="AM251" s="13"/>
      <c r="AN251" s="13"/>
      <c r="AO251" s="14" t="str">
        <f>IF(AND(ISNUMBER($I251),OR($K251="Milestone",$K251="Deadline"),$I251&gt;=AO$4,$I251&lt;AO$4+7),IF($K251="Deadline","◇","◆"),"")</f>
        <v/>
      </c>
      <c r="AP251" s="14" t="str">
        <f>IF(AND(ISNUMBER($I251),OR($K251="Milestone",$K251="Deadline"),$I251&gt;=AP$4,$I251&lt;AP$4+7),IF($K251="Deadline","◇","◆"),"")</f>
        <v/>
      </c>
      <c r="AQ251" s="14" t="str">
        <f>IF(AND(ISNUMBER($I251),OR($K251="Milestone",$K251="Deadline"),$I251&gt;=AQ$4,$I251&lt;AQ$4+7),IF($K251="Deadline","◇","◆"),"")</f>
        <v/>
      </c>
      <c r="AR251" s="14" t="str">
        <f>IF(AND(ISNUMBER($I251),OR($K251="Milestone",$K251="Deadline"),$I251&gt;=AR$4,$I251&lt;AR$4+7),IF($K251="Deadline","◇","◆"),"")</f>
        <v/>
      </c>
      <c r="AS251" s="14" t="str">
        <f>IF(AND(ISNUMBER($I251),OR($K251="Milestone",$K251="Deadline"),$I251&gt;=AS$4,$I251&lt;AS$4+7),IF($K251="Deadline","◇","◆"),"")</f>
        <v/>
      </c>
      <c r="AT251" s="14" t="str">
        <f>IF(AND(ISNUMBER($I251),OR($K251="Milestone",$K251="Deadline"),$I251&gt;=AT$4,$I251&lt;AT$4+7),IF($K251="Deadline","◇","◆"),"")</f>
        <v/>
      </c>
      <c r="AU251" s="14" t="str">
        <f>IF(AND(ISNUMBER($I251),OR($K251="Milestone",$K251="Deadline"),$I251&gt;=AU$4,$I251&lt;AU$4+7),IF($K251="Deadline","◇","◆"),"")</f>
        <v/>
      </c>
      <c r="AV251" s="14" t="str">
        <f>IF(AND(ISNUMBER($I251),OR($K251="Milestone",$K251="Deadline"),$I251&gt;=AV$4,$I251&lt;AV$4+7),IF($K251="Deadline","◇","◆"),"")</f>
        <v/>
      </c>
      <c r="AW251" s="14" t="str">
        <f>IF(AND(ISNUMBER($I251),OR($K251="Milestone",$K251="Deadline"),$I251&gt;=AW$4,$I251&lt;AW$4+7),IF($K251="Deadline","◇","◆"),"")</f>
        <v/>
      </c>
      <c r="AX251" s="14" t="str">
        <f>IF(AND(ISNUMBER($I251),OR($K251="Milestone",$K251="Deadline"),$I251&gt;=AX$4,$I251&lt;AX$4+7),IF($K251="Deadline","◇","◆"),"")</f>
        <v/>
      </c>
      <c r="AY251" s="14" t="str">
        <f>IF(AND(ISNUMBER($I251),OR($K251="Milestone",$K251="Deadline"),$I251&gt;=AY$4,$I251&lt;AY$4+7),IF($K251="Deadline","◇","◆"),"")</f>
        <v/>
      </c>
      <c r="AZ251" s="14" t="str">
        <f>IF(AND(ISNUMBER($I251),OR($K251="Milestone",$K251="Deadline"),$I251&gt;=AZ$4,$I251&lt;AZ$4+7),IF($K251="Deadline","◇","◆"),"")</f>
        <v/>
      </c>
      <c r="BA251" s="14" t="str">
        <f>IF(AND(ISNUMBER($I251),OR($K251="Milestone",$K251="Deadline"),$I251&gt;=BA$4,$I251&lt;BA$4+7),IF($K251="Deadline","◇","◆"),"")</f>
        <v/>
      </c>
      <c r="BB251" s="14" t="str">
        <f>IF(AND(ISNUMBER($I251),OR($K251="Milestone",$K251="Deadline"),$I251&gt;=BB$4,$I251&lt;BB$4+7),IF($K251="Deadline","◇","◆"),"")</f>
        <v/>
      </c>
      <c r="BC251" s="14" t="str">
        <f>IF(AND(ISNUMBER($I251),OR($K251="Milestone",$K251="Deadline"),$I251&gt;=BC$4,$I251&lt;BC$4+7),IF($K251="Deadline","◇","◆"),"")</f>
        <v/>
      </c>
      <c r="BD251" s="14" t="str">
        <f>IF(AND(ISNUMBER($I251),OR($K251="Milestone",$K251="Deadline"),$I251&gt;=BD$4,$I251&lt;BD$4+7),IF($K251="Deadline","◇","◆"),"")</f>
        <v/>
      </c>
      <c r="BE251" s="14" t="str">
        <f>IF(AND(ISNUMBER($I251),OR($K251="Milestone",$K251="Deadline"),$I251&gt;=BE$4,$I251&lt;BE$4+7),IF($K251="Deadline","◇","◆"),"")</f>
        <v/>
      </c>
      <c r="BF251" s="14" t="str">
        <f>IF(AND(ISNUMBER($I251),OR($K251="Milestone",$K251="Deadline"),$I251&gt;=BF$4,$I251&lt;BF$4+7),IF($K251="Deadline","◇","◆"),"")</f>
        <v/>
      </c>
      <c r="BG251" s="14" t="str">
        <f>IF(AND(ISNUMBER($I251),OR($K251="Milestone",$K251="Deadline"),$I251&gt;=BG$4,$I251&lt;BG$4+7),IF($K251="Deadline","◇","◆"),"")</f>
        <v/>
      </c>
      <c r="BH251" s="14" t="str">
        <f>IF(AND(ISNUMBER($I251),OR($K251="Milestone",$K251="Deadline"),$I251&gt;=BH$4,$I251&lt;BH$4+7),IF($K251="Deadline","◇","◆"),"")</f>
        <v/>
      </c>
      <c r="BI251" s="14" t="str">
        <f>IF(AND(ISNUMBER($I251),OR($K251="Milestone",$K251="Deadline"),$I251&gt;=BI$4,$I251&lt;BI$4+7),IF($K251="Deadline","◇","◆"),"")</f>
        <v/>
      </c>
      <c r="BJ251" s="14" t="str">
        <f>IF(AND(ISNUMBER($I251),OR($K251="Milestone",$K251="Deadline"),$I251&gt;=BJ$4,$I251&lt;BJ$4+7),IF($K251="Deadline","◇","◆"),"")</f>
        <v/>
      </c>
      <c r="BK251" s="14" t="str">
        <f>IF(AND(ISNUMBER($I251),OR($K251="Milestone",$K251="Deadline"),$I251&gt;=BK$4,$I251&lt;BK$4+7),IF($K251="Deadline","◇","◆"),"")</f>
        <v/>
      </c>
      <c r="BL251" s="14" t="str">
        <f>IF(AND(ISNUMBER($I251),OR($K251="Milestone",$K251="Deadline"),$I251&gt;=BL$4,$I251&lt;BL$4+7),IF($K251="Deadline","◇","◆"),"")</f>
        <v/>
      </c>
      <c r="BM251" s="14" t="str">
        <f>IF(AND(ISNUMBER($I251),OR($K251="Milestone",$K251="Deadline"),$I251&gt;=BM$4,$I251&lt;BM$4+7),IF($K251="Deadline","◇","◆"),"")</f>
        <v/>
      </c>
      <c r="BN251" s="14" t="str">
        <f>IF(AND(ISNUMBER($I251),OR($K251="Milestone",$K251="Deadline"),$I251&gt;=BN$4,$I251&lt;BN$4+7),IF($K251="Deadline","◇","◆"),"")</f>
        <v/>
      </c>
      <c r="BO251" s="14" t="str">
        <f>IF(AND(ISNUMBER($I251),OR($K251="Milestone",$K251="Deadline"),$I251&gt;=BO$4,$I251&lt;BO$4+7),IF($K251="Deadline","◇","◆"),"")</f>
        <v/>
      </c>
      <c r="BP251" s="14" t="str">
        <f>IF(AND(ISNUMBER($I251),OR($K251="Milestone",$K251="Deadline"),$I251&gt;=BP$4,$I251&lt;BP$4+7),IF($K251="Deadline","◇","◆"),"")</f>
        <v/>
      </c>
      <c r="BQ251" s="14" t="str">
        <f>IF(AND(ISNUMBER($I251),OR($K251="Milestone",$K251="Deadline"),$I251&gt;=BQ$4,$I251&lt;BQ$4+7),IF($K251="Deadline","◇","◆"),"")</f>
        <v/>
      </c>
      <c r="BR251" s="14" t="str">
        <f>IF(AND(ISNUMBER($I251),OR($K251="Milestone",$K251="Deadline"),$I251&gt;=BR$4,$I251&lt;BR$4+7),IF($K251="Deadline","◇","◆"),"")</f>
        <v/>
      </c>
      <c r="BS251" s="14" t="str">
        <f>IF(AND(ISNUMBER($I251),OR($K251="Milestone",$K251="Deadline"),$I251&gt;=BS$4,$I251&lt;BS$4+7),IF($K251="Deadline","◇","◆"),"")</f>
        <v/>
      </c>
      <c r="BT251" s="14" t="str">
        <f>IF(AND(ISNUMBER($I251),OR($K251="Milestone",$K251="Deadline"),$I251&gt;=BT$4,$I251&lt;BT$4+7),IF($K251="Deadline","◇","◆"),"")</f>
        <v/>
      </c>
      <c r="BU251" s="14" t="str">
        <f>IF(AND(ISNUMBER($I251),OR($K251="Milestone",$K251="Deadline"),$I251&gt;=BU$4,$I251&lt;BU$4+7),IF($K251="Deadline","◇","◆"),"")</f>
        <v/>
      </c>
      <c r="BV251" s="14" t="str">
        <f>IF(AND(ISNUMBER($I251),OR($K251="Milestone",$K251="Deadline"),$I251&gt;=BV$4,$I251&lt;BV$4+7),IF($K251="Deadline","◇","◆"),"")</f>
        <v/>
      </c>
      <c r="BW251" s="14" t="str">
        <f>IF(AND(ISNUMBER($I251),OR($K251="Milestone",$K251="Deadline"),$I251&gt;=BW$4,$I251&lt;BW$4+7),IF($K251="Deadline","◇","◆"),"")</f>
        <v/>
      </c>
      <c r="BX251" s="14" t="str">
        <f>IF(AND(ISNUMBER($I251),OR($K251="Milestone",$K251="Deadline"),$I251&gt;=BX$4,$I251&lt;BX$4+7),IF($K251="Deadline","◇","◆"),"")</f>
        <v/>
      </c>
      <c r="BY251" s="14" t="str">
        <f>IF(AND(ISNUMBER($I251),OR($K251="Milestone",$K251="Deadline"),$I251&gt;=BY$4,$I251&lt;BY$4+7),IF($K251="Deadline","◇","◆"),"")</f>
        <v/>
      </c>
      <c r="BZ251" s="14" t="str">
        <f>IF(AND(ISNUMBER($I251),OR($K251="Milestone",$K251="Deadline"),$I251&gt;=BZ$4,$I251&lt;BZ$4+7),IF($K251="Deadline","◇","◆"),"")</f>
        <v/>
      </c>
      <c r="CA251" s="14" t="str">
        <f>IF(AND(ISNUMBER($I251),OR($K251="Milestone",$K251="Deadline"),$I251&gt;=CA$4,$I251&lt;CA$4+7),IF($K251="Deadline","◇","◆"),"")</f>
        <v/>
      </c>
      <c r="CB251" s="14" t="str">
        <f>IF(AND(ISNUMBER($I251),OR($K251="Milestone",$K251="Deadline"),$I251&gt;=CB$4,$I251&lt;CB$4+7),IF($K251="Deadline","◇","◆"),"")</f>
        <v/>
      </c>
      <c r="CC251" s="14" t="str">
        <f>IF(AND(ISNUMBER($I251),OR($K251="Milestone",$K251="Deadline"),$I251&gt;=CC$4,$I251&lt;CC$4+7),IF($K251="Deadline","◇","◆"),"")</f>
        <v/>
      </c>
      <c r="CD251" s="14" t="str">
        <f>IF(AND(ISNUMBER($I251),OR($K251="Milestone",$K251="Deadline"),$I251&gt;=CD$4,$I251&lt;CD$4+7),IF($K251="Deadline","◇","◆"),"")</f>
        <v/>
      </c>
      <c r="CE251" s="14" t="str">
        <f>IF(AND(ISNUMBER($I251),OR($K251="Milestone",$K251="Deadline"),$I251&gt;=CE$4,$I251&lt;CE$4+7),IF($K251="Deadline","◇","◆"),"")</f>
        <v/>
      </c>
      <c r="CF251" s="14" t="str">
        <f>IF(AND(ISNUMBER($I251),OR($K251="Milestone",$K251="Deadline"),$I251&gt;=CF$4,$I251&lt;CF$4+7),IF($K251="Deadline","◇","◆"),"")</f>
        <v/>
      </c>
      <c r="CG251" s="14" t="str">
        <f>IF(AND(ISNUMBER($I251),OR($K251="Milestone",$K251="Deadline"),$I251&gt;=CG$4,$I251&lt;CG$4+7),IF($K251="Deadline","◇","◆"),"")</f>
        <v/>
      </c>
      <c r="CH251" s="14" t="str">
        <f>IF(AND(ISNUMBER($I251),OR($K251="Milestone",$K251="Deadline"),$I251&gt;=CH$4,$I251&lt;CH$4+7),IF($K251="Deadline","◇","◆"),"")</f>
        <v/>
      </c>
      <c r="CI251" s="14" t="str">
        <f>IF(AND(ISNUMBER($I251),OR($K251="Milestone",$K251="Deadline"),$I251&gt;=CI$4,$I251&lt;CI$4+7),IF($K251="Deadline","◇","◆"),"")</f>
        <v/>
      </c>
      <c r="CJ251" s="14" t="str">
        <f>IF(AND(ISNUMBER($I251),OR($K251="Milestone",$K251="Deadline"),$I251&gt;=CJ$4,$I251&lt;CJ$4+7),IF($K251="Deadline","◇","◆"),"")</f>
        <v/>
      </c>
      <c r="CK251" s="14" t="str">
        <f>IF(AND(ISNUMBER($I251),OR($K251="Milestone",$K251="Deadline"),$I251&gt;=CK$4,$I251&lt;CK$4+7),IF($K251="Deadline","◇","◆"),"")</f>
        <v/>
      </c>
      <c r="CL251" s="14" t="str">
        <f>IF(AND(ISNUMBER($I251),OR($K251="Milestone",$K251="Deadline"),$I251&gt;=CL$4,$I251&lt;CL$4+7),IF($K251="Deadline","◇","◆"),"")</f>
        <v/>
      </c>
      <c r="CM251" s="14" t="str">
        <f>IF(AND(ISNUMBER($I251),OR($K251="Milestone",$K251="Deadline"),$I251&gt;=CM$4,$I251&lt;CM$4+7),IF($K251="Deadline","◇","◆"),"")</f>
        <v/>
      </c>
    </row>
    <row r="252" spans="1:91" hidden="1">
      <c r="A252" s="39" t="s">
        <v>472</v>
      </c>
      <c r="B252" s="39" t="s">
        <v>513</v>
      </c>
      <c r="C252" s="39" t="s">
        <v>93</v>
      </c>
      <c r="D252" s="39" t="s">
        <v>514</v>
      </c>
      <c r="E252" s="39" t="s">
        <v>196</v>
      </c>
      <c r="F252" s="39" t="s">
        <v>204</v>
      </c>
      <c r="G252" s="39" t="s">
        <v>201</v>
      </c>
      <c r="H252" s="39">
        <v>2</v>
      </c>
      <c r="I252" s="40">
        <f>MAX(DATE(2026,11,2),J82+1)</f>
        <v>46334</v>
      </c>
      <c r="J252" s="41">
        <f>IF(AND(ISNUMBER(I252),ISNUMBER(H252)),I252+H252-1,"")</f>
        <v>46335</v>
      </c>
      <c r="K252" s="39" t="s">
        <v>27</v>
      </c>
      <c r="L252" s="39" t="s">
        <v>252</v>
      </c>
      <c r="M252" s="42"/>
      <c r="N252" s="39"/>
      <c r="O252" s="42">
        <f>IF(AND(ISNUMBER(I252),ISNUMBER(J252)),J252-I252+1,"")</f>
        <v>2</v>
      </c>
      <c r="P252" s="13"/>
      <c r="Q252" s="13"/>
      <c r="R252" s="13"/>
      <c r="S252" s="13"/>
      <c r="T252" s="13"/>
      <c r="U252" s="13"/>
      <c r="V252" s="13"/>
      <c r="W252" s="13"/>
      <c r="X252" s="13"/>
      <c r="Y252" s="13" t="s">
        <v>140</v>
      </c>
      <c r="Z252" s="13"/>
      <c r="AA252" s="13"/>
      <c r="AB252" s="13"/>
      <c r="AC252" s="13"/>
      <c r="AD252" s="13"/>
      <c r="AE252" s="13"/>
      <c r="AF252" s="13"/>
      <c r="AG252" s="13"/>
      <c r="AH252" s="13"/>
      <c r="AI252" s="13"/>
      <c r="AJ252" s="13"/>
      <c r="AK252" s="13"/>
      <c r="AL252" s="13" t="s">
        <v>140</v>
      </c>
      <c r="AM252" s="13"/>
      <c r="AN252" s="13"/>
      <c r="AO252" s="14" t="str">
        <f>IF(AND(ISNUMBER($I252),OR($K252="Milestone",$K252="Deadline"),$I252&gt;=AO$4,$I252&lt;AO$4+7),IF($K252="Deadline","◇","◆"),"")</f>
        <v/>
      </c>
      <c r="AP252" s="14" t="str">
        <f>IF(AND(ISNUMBER($I252),OR($K252="Milestone",$K252="Deadline"),$I252&gt;=AP$4,$I252&lt;AP$4+7),IF($K252="Deadline","◇","◆"),"")</f>
        <v/>
      </c>
      <c r="AQ252" s="14" t="str">
        <f>IF(AND(ISNUMBER($I252),OR($K252="Milestone",$K252="Deadline"),$I252&gt;=AQ$4,$I252&lt;AQ$4+7),IF($K252="Deadline","◇","◆"),"")</f>
        <v/>
      </c>
      <c r="AR252" s="14" t="str">
        <f>IF(AND(ISNUMBER($I252),OR($K252="Milestone",$K252="Deadline"),$I252&gt;=AR$4,$I252&lt;AR$4+7),IF($K252="Deadline","◇","◆"),"")</f>
        <v/>
      </c>
      <c r="AS252" s="14" t="str">
        <f>IF(AND(ISNUMBER($I252),OR($K252="Milestone",$K252="Deadline"),$I252&gt;=AS$4,$I252&lt;AS$4+7),IF($K252="Deadline","◇","◆"),"")</f>
        <v/>
      </c>
      <c r="AT252" s="14" t="str">
        <f>IF(AND(ISNUMBER($I252),OR($K252="Milestone",$K252="Deadline"),$I252&gt;=AT$4,$I252&lt;AT$4+7),IF($K252="Deadline","◇","◆"),"")</f>
        <v/>
      </c>
      <c r="AU252" s="14" t="str">
        <f>IF(AND(ISNUMBER($I252),OR($K252="Milestone",$K252="Deadline"),$I252&gt;=AU$4,$I252&lt;AU$4+7),IF($K252="Deadline","◇","◆"),"")</f>
        <v/>
      </c>
      <c r="AV252" s="14" t="str">
        <f>IF(AND(ISNUMBER($I252),OR($K252="Milestone",$K252="Deadline"),$I252&gt;=AV$4,$I252&lt;AV$4+7),IF($K252="Deadline","◇","◆"),"")</f>
        <v/>
      </c>
      <c r="AW252" s="14" t="str">
        <f>IF(AND(ISNUMBER($I252),OR($K252="Milestone",$K252="Deadline"),$I252&gt;=AW$4,$I252&lt;AW$4+7),IF($K252="Deadline","◇","◆"),"")</f>
        <v/>
      </c>
      <c r="AX252" s="14" t="str">
        <f>IF(AND(ISNUMBER($I252),OR($K252="Milestone",$K252="Deadline"),$I252&gt;=AX$4,$I252&lt;AX$4+7),IF($K252="Deadline","◇","◆"),"")</f>
        <v/>
      </c>
      <c r="AY252" s="14" t="str">
        <f>IF(AND(ISNUMBER($I252),OR($K252="Milestone",$K252="Deadline"),$I252&gt;=AY$4,$I252&lt;AY$4+7),IF($K252="Deadline","◇","◆"),"")</f>
        <v/>
      </c>
      <c r="AZ252" s="14" t="str">
        <f>IF(AND(ISNUMBER($I252),OR($K252="Milestone",$K252="Deadline"),$I252&gt;=AZ$4,$I252&lt;AZ$4+7),IF($K252="Deadline","◇","◆"),"")</f>
        <v/>
      </c>
      <c r="BA252" s="14" t="str">
        <f>IF(AND(ISNUMBER($I252),OR($K252="Milestone",$K252="Deadline"),$I252&gt;=BA$4,$I252&lt;BA$4+7),IF($K252="Deadline","◇","◆"),"")</f>
        <v/>
      </c>
      <c r="BB252" s="14" t="str">
        <f>IF(AND(ISNUMBER($I252),OR($K252="Milestone",$K252="Deadline"),$I252&gt;=BB$4,$I252&lt;BB$4+7),IF($K252="Deadline","◇","◆"),"")</f>
        <v/>
      </c>
      <c r="BC252" s="14" t="str">
        <f>IF(AND(ISNUMBER($I252),OR($K252="Milestone",$K252="Deadline"),$I252&gt;=BC$4,$I252&lt;BC$4+7),IF($K252="Deadline","◇","◆"),"")</f>
        <v/>
      </c>
      <c r="BD252" s="14" t="str">
        <f>IF(AND(ISNUMBER($I252),OR($K252="Milestone",$K252="Deadline"),$I252&gt;=BD$4,$I252&lt;BD$4+7),IF($K252="Deadline","◇","◆"),"")</f>
        <v/>
      </c>
      <c r="BE252" s="14" t="str">
        <f>IF(AND(ISNUMBER($I252),OR($K252="Milestone",$K252="Deadline"),$I252&gt;=BE$4,$I252&lt;BE$4+7),IF($K252="Deadline","◇","◆"),"")</f>
        <v/>
      </c>
      <c r="BF252" s="14" t="str">
        <f>IF(AND(ISNUMBER($I252),OR($K252="Milestone",$K252="Deadline"),$I252&gt;=BF$4,$I252&lt;BF$4+7),IF($K252="Deadline","◇","◆"),"")</f>
        <v/>
      </c>
      <c r="BG252" s="14" t="str">
        <f>IF(AND(ISNUMBER($I252),OR($K252="Milestone",$K252="Deadline"),$I252&gt;=BG$4,$I252&lt;BG$4+7),IF($K252="Deadline","◇","◆"),"")</f>
        <v/>
      </c>
      <c r="BH252" s="14" t="str">
        <f>IF(AND(ISNUMBER($I252),OR($K252="Milestone",$K252="Deadline"),$I252&gt;=BH$4,$I252&lt;BH$4+7),IF($K252="Deadline","◇","◆"),"")</f>
        <v/>
      </c>
      <c r="BI252" s="14" t="str">
        <f>IF(AND(ISNUMBER($I252),OR($K252="Milestone",$K252="Deadline"),$I252&gt;=BI$4,$I252&lt;BI$4+7),IF($K252="Deadline","◇","◆"),"")</f>
        <v/>
      </c>
      <c r="BJ252" s="14" t="str">
        <f>IF(AND(ISNUMBER($I252),OR($K252="Milestone",$K252="Deadline"),$I252&gt;=BJ$4,$I252&lt;BJ$4+7),IF($K252="Deadline","◇","◆"),"")</f>
        <v/>
      </c>
      <c r="BK252" s="14" t="str">
        <f>IF(AND(ISNUMBER($I252),OR($K252="Milestone",$K252="Deadline"),$I252&gt;=BK$4,$I252&lt;BK$4+7),IF($K252="Deadline","◇","◆"),"")</f>
        <v/>
      </c>
      <c r="BL252" s="14" t="str">
        <f>IF(AND(ISNUMBER($I252),OR($K252="Milestone",$K252="Deadline"),$I252&gt;=BL$4,$I252&lt;BL$4+7),IF($K252="Deadline","◇","◆"),"")</f>
        <v/>
      </c>
      <c r="BM252" s="14" t="str">
        <f>IF(AND(ISNUMBER($I252),OR($K252="Milestone",$K252="Deadline"),$I252&gt;=BM$4,$I252&lt;BM$4+7),IF($K252="Deadline","◇","◆"),"")</f>
        <v/>
      </c>
      <c r="BN252" s="14" t="str">
        <f>IF(AND(ISNUMBER($I252),OR($K252="Milestone",$K252="Deadline"),$I252&gt;=BN$4,$I252&lt;BN$4+7),IF($K252="Deadline","◇","◆"),"")</f>
        <v/>
      </c>
      <c r="BO252" s="14" t="str">
        <f>IF(AND(ISNUMBER($I252),OR($K252="Milestone",$K252="Deadline"),$I252&gt;=BO$4,$I252&lt;BO$4+7),IF($K252="Deadline","◇","◆"),"")</f>
        <v/>
      </c>
      <c r="BP252" s="14" t="str">
        <f>IF(AND(ISNUMBER($I252),OR($K252="Milestone",$K252="Deadline"),$I252&gt;=BP$4,$I252&lt;BP$4+7),IF($K252="Deadline","◇","◆"),"")</f>
        <v/>
      </c>
      <c r="BQ252" s="14" t="str">
        <f>IF(AND(ISNUMBER($I252),OR($K252="Milestone",$K252="Deadline"),$I252&gt;=BQ$4,$I252&lt;BQ$4+7),IF($K252="Deadline","◇","◆"),"")</f>
        <v/>
      </c>
      <c r="BR252" s="14" t="str">
        <f>IF(AND(ISNUMBER($I252),OR($K252="Milestone",$K252="Deadline"),$I252&gt;=BR$4,$I252&lt;BR$4+7),IF($K252="Deadline","◇","◆"),"")</f>
        <v/>
      </c>
      <c r="BS252" s="14" t="str">
        <f>IF(AND(ISNUMBER($I252),OR($K252="Milestone",$K252="Deadline"),$I252&gt;=BS$4,$I252&lt;BS$4+7),IF($K252="Deadline","◇","◆"),"")</f>
        <v/>
      </c>
      <c r="BT252" s="14" t="str">
        <f>IF(AND(ISNUMBER($I252),OR($K252="Milestone",$K252="Deadline"),$I252&gt;=BT$4,$I252&lt;BT$4+7),IF($K252="Deadline","◇","◆"),"")</f>
        <v/>
      </c>
      <c r="BU252" s="14" t="str">
        <f>IF(AND(ISNUMBER($I252),OR($K252="Milestone",$K252="Deadline"),$I252&gt;=BU$4,$I252&lt;BU$4+7),IF($K252="Deadline","◇","◆"),"")</f>
        <v/>
      </c>
      <c r="BV252" s="14" t="str">
        <f>IF(AND(ISNUMBER($I252),OR($K252="Milestone",$K252="Deadline"),$I252&gt;=BV$4,$I252&lt;BV$4+7),IF($K252="Deadline","◇","◆"),"")</f>
        <v/>
      </c>
      <c r="BW252" s="14" t="str">
        <f>IF(AND(ISNUMBER($I252),OR($K252="Milestone",$K252="Deadline"),$I252&gt;=BW$4,$I252&lt;BW$4+7),IF($K252="Deadline","◇","◆"),"")</f>
        <v/>
      </c>
      <c r="BX252" s="14" t="str">
        <f>IF(AND(ISNUMBER($I252),OR($K252="Milestone",$K252="Deadline"),$I252&gt;=BX$4,$I252&lt;BX$4+7),IF($K252="Deadline","◇","◆"),"")</f>
        <v/>
      </c>
      <c r="BY252" s="14" t="str">
        <f>IF(AND(ISNUMBER($I252),OR($K252="Milestone",$K252="Deadline"),$I252&gt;=BY$4,$I252&lt;BY$4+7),IF($K252="Deadline","◇","◆"),"")</f>
        <v/>
      </c>
      <c r="BZ252" s="14" t="str">
        <f>IF(AND(ISNUMBER($I252),OR($K252="Milestone",$K252="Deadline"),$I252&gt;=BZ$4,$I252&lt;BZ$4+7),IF($K252="Deadline","◇","◆"),"")</f>
        <v/>
      </c>
      <c r="CA252" s="14" t="str">
        <f>IF(AND(ISNUMBER($I252),OR($K252="Milestone",$K252="Deadline"),$I252&gt;=CA$4,$I252&lt;CA$4+7),IF($K252="Deadline","◇","◆"),"")</f>
        <v/>
      </c>
      <c r="CB252" s="14" t="str">
        <f>IF(AND(ISNUMBER($I252),OR($K252="Milestone",$K252="Deadline"),$I252&gt;=CB$4,$I252&lt;CB$4+7),IF($K252="Deadline","◇","◆"),"")</f>
        <v/>
      </c>
      <c r="CC252" s="14" t="str">
        <f>IF(AND(ISNUMBER($I252),OR($K252="Milestone",$K252="Deadline"),$I252&gt;=CC$4,$I252&lt;CC$4+7),IF($K252="Deadline","◇","◆"),"")</f>
        <v/>
      </c>
      <c r="CD252" s="14" t="str">
        <f>IF(AND(ISNUMBER($I252),OR($K252="Milestone",$K252="Deadline"),$I252&gt;=CD$4,$I252&lt;CD$4+7),IF($K252="Deadline","◇","◆"),"")</f>
        <v/>
      </c>
      <c r="CE252" s="14" t="str">
        <f>IF(AND(ISNUMBER($I252),OR($K252="Milestone",$K252="Deadline"),$I252&gt;=CE$4,$I252&lt;CE$4+7),IF($K252="Deadline","◇","◆"),"")</f>
        <v/>
      </c>
      <c r="CF252" s="14" t="str">
        <f>IF(AND(ISNUMBER($I252),OR($K252="Milestone",$K252="Deadline"),$I252&gt;=CF$4,$I252&lt;CF$4+7),IF($K252="Deadline","◇","◆"),"")</f>
        <v/>
      </c>
      <c r="CG252" s="14" t="str">
        <f>IF(AND(ISNUMBER($I252),OR($K252="Milestone",$K252="Deadline"),$I252&gt;=CG$4,$I252&lt;CG$4+7),IF($K252="Deadline","◇","◆"),"")</f>
        <v/>
      </c>
      <c r="CH252" s="14" t="str">
        <f>IF(AND(ISNUMBER($I252),OR($K252="Milestone",$K252="Deadline"),$I252&gt;=CH$4,$I252&lt;CH$4+7),IF($K252="Deadline","◇","◆"),"")</f>
        <v/>
      </c>
      <c r="CI252" s="14" t="str">
        <f>IF(AND(ISNUMBER($I252),OR($K252="Milestone",$K252="Deadline"),$I252&gt;=CI$4,$I252&lt;CI$4+7),IF($K252="Deadline","◇","◆"),"")</f>
        <v/>
      </c>
      <c r="CJ252" s="14" t="str">
        <f>IF(AND(ISNUMBER($I252),OR($K252="Milestone",$K252="Deadline"),$I252&gt;=CJ$4,$I252&lt;CJ$4+7),IF($K252="Deadline","◇","◆"),"")</f>
        <v/>
      </c>
      <c r="CK252" s="14" t="str">
        <f>IF(AND(ISNUMBER($I252),OR($K252="Milestone",$K252="Deadline"),$I252&gt;=CK$4,$I252&lt;CK$4+7),IF($K252="Deadline","◇","◆"),"")</f>
        <v/>
      </c>
      <c r="CL252" s="14" t="str">
        <f>IF(AND(ISNUMBER($I252),OR($K252="Milestone",$K252="Deadline"),$I252&gt;=CL$4,$I252&lt;CL$4+7),IF($K252="Deadline","◇","◆"),"")</f>
        <v/>
      </c>
      <c r="CM252" s="14" t="str">
        <f>IF(AND(ISNUMBER($I252),OR($K252="Milestone",$K252="Deadline"),$I252&gt;=CM$4,$I252&lt;CM$4+7),IF($K252="Deadline","◇","◆"),"")</f>
        <v/>
      </c>
    </row>
    <row r="253" spans="1:91">
      <c r="A253" s="39" t="s">
        <v>515</v>
      </c>
      <c r="B253" s="39" t="s">
        <v>513</v>
      </c>
      <c r="C253" s="39" t="s">
        <v>93</v>
      </c>
      <c r="D253" s="39" t="s">
        <v>514</v>
      </c>
      <c r="E253" s="39" t="s">
        <v>196</v>
      </c>
      <c r="F253" s="39" t="s">
        <v>204</v>
      </c>
      <c r="G253" s="39" t="s">
        <v>198</v>
      </c>
      <c r="H253" s="39">
        <v>7</v>
      </c>
      <c r="I253" s="40">
        <f>MAX($C$2,J252+1,J241+1)</f>
        <v>46374</v>
      </c>
      <c r="J253" s="41">
        <f>IF(AND(ISNUMBER(I253),ISNUMBER(H253)),I253+H253-1,"")</f>
        <v>46380</v>
      </c>
      <c r="K253" s="39" t="s">
        <v>27</v>
      </c>
      <c r="L253" s="39" t="s">
        <v>472</v>
      </c>
      <c r="M253" s="42" t="s">
        <v>500</v>
      </c>
      <c r="N253" s="39"/>
      <c r="O253" s="42">
        <f>IF(AND(ISNUMBER(I253),ISNUMBER(J253)),J253-I253+1,"")</f>
        <v>7</v>
      </c>
      <c r="P253" s="13"/>
      <c r="Q253" s="13" t="s">
        <v>140</v>
      </c>
      <c r="R253" s="13"/>
      <c r="S253" s="13"/>
      <c r="T253" s="13"/>
      <c r="U253" s="13"/>
      <c r="V253" s="13"/>
      <c r="W253" s="13" t="s">
        <v>140</v>
      </c>
      <c r="X253" s="13"/>
      <c r="Y253" s="13"/>
      <c r="Z253" s="13"/>
      <c r="AA253" s="13"/>
      <c r="AB253" s="13"/>
      <c r="AC253" s="13"/>
      <c r="AD253" s="13"/>
      <c r="AE253" s="13"/>
      <c r="AF253" s="13"/>
      <c r="AG253" s="13"/>
      <c r="AH253" s="13"/>
      <c r="AI253" s="13"/>
      <c r="AJ253" s="13"/>
      <c r="AK253" s="13"/>
      <c r="AL253" s="13"/>
      <c r="AM253" s="13"/>
      <c r="AN253" s="13"/>
      <c r="AO253" s="14" t="str">
        <f>IF(AND(ISNUMBER($I253),OR($K253="Milestone",$K253="Deadline"),$I253&gt;=AO$4,$I253&lt;AO$4+7),IF($K253="Deadline","◇","◆"),"")</f>
        <v/>
      </c>
      <c r="AP253" s="14" t="str">
        <f>IF(AND(ISNUMBER($I253),OR($K253="Milestone",$K253="Deadline"),$I253&gt;=AP$4,$I253&lt;AP$4+7),IF($K253="Deadline","◇","◆"),"")</f>
        <v/>
      </c>
      <c r="AQ253" s="14" t="str">
        <f>IF(AND(ISNUMBER($I253),OR($K253="Milestone",$K253="Deadline"),$I253&gt;=AQ$4,$I253&lt;AQ$4+7),IF($K253="Deadline","◇","◆"),"")</f>
        <v/>
      </c>
      <c r="AR253" s="14" t="str">
        <f>IF(AND(ISNUMBER($I253),OR($K253="Milestone",$K253="Deadline"),$I253&gt;=AR$4,$I253&lt;AR$4+7),IF($K253="Deadline","◇","◆"),"")</f>
        <v/>
      </c>
      <c r="AS253" s="14" t="str">
        <f>IF(AND(ISNUMBER($I253),OR($K253="Milestone",$K253="Deadline"),$I253&gt;=AS$4,$I253&lt;AS$4+7),IF($K253="Deadline","◇","◆"),"")</f>
        <v/>
      </c>
      <c r="AT253" s="14" t="str">
        <f>IF(AND(ISNUMBER($I253),OR($K253="Milestone",$K253="Deadline"),$I253&gt;=AT$4,$I253&lt;AT$4+7),IF($K253="Deadline","◇","◆"),"")</f>
        <v/>
      </c>
      <c r="AU253" s="14" t="str">
        <f>IF(AND(ISNUMBER($I253),OR($K253="Milestone",$K253="Deadline"),$I253&gt;=AU$4,$I253&lt;AU$4+7),IF($K253="Deadline","◇","◆"),"")</f>
        <v/>
      </c>
      <c r="AV253" s="14" t="str">
        <f>IF(AND(ISNUMBER($I253),OR($K253="Milestone",$K253="Deadline"),$I253&gt;=AV$4,$I253&lt;AV$4+7),IF($K253="Deadline","◇","◆"),"")</f>
        <v/>
      </c>
      <c r="AW253" s="14" t="str">
        <f>IF(AND(ISNUMBER($I253),OR($K253="Milestone",$K253="Deadline"),$I253&gt;=AW$4,$I253&lt;AW$4+7),IF($K253="Deadline","◇","◆"),"")</f>
        <v/>
      </c>
      <c r="AX253" s="14" t="str">
        <f>IF(AND(ISNUMBER($I253),OR($K253="Milestone",$K253="Deadline"),$I253&gt;=AX$4,$I253&lt;AX$4+7),IF($K253="Deadline","◇","◆"),"")</f>
        <v/>
      </c>
      <c r="AY253" s="14" t="str">
        <f>IF(AND(ISNUMBER($I253),OR($K253="Milestone",$K253="Deadline"),$I253&gt;=AY$4,$I253&lt;AY$4+7),IF($K253="Deadline","◇","◆"),"")</f>
        <v/>
      </c>
      <c r="AZ253" s="14" t="str">
        <f>IF(AND(ISNUMBER($I253),OR($K253="Milestone",$K253="Deadline"),$I253&gt;=AZ$4,$I253&lt;AZ$4+7),IF($K253="Deadline","◇","◆"),"")</f>
        <v/>
      </c>
      <c r="BA253" s="14" t="str">
        <f>IF(AND(ISNUMBER($I253),OR($K253="Milestone",$K253="Deadline"),$I253&gt;=BA$4,$I253&lt;BA$4+7),IF($K253="Deadline","◇","◆"),"")</f>
        <v/>
      </c>
      <c r="BB253" s="14" t="str">
        <f>IF(AND(ISNUMBER($I253),OR($K253="Milestone",$K253="Deadline"),$I253&gt;=BB$4,$I253&lt;BB$4+7),IF($K253="Deadline","◇","◆"),"")</f>
        <v/>
      </c>
      <c r="BC253" s="14" t="str">
        <f>IF(AND(ISNUMBER($I253),OR($K253="Milestone",$K253="Deadline"),$I253&gt;=BC$4,$I253&lt;BC$4+7),IF($K253="Deadline","◇","◆"),"")</f>
        <v/>
      </c>
      <c r="BD253" s="14" t="str">
        <f>IF(AND(ISNUMBER($I253),OR($K253="Milestone",$K253="Deadline"),$I253&gt;=BD$4,$I253&lt;BD$4+7),IF($K253="Deadline","◇","◆"),"")</f>
        <v/>
      </c>
      <c r="BE253" s="14" t="str">
        <f>IF(AND(ISNUMBER($I253),OR($K253="Milestone",$K253="Deadline"),$I253&gt;=BE$4,$I253&lt;BE$4+7),IF($K253="Deadline","◇","◆"),"")</f>
        <v/>
      </c>
      <c r="BF253" s="14" t="str">
        <f>IF(AND(ISNUMBER($I253),OR($K253="Milestone",$K253="Deadline"),$I253&gt;=BF$4,$I253&lt;BF$4+7),IF($K253="Deadline","◇","◆"),"")</f>
        <v/>
      </c>
      <c r="BG253" s="14" t="str">
        <f>IF(AND(ISNUMBER($I253),OR($K253="Milestone",$K253="Deadline"),$I253&gt;=BG$4,$I253&lt;BG$4+7),IF($K253="Deadline","◇","◆"),"")</f>
        <v/>
      </c>
      <c r="BH253" s="14" t="str">
        <f>IF(AND(ISNUMBER($I253),OR($K253="Milestone",$K253="Deadline"),$I253&gt;=BH$4,$I253&lt;BH$4+7),IF($K253="Deadline","◇","◆"),"")</f>
        <v/>
      </c>
      <c r="BI253" s="14" t="str">
        <f>IF(AND(ISNUMBER($I253),OR($K253="Milestone",$K253="Deadline"),$I253&gt;=BI$4,$I253&lt;BI$4+7),IF($K253="Deadline","◇","◆"),"")</f>
        <v/>
      </c>
      <c r="BJ253" s="14" t="str">
        <f>IF(AND(ISNUMBER($I253),OR($K253="Milestone",$K253="Deadline"),$I253&gt;=BJ$4,$I253&lt;BJ$4+7),IF($K253="Deadline","◇","◆"),"")</f>
        <v/>
      </c>
      <c r="BK253" s="14" t="str">
        <f>IF(AND(ISNUMBER($I253),OR($K253="Milestone",$K253="Deadline"),$I253&gt;=BK$4,$I253&lt;BK$4+7),IF($K253="Deadline","◇","◆"),"")</f>
        <v/>
      </c>
      <c r="BL253" s="14" t="str">
        <f>IF(AND(ISNUMBER($I253),OR($K253="Milestone",$K253="Deadline"),$I253&gt;=BL$4,$I253&lt;BL$4+7),IF($K253="Deadline","◇","◆"),"")</f>
        <v/>
      </c>
      <c r="BM253" s="14" t="str">
        <f>IF(AND(ISNUMBER($I253),OR($K253="Milestone",$K253="Deadline"),$I253&gt;=BM$4,$I253&lt;BM$4+7),IF($K253="Deadline","◇","◆"),"")</f>
        <v/>
      </c>
      <c r="BN253" s="14" t="str">
        <f>IF(AND(ISNUMBER($I253),OR($K253="Milestone",$K253="Deadline"),$I253&gt;=BN$4,$I253&lt;BN$4+7),IF($K253="Deadline","◇","◆"),"")</f>
        <v/>
      </c>
      <c r="BO253" s="14" t="str">
        <f>IF(AND(ISNUMBER($I253),OR($K253="Milestone",$K253="Deadline"),$I253&gt;=BO$4,$I253&lt;BO$4+7),IF($K253="Deadline","◇","◆"),"")</f>
        <v/>
      </c>
      <c r="BP253" s="14" t="str">
        <f>IF(AND(ISNUMBER($I253),OR($K253="Milestone",$K253="Deadline"),$I253&gt;=BP$4,$I253&lt;BP$4+7),IF($K253="Deadline","◇","◆"),"")</f>
        <v/>
      </c>
      <c r="BQ253" s="14" t="str">
        <f>IF(AND(ISNUMBER($I253),OR($K253="Milestone",$K253="Deadline"),$I253&gt;=BQ$4,$I253&lt;BQ$4+7),IF($K253="Deadline","◇","◆"),"")</f>
        <v/>
      </c>
      <c r="BR253" s="14" t="str">
        <f>IF(AND(ISNUMBER($I253),OR($K253="Milestone",$K253="Deadline"),$I253&gt;=BR$4,$I253&lt;BR$4+7),IF($K253="Deadline","◇","◆"),"")</f>
        <v/>
      </c>
      <c r="BS253" s="14" t="str">
        <f>IF(AND(ISNUMBER($I253),OR($K253="Milestone",$K253="Deadline"),$I253&gt;=BS$4,$I253&lt;BS$4+7),IF($K253="Deadline","◇","◆"),"")</f>
        <v/>
      </c>
      <c r="BT253" s="14" t="str">
        <f>IF(AND(ISNUMBER($I253),OR($K253="Milestone",$K253="Deadline"),$I253&gt;=BT$4,$I253&lt;BT$4+7),IF($K253="Deadline","◇","◆"),"")</f>
        <v/>
      </c>
      <c r="BU253" s="14" t="str">
        <f>IF(AND(ISNUMBER($I253),OR($K253="Milestone",$K253="Deadline"),$I253&gt;=BU$4,$I253&lt;BU$4+7),IF($K253="Deadline","◇","◆"),"")</f>
        <v/>
      </c>
      <c r="BV253" s="14" t="str">
        <f>IF(AND(ISNUMBER($I253),OR($K253="Milestone",$K253="Deadline"),$I253&gt;=BV$4,$I253&lt;BV$4+7),IF($K253="Deadline","◇","◆"),"")</f>
        <v/>
      </c>
      <c r="BW253" s="14" t="str">
        <f>IF(AND(ISNUMBER($I253),OR($K253="Milestone",$K253="Deadline"),$I253&gt;=BW$4,$I253&lt;BW$4+7),IF($K253="Deadline","◇","◆"),"")</f>
        <v/>
      </c>
      <c r="BX253" s="14" t="str">
        <f>IF(AND(ISNUMBER($I253),OR($K253="Milestone",$K253="Deadline"),$I253&gt;=BX$4,$I253&lt;BX$4+7),IF($K253="Deadline","◇","◆"),"")</f>
        <v/>
      </c>
      <c r="BY253" s="14" t="str">
        <f>IF(AND(ISNUMBER($I253),OR($K253="Milestone",$K253="Deadline"),$I253&gt;=BY$4,$I253&lt;BY$4+7),IF($K253="Deadline","◇","◆"),"")</f>
        <v/>
      </c>
      <c r="BZ253" s="14" t="str">
        <f>IF(AND(ISNUMBER($I253),OR($K253="Milestone",$K253="Deadline"),$I253&gt;=BZ$4,$I253&lt;BZ$4+7),IF($K253="Deadline","◇","◆"),"")</f>
        <v/>
      </c>
      <c r="CA253" s="14" t="str">
        <f>IF(AND(ISNUMBER($I253),OR($K253="Milestone",$K253="Deadline"),$I253&gt;=CA$4,$I253&lt;CA$4+7),IF($K253="Deadline","◇","◆"),"")</f>
        <v/>
      </c>
      <c r="CB253" s="14" t="str">
        <f>IF(AND(ISNUMBER($I253),OR($K253="Milestone",$K253="Deadline"),$I253&gt;=CB$4,$I253&lt;CB$4+7),IF($K253="Deadline","◇","◆"),"")</f>
        <v/>
      </c>
      <c r="CC253" s="14" t="str">
        <f>IF(AND(ISNUMBER($I253),OR($K253="Milestone",$K253="Deadline"),$I253&gt;=CC$4,$I253&lt;CC$4+7),IF($K253="Deadline","◇","◆"),"")</f>
        <v/>
      </c>
      <c r="CD253" s="14" t="str">
        <f>IF(AND(ISNUMBER($I253),OR($K253="Milestone",$K253="Deadline"),$I253&gt;=CD$4,$I253&lt;CD$4+7),IF($K253="Deadline","◇","◆"),"")</f>
        <v/>
      </c>
      <c r="CE253" s="14" t="str">
        <f>IF(AND(ISNUMBER($I253),OR($K253="Milestone",$K253="Deadline"),$I253&gt;=CE$4,$I253&lt;CE$4+7),IF($K253="Deadline","◇","◆"),"")</f>
        <v/>
      </c>
      <c r="CF253" s="14" t="str">
        <f>IF(AND(ISNUMBER($I253),OR($K253="Milestone",$K253="Deadline"),$I253&gt;=CF$4,$I253&lt;CF$4+7),IF($K253="Deadline","◇","◆"),"")</f>
        <v/>
      </c>
      <c r="CG253" s="14" t="str">
        <f>IF(AND(ISNUMBER($I253),OR($K253="Milestone",$K253="Deadline"),$I253&gt;=CG$4,$I253&lt;CG$4+7),IF($K253="Deadline","◇","◆"),"")</f>
        <v/>
      </c>
      <c r="CH253" s="14" t="str">
        <f>IF(AND(ISNUMBER($I253),OR($K253="Milestone",$K253="Deadline"),$I253&gt;=CH$4,$I253&lt;CH$4+7),IF($K253="Deadline","◇","◆"),"")</f>
        <v/>
      </c>
      <c r="CI253" s="14" t="str">
        <f>IF(AND(ISNUMBER($I253),OR($K253="Milestone",$K253="Deadline"),$I253&gt;=CI$4,$I253&lt;CI$4+7),IF($K253="Deadline","◇","◆"),"")</f>
        <v/>
      </c>
      <c r="CJ253" s="14" t="str">
        <f>IF(AND(ISNUMBER($I253),OR($K253="Milestone",$K253="Deadline"),$I253&gt;=CJ$4,$I253&lt;CJ$4+7),IF($K253="Deadline","◇","◆"),"")</f>
        <v/>
      </c>
      <c r="CK253" s="14" t="str">
        <f>IF(AND(ISNUMBER($I253),OR($K253="Milestone",$K253="Deadline"),$I253&gt;=CK$4,$I253&lt;CK$4+7),IF($K253="Deadline","◇","◆"),"")</f>
        <v/>
      </c>
      <c r="CL253" s="14" t="str">
        <f>IF(AND(ISNUMBER($I253),OR($K253="Milestone",$K253="Deadline"),$I253&gt;=CL$4,$I253&lt;CL$4+7),IF($K253="Deadline","◇","◆"),"")</f>
        <v/>
      </c>
      <c r="CM253" s="14" t="str">
        <f>IF(AND(ISNUMBER($I253),OR($K253="Milestone",$K253="Deadline"),$I253&gt;=CM$4,$I253&lt;CM$4+7),IF($K253="Deadline","◇","◆"),"")</f>
        <v/>
      </c>
    </row>
    <row r="254" spans="1:91" hidden="1">
      <c r="A254" s="39" t="s">
        <v>516</v>
      </c>
      <c r="B254" s="39" t="s">
        <v>513</v>
      </c>
      <c r="C254" s="39" t="s">
        <v>93</v>
      </c>
      <c r="D254" s="39" t="s">
        <v>514</v>
      </c>
      <c r="E254" s="39" t="s">
        <v>196</v>
      </c>
      <c r="F254" s="39" t="s">
        <v>204</v>
      </c>
      <c r="G254" s="39" t="s">
        <v>387</v>
      </c>
      <c r="H254" s="39">
        <v>7</v>
      </c>
      <c r="I254" s="40">
        <f>MAX($C$2,J253+1)</f>
        <v>46381</v>
      </c>
      <c r="J254" s="41">
        <f>IF(AND(ISNUMBER(I254),ISNUMBER(H254)),I254+H254-1,"")</f>
        <v>46387</v>
      </c>
      <c r="K254" s="39" t="s">
        <v>27</v>
      </c>
      <c r="L254" s="39" t="s">
        <v>515</v>
      </c>
      <c r="M254" s="42"/>
      <c r="N254" s="39"/>
      <c r="O254" s="42">
        <f>IF(AND(ISNUMBER(I254),ISNUMBER(J254)),J254-I254+1,"")</f>
        <v>7</v>
      </c>
      <c r="P254" s="13"/>
      <c r="Q254" s="13"/>
      <c r="R254" s="13"/>
      <c r="S254" s="13"/>
      <c r="T254" s="13"/>
      <c r="U254" s="13"/>
      <c r="V254" s="13"/>
      <c r="W254" s="13" t="s">
        <v>140</v>
      </c>
      <c r="X254" s="13"/>
      <c r="Y254" s="13"/>
      <c r="Z254" s="13"/>
      <c r="AA254" s="13"/>
      <c r="AB254" s="13"/>
      <c r="AC254" s="13"/>
      <c r="AD254" s="13"/>
      <c r="AE254" s="13"/>
      <c r="AF254" s="13"/>
      <c r="AG254" s="13"/>
      <c r="AH254" s="13"/>
      <c r="AI254" s="13"/>
      <c r="AJ254" s="13"/>
      <c r="AK254" s="13"/>
      <c r="AL254" s="13"/>
      <c r="AM254" s="13"/>
      <c r="AN254" s="13"/>
      <c r="AO254" s="14" t="str">
        <f>IF(AND(ISNUMBER($I254),OR($K254="Milestone",$K254="Deadline"),$I254&gt;=AO$4,$I254&lt;AO$4+7),IF($K254="Deadline","◇","◆"),"")</f>
        <v/>
      </c>
      <c r="AP254" s="14" t="str">
        <f>IF(AND(ISNUMBER($I254),OR($K254="Milestone",$K254="Deadline"),$I254&gt;=AP$4,$I254&lt;AP$4+7),IF($K254="Deadline","◇","◆"),"")</f>
        <v/>
      </c>
      <c r="AQ254" s="14" t="str">
        <f>IF(AND(ISNUMBER($I254),OR($K254="Milestone",$K254="Deadline"),$I254&gt;=AQ$4,$I254&lt;AQ$4+7),IF($K254="Deadline","◇","◆"),"")</f>
        <v/>
      </c>
      <c r="AR254" s="14" t="str">
        <f>IF(AND(ISNUMBER($I254),OR($K254="Milestone",$K254="Deadline"),$I254&gt;=AR$4,$I254&lt;AR$4+7),IF($K254="Deadline","◇","◆"),"")</f>
        <v/>
      </c>
      <c r="AS254" s="14" t="str">
        <f>IF(AND(ISNUMBER($I254),OR($K254="Milestone",$K254="Deadline"),$I254&gt;=AS$4,$I254&lt;AS$4+7),IF($K254="Deadline","◇","◆"),"")</f>
        <v/>
      </c>
      <c r="AT254" s="14" t="str">
        <f>IF(AND(ISNUMBER($I254),OR($K254="Milestone",$K254="Deadline"),$I254&gt;=AT$4,$I254&lt;AT$4+7),IF($K254="Deadline","◇","◆"),"")</f>
        <v/>
      </c>
      <c r="AU254" s="14" t="str">
        <f>IF(AND(ISNUMBER($I254),OR($K254="Milestone",$K254="Deadline"),$I254&gt;=AU$4,$I254&lt;AU$4+7),IF($K254="Deadline","◇","◆"),"")</f>
        <v/>
      </c>
      <c r="AV254" s="14" t="str">
        <f>IF(AND(ISNUMBER($I254),OR($K254="Milestone",$K254="Deadline"),$I254&gt;=AV$4,$I254&lt;AV$4+7),IF($K254="Deadline","◇","◆"),"")</f>
        <v/>
      </c>
      <c r="AW254" s="14" t="str">
        <f>IF(AND(ISNUMBER($I254),OR($K254="Milestone",$K254="Deadline"),$I254&gt;=AW$4,$I254&lt;AW$4+7),IF($K254="Deadline","◇","◆"),"")</f>
        <v/>
      </c>
      <c r="AX254" s="14" t="str">
        <f>IF(AND(ISNUMBER($I254),OR($K254="Milestone",$K254="Deadline"),$I254&gt;=AX$4,$I254&lt;AX$4+7),IF($K254="Deadline","◇","◆"),"")</f>
        <v/>
      </c>
      <c r="AY254" s="14" t="str">
        <f>IF(AND(ISNUMBER($I254),OR($K254="Milestone",$K254="Deadline"),$I254&gt;=AY$4,$I254&lt;AY$4+7),IF($K254="Deadline","◇","◆"),"")</f>
        <v/>
      </c>
      <c r="AZ254" s="14" t="str">
        <f>IF(AND(ISNUMBER($I254),OR($K254="Milestone",$K254="Deadline"),$I254&gt;=AZ$4,$I254&lt;AZ$4+7),IF($K254="Deadline","◇","◆"),"")</f>
        <v/>
      </c>
      <c r="BA254" s="14" t="str">
        <f>IF(AND(ISNUMBER($I254),OR($K254="Milestone",$K254="Deadline"),$I254&gt;=BA$4,$I254&lt;BA$4+7),IF($K254="Deadline","◇","◆"),"")</f>
        <v/>
      </c>
      <c r="BB254" s="14" t="str">
        <f>IF(AND(ISNUMBER($I254),OR($K254="Milestone",$K254="Deadline"),$I254&gt;=BB$4,$I254&lt;BB$4+7),IF($K254="Deadline","◇","◆"),"")</f>
        <v/>
      </c>
      <c r="BC254" s="14" t="str">
        <f>IF(AND(ISNUMBER($I254),OR($K254="Milestone",$K254="Deadline"),$I254&gt;=BC$4,$I254&lt;BC$4+7),IF($K254="Deadline","◇","◆"),"")</f>
        <v/>
      </c>
      <c r="BD254" s="14" t="str">
        <f>IF(AND(ISNUMBER($I254),OR($K254="Milestone",$K254="Deadline"),$I254&gt;=BD$4,$I254&lt;BD$4+7),IF($K254="Deadline","◇","◆"),"")</f>
        <v/>
      </c>
      <c r="BE254" s="14" t="str">
        <f>IF(AND(ISNUMBER($I254),OR($K254="Milestone",$K254="Deadline"),$I254&gt;=BE$4,$I254&lt;BE$4+7),IF($K254="Deadline","◇","◆"),"")</f>
        <v/>
      </c>
      <c r="BF254" s="14" t="str">
        <f>IF(AND(ISNUMBER($I254),OR($K254="Milestone",$K254="Deadline"),$I254&gt;=BF$4,$I254&lt;BF$4+7),IF($K254="Deadline","◇","◆"),"")</f>
        <v/>
      </c>
      <c r="BG254" s="14" t="str">
        <f>IF(AND(ISNUMBER($I254),OR($K254="Milestone",$K254="Deadline"),$I254&gt;=BG$4,$I254&lt;BG$4+7),IF($K254="Deadline","◇","◆"),"")</f>
        <v/>
      </c>
      <c r="BH254" s="14" t="str">
        <f>IF(AND(ISNUMBER($I254),OR($K254="Milestone",$K254="Deadline"),$I254&gt;=BH$4,$I254&lt;BH$4+7),IF($K254="Deadline","◇","◆"),"")</f>
        <v/>
      </c>
      <c r="BI254" s="14" t="str">
        <f>IF(AND(ISNUMBER($I254),OR($K254="Milestone",$K254="Deadline"),$I254&gt;=BI$4,$I254&lt;BI$4+7),IF($K254="Deadline","◇","◆"),"")</f>
        <v/>
      </c>
      <c r="BJ254" s="14" t="str">
        <f>IF(AND(ISNUMBER($I254),OR($K254="Milestone",$K254="Deadline"),$I254&gt;=BJ$4,$I254&lt;BJ$4+7),IF($K254="Deadline","◇","◆"),"")</f>
        <v/>
      </c>
      <c r="BK254" s="14" t="str">
        <f>IF(AND(ISNUMBER($I254),OR($K254="Milestone",$K254="Deadline"),$I254&gt;=BK$4,$I254&lt;BK$4+7),IF($K254="Deadline","◇","◆"),"")</f>
        <v/>
      </c>
      <c r="BL254" s="14" t="str">
        <f>IF(AND(ISNUMBER($I254),OR($K254="Milestone",$K254="Deadline"),$I254&gt;=BL$4,$I254&lt;BL$4+7),IF($K254="Deadline","◇","◆"),"")</f>
        <v/>
      </c>
      <c r="BM254" s="14" t="str">
        <f>IF(AND(ISNUMBER($I254),OR($K254="Milestone",$K254="Deadline"),$I254&gt;=BM$4,$I254&lt;BM$4+7),IF($K254="Deadline","◇","◆"),"")</f>
        <v/>
      </c>
      <c r="BN254" s="14" t="str">
        <f>IF(AND(ISNUMBER($I254),OR($K254="Milestone",$K254="Deadline"),$I254&gt;=BN$4,$I254&lt;BN$4+7),IF($K254="Deadline","◇","◆"),"")</f>
        <v/>
      </c>
      <c r="BO254" s="14" t="str">
        <f>IF(AND(ISNUMBER($I254),OR($K254="Milestone",$K254="Deadline"),$I254&gt;=BO$4,$I254&lt;BO$4+7),IF($K254="Deadline","◇","◆"),"")</f>
        <v/>
      </c>
      <c r="BP254" s="14" t="str">
        <f>IF(AND(ISNUMBER($I254),OR($K254="Milestone",$K254="Deadline"),$I254&gt;=BP$4,$I254&lt;BP$4+7),IF($K254="Deadline","◇","◆"),"")</f>
        <v/>
      </c>
      <c r="BQ254" s="14" t="str">
        <f>IF(AND(ISNUMBER($I254),OR($K254="Milestone",$K254="Deadline"),$I254&gt;=BQ$4,$I254&lt;BQ$4+7),IF($K254="Deadline","◇","◆"),"")</f>
        <v/>
      </c>
      <c r="BR254" s="14" t="str">
        <f>IF(AND(ISNUMBER($I254),OR($K254="Milestone",$K254="Deadline"),$I254&gt;=BR$4,$I254&lt;BR$4+7),IF($K254="Deadline","◇","◆"),"")</f>
        <v/>
      </c>
      <c r="BS254" s="14" t="str">
        <f>IF(AND(ISNUMBER($I254),OR($K254="Milestone",$K254="Deadline"),$I254&gt;=BS$4,$I254&lt;BS$4+7),IF($K254="Deadline","◇","◆"),"")</f>
        <v/>
      </c>
      <c r="BT254" s="14" t="str">
        <f>IF(AND(ISNUMBER($I254),OR($K254="Milestone",$K254="Deadline"),$I254&gt;=BT$4,$I254&lt;BT$4+7),IF($K254="Deadline","◇","◆"),"")</f>
        <v/>
      </c>
      <c r="BU254" s="14" t="str">
        <f>IF(AND(ISNUMBER($I254),OR($K254="Milestone",$K254="Deadline"),$I254&gt;=BU$4,$I254&lt;BU$4+7),IF($K254="Deadline","◇","◆"),"")</f>
        <v/>
      </c>
      <c r="BV254" s="14" t="str">
        <f>IF(AND(ISNUMBER($I254),OR($K254="Milestone",$K254="Deadline"),$I254&gt;=BV$4,$I254&lt;BV$4+7),IF($K254="Deadline","◇","◆"),"")</f>
        <v/>
      </c>
      <c r="BW254" s="14" t="str">
        <f>IF(AND(ISNUMBER($I254),OR($K254="Milestone",$K254="Deadline"),$I254&gt;=BW$4,$I254&lt;BW$4+7),IF($K254="Deadline","◇","◆"),"")</f>
        <v/>
      </c>
      <c r="BX254" s="14" t="str">
        <f>IF(AND(ISNUMBER($I254),OR($K254="Milestone",$K254="Deadline"),$I254&gt;=BX$4,$I254&lt;BX$4+7),IF($K254="Deadline","◇","◆"),"")</f>
        <v/>
      </c>
      <c r="BY254" s="14" t="str">
        <f>IF(AND(ISNUMBER($I254),OR($K254="Milestone",$K254="Deadline"),$I254&gt;=BY$4,$I254&lt;BY$4+7),IF($K254="Deadline","◇","◆"),"")</f>
        <v/>
      </c>
      <c r="BZ254" s="14" t="str">
        <f>IF(AND(ISNUMBER($I254),OR($K254="Milestone",$K254="Deadline"),$I254&gt;=BZ$4,$I254&lt;BZ$4+7),IF($K254="Deadline","◇","◆"),"")</f>
        <v/>
      </c>
      <c r="CA254" s="14" t="str">
        <f>IF(AND(ISNUMBER($I254),OR($K254="Milestone",$K254="Deadline"),$I254&gt;=CA$4,$I254&lt;CA$4+7),IF($K254="Deadline","◇","◆"),"")</f>
        <v/>
      </c>
      <c r="CB254" s="14" t="str">
        <f>IF(AND(ISNUMBER($I254),OR($K254="Milestone",$K254="Deadline"),$I254&gt;=CB$4,$I254&lt;CB$4+7),IF($K254="Deadline","◇","◆"),"")</f>
        <v/>
      </c>
      <c r="CC254" s="14" t="str">
        <f>IF(AND(ISNUMBER($I254),OR($K254="Milestone",$K254="Deadline"),$I254&gt;=CC$4,$I254&lt;CC$4+7),IF($K254="Deadline","◇","◆"),"")</f>
        <v/>
      </c>
      <c r="CD254" s="14" t="str">
        <f>IF(AND(ISNUMBER($I254),OR($K254="Milestone",$K254="Deadline"),$I254&gt;=CD$4,$I254&lt;CD$4+7),IF($K254="Deadline","◇","◆"),"")</f>
        <v/>
      </c>
      <c r="CE254" s="14" t="str">
        <f>IF(AND(ISNUMBER($I254),OR($K254="Milestone",$K254="Deadline"),$I254&gt;=CE$4,$I254&lt;CE$4+7),IF($K254="Deadline","◇","◆"),"")</f>
        <v/>
      </c>
      <c r="CF254" s="14" t="str">
        <f>IF(AND(ISNUMBER($I254),OR($K254="Milestone",$K254="Deadline"),$I254&gt;=CF$4,$I254&lt;CF$4+7),IF($K254="Deadline","◇","◆"),"")</f>
        <v/>
      </c>
      <c r="CG254" s="14" t="str">
        <f>IF(AND(ISNUMBER($I254),OR($K254="Milestone",$K254="Deadline"),$I254&gt;=CG$4,$I254&lt;CG$4+7),IF($K254="Deadline","◇","◆"),"")</f>
        <v/>
      </c>
      <c r="CH254" s="14" t="str">
        <f>IF(AND(ISNUMBER($I254),OR($K254="Milestone",$K254="Deadline"),$I254&gt;=CH$4,$I254&lt;CH$4+7),IF($K254="Deadline","◇","◆"),"")</f>
        <v/>
      </c>
      <c r="CI254" s="14" t="str">
        <f>IF(AND(ISNUMBER($I254),OR($K254="Milestone",$K254="Deadline"),$I254&gt;=CI$4,$I254&lt;CI$4+7),IF($K254="Deadline","◇","◆"),"")</f>
        <v/>
      </c>
      <c r="CJ254" s="14" t="str">
        <f>IF(AND(ISNUMBER($I254),OR($K254="Milestone",$K254="Deadline"),$I254&gt;=CJ$4,$I254&lt;CJ$4+7),IF($K254="Deadline","◇","◆"),"")</f>
        <v/>
      </c>
      <c r="CK254" s="14" t="str">
        <f>IF(AND(ISNUMBER($I254),OR($K254="Milestone",$K254="Deadline"),$I254&gt;=CK$4,$I254&lt;CK$4+7),IF($K254="Deadline","◇","◆"),"")</f>
        <v/>
      </c>
      <c r="CL254" s="14" t="str">
        <f>IF(AND(ISNUMBER($I254),OR($K254="Milestone",$K254="Deadline"),$I254&gt;=CL$4,$I254&lt;CL$4+7),IF($K254="Deadline","◇","◆"),"")</f>
        <v/>
      </c>
      <c r="CM254" s="14" t="str">
        <f>IF(AND(ISNUMBER($I254),OR($K254="Milestone",$K254="Deadline"),$I254&gt;=CM$4,$I254&lt;CM$4+7),IF($K254="Deadline","◇","◆"),"")</f>
        <v/>
      </c>
    </row>
    <row r="255" spans="1:91" hidden="1">
      <c r="A255" s="39" t="s">
        <v>517</v>
      </c>
      <c r="B255" s="39" t="s">
        <v>513</v>
      </c>
      <c r="C255" s="39" t="s">
        <v>93</v>
      </c>
      <c r="D255" s="39" t="s">
        <v>514</v>
      </c>
      <c r="E255" s="39" t="s">
        <v>196</v>
      </c>
      <c r="F255" s="39" t="s">
        <v>204</v>
      </c>
      <c r="G255" s="39" t="s">
        <v>176</v>
      </c>
      <c r="H255" s="39">
        <v>28</v>
      </c>
      <c r="I255" s="40">
        <f>MAX($C$2,J254+1)</f>
        <v>46388</v>
      </c>
      <c r="J255" s="41">
        <f>IF(AND(ISNUMBER(I255),ISNUMBER(H255)),I255+H255-1,"")</f>
        <v>46415</v>
      </c>
      <c r="K255" s="39" t="s">
        <v>27</v>
      </c>
      <c r="L255" s="39" t="s">
        <v>516</v>
      </c>
      <c r="M255" s="42"/>
      <c r="N255" s="39"/>
      <c r="O255" s="42">
        <f>IF(AND(ISNUMBER(I255),ISNUMBER(J255)),J255-I255+1,"")</f>
        <v>28</v>
      </c>
      <c r="P255" s="13"/>
      <c r="Q255" s="13"/>
      <c r="R255" s="13"/>
      <c r="S255" s="13"/>
      <c r="T255" s="13"/>
      <c r="U255" s="13"/>
      <c r="V255" s="13"/>
      <c r="W255" s="13" t="s">
        <v>140</v>
      </c>
      <c r="X255" s="13"/>
      <c r="Y255" s="13"/>
      <c r="Z255" s="13"/>
      <c r="AA255" s="13"/>
      <c r="AB255" s="13"/>
      <c r="AC255" s="13"/>
      <c r="AD255" s="13"/>
      <c r="AE255" s="13"/>
      <c r="AF255" s="13"/>
      <c r="AG255" s="13"/>
      <c r="AH255" s="13"/>
      <c r="AI255" s="13"/>
      <c r="AJ255" s="13"/>
      <c r="AK255" s="13"/>
      <c r="AL255" s="13"/>
      <c r="AM255" s="13"/>
      <c r="AN255" s="13"/>
      <c r="AO255" s="14" t="str">
        <f>IF(AND(ISNUMBER($I255),OR($K255="Milestone",$K255="Deadline"),$I255&gt;=AO$4,$I255&lt;AO$4+7),IF($K255="Deadline","◇","◆"),"")</f>
        <v/>
      </c>
      <c r="AP255" s="14" t="str">
        <f>IF(AND(ISNUMBER($I255),OR($K255="Milestone",$K255="Deadline"),$I255&gt;=AP$4,$I255&lt;AP$4+7),IF($K255="Deadline","◇","◆"),"")</f>
        <v/>
      </c>
      <c r="AQ255" s="14" t="str">
        <f>IF(AND(ISNUMBER($I255),OR($K255="Milestone",$K255="Deadline"),$I255&gt;=AQ$4,$I255&lt;AQ$4+7),IF($K255="Deadline","◇","◆"),"")</f>
        <v/>
      </c>
      <c r="AR255" s="14" t="str">
        <f>IF(AND(ISNUMBER($I255),OR($K255="Milestone",$K255="Deadline"),$I255&gt;=AR$4,$I255&lt;AR$4+7),IF($K255="Deadline","◇","◆"),"")</f>
        <v/>
      </c>
      <c r="AS255" s="14" t="str">
        <f>IF(AND(ISNUMBER($I255),OR($K255="Milestone",$K255="Deadline"),$I255&gt;=AS$4,$I255&lt;AS$4+7),IF($K255="Deadline","◇","◆"),"")</f>
        <v/>
      </c>
      <c r="AT255" s="14" t="str">
        <f>IF(AND(ISNUMBER($I255),OR($K255="Milestone",$K255="Deadline"),$I255&gt;=AT$4,$I255&lt;AT$4+7),IF($K255="Deadline","◇","◆"),"")</f>
        <v/>
      </c>
      <c r="AU255" s="14" t="str">
        <f>IF(AND(ISNUMBER($I255),OR($K255="Milestone",$K255="Deadline"),$I255&gt;=AU$4,$I255&lt;AU$4+7),IF($K255="Deadline","◇","◆"),"")</f>
        <v/>
      </c>
      <c r="AV255" s="14" t="str">
        <f>IF(AND(ISNUMBER($I255),OR($K255="Milestone",$K255="Deadline"),$I255&gt;=AV$4,$I255&lt;AV$4+7),IF($K255="Deadline","◇","◆"),"")</f>
        <v/>
      </c>
      <c r="AW255" s="14" t="str">
        <f>IF(AND(ISNUMBER($I255),OR($K255="Milestone",$K255="Deadline"),$I255&gt;=AW$4,$I255&lt;AW$4+7),IF($K255="Deadline","◇","◆"),"")</f>
        <v/>
      </c>
      <c r="AX255" s="14" t="str">
        <f>IF(AND(ISNUMBER($I255),OR($K255="Milestone",$K255="Deadline"),$I255&gt;=AX$4,$I255&lt;AX$4+7),IF($K255="Deadline","◇","◆"),"")</f>
        <v/>
      </c>
      <c r="AY255" s="14" t="str">
        <f>IF(AND(ISNUMBER($I255),OR($K255="Milestone",$K255="Deadline"),$I255&gt;=AY$4,$I255&lt;AY$4+7),IF($K255="Deadline","◇","◆"),"")</f>
        <v/>
      </c>
      <c r="AZ255" s="14" t="str">
        <f>IF(AND(ISNUMBER($I255),OR($K255="Milestone",$K255="Deadline"),$I255&gt;=AZ$4,$I255&lt;AZ$4+7),IF($K255="Deadline","◇","◆"),"")</f>
        <v/>
      </c>
      <c r="BA255" s="14" t="str">
        <f>IF(AND(ISNUMBER($I255),OR($K255="Milestone",$K255="Deadline"),$I255&gt;=BA$4,$I255&lt;BA$4+7),IF($K255="Deadline","◇","◆"),"")</f>
        <v/>
      </c>
      <c r="BB255" s="14" t="str">
        <f>IF(AND(ISNUMBER($I255),OR($K255="Milestone",$K255="Deadline"),$I255&gt;=BB$4,$I255&lt;BB$4+7),IF($K255="Deadline","◇","◆"),"")</f>
        <v/>
      </c>
      <c r="BC255" s="14" t="str">
        <f>IF(AND(ISNUMBER($I255),OR($K255="Milestone",$K255="Deadline"),$I255&gt;=BC$4,$I255&lt;BC$4+7),IF($K255="Deadline","◇","◆"),"")</f>
        <v/>
      </c>
      <c r="BD255" s="14" t="str">
        <f>IF(AND(ISNUMBER($I255),OR($K255="Milestone",$K255="Deadline"),$I255&gt;=BD$4,$I255&lt;BD$4+7),IF($K255="Deadline","◇","◆"),"")</f>
        <v/>
      </c>
      <c r="BE255" s="14" t="str">
        <f>IF(AND(ISNUMBER($I255),OR($K255="Milestone",$K255="Deadline"),$I255&gt;=BE$4,$I255&lt;BE$4+7),IF($K255="Deadline","◇","◆"),"")</f>
        <v/>
      </c>
      <c r="BF255" s="14" t="str">
        <f>IF(AND(ISNUMBER($I255),OR($K255="Milestone",$K255="Deadline"),$I255&gt;=BF$4,$I255&lt;BF$4+7),IF($K255="Deadline","◇","◆"),"")</f>
        <v/>
      </c>
      <c r="BG255" s="14" t="str">
        <f>IF(AND(ISNUMBER($I255),OR($K255="Milestone",$K255="Deadline"),$I255&gt;=BG$4,$I255&lt;BG$4+7),IF($K255="Deadline","◇","◆"),"")</f>
        <v/>
      </c>
      <c r="BH255" s="14" t="str">
        <f>IF(AND(ISNUMBER($I255),OR($K255="Milestone",$K255="Deadline"),$I255&gt;=BH$4,$I255&lt;BH$4+7),IF($K255="Deadline","◇","◆"),"")</f>
        <v/>
      </c>
      <c r="BI255" s="14" t="str">
        <f>IF(AND(ISNUMBER($I255),OR($K255="Milestone",$K255="Deadline"),$I255&gt;=BI$4,$I255&lt;BI$4+7),IF($K255="Deadline","◇","◆"),"")</f>
        <v/>
      </c>
      <c r="BJ255" s="14" t="str">
        <f>IF(AND(ISNUMBER($I255),OR($K255="Milestone",$K255="Deadline"),$I255&gt;=BJ$4,$I255&lt;BJ$4+7),IF($K255="Deadline","◇","◆"),"")</f>
        <v/>
      </c>
      <c r="BK255" s="14" t="str">
        <f>IF(AND(ISNUMBER($I255),OR($K255="Milestone",$K255="Deadline"),$I255&gt;=BK$4,$I255&lt;BK$4+7),IF($K255="Deadline","◇","◆"),"")</f>
        <v/>
      </c>
      <c r="BL255" s="14" t="str">
        <f>IF(AND(ISNUMBER($I255),OR($K255="Milestone",$K255="Deadline"),$I255&gt;=BL$4,$I255&lt;BL$4+7),IF($K255="Deadline","◇","◆"),"")</f>
        <v/>
      </c>
      <c r="BM255" s="14" t="str">
        <f>IF(AND(ISNUMBER($I255),OR($K255="Milestone",$K255="Deadline"),$I255&gt;=BM$4,$I255&lt;BM$4+7),IF($K255="Deadline","◇","◆"),"")</f>
        <v/>
      </c>
      <c r="BN255" s="14" t="str">
        <f>IF(AND(ISNUMBER($I255),OR($K255="Milestone",$K255="Deadline"),$I255&gt;=BN$4,$I255&lt;BN$4+7),IF($K255="Deadline","◇","◆"),"")</f>
        <v/>
      </c>
      <c r="BO255" s="14" t="str">
        <f>IF(AND(ISNUMBER($I255),OR($K255="Milestone",$K255="Deadline"),$I255&gt;=BO$4,$I255&lt;BO$4+7),IF($K255="Deadline","◇","◆"),"")</f>
        <v/>
      </c>
      <c r="BP255" s="14" t="str">
        <f>IF(AND(ISNUMBER($I255),OR($K255="Milestone",$K255="Deadline"),$I255&gt;=BP$4,$I255&lt;BP$4+7),IF($K255="Deadline","◇","◆"),"")</f>
        <v/>
      </c>
      <c r="BQ255" s="14" t="str">
        <f>IF(AND(ISNUMBER($I255),OR($K255="Milestone",$K255="Deadline"),$I255&gt;=BQ$4,$I255&lt;BQ$4+7),IF($K255="Deadline","◇","◆"),"")</f>
        <v/>
      </c>
      <c r="BR255" s="14" t="str">
        <f>IF(AND(ISNUMBER($I255),OR($K255="Milestone",$K255="Deadline"),$I255&gt;=BR$4,$I255&lt;BR$4+7),IF($K255="Deadline","◇","◆"),"")</f>
        <v/>
      </c>
      <c r="BS255" s="14" t="str">
        <f>IF(AND(ISNUMBER($I255),OR($K255="Milestone",$K255="Deadline"),$I255&gt;=BS$4,$I255&lt;BS$4+7),IF($K255="Deadline","◇","◆"),"")</f>
        <v/>
      </c>
      <c r="BT255" s="14" t="str">
        <f>IF(AND(ISNUMBER($I255),OR($K255="Milestone",$K255="Deadline"),$I255&gt;=BT$4,$I255&lt;BT$4+7),IF($K255="Deadline","◇","◆"),"")</f>
        <v/>
      </c>
      <c r="BU255" s="14" t="str">
        <f>IF(AND(ISNUMBER($I255),OR($K255="Milestone",$K255="Deadline"),$I255&gt;=BU$4,$I255&lt;BU$4+7),IF($K255="Deadline","◇","◆"),"")</f>
        <v/>
      </c>
      <c r="BV255" s="14" t="str">
        <f>IF(AND(ISNUMBER($I255),OR($K255="Milestone",$K255="Deadline"),$I255&gt;=BV$4,$I255&lt;BV$4+7),IF($K255="Deadline","◇","◆"),"")</f>
        <v/>
      </c>
      <c r="BW255" s="14" t="str">
        <f>IF(AND(ISNUMBER($I255),OR($K255="Milestone",$K255="Deadline"),$I255&gt;=BW$4,$I255&lt;BW$4+7),IF($K255="Deadline","◇","◆"),"")</f>
        <v/>
      </c>
      <c r="BX255" s="14" t="str">
        <f>IF(AND(ISNUMBER($I255),OR($K255="Milestone",$K255="Deadline"),$I255&gt;=BX$4,$I255&lt;BX$4+7),IF($K255="Deadline","◇","◆"),"")</f>
        <v/>
      </c>
      <c r="BY255" s="14" t="str">
        <f>IF(AND(ISNUMBER($I255),OR($K255="Milestone",$K255="Deadline"),$I255&gt;=BY$4,$I255&lt;BY$4+7),IF($K255="Deadline","◇","◆"),"")</f>
        <v/>
      </c>
      <c r="BZ255" s="14" t="str">
        <f>IF(AND(ISNUMBER($I255),OR($K255="Milestone",$K255="Deadline"),$I255&gt;=BZ$4,$I255&lt;BZ$4+7),IF($K255="Deadline","◇","◆"),"")</f>
        <v/>
      </c>
      <c r="CA255" s="14" t="str">
        <f>IF(AND(ISNUMBER($I255),OR($K255="Milestone",$K255="Deadline"),$I255&gt;=CA$4,$I255&lt;CA$4+7),IF($K255="Deadline","◇","◆"),"")</f>
        <v/>
      </c>
      <c r="CB255" s="14" t="str">
        <f>IF(AND(ISNUMBER($I255),OR($K255="Milestone",$K255="Deadline"),$I255&gt;=CB$4,$I255&lt;CB$4+7),IF($K255="Deadline","◇","◆"),"")</f>
        <v/>
      </c>
      <c r="CC255" s="14" t="str">
        <f>IF(AND(ISNUMBER($I255),OR($K255="Milestone",$K255="Deadline"),$I255&gt;=CC$4,$I255&lt;CC$4+7),IF($K255="Deadline","◇","◆"),"")</f>
        <v/>
      </c>
      <c r="CD255" s="14" t="str">
        <f>IF(AND(ISNUMBER($I255),OR($K255="Milestone",$K255="Deadline"),$I255&gt;=CD$4,$I255&lt;CD$4+7),IF($K255="Deadline","◇","◆"),"")</f>
        <v/>
      </c>
      <c r="CE255" s="14" t="str">
        <f>IF(AND(ISNUMBER($I255),OR($K255="Milestone",$K255="Deadline"),$I255&gt;=CE$4,$I255&lt;CE$4+7),IF($K255="Deadline","◇","◆"),"")</f>
        <v/>
      </c>
      <c r="CF255" s="14" t="str">
        <f>IF(AND(ISNUMBER($I255),OR($K255="Milestone",$K255="Deadline"),$I255&gt;=CF$4,$I255&lt;CF$4+7),IF($K255="Deadline","◇","◆"),"")</f>
        <v/>
      </c>
      <c r="CG255" s="14" t="str">
        <f>IF(AND(ISNUMBER($I255),OR($K255="Milestone",$K255="Deadline"),$I255&gt;=CG$4,$I255&lt;CG$4+7),IF($K255="Deadline","◇","◆"),"")</f>
        <v/>
      </c>
      <c r="CH255" s="14" t="str">
        <f>IF(AND(ISNUMBER($I255),OR($K255="Milestone",$K255="Deadline"),$I255&gt;=CH$4,$I255&lt;CH$4+7),IF($K255="Deadline","◇","◆"),"")</f>
        <v/>
      </c>
      <c r="CI255" s="14" t="str">
        <f>IF(AND(ISNUMBER($I255),OR($K255="Milestone",$K255="Deadline"),$I255&gt;=CI$4,$I255&lt;CI$4+7),IF($K255="Deadline","◇","◆"),"")</f>
        <v/>
      </c>
      <c r="CJ255" s="14" t="str">
        <f>IF(AND(ISNUMBER($I255),OR($K255="Milestone",$K255="Deadline"),$I255&gt;=CJ$4,$I255&lt;CJ$4+7),IF($K255="Deadline","◇","◆"),"")</f>
        <v/>
      </c>
      <c r="CK255" s="14" t="str">
        <f>IF(AND(ISNUMBER($I255),OR($K255="Milestone",$K255="Deadline"),$I255&gt;=CK$4,$I255&lt;CK$4+7),IF($K255="Deadline","◇","◆"),"")</f>
        <v/>
      </c>
      <c r="CL255" s="14" t="str">
        <f>IF(AND(ISNUMBER($I255),OR($K255="Milestone",$K255="Deadline"),$I255&gt;=CL$4,$I255&lt;CL$4+7),IF($K255="Deadline","◇","◆"),"")</f>
        <v/>
      </c>
      <c r="CM255" s="14" t="str">
        <f>IF(AND(ISNUMBER($I255),OR($K255="Milestone",$K255="Deadline"),$I255&gt;=CM$4,$I255&lt;CM$4+7),IF($K255="Deadline","◇","◆"),"")</f>
        <v/>
      </c>
    </row>
    <row r="256" spans="1:91" hidden="1">
      <c r="A256" s="39" t="s">
        <v>330</v>
      </c>
      <c r="B256" s="39" t="s">
        <v>513</v>
      </c>
      <c r="C256" s="39" t="s">
        <v>93</v>
      </c>
      <c r="D256" s="39" t="s">
        <v>514</v>
      </c>
      <c r="E256" s="39" t="s">
        <v>196</v>
      </c>
      <c r="F256" s="39" t="s">
        <v>204</v>
      </c>
      <c r="G256" s="39" t="s">
        <v>184</v>
      </c>
      <c r="H256" s="39">
        <v>14</v>
      </c>
      <c r="I256" s="40">
        <f>MAX($C$2,J255+1,J290+1)</f>
        <v>46417</v>
      </c>
      <c r="J256" s="41">
        <f>IF(AND(ISNUMBER(I256),ISNUMBER(H256)),I256+H256-1,"")</f>
        <v>46430</v>
      </c>
      <c r="K256" s="39" t="s">
        <v>27</v>
      </c>
      <c r="L256" s="39" t="s">
        <v>517</v>
      </c>
      <c r="M256" s="42" t="s">
        <v>518</v>
      </c>
      <c r="N256" s="39"/>
      <c r="O256" s="42">
        <f>IF(AND(ISNUMBER(I256),ISNUMBER(J256)),J256-I256+1,"")</f>
        <v>14</v>
      </c>
      <c r="P256" s="13"/>
      <c r="Q256" s="13"/>
      <c r="R256" s="13"/>
      <c r="S256" s="13"/>
      <c r="T256" s="13"/>
      <c r="U256" s="13"/>
      <c r="V256" s="13"/>
      <c r="W256" s="13"/>
      <c r="X256" s="13"/>
      <c r="Y256" s="13" t="s">
        <v>140</v>
      </c>
      <c r="Z256" s="13"/>
      <c r="AA256" s="13"/>
      <c r="AB256" s="13"/>
      <c r="AC256" s="13"/>
      <c r="AD256" s="13"/>
      <c r="AE256" s="13"/>
      <c r="AF256" s="13"/>
      <c r="AG256" s="13"/>
      <c r="AH256" s="13"/>
      <c r="AI256" s="13"/>
      <c r="AJ256" s="13"/>
      <c r="AK256" s="13"/>
      <c r="AL256" s="13"/>
      <c r="AM256" s="13"/>
      <c r="AN256" s="13"/>
      <c r="AO256" s="14" t="str">
        <f>IF(AND(ISNUMBER($I256),OR($K256="Milestone",$K256="Deadline"),$I256&gt;=AO$4,$I256&lt;AO$4+7),IF($K256="Deadline","◇","◆"),"")</f>
        <v/>
      </c>
      <c r="AP256" s="14" t="str">
        <f>IF(AND(ISNUMBER($I256),OR($K256="Milestone",$K256="Deadline"),$I256&gt;=AP$4,$I256&lt;AP$4+7),IF($K256="Deadline","◇","◆"),"")</f>
        <v/>
      </c>
      <c r="AQ256" s="14" t="str">
        <f>IF(AND(ISNUMBER($I256),OR($K256="Milestone",$K256="Deadline"),$I256&gt;=AQ$4,$I256&lt;AQ$4+7),IF($K256="Deadline","◇","◆"),"")</f>
        <v/>
      </c>
      <c r="AR256" s="14" t="str">
        <f>IF(AND(ISNUMBER($I256),OR($K256="Milestone",$K256="Deadline"),$I256&gt;=AR$4,$I256&lt;AR$4+7),IF($K256="Deadline","◇","◆"),"")</f>
        <v/>
      </c>
      <c r="AS256" s="14" t="str">
        <f>IF(AND(ISNUMBER($I256),OR($K256="Milestone",$K256="Deadline"),$I256&gt;=AS$4,$I256&lt;AS$4+7),IF($K256="Deadline","◇","◆"),"")</f>
        <v/>
      </c>
      <c r="AT256" s="14" t="str">
        <f>IF(AND(ISNUMBER($I256),OR($K256="Milestone",$K256="Deadline"),$I256&gt;=AT$4,$I256&lt;AT$4+7),IF($K256="Deadline","◇","◆"),"")</f>
        <v/>
      </c>
      <c r="AU256" s="14" t="str">
        <f>IF(AND(ISNUMBER($I256),OR($K256="Milestone",$K256="Deadline"),$I256&gt;=AU$4,$I256&lt;AU$4+7),IF($K256="Deadline","◇","◆"),"")</f>
        <v/>
      </c>
      <c r="AV256" s="14" t="str">
        <f>IF(AND(ISNUMBER($I256),OR($K256="Milestone",$K256="Deadline"),$I256&gt;=AV$4,$I256&lt;AV$4+7),IF($K256="Deadline","◇","◆"),"")</f>
        <v/>
      </c>
      <c r="AW256" s="14" t="str">
        <f>IF(AND(ISNUMBER($I256),OR($K256="Milestone",$K256="Deadline"),$I256&gt;=AW$4,$I256&lt;AW$4+7),IF($K256="Deadline","◇","◆"),"")</f>
        <v/>
      </c>
      <c r="AX256" s="14" t="str">
        <f>IF(AND(ISNUMBER($I256),OR($K256="Milestone",$K256="Deadline"),$I256&gt;=AX$4,$I256&lt;AX$4+7),IF($K256="Deadline","◇","◆"),"")</f>
        <v/>
      </c>
      <c r="AY256" s="14" t="str">
        <f>IF(AND(ISNUMBER($I256),OR($K256="Milestone",$K256="Deadline"),$I256&gt;=AY$4,$I256&lt;AY$4+7),IF($K256="Deadline","◇","◆"),"")</f>
        <v/>
      </c>
      <c r="AZ256" s="14" t="str">
        <f>IF(AND(ISNUMBER($I256),OR($K256="Milestone",$K256="Deadline"),$I256&gt;=AZ$4,$I256&lt;AZ$4+7),IF($K256="Deadline","◇","◆"),"")</f>
        <v/>
      </c>
      <c r="BA256" s="14" t="str">
        <f>IF(AND(ISNUMBER($I256),OR($K256="Milestone",$K256="Deadline"),$I256&gt;=BA$4,$I256&lt;BA$4+7),IF($K256="Deadline","◇","◆"),"")</f>
        <v/>
      </c>
      <c r="BB256" s="14" t="str">
        <f>IF(AND(ISNUMBER($I256),OR($K256="Milestone",$K256="Deadline"),$I256&gt;=BB$4,$I256&lt;BB$4+7),IF($K256="Deadline","◇","◆"),"")</f>
        <v/>
      </c>
      <c r="BC256" s="14" t="str">
        <f>IF(AND(ISNUMBER($I256),OR($K256="Milestone",$K256="Deadline"),$I256&gt;=BC$4,$I256&lt;BC$4+7),IF($K256="Deadline","◇","◆"),"")</f>
        <v/>
      </c>
      <c r="BD256" s="14" t="str">
        <f>IF(AND(ISNUMBER($I256),OR($K256="Milestone",$K256="Deadline"),$I256&gt;=BD$4,$I256&lt;BD$4+7),IF($K256="Deadline","◇","◆"),"")</f>
        <v/>
      </c>
      <c r="BE256" s="14" t="str">
        <f>IF(AND(ISNUMBER($I256),OR($K256="Milestone",$K256="Deadline"),$I256&gt;=BE$4,$I256&lt;BE$4+7),IF($K256="Deadline","◇","◆"),"")</f>
        <v/>
      </c>
      <c r="BF256" s="14" t="str">
        <f>IF(AND(ISNUMBER($I256),OR($K256="Milestone",$K256="Deadline"),$I256&gt;=BF$4,$I256&lt;BF$4+7),IF($K256="Deadline","◇","◆"),"")</f>
        <v/>
      </c>
      <c r="BG256" s="14" t="str">
        <f>IF(AND(ISNUMBER($I256),OR($K256="Milestone",$K256="Deadline"),$I256&gt;=BG$4,$I256&lt;BG$4+7),IF($K256="Deadline","◇","◆"),"")</f>
        <v/>
      </c>
      <c r="BH256" s="14" t="str">
        <f>IF(AND(ISNUMBER($I256),OR($K256="Milestone",$K256="Deadline"),$I256&gt;=BH$4,$I256&lt;BH$4+7),IF($K256="Deadline","◇","◆"),"")</f>
        <v/>
      </c>
      <c r="BI256" s="14" t="str">
        <f>IF(AND(ISNUMBER($I256),OR($K256="Milestone",$K256="Deadline"),$I256&gt;=BI$4,$I256&lt;BI$4+7),IF($K256="Deadline","◇","◆"),"")</f>
        <v/>
      </c>
      <c r="BJ256" s="14" t="str">
        <f>IF(AND(ISNUMBER($I256),OR($K256="Milestone",$K256="Deadline"),$I256&gt;=BJ$4,$I256&lt;BJ$4+7),IF($K256="Deadline","◇","◆"),"")</f>
        <v/>
      </c>
      <c r="BK256" s="14" t="str">
        <f>IF(AND(ISNUMBER($I256),OR($K256="Milestone",$K256="Deadline"),$I256&gt;=BK$4,$I256&lt;BK$4+7),IF($K256="Deadline","◇","◆"),"")</f>
        <v/>
      </c>
      <c r="BL256" s="14" t="str">
        <f>IF(AND(ISNUMBER($I256),OR($K256="Milestone",$K256="Deadline"),$I256&gt;=BL$4,$I256&lt;BL$4+7),IF($K256="Deadline","◇","◆"),"")</f>
        <v/>
      </c>
      <c r="BM256" s="14" t="str">
        <f>IF(AND(ISNUMBER($I256),OR($K256="Milestone",$K256="Deadline"),$I256&gt;=BM$4,$I256&lt;BM$4+7),IF($K256="Deadline","◇","◆"),"")</f>
        <v/>
      </c>
      <c r="BN256" s="14" t="str">
        <f>IF(AND(ISNUMBER($I256),OR($K256="Milestone",$K256="Deadline"),$I256&gt;=BN$4,$I256&lt;BN$4+7),IF($K256="Deadline","◇","◆"),"")</f>
        <v/>
      </c>
      <c r="BO256" s="14" t="str">
        <f>IF(AND(ISNUMBER($I256),OR($K256="Milestone",$K256="Deadline"),$I256&gt;=BO$4,$I256&lt;BO$4+7),IF($K256="Deadline","◇","◆"),"")</f>
        <v/>
      </c>
      <c r="BP256" s="14" t="str">
        <f>IF(AND(ISNUMBER($I256),OR($K256="Milestone",$K256="Deadline"),$I256&gt;=BP$4,$I256&lt;BP$4+7),IF($K256="Deadline","◇","◆"),"")</f>
        <v/>
      </c>
      <c r="BQ256" s="14" t="str">
        <f>IF(AND(ISNUMBER($I256),OR($K256="Milestone",$K256="Deadline"),$I256&gt;=BQ$4,$I256&lt;BQ$4+7),IF($K256="Deadline","◇","◆"),"")</f>
        <v/>
      </c>
      <c r="BR256" s="14" t="str">
        <f>IF(AND(ISNUMBER($I256),OR($K256="Milestone",$K256="Deadline"),$I256&gt;=BR$4,$I256&lt;BR$4+7),IF($K256="Deadline","◇","◆"),"")</f>
        <v/>
      </c>
      <c r="BS256" s="14" t="str">
        <f>IF(AND(ISNUMBER($I256),OR($K256="Milestone",$K256="Deadline"),$I256&gt;=BS$4,$I256&lt;BS$4+7),IF($K256="Deadline","◇","◆"),"")</f>
        <v/>
      </c>
      <c r="BT256" s="14" t="str">
        <f>IF(AND(ISNUMBER($I256),OR($K256="Milestone",$K256="Deadline"),$I256&gt;=BT$4,$I256&lt;BT$4+7),IF($K256="Deadline","◇","◆"),"")</f>
        <v/>
      </c>
      <c r="BU256" s="14" t="str">
        <f>IF(AND(ISNUMBER($I256),OR($K256="Milestone",$K256="Deadline"),$I256&gt;=BU$4,$I256&lt;BU$4+7),IF($K256="Deadline","◇","◆"),"")</f>
        <v/>
      </c>
      <c r="BV256" s="14" t="str">
        <f>IF(AND(ISNUMBER($I256),OR($K256="Milestone",$K256="Deadline"),$I256&gt;=BV$4,$I256&lt;BV$4+7),IF($K256="Deadline","◇","◆"),"")</f>
        <v/>
      </c>
      <c r="BW256" s="14" t="str">
        <f>IF(AND(ISNUMBER($I256),OR($K256="Milestone",$K256="Deadline"),$I256&gt;=BW$4,$I256&lt;BW$4+7),IF($K256="Deadline","◇","◆"),"")</f>
        <v/>
      </c>
      <c r="BX256" s="14" t="str">
        <f>IF(AND(ISNUMBER($I256),OR($K256="Milestone",$K256="Deadline"),$I256&gt;=BX$4,$I256&lt;BX$4+7),IF($K256="Deadline","◇","◆"),"")</f>
        <v/>
      </c>
      <c r="BY256" s="14" t="str">
        <f>IF(AND(ISNUMBER($I256),OR($K256="Milestone",$K256="Deadline"),$I256&gt;=BY$4,$I256&lt;BY$4+7),IF($K256="Deadline","◇","◆"),"")</f>
        <v/>
      </c>
      <c r="BZ256" s="14" t="str">
        <f>IF(AND(ISNUMBER($I256),OR($K256="Milestone",$K256="Deadline"),$I256&gt;=BZ$4,$I256&lt;BZ$4+7),IF($K256="Deadline","◇","◆"),"")</f>
        <v/>
      </c>
      <c r="CA256" s="14" t="str">
        <f>IF(AND(ISNUMBER($I256),OR($K256="Milestone",$K256="Deadline"),$I256&gt;=CA$4,$I256&lt;CA$4+7),IF($K256="Deadline","◇","◆"),"")</f>
        <v/>
      </c>
      <c r="CB256" s="14" t="str">
        <f>IF(AND(ISNUMBER($I256),OR($K256="Milestone",$K256="Deadline"),$I256&gt;=CB$4,$I256&lt;CB$4+7),IF($K256="Deadline","◇","◆"),"")</f>
        <v/>
      </c>
      <c r="CC256" s="14" t="str">
        <f>IF(AND(ISNUMBER($I256),OR($K256="Milestone",$K256="Deadline"),$I256&gt;=CC$4,$I256&lt;CC$4+7),IF($K256="Deadline","◇","◆"),"")</f>
        <v/>
      </c>
      <c r="CD256" s="14" t="str">
        <f>IF(AND(ISNUMBER($I256),OR($K256="Milestone",$K256="Deadline"),$I256&gt;=CD$4,$I256&lt;CD$4+7),IF($K256="Deadline","◇","◆"),"")</f>
        <v/>
      </c>
      <c r="CE256" s="14" t="str">
        <f>IF(AND(ISNUMBER($I256),OR($K256="Milestone",$K256="Deadline"),$I256&gt;=CE$4,$I256&lt;CE$4+7),IF($K256="Deadline","◇","◆"),"")</f>
        <v/>
      </c>
      <c r="CF256" s="14" t="str">
        <f>IF(AND(ISNUMBER($I256),OR($K256="Milestone",$K256="Deadline"),$I256&gt;=CF$4,$I256&lt;CF$4+7),IF($K256="Deadline","◇","◆"),"")</f>
        <v/>
      </c>
      <c r="CG256" s="14" t="str">
        <f>IF(AND(ISNUMBER($I256),OR($K256="Milestone",$K256="Deadline"),$I256&gt;=CG$4,$I256&lt;CG$4+7),IF($K256="Deadline","◇","◆"),"")</f>
        <v/>
      </c>
      <c r="CH256" s="14" t="str">
        <f>IF(AND(ISNUMBER($I256),OR($K256="Milestone",$K256="Deadline"),$I256&gt;=CH$4,$I256&lt;CH$4+7),IF($K256="Deadline","◇","◆"),"")</f>
        <v/>
      </c>
      <c r="CI256" s="14" t="str">
        <f>IF(AND(ISNUMBER($I256),OR($K256="Milestone",$K256="Deadline"),$I256&gt;=CI$4,$I256&lt;CI$4+7),IF($K256="Deadline","◇","◆"),"")</f>
        <v/>
      </c>
      <c r="CJ256" s="14" t="str">
        <f>IF(AND(ISNUMBER($I256),OR($K256="Milestone",$K256="Deadline"),$I256&gt;=CJ$4,$I256&lt;CJ$4+7),IF($K256="Deadline","◇","◆"),"")</f>
        <v/>
      </c>
      <c r="CK256" s="14" t="str">
        <f>IF(AND(ISNUMBER($I256),OR($K256="Milestone",$K256="Deadline"),$I256&gt;=CK$4,$I256&lt;CK$4+7),IF($K256="Deadline","◇","◆"),"")</f>
        <v/>
      </c>
      <c r="CL256" s="14" t="str">
        <f>IF(AND(ISNUMBER($I256),OR($K256="Milestone",$K256="Deadline"),$I256&gt;=CL$4,$I256&lt;CL$4+7),IF($K256="Deadline","◇","◆"),"")</f>
        <v/>
      </c>
      <c r="CM256" s="14" t="str">
        <f>IF(AND(ISNUMBER($I256),OR($K256="Milestone",$K256="Deadline"),$I256&gt;=CM$4,$I256&lt;CM$4+7),IF($K256="Deadline","◇","◆"),"")</f>
        <v/>
      </c>
    </row>
    <row r="257" spans="1:91" hidden="1">
      <c r="A257" s="39" t="s">
        <v>340</v>
      </c>
      <c r="B257" s="39" t="s">
        <v>513</v>
      </c>
      <c r="C257" s="39" t="s">
        <v>93</v>
      </c>
      <c r="D257" s="39" t="s">
        <v>514</v>
      </c>
      <c r="E257" s="39" t="s">
        <v>196</v>
      </c>
      <c r="F257" s="39" t="s">
        <v>204</v>
      </c>
      <c r="G257" s="39" t="s">
        <v>275</v>
      </c>
      <c r="H257" s="39">
        <v>11</v>
      </c>
      <c r="I257" s="40">
        <f>MAX($C$2,J256+1,J246+1,J292+1)</f>
        <v>46431</v>
      </c>
      <c r="J257" s="41">
        <f>IF(AND(ISNUMBER(I257),ISNUMBER(H257)),I257+H257-1,"")</f>
        <v>46441</v>
      </c>
      <c r="K257" s="39" t="s">
        <v>27</v>
      </c>
      <c r="L257" s="39" t="s">
        <v>330</v>
      </c>
      <c r="M257" s="42" t="s">
        <v>519</v>
      </c>
      <c r="N257" s="39"/>
      <c r="O257" s="42">
        <f>IF(AND(ISNUMBER(I257),ISNUMBER(J257)),J257-I257+1,"")</f>
        <v>11</v>
      </c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 t="s">
        <v>140</v>
      </c>
      <c r="AC257" s="13"/>
      <c r="AD257" s="13"/>
      <c r="AE257" s="13"/>
      <c r="AF257" s="13"/>
      <c r="AG257" s="13"/>
      <c r="AH257" s="13"/>
      <c r="AI257" s="13" t="s">
        <v>140</v>
      </c>
      <c r="AJ257" s="13"/>
      <c r="AK257" s="13"/>
      <c r="AL257" s="13"/>
      <c r="AM257" s="13"/>
      <c r="AN257" s="13"/>
      <c r="AO257" s="14" t="str">
        <f>IF(AND(ISNUMBER($I257),OR($K257="Milestone",$K257="Deadline"),$I257&gt;=AO$4,$I257&lt;AO$4+7),IF($K257="Deadline","◇","◆"),"")</f>
        <v/>
      </c>
      <c r="AP257" s="14" t="str">
        <f>IF(AND(ISNUMBER($I257),OR($K257="Milestone",$K257="Deadline"),$I257&gt;=AP$4,$I257&lt;AP$4+7),IF($K257="Deadline","◇","◆"),"")</f>
        <v/>
      </c>
      <c r="AQ257" s="14" t="str">
        <f>IF(AND(ISNUMBER($I257),OR($K257="Milestone",$K257="Deadline"),$I257&gt;=AQ$4,$I257&lt;AQ$4+7),IF($K257="Deadline","◇","◆"),"")</f>
        <v/>
      </c>
      <c r="AR257" s="14" t="str">
        <f>IF(AND(ISNUMBER($I257),OR($K257="Milestone",$K257="Deadline"),$I257&gt;=AR$4,$I257&lt;AR$4+7),IF($K257="Deadline","◇","◆"),"")</f>
        <v/>
      </c>
      <c r="AS257" s="14" t="str">
        <f>IF(AND(ISNUMBER($I257),OR($K257="Milestone",$K257="Deadline"),$I257&gt;=AS$4,$I257&lt;AS$4+7),IF($K257="Deadline","◇","◆"),"")</f>
        <v/>
      </c>
      <c r="AT257" s="14" t="str">
        <f>IF(AND(ISNUMBER($I257),OR($K257="Milestone",$K257="Deadline"),$I257&gt;=AT$4,$I257&lt;AT$4+7),IF($K257="Deadline","◇","◆"),"")</f>
        <v/>
      </c>
      <c r="AU257" s="14" t="str">
        <f>IF(AND(ISNUMBER($I257),OR($K257="Milestone",$K257="Deadline"),$I257&gt;=AU$4,$I257&lt;AU$4+7),IF($K257="Deadline","◇","◆"),"")</f>
        <v/>
      </c>
      <c r="AV257" s="14" t="str">
        <f>IF(AND(ISNUMBER($I257),OR($K257="Milestone",$K257="Deadline"),$I257&gt;=AV$4,$I257&lt;AV$4+7),IF($K257="Deadline","◇","◆"),"")</f>
        <v/>
      </c>
      <c r="AW257" s="14" t="str">
        <f>IF(AND(ISNUMBER($I257),OR($K257="Milestone",$K257="Deadline"),$I257&gt;=AW$4,$I257&lt;AW$4+7),IF($K257="Deadline","◇","◆"),"")</f>
        <v/>
      </c>
      <c r="AX257" s="14" t="str">
        <f>IF(AND(ISNUMBER($I257),OR($K257="Milestone",$K257="Deadline"),$I257&gt;=AX$4,$I257&lt;AX$4+7),IF($K257="Deadline","◇","◆"),"")</f>
        <v/>
      </c>
      <c r="AY257" s="14" t="str">
        <f>IF(AND(ISNUMBER($I257),OR($K257="Milestone",$K257="Deadline"),$I257&gt;=AY$4,$I257&lt;AY$4+7),IF($K257="Deadline","◇","◆"),"")</f>
        <v/>
      </c>
      <c r="AZ257" s="14" t="str">
        <f>IF(AND(ISNUMBER($I257),OR($K257="Milestone",$K257="Deadline"),$I257&gt;=AZ$4,$I257&lt;AZ$4+7),IF($K257="Deadline","◇","◆"),"")</f>
        <v/>
      </c>
      <c r="BA257" s="14" t="str">
        <f>IF(AND(ISNUMBER($I257),OR($K257="Milestone",$K257="Deadline"),$I257&gt;=BA$4,$I257&lt;BA$4+7),IF($K257="Deadline","◇","◆"),"")</f>
        <v/>
      </c>
      <c r="BB257" s="14" t="str">
        <f>IF(AND(ISNUMBER($I257),OR($K257="Milestone",$K257="Deadline"),$I257&gt;=BB$4,$I257&lt;BB$4+7),IF($K257="Deadline","◇","◆"),"")</f>
        <v/>
      </c>
      <c r="BC257" s="14" t="str">
        <f>IF(AND(ISNUMBER($I257),OR($K257="Milestone",$K257="Deadline"),$I257&gt;=BC$4,$I257&lt;BC$4+7),IF($K257="Deadline","◇","◆"),"")</f>
        <v/>
      </c>
      <c r="BD257" s="14" t="str">
        <f>IF(AND(ISNUMBER($I257),OR($K257="Milestone",$K257="Deadline"),$I257&gt;=BD$4,$I257&lt;BD$4+7),IF($K257="Deadline","◇","◆"),"")</f>
        <v/>
      </c>
      <c r="BE257" s="14" t="str">
        <f>IF(AND(ISNUMBER($I257),OR($K257="Milestone",$K257="Deadline"),$I257&gt;=BE$4,$I257&lt;BE$4+7),IF($K257="Deadline","◇","◆"),"")</f>
        <v/>
      </c>
      <c r="BF257" s="14" t="str">
        <f>IF(AND(ISNUMBER($I257),OR($K257="Milestone",$K257="Deadline"),$I257&gt;=BF$4,$I257&lt;BF$4+7),IF($K257="Deadline","◇","◆"),"")</f>
        <v/>
      </c>
      <c r="BG257" s="14" t="str">
        <f>IF(AND(ISNUMBER($I257),OR($K257="Milestone",$K257="Deadline"),$I257&gt;=BG$4,$I257&lt;BG$4+7),IF($K257="Deadline","◇","◆"),"")</f>
        <v/>
      </c>
      <c r="BH257" s="14" t="str">
        <f>IF(AND(ISNUMBER($I257),OR($K257="Milestone",$K257="Deadline"),$I257&gt;=BH$4,$I257&lt;BH$4+7),IF($K257="Deadline","◇","◆"),"")</f>
        <v/>
      </c>
      <c r="BI257" s="14" t="str">
        <f>IF(AND(ISNUMBER($I257),OR($K257="Milestone",$K257="Deadline"),$I257&gt;=BI$4,$I257&lt;BI$4+7),IF($K257="Deadline","◇","◆"),"")</f>
        <v/>
      </c>
      <c r="BJ257" s="14" t="str">
        <f>IF(AND(ISNUMBER($I257),OR($K257="Milestone",$K257="Deadline"),$I257&gt;=BJ$4,$I257&lt;BJ$4+7),IF($K257="Deadline","◇","◆"),"")</f>
        <v/>
      </c>
      <c r="BK257" s="14" t="str">
        <f>IF(AND(ISNUMBER($I257),OR($K257="Milestone",$K257="Deadline"),$I257&gt;=BK$4,$I257&lt;BK$4+7),IF($K257="Deadline","◇","◆"),"")</f>
        <v/>
      </c>
      <c r="BL257" s="14" t="str">
        <f>IF(AND(ISNUMBER($I257),OR($K257="Milestone",$K257="Deadline"),$I257&gt;=BL$4,$I257&lt;BL$4+7),IF($K257="Deadline","◇","◆"),"")</f>
        <v/>
      </c>
      <c r="BM257" s="14" t="str">
        <f>IF(AND(ISNUMBER($I257),OR($K257="Milestone",$K257="Deadline"),$I257&gt;=BM$4,$I257&lt;BM$4+7),IF($K257="Deadline","◇","◆"),"")</f>
        <v/>
      </c>
      <c r="BN257" s="14" t="str">
        <f>IF(AND(ISNUMBER($I257),OR($K257="Milestone",$K257="Deadline"),$I257&gt;=BN$4,$I257&lt;BN$4+7),IF($K257="Deadline","◇","◆"),"")</f>
        <v/>
      </c>
      <c r="BO257" s="14" t="str">
        <f>IF(AND(ISNUMBER($I257),OR($K257="Milestone",$K257="Deadline"),$I257&gt;=BO$4,$I257&lt;BO$4+7),IF($K257="Deadline","◇","◆"),"")</f>
        <v/>
      </c>
      <c r="BP257" s="14" t="str">
        <f>IF(AND(ISNUMBER($I257),OR($K257="Milestone",$K257="Deadline"),$I257&gt;=BP$4,$I257&lt;BP$4+7),IF($K257="Deadline","◇","◆"),"")</f>
        <v/>
      </c>
      <c r="BQ257" s="14" t="str">
        <f>IF(AND(ISNUMBER($I257),OR($K257="Milestone",$K257="Deadline"),$I257&gt;=BQ$4,$I257&lt;BQ$4+7),IF($K257="Deadline","◇","◆"),"")</f>
        <v/>
      </c>
      <c r="BR257" s="14" t="str">
        <f>IF(AND(ISNUMBER($I257),OR($K257="Milestone",$K257="Deadline"),$I257&gt;=BR$4,$I257&lt;BR$4+7),IF($K257="Deadline","◇","◆"),"")</f>
        <v/>
      </c>
      <c r="BS257" s="14" t="str">
        <f>IF(AND(ISNUMBER($I257),OR($K257="Milestone",$K257="Deadline"),$I257&gt;=BS$4,$I257&lt;BS$4+7),IF($K257="Deadline","◇","◆"),"")</f>
        <v/>
      </c>
      <c r="BT257" s="14" t="str">
        <f>IF(AND(ISNUMBER($I257),OR($K257="Milestone",$K257="Deadline"),$I257&gt;=BT$4,$I257&lt;BT$4+7),IF($K257="Deadline","◇","◆"),"")</f>
        <v/>
      </c>
      <c r="BU257" s="14" t="str">
        <f>IF(AND(ISNUMBER($I257),OR($K257="Milestone",$K257="Deadline"),$I257&gt;=BU$4,$I257&lt;BU$4+7),IF($K257="Deadline","◇","◆"),"")</f>
        <v/>
      </c>
      <c r="BV257" s="14" t="str">
        <f>IF(AND(ISNUMBER($I257),OR($K257="Milestone",$K257="Deadline"),$I257&gt;=BV$4,$I257&lt;BV$4+7),IF($K257="Deadline","◇","◆"),"")</f>
        <v/>
      </c>
      <c r="BW257" s="14" t="str">
        <f>IF(AND(ISNUMBER($I257),OR($K257="Milestone",$K257="Deadline"),$I257&gt;=BW$4,$I257&lt;BW$4+7),IF($K257="Deadline","◇","◆"),"")</f>
        <v/>
      </c>
      <c r="BX257" s="14" t="str">
        <f>IF(AND(ISNUMBER($I257),OR($K257="Milestone",$K257="Deadline"),$I257&gt;=BX$4,$I257&lt;BX$4+7),IF($K257="Deadline","◇","◆"),"")</f>
        <v/>
      </c>
      <c r="BY257" s="14" t="str">
        <f>IF(AND(ISNUMBER($I257),OR($K257="Milestone",$K257="Deadline"),$I257&gt;=BY$4,$I257&lt;BY$4+7),IF($K257="Deadline","◇","◆"),"")</f>
        <v/>
      </c>
      <c r="BZ257" s="14" t="str">
        <f>IF(AND(ISNUMBER($I257),OR($K257="Milestone",$K257="Deadline"),$I257&gt;=BZ$4,$I257&lt;BZ$4+7),IF($K257="Deadline","◇","◆"),"")</f>
        <v/>
      </c>
      <c r="CA257" s="14" t="str">
        <f>IF(AND(ISNUMBER($I257),OR($K257="Milestone",$K257="Deadline"),$I257&gt;=CA$4,$I257&lt;CA$4+7),IF($K257="Deadline","◇","◆"),"")</f>
        <v/>
      </c>
      <c r="CB257" s="14" t="str">
        <f>IF(AND(ISNUMBER($I257),OR($K257="Milestone",$K257="Deadline"),$I257&gt;=CB$4,$I257&lt;CB$4+7),IF($K257="Deadline","◇","◆"),"")</f>
        <v/>
      </c>
      <c r="CC257" s="14" t="str">
        <f>IF(AND(ISNUMBER($I257),OR($K257="Milestone",$K257="Deadline"),$I257&gt;=CC$4,$I257&lt;CC$4+7),IF($K257="Deadline","◇","◆"),"")</f>
        <v/>
      </c>
      <c r="CD257" s="14" t="str">
        <f>IF(AND(ISNUMBER($I257),OR($K257="Milestone",$K257="Deadline"),$I257&gt;=CD$4,$I257&lt;CD$4+7),IF($K257="Deadline","◇","◆"),"")</f>
        <v/>
      </c>
      <c r="CE257" s="14" t="str">
        <f>IF(AND(ISNUMBER($I257),OR($K257="Milestone",$K257="Deadline"),$I257&gt;=CE$4,$I257&lt;CE$4+7),IF($K257="Deadline","◇","◆"),"")</f>
        <v/>
      </c>
      <c r="CF257" s="14" t="str">
        <f>IF(AND(ISNUMBER($I257),OR($K257="Milestone",$K257="Deadline"),$I257&gt;=CF$4,$I257&lt;CF$4+7),IF($K257="Deadline","◇","◆"),"")</f>
        <v/>
      </c>
      <c r="CG257" s="14" t="str">
        <f>IF(AND(ISNUMBER($I257),OR($K257="Milestone",$K257="Deadline"),$I257&gt;=CG$4,$I257&lt;CG$4+7),IF($K257="Deadline","◇","◆"),"")</f>
        <v/>
      </c>
      <c r="CH257" s="14" t="str">
        <f>IF(AND(ISNUMBER($I257),OR($K257="Milestone",$K257="Deadline"),$I257&gt;=CH$4,$I257&lt;CH$4+7),IF($K257="Deadline","◇","◆"),"")</f>
        <v/>
      </c>
      <c r="CI257" s="14" t="str">
        <f>IF(AND(ISNUMBER($I257),OR($K257="Milestone",$K257="Deadline"),$I257&gt;=CI$4,$I257&lt;CI$4+7),IF($K257="Deadline","◇","◆"),"")</f>
        <v/>
      </c>
      <c r="CJ257" s="14" t="str">
        <f>IF(AND(ISNUMBER($I257),OR($K257="Milestone",$K257="Deadline"),$I257&gt;=CJ$4,$I257&lt;CJ$4+7),IF($K257="Deadline","◇","◆"),"")</f>
        <v/>
      </c>
      <c r="CK257" s="14" t="str">
        <f>IF(AND(ISNUMBER($I257),OR($K257="Milestone",$K257="Deadline"),$I257&gt;=CK$4,$I257&lt;CK$4+7),IF($K257="Deadline","◇","◆"),"")</f>
        <v/>
      </c>
      <c r="CL257" s="14" t="str">
        <f>IF(AND(ISNUMBER($I257),OR($K257="Milestone",$K257="Deadline"),$I257&gt;=CL$4,$I257&lt;CL$4+7),IF($K257="Deadline","◇","◆"),"")</f>
        <v/>
      </c>
      <c r="CM257" s="14" t="str">
        <f>IF(AND(ISNUMBER($I257),OR($K257="Milestone",$K257="Deadline"),$I257&gt;=CM$4,$I257&lt;CM$4+7),IF($K257="Deadline","◇","◆"),"")</f>
        <v/>
      </c>
    </row>
    <row r="258" spans="1:91" hidden="1">
      <c r="A258" s="39" t="s">
        <v>520</v>
      </c>
      <c r="B258" s="39" t="s">
        <v>513</v>
      </c>
      <c r="C258" s="39" t="s">
        <v>191</v>
      </c>
      <c r="D258" s="39" t="s">
        <v>514</v>
      </c>
      <c r="E258" s="39" t="s">
        <v>196</v>
      </c>
      <c r="F258" s="39" t="s">
        <v>204</v>
      </c>
      <c r="G258" s="39" t="s">
        <v>278</v>
      </c>
      <c r="H258" s="39">
        <v>7</v>
      </c>
      <c r="I258" s="40">
        <f>MAX(DATE(2027,3,1),J257+1,J86+1,J225+1)</f>
        <v>46469</v>
      </c>
      <c r="J258" s="41">
        <f>IF(AND(ISNUMBER(I258),ISNUMBER(H258)),I258+H258-1,"")</f>
        <v>46475</v>
      </c>
      <c r="K258" s="39" t="s">
        <v>27</v>
      </c>
      <c r="L258" s="39" t="s">
        <v>340</v>
      </c>
      <c r="M258" s="42" t="s">
        <v>521</v>
      </c>
      <c r="N258" s="39"/>
      <c r="O258" s="42">
        <f>IF(AND(ISNUMBER(I258),ISNUMBER(J258)),J258-I258+1,"")</f>
        <v>7</v>
      </c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13" t="s">
        <v>140</v>
      </c>
      <c r="AF258" s="13"/>
      <c r="AG258" s="13" t="s">
        <v>140</v>
      </c>
      <c r="AH258" s="13"/>
      <c r="AI258" s="13"/>
      <c r="AJ258" s="13"/>
      <c r="AK258" s="13"/>
      <c r="AL258" s="13"/>
      <c r="AM258" s="13"/>
      <c r="AN258" s="13"/>
      <c r="AO258" s="14" t="str">
        <f>IF(AND(ISNUMBER($I258),OR($K258="Milestone",$K258="Deadline"),$I258&gt;=AO$4,$I258&lt;AO$4+7),IF($K258="Deadline","◇","◆"),"")</f>
        <v/>
      </c>
      <c r="AP258" s="14" t="str">
        <f>IF(AND(ISNUMBER($I258),OR($K258="Milestone",$K258="Deadline"),$I258&gt;=AP$4,$I258&lt;AP$4+7),IF($K258="Deadline","◇","◆"),"")</f>
        <v/>
      </c>
      <c r="AQ258" s="14" t="str">
        <f>IF(AND(ISNUMBER($I258),OR($K258="Milestone",$K258="Deadline"),$I258&gt;=AQ$4,$I258&lt;AQ$4+7),IF($K258="Deadline","◇","◆"),"")</f>
        <v/>
      </c>
      <c r="AR258" s="14" t="str">
        <f>IF(AND(ISNUMBER($I258),OR($K258="Milestone",$K258="Deadline"),$I258&gt;=AR$4,$I258&lt;AR$4+7),IF($K258="Deadline","◇","◆"),"")</f>
        <v/>
      </c>
      <c r="AS258" s="14" t="str">
        <f>IF(AND(ISNUMBER($I258),OR($K258="Milestone",$K258="Deadline"),$I258&gt;=AS$4,$I258&lt;AS$4+7),IF($K258="Deadline","◇","◆"),"")</f>
        <v/>
      </c>
      <c r="AT258" s="14" t="str">
        <f>IF(AND(ISNUMBER($I258),OR($K258="Milestone",$K258="Deadline"),$I258&gt;=AT$4,$I258&lt;AT$4+7),IF($K258="Deadline","◇","◆"),"")</f>
        <v/>
      </c>
      <c r="AU258" s="14" t="str">
        <f>IF(AND(ISNUMBER($I258),OR($K258="Milestone",$K258="Deadline"),$I258&gt;=AU$4,$I258&lt;AU$4+7),IF($K258="Deadline","◇","◆"),"")</f>
        <v/>
      </c>
      <c r="AV258" s="14" t="str">
        <f>IF(AND(ISNUMBER($I258),OR($K258="Milestone",$K258="Deadline"),$I258&gt;=AV$4,$I258&lt;AV$4+7),IF($K258="Deadline","◇","◆"),"")</f>
        <v/>
      </c>
      <c r="AW258" s="14" t="str">
        <f>IF(AND(ISNUMBER($I258),OR($K258="Milestone",$K258="Deadline"),$I258&gt;=AW$4,$I258&lt;AW$4+7),IF($K258="Deadline","◇","◆"),"")</f>
        <v/>
      </c>
      <c r="AX258" s="14" t="str">
        <f>IF(AND(ISNUMBER($I258),OR($K258="Milestone",$K258="Deadline"),$I258&gt;=AX$4,$I258&lt;AX$4+7),IF($K258="Deadline","◇","◆"),"")</f>
        <v/>
      </c>
      <c r="AY258" s="14" t="str">
        <f>IF(AND(ISNUMBER($I258),OR($K258="Milestone",$K258="Deadline"),$I258&gt;=AY$4,$I258&lt;AY$4+7),IF($K258="Deadline","◇","◆"),"")</f>
        <v/>
      </c>
      <c r="AZ258" s="14" t="str">
        <f>IF(AND(ISNUMBER($I258),OR($K258="Milestone",$K258="Deadline"),$I258&gt;=AZ$4,$I258&lt;AZ$4+7),IF($K258="Deadline","◇","◆"),"")</f>
        <v/>
      </c>
      <c r="BA258" s="14" t="str">
        <f>IF(AND(ISNUMBER($I258),OR($K258="Milestone",$K258="Deadline"),$I258&gt;=BA$4,$I258&lt;BA$4+7),IF($K258="Deadline","◇","◆"),"")</f>
        <v/>
      </c>
      <c r="BB258" s="14" t="str">
        <f>IF(AND(ISNUMBER($I258),OR($K258="Milestone",$K258="Deadline"),$I258&gt;=BB$4,$I258&lt;BB$4+7),IF($K258="Deadline","◇","◆"),"")</f>
        <v/>
      </c>
      <c r="BC258" s="14" t="str">
        <f>IF(AND(ISNUMBER($I258),OR($K258="Milestone",$K258="Deadline"),$I258&gt;=BC$4,$I258&lt;BC$4+7),IF($K258="Deadline","◇","◆"),"")</f>
        <v/>
      </c>
      <c r="BD258" s="14" t="str">
        <f>IF(AND(ISNUMBER($I258),OR($K258="Milestone",$K258="Deadline"),$I258&gt;=BD$4,$I258&lt;BD$4+7),IF($K258="Deadline","◇","◆"),"")</f>
        <v/>
      </c>
      <c r="BE258" s="14" t="str">
        <f>IF(AND(ISNUMBER($I258),OR($K258="Milestone",$K258="Deadline"),$I258&gt;=BE$4,$I258&lt;BE$4+7),IF($K258="Deadline","◇","◆"),"")</f>
        <v/>
      </c>
      <c r="BF258" s="14" t="str">
        <f>IF(AND(ISNUMBER($I258),OR($K258="Milestone",$K258="Deadline"),$I258&gt;=BF$4,$I258&lt;BF$4+7),IF($K258="Deadline","◇","◆"),"")</f>
        <v/>
      </c>
      <c r="BG258" s="14" t="str">
        <f>IF(AND(ISNUMBER($I258),OR($K258="Milestone",$K258="Deadline"),$I258&gt;=BG$4,$I258&lt;BG$4+7),IF($K258="Deadline","◇","◆"),"")</f>
        <v/>
      </c>
      <c r="BH258" s="14" t="str">
        <f>IF(AND(ISNUMBER($I258),OR($K258="Milestone",$K258="Deadline"),$I258&gt;=BH$4,$I258&lt;BH$4+7),IF($K258="Deadline","◇","◆"),"")</f>
        <v/>
      </c>
      <c r="BI258" s="14" t="str">
        <f>IF(AND(ISNUMBER($I258),OR($K258="Milestone",$K258="Deadline"),$I258&gt;=BI$4,$I258&lt;BI$4+7),IF($K258="Deadline","◇","◆"),"")</f>
        <v/>
      </c>
      <c r="BJ258" s="14" t="str">
        <f>IF(AND(ISNUMBER($I258),OR($K258="Milestone",$K258="Deadline"),$I258&gt;=BJ$4,$I258&lt;BJ$4+7),IF($K258="Deadline","◇","◆"),"")</f>
        <v/>
      </c>
      <c r="BK258" s="14" t="str">
        <f>IF(AND(ISNUMBER($I258),OR($K258="Milestone",$K258="Deadline"),$I258&gt;=BK$4,$I258&lt;BK$4+7),IF($K258="Deadline","◇","◆"),"")</f>
        <v/>
      </c>
      <c r="BL258" s="14" t="str">
        <f>IF(AND(ISNUMBER($I258),OR($K258="Milestone",$K258="Deadline"),$I258&gt;=BL$4,$I258&lt;BL$4+7),IF($K258="Deadline","◇","◆"),"")</f>
        <v/>
      </c>
      <c r="BM258" s="14" t="str">
        <f>IF(AND(ISNUMBER($I258),OR($K258="Milestone",$K258="Deadline"),$I258&gt;=BM$4,$I258&lt;BM$4+7),IF($K258="Deadline","◇","◆"),"")</f>
        <v/>
      </c>
      <c r="BN258" s="14" t="str">
        <f>IF(AND(ISNUMBER($I258),OR($K258="Milestone",$K258="Deadline"),$I258&gt;=BN$4,$I258&lt;BN$4+7),IF($K258="Deadline","◇","◆"),"")</f>
        <v/>
      </c>
      <c r="BO258" s="14" t="str">
        <f>IF(AND(ISNUMBER($I258),OR($K258="Milestone",$K258="Deadline"),$I258&gt;=BO$4,$I258&lt;BO$4+7),IF($K258="Deadline","◇","◆"),"")</f>
        <v/>
      </c>
      <c r="BP258" s="14" t="str">
        <f>IF(AND(ISNUMBER($I258),OR($K258="Milestone",$K258="Deadline"),$I258&gt;=BP$4,$I258&lt;BP$4+7),IF($K258="Deadline","◇","◆"),"")</f>
        <v/>
      </c>
      <c r="BQ258" s="14" t="str">
        <f>IF(AND(ISNUMBER($I258),OR($K258="Milestone",$K258="Deadline"),$I258&gt;=BQ$4,$I258&lt;BQ$4+7),IF($K258="Deadline","◇","◆"),"")</f>
        <v/>
      </c>
      <c r="BR258" s="14" t="str">
        <f>IF(AND(ISNUMBER($I258),OR($K258="Milestone",$K258="Deadline"),$I258&gt;=BR$4,$I258&lt;BR$4+7),IF($K258="Deadline","◇","◆"),"")</f>
        <v/>
      </c>
      <c r="BS258" s="14" t="str">
        <f>IF(AND(ISNUMBER($I258),OR($K258="Milestone",$K258="Deadline"),$I258&gt;=BS$4,$I258&lt;BS$4+7),IF($K258="Deadline","◇","◆"),"")</f>
        <v/>
      </c>
      <c r="BT258" s="14" t="str">
        <f>IF(AND(ISNUMBER($I258),OR($K258="Milestone",$K258="Deadline"),$I258&gt;=BT$4,$I258&lt;BT$4+7),IF($K258="Deadline","◇","◆"),"")</f>
        <v/>
      </c>
      <c r="BU258" s="14" t="str">
        <f>IF(AND(ISNUMBER($I258),OR($K258="Milestone",$K258="Deadline"),$I258&gt;=BU$4,$I258&lt;BU$4+7),IF($K258="Deadline","◇","◆"),"")</f>
        <v/>
      </c>
      <c r="BV258" s="14" t="str">
        <f>IF(AND(ISNUMBER($I258),OR($K258="Milestone",$K258="Deadline"),$I258&gt;=BV$4,$I258&lt;BV$4+7),IF($K258="Deadline","◇","◆"),"")</f>
        <v/>
      </c>
      <c r="BW258" s="14" t="str">
        <f>IF(AND(ISNUMBER($I258),OR($K258="Milestone",$K258="Deadline"),$I258&gt;=BW$4,$I258&lt;BW$4+7),IF($K258="Deadline","◇","◆"),"")</f>
        <v/>
      </c>
      <c r="BX258" s="14" t="str">
        <f>IF(AND(ISNUMBER($I258),OR($K258="Milestone",$K258="Deadline"),$I258&gt;=BX$4,$I258&lt;BX$4+7),IF($K258="Deadline","◇","◆"),"")</f>
        <v/>
      </c>
      <c r="BY258" s="14" t="str">
        <f>IF(AND(ISNUMBER($I258),OR($K258="Milestone",$K258="Deadline"),$I258&gt;=BY$4,$I258&lt;BY$4+7),IF($K258="Deadline","◇","◆"),"")</f>
        <v/>
      </c>
      <c r="BZ258" s="14" t="str">
        <f>IF(AND(ISNUMBER($I258),OR($K258="Milestone",$K258="Deadline"),$I258&gt;=BZ$4,$I258&lt;BZ$4+7),IF($K258="Deadline","◇","◆"),"")</f>
        <v/>
      </c>
      <c r="CA258" s="14" t="str">
        <f>IF(AND(ISNUMBER($I258),OR($K258="Milestone",$K258="Deadline"),$I258&gt;=CA$4,$I258&lt;CA$4+7),IF($K258="Deadline","◇","◆"),"")</f>
        <v/>
      </c>
      <c r="CB258" s="14" t="str">
        <f>IF(AND(ISNUMBER($I258),OR($K258="Milestone",$K258="Deadline"),$I258&gt;=CB$4,$I258&lt;CB$4+7),IF($K258="Deadline","◇","◆"),"")</f>
        <v/>
      </c>
      <c r="CC258" s="14" t="str">
        <f>IF(AND(ISNUMBER($I258),OR($K258="Milestone",$K258="Deadline"),$I258&gt;=CC$4,$I258&lt;CC$4+7),IF($K258="Deadline","◇","◆"),"")</f>
        <v/>
      </c>
      <c r="CD258" s="14" t="str">
        <f>IF(AND(ISNUMBER($I258),OR($K258="Milestone",$K258="Deadline"),$I258&gt;=CD$4,$I258&lt;CD$4+7),IF($K258="Deadline","◇","◆"),"")</f>
        <v/>
      </c>
      <c r="CE258" s="14" t="str">
        <f>IF(AND(ISNUMBER($I258),OR($K258="Milestone",$K258="Deadline"),$I258&gt;=CE$4,$I258&lt;CE$4+7),IF($K258="Deadline","◇","◆"),"")</f>
        <v/>
      </c>
      <c r="CF258" s="14" t="str">
        <f>IF(AND(ISNUMBER($I258),OR($K258="Milestone",$K258="Deadline"),$I258&gt;=CF$4,$I258&lt;CF$4+7),IF($K258="Deadline","◇","◆"),"")</f>
        <v/>
      </c>
      <c r="CG258" s="14" t="str">
        <f>IF(AND(ISNUMBER($I258),OR($K258="Milestone",$K258="Deadline"),$I258&gt;=CG$4,$I258&lt;CG$4+7),IF($K258="Deadline","◇","◆"),"")</f>
        <v/>
      </c>
      <c r="CH258" s="14" t="str">
        <f>IF(AND(ISNUMBER($I258),OR($K258="Milestone",$K258="Deadline"),$I258&gt;=CH$4,$I258&lt;CH$4+7),IF($K258="Deadline","◇","◆"),"")</f>
        <v/>
      </c>
      <c r="CI258" s="14" t="str">
        <f>IF(AND(ISNUMBER($I258),OR($K258="Milestone",$K258="Deadline"),$I258&gt;=CI$4,$I258&lt;CI$4+7),IF($K258="Deadline","◇","◆"),"")</f>
        <v/>
      </c>
      <c r="CJ258" s="14" t="str">
        <f>IF(AND(ISNUMBER($I258),OR($K258="Milestone",$K258="Deadline"),$I258&gt;=CJ$4,$I258&lt;CJ$4+7),IF($K258="Deadline","◇","◆"),"")</f>
        <v/>
      </c>
      <c r="CK258" s="14" t="str">
        <f>IF(AND(ISNUMBER($I258),OR($K258="Milestone",$K258="Deadline"),$I258&gt;=CK$4,$I258&lt;CK$4+7),IF($K258="Deadline","◇","◆"),"")</f>
        <v/>
      </c>
      <c r="CL258" s="14" t="str">
        <f>IF(AND(ISNUMBER($I258),OR($K258="Milestone",$K258="Deadline"),$I258&gt;=CL$4,$I258&lt;CL$4+7),IF($K258="Deadline","◇","◆"),"")</f>
        <v/>
      </c>
      <c r="CM258" s="14" t="str">
        <f>IF(AND(ISNUMBER($I258),OR($K258="Milestone",$K258="Deadline"),$I258&gt;=CM$4,$I258&lt;CM$4+7),IF($K258="Deadline","◇","◆"),"")</f>
        <v/>
      </c>
    </row>
    <row r="259" spans="1:91" hidden="1">
      <c r="A259" s="39" t="s">
        <v>522</v>
      </c>
      <c r="B259" s="39" t="s">
        <v>513</v>
      </c>
      <c r="C259" s="39" t="s">
        <v>191</v>
      </c>
      <c r="D259" s="39" t="s">
        <v>514</v>
      </c>
      <c r="E259" s="39"/>
      <c r="F259" s="39" t="s">
        <v>216</v>
      </c>
      <c r="G259" s="39" t="s">
        <v>217</v>
      </c>
      <c r="H259" s="39">
        <v>14</v>
      </c>
      <c r="I259" s="40">
        <f>MAX($C$2,J253+1,J248+1)</f>
        <v>46409</v>
      </c>
      <c r="J259" s="41">
        <f>IF(AND(ISNUMBER(I259),ISNUMBER(H259)),I259+H259-1,"")</f>
        <v>46422</v>
      </c>
      <c r="K259" s="39" t="s">
        <v>27</v>
      </c>
      <c r="L259" s="39" t="s">
        <v>515</v>
      </c>
      <c r="M259" s="42" t="s">
        <v>508</v>
      </c>
      <c r="N259" s="39"/>
      <c r="O259" s="42">
        <f>IF(AND(ISNUMBER(I259),ISNUMBER(J259)),J259-I259+1,"")</f>
        <v>14</v>
      </c>
      <c r="P259" s="13"/>
      <c r="Q259" s="13" t="s">
        <v>140</v>
      </c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  <c r="AG259" s="13"/>
      <c r="AH259" s="13"/>
      <c r="AI259" s="13"/>
      <c r="AJ259" s="13"/>
      <c r="AK259" s="13"/>
      <c r="AL259" s="13"/>
      <c r="AM259" s="13"/>
      <c r="AN259" s="13"/>
      <c r="AO259" s="14" t="str">
        <f>IF(AND(ISNUMBER($I259),OR($K259="Milestone",$K259="Deadline"),$I259&gt;=AO$4,$I259&lt;AO$4+7),IF($K259="Deadline","◇","◆"),"")</f>
        <v/>
      </c>
      <c r="AP259" s="14" t="str">
        <f>IF(AND(ISNUMBER($I259),OR($K259="Milestone",$K259="Deadline"),$I259&gt;=AP$4,$I259&lt;AP$4+7),IF($K259="Deadline","◇","◆"),"")</f>
        <v/>
      </c>
      <c r="AQ259" s="14" t="str">
        <f>IF(AND(ISNUMBER($I259),OR($K259="Milestone",$K259="Deadline"),$I259&gt;=AQ$4,$I259&lt;AQ$4+7),IF($K259="Deadline","◇","◆"),"")</f>
        <v/>
      </c>
      <c r="AR259" s="14" t="str">
        <f>IF(AND(ISNUMBER($I259),OR($K259="Milestone",$K259="Deadline"),$I259&gt;=AR$4,$I259&lt;AR$4+7),IF($K259="Deadline","◇","◆"),"")</f>
        <v/>
      </c>
      <c r="AS259" s="14" t="str">
        <f>IF(AND(ISNUMBER($I259),OR($K259="Milestone",$K259="Deadline"),$I259&gt;=AS$4,$I259&lt;AS$4+7),IF($K259="Deadline","◇","◆"),"")</f>
        <v/>
      </c>
      <c r="AT259" s="14" t="str">
        <f>IF(AND(ISNUMBER($I259),OR($K259="Milestone",$K259="Deadline"),$I259&gt;=AT$4,$I259&lt;AT$4+7),IF($K259="Deadline","◇","◆"),"")</f>
        <v/>
      </c>
      <c r="AU259" s="14" t="str">
        <f>IF(AND(ISNUMBER($I259),OR($K259="Milestone",$K259="Deadline"),$I259&gt;=AU$4,$I259&lt;AU$4+7),IF($K259="Deadline","◇","◆"),"")</f>
        <v/>
      </c>
      <c r="AV259" s="14" t="str">
        <f>IF(AND(ISNUMBER($I259),OR($K259="Milestone",$K259="Deadline"),$I259&gt;=AV$4,$I259&lt;AV$4+7),IF($K259="Deadline","◇","◆"),"")</f>
        <v/>
      </c>
      <c r="AW259" s="14" t="str">
        <f>IF(AND(ISNUMBER($I259),OR($K259="Milestone",$K259="Deadline"),$I259&gt;=AW$4,$I259&lt;AW$4+7),IF($K259="Deadline","◇","◆"),"")</f>
        <v/>
      </c>
      <c r="AX259" s="14" t="str">
        <f>IF(AND(ISNUMBER($I259),OR($K259="Milestone",$K259="Deadline"),$I259&gt;=AX$4,$I259&lt;AX$4+7),IF($K259="Deadline","◇","◆"),"")</f>
        <v/>
      </c>
      <c r="AY259" s="14" t="str">
        <f>IF(AND(ISNUMBER($I259),OR($K259="Milestone",$K259="Deadline"),$I259&gt;=AY$4,$I259&lt;AY$4+7),IF($K259="Deadline","◇","◆"),"")</f>
        <v/>
      </c>
      <c r="AZ259" s="14" t="str">
        <f>IF(AND(ISNUMBER($I259),OR($K259="Milestone",$K259="Deadline"),$I259&gt;=AZ$4,$I259&lt;AZ$4+7),IF($K259="Deadline","◇","◆"),"")</f>
        <v/>
      </c>
      <c r="BA259" s="14" t="str">
        <f>IF(AND(ISNUMBER($I259),OR($K259="Milestone",$K259="Deadline"),$I259&gt;=BA$4,$I259&lt;BA$4+7),IF($K259="Deadline","◇","◆"),"")</f>
        <v/>
      </c>
      <c r="BB259" s="14" t="str">
        <f>IF(AND(ISNUMBER($I259),OR($K259="Milestone",$K259="Deadline"),$I259&gt;=BB$4,$I259&lt;BB$4+7),IF($K259="Deadline","◇","◆"),"")</f>
        <v/>
      </c>
      <c r="BC259" s="14" t="str">
        <f>IF(AND(ISNUMBER($I259),OR($K259="Milestone",$K259="Deadline"),$I259&gt;=BC$4,$I259&lt;BC$4+7),IF($K259="Deadline","◇","◆"),"")</f>
        <v/>
      </c>
      <c r="BD259" s="14" t="str">
        <f>IF(AND(ISNUMBER($I259),OR($K259="Milestone",$K259="Deadline"),$I259&gt;=BD$4,$I259&lt;BD$4+7),IF($K259="Deadline","◇","◆"),"")</f>
        <v/>
      </c>
      <c r="BE259" s="14" t="str">
        <f>IF(AND(ISNUMBER($I259),OR($K259="Milestone",$K259="Deadline"),$I259&gt;=BE$4,$I259&lt;BE$4+7),IF($K259="Deadline","◇","◆"),"")</f>
        <v/>
      </c>
      <c r="BF259" s="14" t="str">
        <f>IF(AND(ISNUMBER($I259),OR($K259="Milestone",$K259="Deadline"),$I259&gt;=BF$4,$I259&lt;BF$4+7),IF($K259="Deadline","◇","◆"),"")</f>
        <v/>
      </c>
      <c r="BG259" s="14" t="str">
        <f>IF(AND(ISNUMBER($I259),OR($K259="Milestone",$K259="Deadline"),$I259&gt;=BG$4,$I259&lt;BG$4+7),IF($K259="Deadline","◇","◆"),"")</f>
        <v/>
      </c>
      <c r="BH259" s="14" t="str">
        <f>IF(AND(ISNUMBER($I259),OR($K259="Milestone",$K259="Deadline"),$I259&gt;=BH$4,$I259&lt;BH$4+7),IF($K259="Deadline","◇","◆"),"")</f>
        <v/>
      </c>
      <c r="BI259" s="14" t="str">
        <f>IF(AND(ISNUMBER($I259),OR($K259="Milestone",$K259="Deadline"),$I259&gt;=BI$4,$I259&lt;BI$4+7),IF($K259="Deadline","◇","◆"),"")</f>
        <v/>
      </c>
      <c r="BJ259" s="14" t="str">
        <f>IF(AND(ISNUMBER($I259),OR($K259="Milestone",$K259="Deadline"),$I259&gt;=BJ$4,$I259&lt;BJ$4+7),IF($K259="Deadline","◇","◆"),"")</f>
        <v/>
      </c>
      <c r="BK259" s="14" t="str">
        <f>IF(AND(ISNUMBER($I259),OR($K259="Milestone",$K259="Deadline"),$I259&gt;=BK$4,$I259&lt;BK$4+7),IF($K259="Deadline","◇","◆"),"")</f>
        <v/>
      </c>
      <c r="BL259" s="14" t="str">
        <f>IF(AND(ISNUMBER($I259),OR($K259="Milestone",$K259="Deadline"),$I259&gt;=BL$4,$I259&lt;BL$4+7),IF($K259="Deadline","◇","◆"),"")</f>
        <v/>
      </c>
      <c r="BM259" s="14" t="str">
        <f>IF(AND(ISNUMBER($I259),OR($K259="Milestone",$K259="Deadline"),$I259&gt;=BM$4,$I259&lt;BM$4+7),IF($K259="Deadline","◇","◆"),"")</f>
        <v/>
      </c>
      <c r="BN259" s="14" t="str">
        <f>IF(AND(ISNUMBER($I259),OR($K259="Milestone",$K259="Deadline"),$I259&gt;=BN$4,$I259&lt;BN$4+7),IF($K259="Deadline","◇","◆"),"")</f>
        <v/>
      </c>
      <c r="BO259" s="14" t="str">
        <f>IF(AND(ISNUMBER($I259),OR($K259="Milestone",$K259="Deadline"),$I259&gt;=BO$4,$I259&lt;BO$4+7),IF($K259="Deadline","◇","◆"),"")</f>
        <v/>
      </c>
      <c r="BP259" s="14" t="str">
        <f>IF(AND(ISNUMBER($I259),OR($K259="Milestone",$K259="Deadline"),$I259&gt;=BP$4,$I259&lt;BP$4+7),IF($K259="Deadline","◇","◆"),"")</f>
        <v/>
      </c>
      <c r="BQ259" s="14" t="str">
        <f>IF(AND(ISNUMBER($I259),OR($K259="Milestone",$K259="Deadline"),$I259&gt;=BQ$4,$I259&lt;BQ$4+7),IF($K259="Deadline","◇","◆"),"")</f>
        <v/>
      </c>
      <c r="BR259" s="14" t="str">
        <f>IF(AND(ISNUMBER($I259),OR($K259="Milestone",$K259="Deadline"),$I259&gt;=BR$4,$I259&lt;BR$4+7),IF($K259="Deadline","◇","◆"),"")</f>
        <v/>
      </c>
      <c r="BS259" s="14" t="str">
        <f>IF(AND(ISNUMBER($I259),OR($K259="Milestone",$K259="Deadline"),$I259&gt;=BS$4,$I259&lt;BS$4+7),IF($K259="Deadline","◇","◆"),"")</f>
        <v/>
      </c>
      <c r="BT259" s="14" t="str">
        <f>IF(AND(ISNUMBER($I259),OR($K259="Milestone",$K259="Deadline"),$I259&gt;=BT$4,$I259&lt;BT$4+7),IF($K259="Deadline","◇","◆"),"")</f>
        <v/>
      </c>
      <c r="BU259" s="14" t="str">
        <f>IF(AND(ISNUMBER($I259),OR($K259="Milestone",$K259="Deadline"),$I259&gt;=BU$4,$I259&lt;BU$4+7),IF($K259="Deadline","◇","◆"),"")</f>
        <v/>
      </c>
      <c r="BV259" s="14" t="str">
        <f>IF(AND(ISNUMBER($I259),OR($K259="Milestone",$K259="Deadline"),$I259&gt;=BV$4,$I259&lt;BV$4+7),IF($K259="Deadline","◇","◆"),"")</f>
        <v/>
      </c>
      <c r="BW259" s="14" t="str">
        <f>IF(AND(ISNUMBER($I259),OR($K259="Milestone",$K259="Deadline"),$I259&gt;=BW$4,$I259&lt;BW$4+7),IF($K259="Deadline","◇","◆"),"")</f>
        <v/>
      </c>
      <c r="BX259" s="14" t="str">
        <f>IF(AND(ISNUMBER($I259),OR($K259="Milestone",$K259="Deadline"),$I259&gt;=BX$4,$I259&lt;BX$4+7),IF($K259="Deadline","◇","◆"),"")</f>
        <v/>
      </c>
      <c r="BY259" s="14" t="str">
        <f>IF(AND(ISNUMBER($I259),OR($K259="Milestone",$K259="Deadline"),$I259&gt;=BY$4,$I259&lt;BY$4+7),IF($K259="Deadline","◇","◆"),"")</f>
        <v/>
      </c>
      <c r="BZ259" s="14" t="str">
        <f>IF(AND(ISNUMBER($I259),OR($K259="Milestone",$K259="Deadline"),$I259&gt;=BZ$4,$I259&lt;BZ$4+7),IF($K259="Deadline","◇","◆"),"")</f>
        <v/>
      </c>
      <c r="CA259" s="14" t="str">
        <f>IF(AND(ISNUMBER($I259),OR($K259="Milestone",$K259="Deadline"),$I259&gt;=CA$4,$I259&lt;CA$4+7),IF($K259="Deadline","◇","◆"),"")</f>
        <v/>
      </c>
      <c r="CB259" s="14" t="str">
        <f>IF(AND(ISNUMBER($I259),OR($K259="Milestone",$K259="Deadline"),$I259&gt;=CB$4,$I259&lt;CB$4+7),IF($K259="Deadline","◇","◆"),"")</f>
        <v/>
      </c>
      <c r="CC259" s="14" t="str">
        <f>IF(AND(ISNUMBER($I259),OR($K259="Milestone",$K259="Deadline"),$I259&gt;=CC$4,$I259&lt;CC$4+7),IF($K259="Deadline","◇","◆"),"")</f>
        <v/>
      </c>
      <c r="CD259" s="14" t="str">
        <f>IF(AND(ISNUMBER($I259),OR($K259="Milestone",$K259="Deadline"),$I259&gt;=CD$4,$I259&lt;CD$4+7),IF($K259="Deadline","◇","◆"),"")</f>
        <v/>
      </c>
      <c r="CE259" s="14" t="str">
        <f>IF(AND(ISNUMBER($I259),OR($K259="Milestone",$K259="Deadline"),$I259&gt;=CE$4,$I259&lt;CE$4+7),IF($K259="Deadline","◇","◆"),"")</f>
        <v/>
      </c>
      <c r="CF259" s="14" t="str">
        <f>IF(AND(ISNUMBER($I259),OR($K259="Milestone",$K259="Deadline"),$I259&gt;=CF$4,$I259&lt;CF$4+7),IF($K259="Deadline","◇","◆"),"")</f>
        <v/>
      </c>
      <c r="CG259" s="14" t="str">
        <f>IF(AND(ISNUMBER($I259),OR($K259="Milestone",$K259="Deadline"),$I259&gt;=CG$4,$I259&lt;CG$4+7),IF($K259="Deadline","◇","◆"),"")</f>
        <v/>
      </c>
      <c r="CH259" s="14" t="str">
        <f>IF(AND(ISNUMBER($I259),OR($K259="Milestone",$K259="Deadline"),$I259&gt;=CH$4,$I259&lt;CH$4+7),IF($K259="Deadline","◇","◆"),"")</f>
        <v/>
      </c>
      <c r="CI259" s="14" t="str">
        <f>IF(AND(ISNUMBER($I259),OR($K259="Milestone",$K259="Deadline"),$I259&gt;=CI$4,$I259&lt;CI$4+7),IF($K259="Deadline","◇","◆"),"")</f>
        <v/>
      </c>
      <c r="CJ259" s="14" t="str">
        <f>IF(AND(ISNUMBER($I259),OR($K259="Milestone",$K259="Deadline"),$I259&gt;=CJ$4,$I259&lt;CJ$4+7),IF($K259="Deadline","◇","◆"),"")</f>
        <v/>
      </c>
      <c r="CK259" s="14" t="str">
        <f>IF(AND(ISNUMBER($I259),OR($K259="Milestone",$K259="Deadline"),$I259&gt;=CK$4,$I259&lt;CK$4+7),IF($K259="Deadline","◇","◆"),"")</f>
        <v/>
      </c>
      <c r="CL259" s="14" t="str">
        <f>IF(AND(ISNUMBER($I259),OR($K259="Milestone",$K259="Deadline"),$I259&gt;=CL$4,$I259&lt;CL$4+7),IF($K259="Deadline","◇","◆"),"")</f>
        <v/>
      </c>
      <c r="CM259" s="14" t="str">
        <f>IF(AND(ISNUMBER($I259),OR($K259="Milestone",$K259="Deadline"),$I259&gt;=CM$4,$I259&lt;CM$4+7),IF($K259="Deadline","◇","◆"),"")</f>
        <v/>
      </c>
    </row>
    <row r="260" spans="1:91" hidden="1">
      <c r="A260" s="39" t="s">
        <v>523</v>
      </c>
      <c r="B260" s="39" t="s">
        <v>513</v>
      </c>
      <c r="C260" s="39" t="s">
        <v>221</v>
      </c>
      <c r="D260" s="39" t="s">
        <v>514</v>
      </c>
      <c r="E260" s="39"/>
      <c r="F260" s="39" t="s">
        <v>216</v>
      </c>
      <c r="G260" s="39" t="s">
        <v>222</v>
      </c>
      <c r="H260" s="39">
        <v>7</v>
      </c>
      <c r="I260" s="40">
        <f>MAX($C$2,J257+1,J64+1,J238+1)</f>
        <v>46531</v>
      </c>
      <c r="J260" s="41">
        <f>IF(AND(ISNUMBER(I260),ISNUMBER(H260)),I260+H260-1,"")</f>
        <v>46537</v>
      </c>
      <c r="K260" s="39" t="s">
        <v>27</v>
      </c>
      <c r="L260" s="39" t="s">
        <v>340</v>
      </c>
      <c r="M260" s="42" t="s">
        <v>524</v>
      </c>
      <c r="N260" s="39"/>
      <c r="O260" s="42">
        <f>IF(AND(ISNUMBER(I260),ISNUMBER(J260)),J260-I260+1,"")</f>
        <v>7</v>
      </c>
      <c r="P260" s="13"/>
      <c r="Q260" s="13"/>
      <c r="R260" s="13"/>
      <c r="S260" s="13"/>
      <c r="T260" s="13" t="s">
        <v>140</v>
      </c>
      <c r="U260" s="13"/>
      <c r="V260" s="13"/>
      <c r="W260" s="13"/>
      <c r="X260" s="13"/>
      <c r="Y260" s="13"/>
      <c r="Z260" s="13"/>
      <c r="AA260" s="13"/>
      <c r="AB260" s="13"/>
      <c r="AC260" s="13" t="s">
        <v>140</v>
      </c>
      <c r="AD260" s="13"/>
      <c r="AE260" s="13"/>
      <c r="AF260" s="13"/>
      <c r="AG260" s="13"/>
      <c r="AH260" s="13"/>
      <c r="AI260" s="13"/>
      <c r="AJ260" s="13"/>
      <c r="AK260" s="13"/>
      <c r="AL260" s="13"/>
      <c r="AM260" s="13"/>
      <c r="AN260" s="13"/>
      <c r="AO260" s="14" t="str">
        <f>IF(AND(ISNUMBER($I260),OR($K260="Milestone",$K260="Deadline"),$I260&gt;=AO$4,$I260&lt;AO$4+7),IF($K260="Deadline","◇","◆"),"")</f>
        <v/>
      </c>
      <c r="AP260" s="14" t="str">
        <f>IF(AND(ISNUMBER($I260),OR($K260="Milestone",$K260="Deadline"),$I260&gt;=AP$4,$I260&lt;AP$4+7),IF($K260="Deadline","◇","◆"),"")</f>
        <v/>
      </c>
      <c r="AQ260" s="14" t="str">
        <f>IF(AND(ISNUMBER($I260),OR($K260="Milestone",$K260="Deadline"),$I260&gt;=AQ$4,$I260&lt;AQ$4+7),IF($K260="Deadline","◇","◆"),"")</f>
        <v/>
      </c>
      <c r="AR260" s="14" t="str">
        <f>IF(AND(ISNUMBER($I260),OR($K260="Milestone",$K260="Deadline"),$I260&gt;=AR$4,$I260&lt;AR$4+7),IF($K260="Deadline","◇","◆"),"")</f>
        <v/>
      </c>
      <c r="AS260" s="14" t="str">
        <f>IF(AND(ISNUMBER($I260),OR($K260="Milestone",$K260="Deadline"),$I260&gt;=AS$4,$I260&lt;AS$4+7),IF($K260="Deadline","◇","◆"),"")</f>
        <v/>
      </c>
      <c r="AT260" s="14" t="str">
        <f>IF(AND(ISNUMBER($I260),OR($K260="Milestone",$K260="Deadline"),$I260&gt;=AT$4,$I260&lt;AT$4+7),IF($K260="Deadline","◇","◆"),"")</f>
        <v/>
      </c>
      <c r="AU260" s="14" t="str">
        <f>IF(AND(ISNUMBER($I260),OR($K260="Milestone",$K260="Deadline"),$I260&gt;=AU$4,$I260&lt;AU$4+7),IF($K260="Deadline","◇","◆"),"")</f>
        <v/>
      </c>
      <c r="AV260" s="14" t="str">
        <f>IF(AND(ISNUMBER($I260),OR($K260="Milestone",$K260="Deadline"),$I260&gt;=AV$4,$I260&lt;AV$4+7),IF($K260="Deadline","◇","◆"),"")</f>
        <v/>
      </c>
      <c r="AW260" s="14" t="str">
        <f>IF(AND(ISNUMBER($I260),OR($K260="Milestone",$K260="Deadline"),$I260&gt;=AW$4,$I260&lt;AW$4+7),IF($K260="Deadline","◇","◆"),"")</f>
        <v/>
      </c>
      <c r="AX260" s="14" t="str">
        <f>IF(AND(ISNUMBER($I260),OR($K260="Milestone",$K260="Deadline"),$I260&gt;=AX$4,$I260&lt;AX$4+7),IF($K260="Deadline","◇","◆"),"")</f>
        <v/>
      </c>
      <c r="AY260" s="14" t="str">
        <f>IF(AND(ISNUMBER($I260),OR($K260="Milestone",$K260="Deadline"),$I260&gt;=AY$4,$I260&lt;AY$4+7),IF($K260="Deadline","◇","◆"),"")</f>
        <v/>
      </c>
      <c r="AZ260" s="14" t="str">
        <f>IF(AND(ISNUMBER($I260),OR($K260="Milestone",$K260="Deadline"),$I260&gt;=AZ$4,$I260&lt;AZ$4+7),IF($K260="Deadline","◇","◆"),"")</f>
        <v/>
      </c>
      <c r="BA260" s="14" t="str">
        <f>IF(AND(ISNUMBER($I260),OR($K260="Milestone",$K260="Deadline"),$I260&gt;=BA$4,$I260&lt;BA$4+7),IF($K260="Deadline","◇","◆"),"")</f>
        <v/>
      </c>
      <c r="BB260" s="14" t="str">
        <f>IF(AND(ISNUMBER($I260),OR($K260="Milestone",$K260="Deadline"),$I260&gt;=BB$4,$I260&lt;BB$4+7),IF($K260="Deadline","◇","◆"),"")</f>
        <v/>
      </c>
      <c r="BC260" s="14" t="str">
        <f>IF(AND(ISNUMBER($I260),OR($K260="Milestone",$K260="Deadline"),$I260&gt;=BC$4,$I260&lt;BC$4+7),IF($K260="Deadline","◇","◆"),"")</f>
        <v/>
      </c>
      <c r="BD260" s="14" t="str">
        <f>IF(AND(ISNUMBER($I260),OR($K260="Milestone",$K260="Deadline"),$I260&gt;=BD$4,$I260&lt;BD$4+7),IF($K260="Deadline","◇","◆"),"")</f>
        <v/>
      </c>
      <c r="BE260" s="14" t="str">
        <f>IF(AND(ISNUMBER($I260),OR($K260="Milestone",$K260="Deadline"),$I260&gt;=BE$4,$I260&lt;BE$4+7),IF($K260="Deadline","◇","◆"),"")</f>
        <v/>
      </c>
      <c r="BF260" s="14" t="str">
        <f>IF(AND(ISNUMBER($I260),OR($K260="Milestone",$K260="Deadline"),$I260&gt;=BF$4,$I260&lt;BF$4+7),IF($K260="Deadline","◇","◆"),"")</f>
        <v/>
      </c>
      <c r="BG260" s="14" t="str">
        <f>IF(AND(ISNUMBER($I260),OR($K260="Milestone",$K260="Deadline"),$I260&gt;=BG$4,$I260&lt;BG$4+7),IF($K260="Deadline","◇","◆"),"")</f>
        <v/>
      </c>
      <c r="BH260" s="14" t="str">
        <f>IF(AND(ISNUMBER($I260),OR($K260="Milestone",$K260="Deadline"),$I260&gt;=BH$4,$I260&lt;BH$4+7),IF($K260="Deadline","◇","◆"),"")</f>
        <v/>
      </c>
      <c r="BI260" s="14" t="str">
        <f>IF(AND(ISNUMBER($I260),OR($K260="Milestone",$K260="Deadline"),$I260&gt;=BI$4,$I260&lt;BI$4+7),IF($K260="Deadline","◇","◆"),"")</f>
        <v/>
      </c>
      <c r="BJ260" s="14" t="str">
        <f>IF(AND(ISNUMBER($I260),OR($K260="Milestone",$K260="Deadline"),$I260&gt;=BJ$4,$I260&lt;BJ$4+7),IF($K260="Deadline","◇","◆"),"")</f>
        <v/>
      </c>
      <c r="BK260" s="14" t="str">
        <f>IF(AND(ISNUMBER($I260),OR($K260="Milestone",$K260="Deadline"),$I260&gt;=BK$4,$I260&lt;BK$4+7),IF($K260="Deadline","◇","◆"),"")</f>
        <v/>
      </c>
      <c r="BL260" s="14" t="str">
        <f>IF(AND(ISNUMBER($I260),OR($K260="Milestone",$K260="Deadline"),$I260&gt;=BL$4,$I260&lt;BL$4+7),IF($K260="Deadline","◇","◆"),"")</f>
        <v/>
      </c>
      <c r="BM260" s="14" t="str">
        <f>IF(AND(ISNUMBER($I260),OR($K260="Milestone",$K260="Deadline"),$I260&gt;=BM$4,$I260&lt;BM$4+7),IF($K260="Deadline","◇","◆"),"")</f>
        <v/>
      </c>
      <c r="BN260" s="14" t="str">
        <f>IF(AND(ISNUMBER($I260),OR($K260="Milestone",$K260="Deadline"),$I260&gt;=BN$4,$I260&lt;BN$4+7),IF($K260="Deadline","◇","◆"),"")</f>
        <v/>
      </c>
      <c r="BO260" s="14" t="str">
        <f>IF(AND(ISNUMBER($I260),OR($K260="Milestone",$K260="Deadline"),$I260&gt;=BO$4,$I260&lt;BO$4+7),IF($K260="Deadline","◇","◆"),"")</f>
        <v/>
      </c>
      <c r="BP260" s="14" t="str">
        <f>IF(AND(ISNUMBER($I260),OR($K260="Milestone",$K260="Deadline"),$I260&gt;=BP$4,$I260&lt;BP$4+7),IF($K260="Deadline","◇","◆"),"")</f>
        <v/>
      </c>
      <c r="BQ260" s="14" t="str">
        <f>IF(AND(ISNUMBER($I260),OR($K260="Milestone",$K260="Deadline"),$I260&gt;=BQ$4,$I260&lt;BQ$4+7),IF($K260="Deadline","◇","◆"),"")</f>
        <v/>
      </c>
      <c r="BR260" s="14" t="str">
        <f>IF(AND(ISNUMBER($I260),OR($K260="Milestone",$K260="Deadline"),$I260&gt;=BR$4,$I260&lt;BR$4+7),IF($K260="Deadline","◇","◆"),"")</f>
        <v/>
      </c>
      <c r="BS260" s="14" t="str">
        <f>IF(AND(ISNUMBER($I260),OR($K260="Milestone",$K260="Deadline"),$I260&gt;=BS$4,$I260&lt;BS$4+7),IF($K260="Deadline","◇","◆"),"")</f>
        <v/>
      </c>
      <c r="BT260" s="14" t="str">
        <f>IF(AND(ISNUMBER($I260),OR($K260="Milestone",$K260="Deadline"),$I260&gt;=BT$4,$I260&lt;BT$4+7),IF($K260="Deadline","◇","◆"),"")</f>
        <v/>
      </c>
      <c r="BU260" s="14" t="str">
        <f>IF(AND(ISNUMBER($I260),OR($K260="Milestone",$K260="Deadline"),$I260&gt;=BU$4,$I260&lt;BU$4+7),IF($K260="Deadline","◇","◆"),"")</f>
        <v/>
      </c>
      <c r="BV260" s="14" t="str">
        <f>IF(AND(ISNUMBER($I260),OR($K260="Milestone",$K260="Deadline"),$I260&gt;=BV$4,$I260&lt;BV$4+7),IF($K260="Deadline","◇","◆"),"")</f>
        <v/>
      </c>
      <c r="BW260" s="14" t="str">
        <f>IF(AND(ISNUMBER($I260),OR($K260="Milestone",$K260="Deadline"),$I260&gt;=BW$4,$I260&lt;BW$4+7),IF($K260="Deadline","◇","◆"),"")</f>
        <v/>
      </c>
      <c r="BX260" s="14" t="str">
        <f>IF(AND(ISNUMBER($I260),OR($K260="Milestone",$K260="Deadline"),$I260&gt;=BX$4,$I260&lt;BX$4+7),IF($K260="Deadline","◇","◆"),"")</f>
        <v/>
      </c>
      <c r="BY260" s="14" t="str">
        <f>IF(AND(ISNUMBER($I260),OR($K260="Milestone",$K260="Deadline"),$I260&gt;=BY$4,$I260&lt;BY$4+7),IF($K260="Deadline","◇","◆"),"")</f>
        <v/>
      </c>
      <c r="BZ260" s="14" t="str">
        <f>IF(AND(ISNUMBER($I260),OR($K260="Milestone",$K260="Deadline"),$I260&gt;=BZ$4,$I260&lt;BZ$4+7),IF($K260="Deadline","◇","◆"),"")</f>
        <v/>
      </c>
      <c r="CA260" s="14" t="str">
        <f>IF(AND(ISNUMBER($I260),OR($K260="Milestone",$K260="Deadline"),$I260&gt;=CA$4,$I260&lt;CA$4+7),IF($K260="Deadline","◇","◆"),"")</f>
        <v/>
      </c>
      <c r="CB260" s="14" t="str">
        <f>IF(AND(ISNUMBER($I260),OR($K260="Milestone",$K260="Deadline"),$I260&gt;=CB$4,$I260&lt;CB$4+7),IF($K260="Deadline","◇","◆"),"")</f>
        <v/>
      </c>
      <c r="CC260" s="14" t="str">
        <f>IF(AND(ISNUMBER($I260),OR($K260="Milestone",$K260="Deadline"),$I260&gt;=CC$4,$I260&lt;CC$4+7),IF($K260="Deadline","◇","◆"),"")</f>
        <v/>
      </c>
      <c r="CD260" s="14" t="str">
        <f>IF(AND(ISNUMBER($I260),OR($K260="Milestone",$K260="Deadline"),$I260&gt;=CD$4,$I260&lt;CD$4+7),IF($K260="Deadline","◇","◆"),"")</f>
        <v/>
      </c>
      <c r="CE260" s="14" t="str">
        <f>IF(AND(ISNUMBER($I260),OR($K260="Milestone",$K260="Deadline"),$I260&gt;=CE$4,$I260&lt;CE$4+7),IF($K260="Deadline","◇","◆"),"")</f>
        <v/>
      </c>
      <c r="CF260" s="14" t="str">
        <f>IF(AND(ISNUMBER($I260),OR($K260="Milestone",$K260="Deadline"),$I260&gt;=CF$4,$I260&lt;CF$4+7),IF($K260="Deadline","◇","◆"),"")</f>
        <v/>
      </c>
      <c r="CG260" s="14" t="str">
        <f>IF(AND(ISNUMBER($I260),OR($K260="Milestone",$K260="Deadline"),$I260&gt;=CG$4,$I260&lt;CG$4+7),IF($K260="Deadline","◇","◆"),"")</f>
        <v/>
      </c>
      <c r="CH260" s="14" t="str">
        <f>IF(AND(ISNUMBER($I260),OR($K260="Milestone",$K260="Deadline"),$I260&gt;=CH$4,$I260&lt;CH$4+7),IF($K260="Deadline","◇","◆"),"")</f>
        <v/>
      </c>
      <c r="CI260" s="14" t="str">
        <f>IF(AND(ISNUMBER($I260),OR($K260="Milestone",$K260="Deadline"),$I260&gt;=CI$4,$I260&lt;CI$4+7),IF($K260="Deadline","◇","◆"),"")</f>
        <v/>
      </c>
      <c r="CJ260" s="14" t="str">
        <f>IF(AND(ISNUMBER($I260),OR($K260="Milestone",$K260="Deadline"),$I260&gt;=CJ$4,$I260&lt;CJ$4+7),IF($K260="Deadline","◇","◆"),"")</f>
        <v/>
      </c>
      <c r="CK260" s="14" t="str">
        <f>IF(AND(ISNUMBER($I260),OR($K260="Milestone",$K260="Deadline"),$I260&gt;=CK$4,$I260&lt;CK$4+7),IF($K260="Deadline","◇","◆"),"")</f>
        <v/>
      </c>
      <c r="CL260" s="14" t="str">
        <f>IF(AND(ISNUMBER($I260),OR($K260="Milestone",$K260="Deadline"),$I260&gt;=CL$4,$I260&lt;CL$4+7),IF($K260="Deadline","◇","◆"),"")</f>
        <v/>
      </c>
      <c r="CM260" s="14" t="str">
        <f>IF(AND(ISNUMBER($I260),OR($K260="Milestone",$K260="Deadline"),$I260&gt;=CM$4,$I260&lt;CM$4+7),IF($K260="Deadline","◇","◆"),"")</f>
        <v/>
      </c>
    </row>
    <row r="261" spans="1:91" hidden="1">
      <c r="A261" s="39" t="s">
        <v>525</v>
      </c>
      <c r="B261" s="39" t="s">
        <v>513</v>
      </c>
      <c r="C261" s="39" t="s">
        <v>226</v>
      </c>
      <c r="D261" s="39" t="s">
        <v>514</v>
      </c>
      <c r="E261" s="39"/>
      <c r="F261" s="39" t="s">
        <v>216</v>
      </c>
      <c r="G261" s="39" t="s">
        <v>227</v>
      </c>
      <c r="H261" s="39">
        <v>7</v>
      </c>
      <c r="I261" s="40">
        <f>MAX($C$2,J250+1)</f>
        <v>46490</v>
      </c>
      <c r="J261" s="41">
        <f>IF(AND(ISNUMBER(I261),ISNUMBER(H261)),I261+H261-1,"")</f>
        <v>46496</v>
      </c>
      <c r="K261" s="39" t="s">
        <v>27</v>
      </c>
      <c r="L261" s="39"/>
      <c r="M261" s="42" t="s">
        <v>511</v>
      </c>
      <c r="N261" s="39"/>
      <c r="O261" s="42">
        <f>IF(AND(ISNUMBER(I261),ISNUMBER(J261)),J261-I261+1,"")</f>
        <v>7</v>
      </c>
      <c r="P261" s="13" t="s">
        <v>140</v>
      </c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  <c r="AG261" s="13"/>
      <c r="AH261" s="13"/>
      <c r="AI261" s="13"/>
      <c r="AJ261" s="13"/>
      <c r="AK261" s="13"/>
      <c r="AL261" s="13"/>
      <c r="AM261" s="13"/>
      <c r="AN261" s="13"/>
      <c r="AO261" s="14" t="str">
        <f>IF(AND(ISNUMBER($I261),OR($K261="Milestone",$K261="Deadline"),$I261&gt;=AO$4,$I261&lt;AO$4+7),IF($K261="Deadline","◇","◆"),"")</f>
        <v/>
      </c>
      <c r="AP261" s="14" t="str">
        <f>IF(AND(ISNUMBER($I261),OR($K261="Milestone",$K261="Deadline"),$I261&gt;=AP$4,$I261&lt;AP$4+7),IF($K261="Deadline","◇","◆"),"")</f>
        <v/>
      </c>
      <c r="AQ261" s="14" t="str">
        <f>IF(AND(ISNUMBER($I261),OR($K261="Milestone",$K261="Deadline"),$I261&gt;=AQ$4,$I261&lt;AQ$4+7),IF($K261="Deadline","◇","◆"),"")</f>
        <v/>
      </c>
      <c r="AR261" s="14" t="str">
        <f>IF(AND(ISNUMBER($I261),OR($K261="Milestone",$K261="Deadline"),$I261&gt;=AR$4,$I261&lt;AR$4+7),IF($K261="Deadline","◇","◆"),"")</f>
        <v/>
      </c>
      <c r="AS261" s="14" t="str">
        <f>IF(AND(ISNUMBER($I261),OR($K261="Milestone",$K261="Deadline"),$I261&gt;=AS$4,$I261&lt;AS$4+7),IF($K261="Deadline","◇","◆"),"")</f>
        <v/>
      </c>
      <c r="AT261" s="14" t="str">
        <f>IF(AND(ISNUMBER($I261),OR($K261="Milestone",$K261="Deadline"),$I261&gt;=AT$4,$I261&lt;AT$4+7),IF($K261="Deadline","◇","◆"),"")</f>
        <v/>
      </c>
      <c r="AU261" s="14" t="str">
        <f>IF(AND(ISNUMBER($I261),OR($K261="Milestone",$K261="Deadline"),$I261&gt;=AU$4,$I261&lt;AU$4+7),IF($K261="Deadline","◇","◆"),"")</f>
        <v/>
      </c>
      <c r="AV261" s="14" t="str">
        <f>IF(AND(ISNUMBER($I261),OR($K261="Milestone",$K261="Deadline"),$I261&gt;=AV$4,$I261&lt;AV$4+7),IF($K261="Deadline","◇","◆"),"")</f>
        <v/>
      </c>
      <c r="AW261" s="14" t="str">
        <f>IF(AND(ISNUMBER($I261),OR($K261="Milestone",$K261="Deadline"),$I261&gt;=AW$4,$I261&lt;AW$4+7),IF($K261="Deadline","◇","◆"),"")</f>
        <v/>
      </c>
      <c r="AX261" s="14" t="str">
        <f>IF(AND(ISNUMBER($I261),OR($K261="Milestone",$K261="Deadline"),$I261&gt;=AX$4,$I261&lt;AX$4+7),IF($K261="Deadline","◇","◆"),"")</f>
        <v/>
      </c>
      <c r="AY261" s="14" t="str">
        <f>IF(AND(ISNUMBER($I261),OR($K261="Milestone",$K261="Deadline"),$I261&gt;=AY$4,$I261&lt;AY$4+7),IF($K261="Deadline","◇","◆"),"")</f>
        <v/>
      </c>
      <c r="AZ261" s="14" t="str">
        <f>IF(AND(ISNUMBER($I261),OR($K261="Milestone",$K261="Deadline"),$I261&gt;=AZ$4,$I261&lt;AZ$4+7),IF($K261="Deadline","◇","◆"),"")</f>
        <v/>
      </c>
      <c r="BA261" s="14" t="str">
        <f>IF(AND(ISNUMBER($I261),OR($K261="Milestone",$K261="Deadline"),$I261&gt;=BA$4,$I261&lt;BA$4+7),IF($K261="Deadline","◇","◆"),"")</f>
        <v/>
      </c>
      <c r="BB261" s="14" t="str">
        <f>IF(AND(ISNUMBER($I261),OR($K261="Milestone",$K261="Deadline"),$I261&gt;=BB$4,$I261&lt;BB$4+7),IF($K261="Deadline","◇","◆"),"")</f>
        <v/>
      </c>
      <c r="BC261" s="14" t="str">
        <f>IF(AND(ISNUMBER($I261),OR($K261="Milestone",$K261="Deadline"),$I261&gt;=BC$4,$I261&lt;BC$4+7),IF($K261="Deadline","◇","◆"),"")</f>
        <v/>
      </c>
      <c r="BD261" s="14" t="str">
        <f>IF(AND(ISNUMBER($I261),OR($K261="Milestone",$K261="Deadline"),$I261&gt;=BD$4,$I261&lt;BD$4+7),IF($K261="Deadline","◇","◆"),"")</f>
        <v/>
      </c>
      <c r="BE261" s="14" t="str">
        <f>IF(AND(ISNUMBER($I261),OR($K261="Milestone",$K261="Deadline"),$I261&gt;=BE$4,$I261&lt;BE$4+7),IF($K261="Deadline","◇","◆"),"")</f>
        <v/>
      </c>
      <c r="BF261" s="14" t="str">
        <f>IF(AND(ISNUMBER($I261),OR($K261="Milestone",$K261="Deadline"),$I261&gt;=BF$4,$I261&lt;BF$4+7),IF($K261="Deadline","◇","◆"),"")</f>
        <v/>
      </c>
      <c r="BG261" s="14" t="str">
        <f>IF(AND(ISNUMBER($I261),OR($K261="Milestone",$K261="Deadline"),$I261&gt;=BG$4,$I261&lt;BG$4+7),IF($K261="Deadline","◇","◆"),"")</f>
        <v/>
      </c>
      <c r="BH261" s="14" t="str">
        <f>IF(AND(ISNUMBER($I261),OR($K261="Milestone",$K261="Deadline"),$I261&gt;=BH$4,$I261&lt;BH$4+7),IF($K261="Deadline","◇","◆"),"")</f>
        <v/>
      </c>
      <c r="BI261" s="14" t="str">
        <f>IF(AND(ISNUMBER($I261),OR($K261="Milestone",$K261="Deadline"),$I261&gt;=BI$4,$I261&lt;BI$4+7),IF($K261="Deadline","◇","◆"),"")</f>
        <v/>
      </c>
      <c r="BJ261" s="14" t="str">
        <f>IF(AND(ISNUMBER($I261),OR($K261="Milestone",$K261="Deadline"),$I261&gt;=BJ$4,$I261&lt;BJ$4+7),IF($K261="Deadline","◇","◆"),"")</f>
        <v/>
      </c>
      <c r="BK261" s="14" t="str">
        <f>IF(AND(ISNUMBER($I261),OR($K261="Milestone",$K261="Deadline"),$I261&gt;=BK$4,$I261&lt;BK$4+7),IF($K261="Deadline","◇","◆"),"")</f>
        <v/>
      </c>
      <c r="BL261" s="14" t="str">
        <f>IF(AND(ISNUMBER($I261),OR($K261="Milestone",$K261="Deadline"),$I261&gt;=BL$4,$I261&lt;BL$4+7),IF($K261="Deadline","◇","◆"),"")</f>
        <v/>
      </c>
      <c r="BM261" s="14" t="str">
        <f>IF(AND(ISNUMBER($I261),OR($K261="Milestone",$K261="Deadline"),$I261&gt;=BM$4,$I261&lt;BM$4+7),IF($K261="Deadline","◇","◆"),"")</f>
        <v/>
      </c>
      <c r="BN261" s="14" t="str">
        <f>IF(AND(ISNUMBER($I261),OR($K261="Milestone",$K261="Deadline"),$I261&gt;=BN$4,$I261&lt;BN$4+7),IF($K261="Deadline","◇","◆"),"")</f>
        <v/>
      </c>
      <c r="BO261" s="14" t="str">
        <f>IF(AND(ISNUMBER($I261),OR($K261="Milestone",$K261="Deadline"),$I261&gt;=BO$4,$I261&lt;BO$4+7),IF($K261="Deadline","◇","◆"),"")</f>
        <v/>
      </c>
      <c r="BP261" s="14" t="str">
        <f>IF(AND(ISNUMBER($I261),OR($K261="Milestone",$K261="Deadline"),$I261&gt;=BP$4,$I261&lt;BP$4+7),IF($K261="Deadline","◇","◆"),"")</f>
        <v/>
      </c>
      <c r="BQ261" s="14" t="str">
        <f>IF(AND(ISNUMBER($I261),OR($K261="Milestone",$K261="Deadline"),$I261&gt;=BQ$4,$I261&lt;BQ$4+7),IF($K261="Deadline","◇","◆"),"")</f>
        <v/>
      </c>
      <c r="BR261" s="14" t="str">
        <f>IF(AND(ISNUMBER($I261),OR($K261="Milestone",$K261="Deadline"),$I261&gt;=BR$4,$I261&lt;BR$4+7),IF($K261="Deadline","◇","◆"),"")</f>
        <v/>
      </c>
      <c r="BS261" s="14" t="str">
        <f>IF(AND(ISNUMBER($I261),OR($K261="Milestone",$K261="Deadline"),$I261&gt;=BS$4,$I261&lt;BS$4+7),IF($K261="Deadline","◇","◆"),"")</f>
        <v/>
      </c>
      <c r="BT261" s="14" t="str">
        <f>IF(AND(ISNUMBER($I261),OR($K261="Milestone",$K261="Deadline"),$I261&gt;=BT$4,$I261&lt;BT$4+7),IF($K261="Deadline","◇","◆"),"")</f>
        <v/>
      </c>
      <c r="BU261" s="14" t="str">
        <f>IF(AND(ISNUMBER($I261),OR($K261="Milestone",$K261="Deadline"),$I261&gt;=BU$4,$I261&lt;BU$4+7),IF($K261="Deadline","◇","◆"),"")</f>
        <v/>
      </c>
      <c r="BV261" s="14" t="str">
        <f>IF(AND(ISNUMBER($I261),OR($K261="Milestone",$K261="Deadline"),$I261&gt;=BV$4,$I261&lt;BV$4+7),IF($K261="Deadline","◇","◆"),"")</f>
        <v/>
      </c>
      <c r="BW261" s="14" t="str">
        <f>IF(AND(ISNUMBER($I261),OR($K261="Milestone",$K261="Deadline"),$I261&gt;=BW$4,$I261&lt;BW$4+7),IF($K261="Deadline","◇","◆"),"")</f>
        <v/>
      </c>
      <c r="BX261" s="14" t="str">
        <f>IF(AND(ISNUMBER($I261),OR($K261="Milestone",$K261="Deadline"),$I261&gt;=BX$4,$I261&lt;BX$4+7),IF($K261="Deadline","◇","◆"),"")</f>
        <v/>
      </c>
      <c r="BY261" s="14" t="str">
        <f>IF(AND(ISNUMBER($I261),OR($K261="Milestone",$K261="Deadline"),$I261&gt;=BY$4,$I261&lt;BY$4+7),IF($K261="Deadline","◇","◆"),"")</f>
        <v/>
      </c>
      <c r="BZ261" s="14" t="str">
        <f>IF(AND(ISNUMBER($I261),OR($K261="Milestone",$K261="Deadline"),$I261&gt;=BZ$4,$I261&lt;BZ$4+7),IF($K261="Deadline","◇","◆"),"")</f>
        <v/>
      </c>
      <c r="CA261" s="14" t="str">
        <f>IF(AND(ISNUMBER($I261),OR($K261="Milestone",$K261="Deadline"),$I261&gt;=CA$4,$I261&lt;CA$4+7),IF($K261="Deadline","◇","◆"),"")</f>
        <v/>
      </c>
      <c r="CB261" s="14" t="str">
        <f>IF(AND(ISNUMBER($I261),OR($K261="Milestone",$K261="Deadline"),$I261&gt;=CB$4,$I261&lt;CB$4+7),IF($K261="Deadline","◇","◆"),"")</f>
        <v/>
      </c>
      <c r="CC261" s="14" t="str">
        <f>IF(AND(ISNUMBER($I261),OR($K261="Milestone",$K261="Deadline"),$I261&gt;=CC$4,$I261&lt;CC$4+7),IF($K261="Deadline","◇","◆"),"")</f>
        <v/>
      </c>
      <c r="CD261" s="14" t="str">
        <f>IF(AND(ISNUMBER($I261),OR($K261="Milestone",$K261="Deadline"),$I261&gt;=CD$4,$I261&lt;CD$4+7),IF($K261="Deadline","◇","◆"),"")</f>
        <v/>
      </c>
      <c r="CE261" s="14" t="str">
        <f>IF(AND(ISNUMBER($I261),OR($K261="Milestone",$K261="Deadline"),$I261&gt;=CE$4,$I261&lt;CE$4+7),IF($K261="Deadline","◇","◆"),"")</f>
        <v/>
      </c>
      <c r="CF261" s="14" t="str">
        <f>IF(AND(ISNUMBER($I261),OR($K261="Milestone",$K261="Deadline"),$I261&gt;=CF$4,$I261&lt;CF$4+7),IF($K261="Deadline","◇","◆"),"")</f>
        <v/>
      </c>
      <c r="CG261" s="14" t="str">
        <f>IF(AND(ISNUMBER($I261),OR($K261="Milestone",$K261="Deadline"),$I261&gt;=CG$4,$I261&lt;CG$4+7),IF($K261="Deadline","◇","◆"),"")</f>
        <v/>
      </c>
      <c r="CH261" s="14" t="str">
        <f>IF(AND(ISNUMBER($I261),OR($K261="Milestone",$K261="Deadline"),$I261&gt;=CH$4,$I261&lt;CH$4+7),IF($K261="Deadline","◇","◆"),"")</f>
        <v/>
      </c>
      <c r="CI261" s="14" t="str">
        <f>IF(AND(ISNUMBER($I261),OR($K261="Milestone",$K261="Deadline"),$I261&gt;=CI$4,$I261&lt;CI$4+7),IF($K261="Deadline","◇","◆"),"")</f>
        <v/>
      </c>
      <c r="CJ261" s="14" t="str">
        <f>IF(AND(ISNUMBER($I261),OR($K261="Milestone",$K261="Deadline"),$I261&gt;=CJ$4,$I261&lt;CJ$4+7),IF($K261="Deadline","◇","◆"),"")</f>
        <v/>
      </c>
      <c r="CK261" s="14" t="str">
        <f>IF(AND(ISNUMBER($I261),OR($K261="Milestone",$K261="Deadline"),$I261&gt;=CK$4,$I261&lt;CK$4+7),IF($K261="Deadline","◇","◆"),"")</f>
        <v/>
      </c>
      <c r="CL261" s="14" t="str">
        <f>IF(AND(ISNUMBER($I261),OR($K261="Milestone",$K261="Deadline"),$I261&gt;=CL$4,$I261&lt;CL$4+7),IF($K261="Deadline","◇","◆"),"")</f>
        <v/>
      </c>
      <c r="CM261" s="14" t="str">
        <f>IF(AND(ISNUMBER($I261),OR($K261="Milestone",$K261="Deadline"),$I261&gt;=CM$4,$I261&lt;CM$4+7),IF($K261="Deadline","◇","◆"),"")</f>
        <v/>
      </c>
    </row>
    <row r="262" spans="1:91" hidden="1">
      <c r="A262" s="39" t="s">
        <v>526</v>
      </c>
      <c r="B262" s="39" t="s">
        <v>513</v>
      </c>
      <c r="C262" s="39" t="s">
        <v>230</v>
      </c>
      <c r="D262" s="39" t="s">
        <v>514</v>
      </c>
      <c r="E262" s="39"/>
      <c r="F262" s="39" t="s">
        <v>216</v>
      </c>
      <c r="G262" s="39" t="s">
        <v>231</v>
      </c>
      <c r="H262" s="39">
        <v>14</v>
      </c>
      <c r="I262" s="40">
        <f>MAX(DATE(2027,3,8),J229+1)</f>
        <v>46496</v>
      </c>
      <c r="J262" s="41">
        <f>IF(AND(ISNUMBER(I262),ISNUMBER(H262)),I262+H262-1,"")</f>
        <v>46509</v>
      </c>
      <c r="K262" s="39" t="s">
        <v>27</v>
      </c>
      <c r="L262" s="39"/>
      <c r="M262" s="42" t="s">
        <v>485</v>
      </c>
      <c r="N262" s="39"/>
      <c r="O262" s="42">
        <f>IF(AND(ISNUMBER(I262),ISNUMBER(J262)),J262-I262+1,"")</f>
        <v>14</v>
      </c>
      <c r="P262" s="13"/>
      <c r="Q262" s="13"/>
      <c r="R262" s="13"/>
      <c r="S262" s="13"/>
      <c r="T262" s="13" t="s">
        <v>140</v>
      </c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  <c r="AG262" s="13"/>
      <c r="AH262" s="13"/>
      <c r="AI262" s="13"/>
      <c r="AJ262" s="13"/>
      <c r="AK262" s="13"/>
      <c r="AL262" s="13"/>
      <c r="AM262" s="13"/>
      <c r="AN262" s="13"/>
      <c r="AO262" s="14" t="str">
        <f>IF(AND(ISNUMBER($I262),OR($K262="Milestone",$K262="Deadline"),$I262&gt;=AO$4,$I262&lt;AO$4+7),IF($K262="Deadline","◇","◆"),"")</f>
        <v/>
      </c>
      <c r="AP262" s="14" t="str">
        <f>IF(AND(ISNUMBER($I262),OR($K262="Milestone",$K262="Deadline"),$I262&gt;=AP$4,$I262&lt;AP$4+7),IF($K262="Deadline","◇","◆"),"")</f>
        <v/>
      </c>
      <c r="AQ262" s="14" t="str">
        <f>IF(AND(ISNUMBER($I262),OR($K262="Milestone",$K262="Deadline"),$I262&gt;=AQ$4,$I262&lt;AQ$4+7),IF($K262="Deadline","◇","◆"),"")</f>
        <v/>
      </c>
      <c r="AR262" s="14" t="str">
        <f>IF(AND(ISNUMBER($I262),OR($K262="Milestone",$K262="Deadline"),$I262&gt;=AR$4,$I262&lt;AR$4+7),IF($K262="Deadline","◇","◆"),"")</f>
        <v/>
      </c>
      <c r="AS262" s="14" t="str">
        <f>IF(AND(ISNUMBER($I262),OR($K262="Milestone",$K262="Deadline"),$I262&gt;=AS$4,$I262&lt;AS$4+7),IF($K262="Deadline","◇","◆"),"")</f>
        <v/>
      </c>
      <c r="AT262" s="14" t="str">
        <f>IF(AND(ISNUMBER($I262),OR($K262="Milestone",$K262="Deadline"),$I262&gt;=AT$4,$I262&lt;AT$4+7),IF($K262="Deadline","◇","◆"),"")</f>
        <v/>
      </c>
      <c r="AU262" s="14" t="str">
        <f>IF(AND(ISNUMBER($I262),OR($K262="Milestone",$K262="Deadline"),$I262&gt;=AU$4,$I262&lt;AU$4+7),IF($K262="Deadline","◇","◆"),"")</f>
        <v/>
      </c>
      <c r="AV262" s="14" t="str">
        <f>IF(AND(ISNUMBER($I262),OR($K262="Milestone",$K262="Deadline"),$I262&gt;=AV$4,$I262&lt;AV$4+7),IF($K262="Deadline","◇","◆"),"")</f>
        <v/>
      </c>
      <c r="AW262" s="14" t="str">
        <f>IF(AND(ISNUMBER($I262),OR($K262="Milestone",$K262="Deadline"),$I262&gt;=AW$4,$I262&lt;AW$4+7),IF($K262="Deadline","◇","◆"),"")</f>
        <v/>
      </c>
      <c r="AX262" s="14" t="str">
        <f>IF(AND(ISNUMBER($I262),OR($K262="Milestone",$K262="Deadline"),$I262&gt;=AX$4,$I262&lt;AX$4+7),IF($K262="Deadline","◇","◆"),"")</f>
        <v/>
      </c>
      <c r="AY262" s="14" t="str">
        <f>IF(AND(ISNUMBER($I262),OR($K262="Milestone",$K262="Deadline"),$I262&gt;=AY$4,$I262&lt;AY$4+7),IF($K262="Deadline","◇","◆"),"")</f>
        <v/>
      </c>
      <c r="AZ262" s="14" t="str">
        <f>IF(AND(ISNUMBER($I262),OR($K262="Milestone",$K262="Deadline"),$I262&gt;=AZ$4,$I262&lt;AZ$4+7),IF($K262="Deadline","◇","◆"),"")</f>
        <v/>
      </c>
      <c r="BA262" s="14" t="str">
        <f>IF(AND(ISNUMBER($I262),OR($K262="Milestone",$K262="Deadline"),$I262&gt;=BA$4,$I262&lt;BA$4+7),IF($K262="Deadline","◇","◆"),"")</f>
        <v/>
      </c>
      <c r="BB262" s="14" t="str">
        <f>IF(AND(ISNUMBER($I262),OR($K262="Milestone",$K262="Deadline"),$I262&gt;=BB$4,$I262&lt;BB$4+7),IF($K262="Deadline","◇","◆"),"")</f>
        <v/>
      </c>
      <c r="BC262" s="14" t="str">
        <f>IF(AND(ISNUMBER($I262),OR($K262="Milestone",$K262="Deadline"),$I262&gt;=BC$4,$I262&lt;BC$4+7),IF($K262="Deadline","◇","◆"),"")</f>
        <v/>
      </c>
      <c r="BD262" s="14" t="str">
        <f>IF(AND(ISNUMBER($I262),OR($K262="Milestone",$K262="Deadline"),$I262&gt;=BD$4,$I262&lt;BD$4+7),IF($K262="Deadline","◇","◆"),"")</f>
        <v/>
      </c>
      <c r="BE262" s="14" t="str">
        <f>IF(AND(ISNUMBER($I262),OR($K262="Milestone",$K262="Deadline"),$I262&gt;=BE$4,$I262&lt;BE$4+7),IF($K262="Deadline","◇","◆"),"")</f>
        <v/>
      </c>
      <c r="BF262" s="14" t="str">
        <f>IF(AND(ISNUMBER($I262),OR($K262="Milestone",$K262="Deadline"),$I262&gt;=BF$4,$I262&lt;BF$4+7),IF($K262="Deadline","◇","◆"),"")</f>
        <v/>
      </c>
      <c r="BG262" s="14" t="str">
        <f>IF(AND(ISNUMBER($I262),OR($K262="Milestone",$K262="Deadline"),$I262&gt;=BG$4,$I262&lt;BG$4+7),IF($K262="Deadline","◇","◆"),"")</f>
        <v/>
      </c>
      <c r="BH262" s="14" t="str">
        <f>IF(AND(ISNUMBER($I262),OR($K262="Milestone",$K262="Deadline"),$I262&gt;=BH$4,$I262&lt;BH$4+7),IF($K262="Deadline","◇","◆"),"")</f>
        <v/>
      </c>
      <c r="BI262" s="14" t="str">
        <f>IF(AND(ISNUMBER($I262),OR($K262="Milestone",$K262="Deadline"),$I262&gt;=BI$4,$I262&lt;BI$4+7),IF($K262="Deadline","◇","◆"),"")</f>
        <v/>
      </c>
      <c r="BJ262" s="14" t="str">
        <f>IF(AND(ISNUMBER($I262),OR($K262="Milestone",$K262="Deadline"),$I262&gt;=BJ$4,$I262&lt;BJ$4+7),IF($K262="Deadline","◇","◆"),"")</f>
        <v/>
      </c>
      <c r="BK262" s="14" t="str">
        <f>IF(AND(ISNUMBER($I262),OR($K262="Milestone",$K262="Deadline"),$I262&gt;=BK$4,$I262&lt;BK$4+7),IF($K262="Deadline","◇","◆"),"")</f>
        <v/>
      </c>
      <c r="BL262" s="14" t="str">
        <f>IF(AND(ISNUMBER($I262),OR($K262="Milestone",$K262="Deadline"),$I262&gt;=BL$4,$I262&lt;BL$4+7),IF($K262="Deadline","◇","◆"),"")</f>
        <v/>
      </c>
      <c r="BM262" s="14" t="str">
        <f>IF(AND(ISNUMBER($I262),OR($K262="Milestone",$K262="Deadline"),$I262&gt;=BM$4,$I262&lt;BM$4+7),IF($K262="Deadline","◇","◆"),"")</f>
        <v/>
      </c>
      <c r="BN262" s="14" t="str">
        <f>IF(AND(ISNUMBER($I262),OR($K262="Milestone",$K262="Deadline"),$I262&gt;=BN$4,$I262&lt;BN$4+7),IF($K262="Deadline","◇","◆"),"")</f>
        <v/>
      </c>
      <c r="BO262" s="14" t="str">
        <f>IF(AND(ISNUMBER($I262),OR($K262="Milestone",$K262="Deadline"),$I262&gt;=BO$4,$I262&lt;BO$4+7),IF($K262="Deadline","◇","◆"),"")</f>
        <v/>
      </c>
      <c r="BP262" s="14" t="str">
        <f>IF(AND(ISNUMBER($I262),OR($K262="Milestone",$K262="Deadline"),$I262&gt;=BP$4,$I262&lt;BP$4+7),IF($K262="Deadline","◇","◆"),"")</f>
        <v/>
      </c>
      <c r="BQ262" s="14" t="str">
        <f>IF(AND(ISNUMBER($I262),OR($K262="Milestone",$K262="Deadline"),$I262&gt;=BQ$4,$I262&lt;BQ$4+7),IF($K262="Deadline","◇","◆"),"")</f>
        <v/>
      </c>
      <c r="BR262" s="14" t="str">
        <f>IF(AND(ISNUMBER($I262),OR($K262="Milestone",$K262="Deadline"),$I262&gt;=BR$4,$I262&lt;BR$4+7),IF($K262="Deadline","◇","◆"),"")</f>
        <v/>
      </c>
      <c r="BS262" s="14" t="str">
        <f>IF(AND(ISNUMBER($I262),OR($K262="Milestone",$K262="Deadline"),$I262&gt;=BS$4,$I262&lt;BS$4+7),IF($K262="Deadline","◇","◆"),"")</f>
        <v/>
      </c>
      <c r="BT262" s="14" t="str">
        <f>IF(AND(ISNUMBER($I262),OR($K262="Milestone",$K262="Deadline"),$I262&gt;=BT$4,$I262&lt;BT$4+7),IF($K262="Deadline","◇","◆"),"")</f>
        <v/>
      </c>
      <c r="BU262" s="14" t="str">
        <f>IF(AND(ISNUMBER($I262),OR($K262="Milestone",$K262="Deadline"),$I262&gt;=BU$4,$I262&lt;BU$4+7),IF($K262="Deadline","◇","◆"),"")</f>
        <v/>
      </c>
      <c r="BV262" s="14" t="str">
        <f>IF(AND(ISNUMBER($I262),OR($K262="Milestone",$K262="Deadline"),$I262&gt;=BV$4,$I262&lt;BV$4+7),IF($K262="Deadline","◇","◆"),"")</f>
        <v/>
      </c>
      <c r="BW262" s="14" t="str">
        <f>IF(AND(ISNUMBER($I262),OR($K262="Milestone",$K262="Deadline"),$I262&gt;=BW$4,$I262&lt;BW$4+7),IF($K262="Deadline","◇","◆"),"")</f>
        <v/>
      </c>
      <c r="BX262" s="14" t="str">
        <f>IF(AND(ISNUMBER($I262),OR($K262="Milestone",$K262="Deadline"),$I262&gt;=BX$4,$I262&lt;BX$4+7),IF($K262="Deadline","◇","◆"),"")</f>
        <v/>
      </c>
      <c r="BY262" s="14" t="str">
        <f>IF(AND(ISNUMBER($I262),OR($K262="Milestone",$K262="Deadline"),$I262&gt;=BY$4,$I262&lt;BY$4+7),IF($K262="Deadline","◇","◆"),"")</f>
        <v/>
      </c>
      <c r="BZ262" s="14" t="str">
        <f>IF(AND(ISNUMBER($I262),OR($K262="Milestone",$K262="Deadline"),$I262&gt;=BZ$4,$I262&lt;BZ$4+7),IF($K262="Deadline","◇","◆"),"")</f>
        <v/>
      </c>
      <c r="CA262" s="14" t="str">
        <f>IF(AND(ISNUMBER($I262),OR($K262="Milestone",$K262="Deadline"),$I262&gt;=CA$4,$I262&lt;CA$4+7),IF($K262="Deadline","◇","◆"),"")</f>
        <v/>
      </c>
      <c r="CB262" s="14" t="str">
        <f>IF(AND(ISNUMBER($I262),OR($K262="Milestone",$K262="Deadline"),$I262&gt;=CB$4,$I262&lt;CB$4+7),IF($K262="Deadline","◇","◆"),"")</f>
        <v/>
      </c>
      <c r="CC262" s="14" t="str">
        <f>IF(AND(ISNUMBER($I262),OR($K262="Milestone",$K262="Deadline"),$I262&gt;=CC$4,$I262&lt;CC$4+7),IF($K262="Deadline","◇","◆"),"")</f>
        <v/>
      </c>
      <c r="CD262" s="14" t="str">
        <f>IF(AND(ISNUMBER($I262),OR($K262="Milestone",$K262="Deadline"),$I262&gt;=CD$4,$I262&lt;CD$4+7),IF($K262="Deadline","◇","◆"),"")</f>
        <v/>
      </c>
      <c r="CE262" s="14" t="str">
        <f>IF(AND(ISNUMBER($I262),OR($K262="Milestone",$K262="Deadline"),$I262&gt;=CE$4,$I262&lt;CE$4+7),IF($K262="Deadline","◇","◆"),"")</f>
        <v/>
      </c>
      <c r="CF262" s="14" t="str">
        <f>IF(AND(ISNUMBER($I262),OR($K262="Milestone",$K262="Deadline"),$I262&gt;=CF$4,$I262&lt;CF$4+7),IF($K262="Deadline","◇","◆"),"")</f>
        <v/>
      </c>
      <c r="CG262" s="14" t="str">
        <f>IF(AND(ISNUMBER($I262),OR($K262="Milestone",$K262="Deadline"),$I262&gt;=CG$4,$I262&lt;CG$4+7),IF($K262="Deadline","◇","◆"),"")</f>
        <v/>
      </c>
      <c r="CH262" s="14" t="str">
        <f>IF(AND(ISNUMBER($I262),OR($K262="Milestone",$K262="Deadline"),$I262&gt;=CH$4,$I262&lt;CH$4+7),IF($K262="Deadline","◇","◆"),"")</f>
        <v/>
      </c>
      <c r="CI262" s="14" t="str">
        <f>IF(AND(ISNUMBER($I262),OR($K262="Milestone",$K262="Deadline"),$I262&gt;=CI$4,$I262&lt;CI$4+7),IF($K262="Deadline","◇","◆"),"")</f>
        <v/>
      </c>
      <c r="CJ262" s="14" t="str">
        <f>IF(AND(ISNUMBER($I262),OR($K262="Milestone",$K262="Deadline"),$I262&gt;=CJ$4,$I262&lt;CJ$4+7),IF($K262="Deadline","◇","◆"),"")</f>
        <v/>
      </c>
      <c r="CK262" s="14" t="str">
        <f>IF(AND(ISNUMBER($I262),OR($K262="Milestone",$K262="Deadline"),$I262&gt;=CK$4,$I262&lt;CK$4+7),IF($K262="Deadline","◇","◆"),"")</f>
        <v/>
      </c>
      <c r="CL262" s="14" t="str">
        <f>IF(AND(ISNUMBER($I262),OR($K262="Milestone",$K262="Deadline"),$I262&gt;=CL$4,$I262&lt;CL$4+7),IF($K262="Deadline","◇","◆"),"")</f>
        <v/>
      </c>
      <c r="CM262" s="14" t="str">
        <f>IF(AND(ISNUMBER($I262),OR($K262="Milestone",$K262="Deadline"),$I262&gt;=CM$4,$I262&lt;CM$4+7),IF($K262="Deadline","◇","◆"),"")</f>
        <v/>
      </c>
    </row>
    <row r="263" spans="1:91" hidden="1">
      <c r="A263" s="39" t="s">
        <v>248</v>
      </c>
      <c r="B263" s="39" t="s">
        <v>527</v>
      </c>
      <c r="C263" s="39" t="s">
        <v>93</v>
      </c>
      <c r="D263" s="39" t="s">
        <v>514</v>
      </c>
      <c r="E263" s="39" t="s">
        <v>196</v>
      </c>
      <c r="F263" s="39" t="s">
        <v>204</v>
      </c>
      <c r="G263" s="39" t="s">
        <v>201</v>
      </c>
      <c r="H263" s="39">
        <v>2</v>
      </c>
      <c r="I263" s="40">
        <f>MAX(DATE(2026,11,2),J252+1,J221+1)</f>
        <v>46350</v>
      </c>
      <c r="J263" s="41">
        <f>IF(AND(ISNUMBER(I263),ISNUMBER(H263)),I263+H263-1,"")</f>
        <v>46351</v>
      </c>
      <c r="K263" s="39" t="s">
        <v>27</v>
      </c>
      <c r="L263" s="39" t="s">
        <v>472</v>
      </c>
      <c r="M263" s="42" t="s">
        <v>471</v>
      </c>
      <c r="N263" s="39"/>
      <c r="O263" s="42">
        <f>IF(AND(ISNUMBER(I263),ISNUMBER(J263)),J263-I263+1,"")</f>
        <v>2</v>
      </c>
      <c r="P263" s="13"/>
      <c r="Q263" s="13"/>
      <c r="R263" s="13"/>
      <c r="S263" s="13"/>
      <c r="T263" s="13"/>
      <c r="U263" s="13"/>
      <c r="V263" s="13"/>
      <c r="W263" s="13"/>
      <c r="X263" s="13"/>
      <c r="Y263" s="13" t="s">
        <v>140</v>
      </c>
      <c r="Z263" s="13"/>
      <c r="AA263" s="13"/>
      <c r="AB263" s="13"/>
      <c r="AC263" s="13"/>
      <c r="AD263" s="13"/>
      <c r="AE263" s="13"/>
      <c r="AF263" s="13"/>
      <c r="AG263" s="13"/>
      <c r="AH263" s="13"/>
      <c r="AI263" s="13"/>
      <c r="AJ263" s="13"/>
      <c r="AK263" s="13"/>
      <c r="AL263" s="13" t="s">
        <v>140</v>
      </c>
      <c r="AM263" s="13"/>
      <c r="AN263" s="13"/>
      <c r="AO263" s="14" t="str">
        <f>IF(AND(ISNUMBER($I263),OR($K263="Milestone",$K263="Deadline"),$I263&gt;=AO$4,$I263&lt;AO$4+7),IF($K263="Deadline","◇","◆"),"")</f>
        <v/>
      </c>
      <c r="AP263" s="14" t="str">
        <f>IF(AND(ISNUMBER($I263),OR($K263="Milestone",$K263="Deadline"),$I263&gt;=AP$4,$I263&lt;AP$4+7),IF($K263="Deadline","◇","◆"),"")</f>
        <v/>
      </c>
      <c r="AQ263" s="14" t="str">
        <f>IF(AND(ISNUMBER($I263),OR($K263="Milestone",$K263="Deadline"),$I263&gt;=AQ$4,$I263&lt;AQ$4+7),IF($K263="Deadline","◇","◆"),"")</f>
        <v/>
      </c>
      <c r="AR263" s="14" t="str">
        <f>IF(AND(ISNUMBER($I263),OR($K263="Milestone",$K263="Deadline"),$I263&gt;=AR$4,$I263&lt;AR$4+7),IF($K263="Deadline","◇","◆"),"")</f>
        <v/>
      </c>
      <c r="AS263" s="14" t="str">
        <f>IF(AND(ISNUMBER($I263),OR($K263="Milestone",$K263="Deadline"),$I263&gt;=AS$4,$I263&lt;AS$4+7),IF($K263="Deadline","◇","◆"),"")</f>
        <v/>
      </c>
      <c r="AT263" s="14" t="str">
        <f>IF(AND(ISNUMBER($I263),OR($K263="Milestone",$K263="Deadline"),$I263&gt;=AT$4,$I263&lt;AT$4+7),IF($K263="Deadline","◇","◆"),"")</f>
        <v/>
      </c>
      <c r="AU263" s="14" t="str">
        <f>IF(AND(ISNUMBER($I263),OR($K263="Milestone",$K263="Deadline"),$I263&gt;=AU$4,$I263&lt;AU$4+7),IF($K263="Deadline","◇","◆"),"")</f>
        <v/>
      </c>
      <c r="AV263" s="14" t="str">
        <f>IF(AND(ISNUMBER($I263),OR($K263="Milestone",$K263="Deadline"),$I263&gt;=AV$4,$I263&lt;AV$4+7),IF($K263="Deadline","◇","◆"),"")</f>
        <v/>
      </c>
      <c r="AW263" s="14" t="str">
        <f>IF(AND(ISNUMBER($I263),OR($K263="Milestone",$K263="Deadline"),$I263&gt;=AW$4,$I263&lt;AW$4+7),IF($K263="Deadline","◇","◆"),"")</f>
        <v/>
      </c>
      <c r="AX263" s="14" t="str">
        <f>IF(AND(ISNUMBER($I263),OR($K263="Milestone",$K263="Deadline"),$I263&gt;=AX$4,$I263&lt;AX$4+7),IF($K263="Deadline","◇","◆"),"")</f>
        <v/>
      </c>
      <c r="AY263" s="14" t="str">
        <f>IF(AND(ISNUMBER($I263),OR($K263="Milestone",$K263="Deadline"),$I263&gt;=AY$4,$I263&lt;AY$4+7),IF($K263="Deadline","◇","◆"),"")</f>
        <v/>
      </c>
      <c r="AZ263" s="14" t="str">
        <f>IF(AND(ISNUMBER($I263),OR($K263="Milestone",$K263="Deadline"),$I263&gt;=AZ$4,$I263&lt;AZ$4+7),IF($K263="Deadline","◇","◆"),"")</f>
        <v/>
      </c>
      <c r="BA263" s="14" t="str">
        <f>IF(AND(ISNUMBER($I263),OR($K263="Milestone",$K263="Deadline"),$I263&gt;=BA$4,$I263&lt;BA$4+7),IF($K263="Deadline","◇","◆"),"")</f>
        <v/>
      </c>
      <c r="BB263" s="14" t="str">
        <f>IF(AND(ISNUMBER($I263),OR($K263="Milestone",$K263="Deadline"),$I263&gt;=BB$4,$I263&lt;BB$4+7),IF($K263="Deadline","◇","◆"),"")</f>
        <v/>
      </c>
      <c r="BC263" s="14" t="str">
        <f>IF(AND(ISNUMBER($I263),OR($K263="Milestone",$K263="Deadline"),$I263&gt;=BC$4,$I263&lt;BC$4+7),IF($K263="Deadline","◇","◆"),"")</f>
        <v/>
      </c>
      <c r="BD263" s="14" t="str">
        <f>IF(AND(ISNUMBER($I263),OR($K263="Milestone",$K263="Deadline"),$I263&gt;=BD$4,$I263&lt;BD$4+7),IF($K263="Deadline","◇","◆"),"")</f>
        <v/>
      </c>
      <c r="BE263" s="14" t="str">
        <f>IF(AND(ISNUMBER($I263),OR($K263="Milestone",$K263="Deadline"),$I263&gt;=BE$4,$I263&lt;BE$4+7),IF($K263="Deadline","◇","◆"),"")</f>
        <v/>
      </c>
      <c r="BF263" s="14" t="str">
        <f>IF(AND(ISNUMBER($I263),OR($K263="Milestone",$K263="Deadline"),$I263&gt;=BF$4,$I263&lt;BF$4+7),IF($K263="Deadline","◇","◆"),"")</f>
        <v/>
      </c>
      <c r="BG263" s="14" t="str">
        <f>IF(AND(ISNUMBER($I263),OR($K263="Milestone",$K263="Deadline"),$I263&gt;=BG$4,$I263&lt;BG$4+7),IF($K263="Deadline","◇","◆"),"")</f>
        <v/>
      </c>
      <c r="BH263" s="14" t="str">
        <f>IF(AND(ISNUMBER($I263),OR($K263="Milestone",$K263="Deadline"),$I263&gt;=BH$4,$I263&lt;BH$4+7),IF($K263="Deadline","◇","◆"),"")</f>
        <v/>
      </c>
      <c r="BI263" s="14" t="str">
        <f>IF(AND(ISNUMBER($I263),OR($K263="Milestone",$K263="Deadline"),$I263&gt;=BI$4,$I263&lt;BI$4+7),IF($K263="Deadline","◇","◆"),"")</f>
        <v/>
      </c>
      <c r="BJ263" s="14" t="str">
        <f>IF(AND(ISNUMBER($I263),OR($K263="Milestone",$K263="Deadline"),$I263&gt;=BJ$4,$I263&lt;BJ$4+7),IF($K263="Deadline","◇","◆"),"")</f>
        <v/>
      </c>
      <c r="BK263" s="14" t="str">
        <f>IF(AND(ISNUMBER($I263),OR($K263="Milestone",$K263="Deadline"),$I263&gt;=BK$4,$I263&lt;BK$4+7),IF($K263="Deadline","◇","◆"),"")</f>
        <v/>
      </c>
      <c r="BL263" s="14" t="str">
        <f>IF(AND(ISNUMBER($I263),OR($K263="Milestone",$K263="Deadline"),$I263&gt;=BL$4,$I263&lt;BL$4+7),IF($K263="Deadline","◇","◆"),"")</f>
        <v/>
      </c>
      <c r="BM263" s="14" t="str">
        <f>IF(AND(ISNUMBER($I263),OR($K263="Milestone",$K263="Deadline"),$I263&gt;=BM$4,$I263&lt;BM$4+7),IF($K263="Deadline","◇","◆"),"")</f>
        <v/>
      </c>
      <c r="BN263" s="14" t="str">
        <f>IF(AND(ISNUMBER($I263),OR($K263="Milestone",$K263="Deadline"),$I263&gt;=BN$4,$I263&lt;BN$4+7),IF($K263="Deadline","◇","◆"),"")</f>
        <v/>
      </c>
      <c r="BO263" s="14" t="str">
        <f>IF(AND(ISNUMBER($I263),OR($K263="Milestone",$K263="Deadline"),$I263&gt;=BO$4,$I263&lt;BO$4+7),IF($K263="Deadline","◇","◆"),"")</f>
        <v/>
      </c>
      <c r="BP263" s="14" t="str">
        <f>IF(AND(ISNUMBER($I263),OR($K263="Milestone",$K263="Deadline"),$I263&gt;=BP$4,$I263&lt;BP$4+7),IF($K263="Deadline","◇","◆"),"")</f>
        <v/>
      </c>
      <c r="BQ263" s="14" t="str">
        <f>IF(AND(ISNUMBER($I263),OR($K263="Milestone",$K263="Deadline"),$I263&gt;=BQ$4,$I263&lt;BQ$4+7),IF($K263="Deadline","◇","◆"),"")</f>
        <v/>
      </c>
      <c r="BR263" s="14" t="str">
        <f>IF(AND(ISNUMBER($I263),OR($K263="Milestone",$K263="Deadline"),$I263&gt;=BR$4,$I263&lt;BR$4+7),IF($K263="Deadline","◇","◆"),"")</f>
        <v/>
      </c>
      <c r="BS263" s="14" t="str">
        <f>IF(AND(ISNUMBER($I263),OR($K263="Milestone",$K263="Deadline"),$I263&gt;=BS$4,$I263&lt;BS$4+7),IF($K263="Deadline","◇","◆"),"")</f>
        <v/>
      </c>
      <c r="BT263" s="14" t="str">
        <f>IF(AND(ISNUMBER($I263),OR($K263="Milestone",$K263="Deadline"),$I263&gt;=BT$4,$I263&lt;BT$4+7),IF($K263="Deadline","◇","◆"),"")</f>
        <v/>
      </c>
      <c r="BU263" s="14" t="str">
        <f>IF(AND(ISNUMBER($I263),OR($K263="Milestone",$K263="Deadline"),$I263&gt;=BU$4,$I263&lt;BU$4+7),IF($K263="Deadline","◇","◆"),"")</f>
        <v/>
      </c>
      <c r="BV263" s="14" t="str">
        <f>IF(AND(ISNUMBER($I263),OR($K263="Milestone",$K263="Deadline"),$I263&gt;=BV$4,$I263&lt;BV$4+7),IF($K263="Deadline","◇","◆"),"")</f>
        <v/>
      </c>
      <c r="BW263" s="14" t="str">
        <f>IF(AND(ISNUMBER($I263),OR($K263="Milestone",$K263="Deadline"),$I263&gt;=BW$4,$I263&lt;BW$4+7),IF($K263="Deadline","◇","◆"),"")</f>
        <v/>
      </c>
      <c r="BX263" s="14" t="str">
        <f>IF(AND(ISNUMBER($I263),OR($K263="Milestone",$K263="Deadline"),$I263&gt;=BX$4,$I263&lt;BX$4+7),IF($K263="Deadline","◇","◆"),"")</f>
        <v/>
      </c>
      <c r="BY263" s="14" t="str">
        <f>IF(AND(ISNUMBER($I263),OR($K263="Milestone",$K263="Deadline"),$I263&gt;=BY$4,$I263&lt;BY$4+7),IF($K263="Deadline","◇","◆"),"")</f>
        <v/>
      </c>
      <c r="BZ263" s="14" t="str">
        <f>IF(AND(ISNUMBER($I263),OR($K263="Milestone",$K263="Deadline"),$I263&gt;=BZ$4,$I263&lt;BZ$4+7),IF($K263="Deadline","◇","◆"),"")</f>
        <v/>
      </c>
      <c r="CA263" s="14" t="str">
        <f>IF(AND(ISNUMBER($I263),OR($K263="Milestone",$K263="Deadline"),$I263&gt;=CA$4,$I263&lt;CA$4+7),IF($K263="Deadline","◇","◆"),"")</f>
        <v/>
      </c>
      <c r="CB263" s="14" t="str">
        <f>IF(AND(ISNUMBER($I263),OR($K263="Milestone",$K263="Deadline"),$I263&gt;=CB$4,$I263&lt;CB$4+7),IF($K263="Deadline","◇","◆"),"")</f>
        <v/>
      </c>
      <c r="CC263" s="14" t="str">
        <f>IF(AND(ISNUMBER($I263),OR($K263="Milestone",$K263="Deadline"),$I263&gt;=CC$4,$I263&lt;CC$4+7),IF($K263="Deadline","◇","◆"),"")</f>
        <v/>
      </c>
      <c r="CD263" s="14" t="str">
        <f>IF(AND(ISNUMBER($I263),OR($K263="Milestone",$K263="Deadline"),$I263&gt;=CD$4,$I263&lt;CD$4+7),IF($K263="Deadline","◇","◆"),"")</f>
        <v/>
      </c>
      <c r="CE263" s="14" t="str">
        <f>IF(AND(ISNUMBER($I263),OR($K263="Milestone",$K263="Deadline"),$I263&gt;=CE$4,$I263&lt;CE$4+7),IF($K263="Deadline","◇","◆"),"")</f>
        <v/>
      </c>
      <c r="CF263" s="14" t="str">
        <f>IF(AND(ISNUMBER($I263),OR($K263="Milestone",$K263="Deadline"),$I263&gt;=CF$4,$I263&lt;CF$4+7),IF($K263="Deadline","◇","◆"),"")</f>
        <v/>
      </c>
      <c r="CG263" s="14" t="str">
        <f>IF(AND(ISNUMBER($I263),OR($K263="Milestone",$K263="Deadline"),$I263&gt;=CG$4,$I263&lt;CG$4+7),IF($K263="Deadline","◇","◆"),"")</f>
        <v/>
      </c>
      <c r="CH263" s="14" t="str">
        <f>IF(AND(ISNUMBER($I263),OR($K263="Milestone",$K263="Deadline"),$I263&gt;=CH$4,$I263&lt;CH$4+7),IF($K263="Deadline","◇","◆"),"")</f>
        <v/>
      </c>
      <c r="CI263" s="14" t="str">
        <f>IF(AND(ISNUMBER($I263),OR($K263="Milestone",$K263="Deadline"),$I263&gt;=CI$4,$I263&lt;CI$4+7),IF($K263="Deadline","◇","◆"),"")</f>
        <v/>
      </c>
      <c r="CJ263" s="14" t="str">
        <f>IF(AND(ISNUMBER($I263),OR($K263="Milestone",$K263="Deadline"),$I263&gt;=CJ$4,$I263&lt;CJ$4+7),IF($K263="Deadline","◇","◆"),"")</f>
        <v/>
      </c>
      <c r="CK263" s="14" t="str">
        <f>IF(AND(ISNUMBER($I263),OR($K263="Milestone",$K263="Deadline"),$I263&gt;=CK$4,$I263&lt;CK$4+7),IF($K263="Deadline","◇","◆"),"")</f>
        <v/>
      </c>
      <c r="CL263" s="14" t="str">
        <f>IF(AND(ISNUMBER($I263),OR($K263="Milestone",$K263="Deadline"),$I263&gt;=CL$4,$I263&lt;CL$4+7),IF($K263="Deadline","◇","◆"),"")</f>
        <v/>
      </c>
      <c r="CM263" s="14" t="str">
        <f>IF(AND(ISNUMBER($I263),OR($K263="Milestone",$K263="Deadline"),$I263&gt;=CM$4,$I263&lt;CM$4+7),IF($K263="Deadline","◇","◆"),"")</f>
        <v/>
      </c>
    </row>
    <row r="264" spans="1:91">
      <c r="A264" s="39" t="s">
        <v>528</v>
      </c>
      <c r="B264" s="39" t="s">
        <v>527</v>
      </c>
      <c r="C264" s="39" t="s">
        <v>93</v>
      </c>
      <c r="D264" s="39" t="s">
        <v>514</v>
      </c>
      <c r="E264" s="39" t="s">
        <v>196</v>
      </c>
      <c r="F264" s="39" t="s">
        <v>204</v>
      </c>
      <c r="G264" s="39" t="s">
        <v>198</v>
      </c>
      <c r="H264" s="39">
        <v>7</v>
      </c>
      <c r="I264" s="40">
        <f>MAX($C$2,J263+1,J253+1)</f>
        <v>46381</v>
      </c>
      <c r="J264" s="41">
        <f>IF(AND(ISNUMBER(I264),ISNUMBER(H264)),I264+H264-1,"")</f>
        <v>46387</v>
      </c>
      <c r="K264" s="39" t="s">
        <v>27</v>
      </c>
      <c r="L264" s="39" t="s">
        <v>248</v>
      </c>
      <c r="M264" s="42" t="s">
        <v>515</v>
      </c>
      <c r="N264" s="39"/>
      <c r="O264" s="42">
        <f>IF(AND(ISNUMBER(I264),ISNUMBER(J264)),J264-I264+1,"")</f>
        <v>7</v>
      </c>
      <c r="P264" s="13"/>
      <c r="Q264" s="13" t="s">
        <v>140</v>
      </c>
      <c r="R264" s="13"/>
      <c r="S264" s="13"/>
      <c r="T264" s="13"/>
      <c r="U264" s="13"/>
      <c r="V264" s="13"/>
      <c r="W264" s="13" t="s">
        <v>140</v>
      </c>
      <c r="X264" s="13"/>
      <c r="Y264" s="13"/>
      <c r="Z264" s="13"/>
      <c r="AA264" s="13"/>
      <c r="AB264" s="13"/>
      <c r="AC264" s="13"/>
      <c r="AD264" s="13"/>
      <c r="AE264" s="13"/>
      <c r="AF264" s="13"/>
      <c r="AG264" s="13"/>
      <c r="AH264" s="13"/>
      <c r="AI264" s="13"/>
      <c r="AJ264" s="13"/>
      <c r="AK264" s="13"/>
      <c r="AL264" s="13"/>
      <c r="AM264" s="13"/>
      <c r="AN264" s="13"/>
      <c r="AO264" s="14" t="str">
        <f>IF(AND(ISNUMBER($I264),OR($K264="Milestone",$K264="Deadline"),$I264&gt;=AO$4,$I264&lt;AO$4+7),IF($K264="Deadline","◇","◆"),"")</f>
        <v/>
      </c>
      <c r="AP264" s="14" t="str">
        <f>IF(AND(ISNUMBER($I264),OR($K264="Milestone",$K264="Deadline"),$I264&gt;=AP$4,$I264&lt;AP$4+7),IF($K264="Deadline","◇","◆"),"")</f>
        <v/>
      </c>
      <c r="AQ264" s="14" t="str">
        <f>IF(AND(ISNUMBER($I264),OR($K264="Milestone",$K264="Deadline"),$I264&gt;=AQ$4,$I264&lt;AQ$4+7),IF($K264="Deadline","◇","◆"),"")</f>
        <v/>
      </c>
      <c r="AR264" s="14" t="str">
        <f>IF(AND(ISNUMBER($I264),OR($K264="Milestone",$K264="Deadline"),$I264&gt;=AR$4,$I264&lt;AR$4+7),IF($K264="Deadline","◇","◆"),"")</f>
        <v/>
      </c>
      <c r="AS264" s="14" t="str">
        <f>IF(AND(ISNUMBER($I264),OR($K264="Milestone",$K264="Deadline"),$I264&gt;=AS$4,$I264&lt;AS$4+7),IF($K264="Deadline","◇","◆"),"")</f>
        <v/>
      </c>
      <c r="AT264" s="14" t="str">
        <f>IF(AND(ISNUMBER($I264),OR($K264="Milestone",$K264="Deadline"),$I264&gt;=AT$4,$I264&lt;AT$4+7),IF($K264="Deadline","◇","◆"),"")</f>
        <v/>
      </c>
      <c r="AU264" s="14" t="str">
        <f>IF(AND(ISNUMBER($I264),OR($K264="Milestone",$K264="Deadline"),$I264&gt;=AU$4,$I264&lt;AU$4+7),IF($K264="Deadline","◇","◆"),"")</f>
        <v/>
      </c>
      <c r="AV264" s="14" t="str">
        <f>IF(AND(ISNUMBER($I264),OR($K264="Milestone",$K264="Deadline"),$I264&gt;=AV$4,$I264&lt;AV$4+7),IF($K264="Deadline","◇","◆"),"")</f>
        <v/>
      </c>
      <c r="AW264" s="14" t="str">
        <f>IF(AND(ISNUMBER($I264),OR($K264="Milestone",$K264="Deadline"),$I264&gt;=AW$4,$I264&lt;AW$4+7),IF($K264="Deadline","◇","◆"),"")</f>
        <v/>
      </c>
      <c r="AX264" s="14" t="str">
        <f>IF(AND(ISNUMBER($I264),OR($K264="Milestone",$K264="Deadline"),$I264&gt;=AX$4,$I264&lt;AX$4+7),IF($K264="Deadline","◇","◆"),"")</f>
        <v/>
      </c>
      <c r="AY264" s="14" t="str">
        <f>IF(AND(ISNUMBER($I264),OR($K264="Milestone",$K264="Deadline"),$I264&gt;=AY$4,$I264&lt;AY$4+7),IF($K264="Deadline","◇","◆"),"")</f>
        <v/>
      </c>
      <c r="AZ264" s="14" t="str">
        <f>IF(AND(ISNUMBER($I264),OR($K264="Milestone",$K264="Deadline"),$I264&gt;=AZ$4,$I264&lt;AZ$4+7),IF($K264="Deadline","◇","◆"),"")</f>
        <v/>
      </c>
      <c r="BA264" s="14" t="str">
        <f>IF(AND(ISNUMBER($I264),OR($K264="Milestone",$K264="Deadline"),$I264&gt;=BA$4,$I264&lt;BA$4+7),IF($K264="Deadline","◇","◆"),"")</f>
        <v/>
      </c>
      <c r="BB264" s="14" t="str">
        <f>IF(AND(ISNUMBER($I264),OR($K264="Milestone",$K264="Deadline"),$I264&gt;=BB$4,$I264&lt;BB$4+7),IF($K264="Deadline","◇","◆"),"")</f>
        <v/>
      </c>
      <c r="BC264" s="14" t="str">
        <f>IF(AND(ISNUMBER($I264),OR($K264="Milestone",$K264="Deadline"),$I264&gt;=BC$4,$I264&lt;BC$4+7),IF($K264="Deadline","◇","◆"),"")</f>
        <v/>
      </c>
      <c r="BD264" s="14" t="str">
        <f>IF(AND(ISNUMBER($I264),OR($K264="Milestone",$K264="Deadline"),$I264&gt;=BD$4,$I264&lt;BD$4+7),IF($K264="Deadline","◇","◆"),"")</f>
        <v/>
      </c>
      <c r="BE264" s="14" t="str">
        <f>IF(AND(ISNUMBER($I264),OR($K264="Milestone",$K264="Deadline"),$I264&gt;=BE$4,$I264&lt;BE$4+7),IF($K264="Deadline","◇","◆"),"")</f>
        <v/>
      </c>
      <c r="BF264" s="14" t="str">
        <f>IF(AND(ISNUMBER($I264),OR($K264="Milestone",$K264="Deadline"),$I264&gt;=BF$4,$I264&lt;BF$4+7),IF($K264="Deadline","◇","◆"),"")</f>
        <v/>
      </c>
      <c r="BG264" s="14" t="str">
        <f>IF(AND(ISNUMBER($I264),OR($K264="Milestone",$K264="Deadline"),$I264&gt;=BG$4,$I264&lt;BG$4+7),IF($K264="Deadline","◇","◆"),"")</f>
        <v/>
      </c>
      <c r="BH264" s="14" t="str">
        <f>IF(AND(ISNUMBER($I264),OR($K264="Milestone",$K264="Deadline"),$I264&gt;=BH$4,$I264&lt;BH$4+7),IF($K264="Deadline","◇","◆"),"")</f>
        <v/>
      </c>
      <c r="BI264" s="14" t="str">
        <f>IF(AND(ISNUMBER($I264),OR($K264="Milestone",$K264="Deadline"),$I264&gt;=BI$4,$I264&lt;BI$4+7),IF($K264="Deadline","◇","◆"),"")</f>
        <v/>
      </c>
      <c r="BJ264" s="14" t="str">
        <f>IF(AND(ISNUMBER($I264),OR($K264="Milestone",$K264="Deadline"),$I264&gt;=BJ$4,$I264&lt;BJ$4+7),IF($K264="Deadline","◇","◆"),"")</f>
        <v/>
      </c>
      <c r="BK264" s="14" t="str">
        <f>IF(AND(ISNUMBER($I264),OR($K264="Milestone",$K264="Deadline"),$I264&gt;=BK$4,$I264&lt;BK$4+7),IF($K264="Deadline","◇","◆"),"")</f>
        <v/>
      </c>
      <c r="BL264" s="14" t="str">
        <f>IF(AND(ISNUMBER($I264),OR($K264="Milestone",$K264="Deadline"),$I264&gt;=BL$4,$I264&lt;BL$4+7),IF($K264="Deadline","◇","◆"),"")</f>
        <v/>
      </c>
      <c r="BM264" s="14" t="str">
        <f>IF(AND(ISNUMBER($I264),OR($K264="Milestone",$K264="Deadline"),$I264&gt;=BM$4,$I264&lt;BM$4+7),IF($K264="Deadline","◇","◆"),"")</f>
        <v/>
      </c>
      <c r="BN264" s="14" t="str">
        <f>IF(AND(ISNUMBER($I264),OR($K264="Milestone",$K264="Deadline"),$I264&gt;=BN$4,$I264&lt;BN$4+7),IF($K264="Deadline","◇","◆"),"")</f>
        <v/>
      </c>
      <c r="BO264" s="14" t="str">
        <f>IF(AND(ISNUMBER($I264),OR($K264="Milestone",$K264="Deadline"),$I264&gt;=BO$4,$I264&lt;BO$4+7),IF($K264="Deadline","◇","◆"),"")</f>
        <v/>
      </c>
      <c r="BP264" s="14" t="str">
        <f>IF(AND(ISNUMBER($I264),OR($K264="Milestone",$K264="Deadline"),$I264&gt;=BP$4,$I264&lt;BP$4+7),IF($K264="Deadline","◇","◆"),"")</f>
        <v/>
      </c>
      <c r="BQ264" s="14" t="str">
        <f>IF(AND(ISNUMBER($I264),OR($K264="Milestone",$K264="Deadline"),$I264&gt;=BQ$4,$I264&lt;BQ$4+7),IF($K264="Deadline","◇","◆"),"")</f>
        <v/>
      </c>
      <c r="BR264" s="14" t="str">
        <f>IF(AND(ISNUMBER($I264),OR($K264="Milestone",$K264="Deadline"),$I264&gt;=BR$4,$I264&lt;BR$4+7),IF($K264="Deadline","◇","◆"),"")</f>
        <v/>
      </c>
      <c r="BS264" s="14" t="str">
        <f>IF(AND(ISNUMBER($I264),OR($K264="Milestone",$K264="Deadline"),$I264&gt;=BS$4,$I264&lt;BS$4+7),IF($K264="Deadline","◇","◆"),"")</f>
        <v/>
      </c>
      <c r="BT264" s="14" t="str">
        <f>IF(AND(ISNUMBER($I264),OR($K264="Milestone",$K264="Deadline"),$I264&gt;=BT$4,$I264&lt;BT$4+7),IF($K264="Deadline","◇","◆"),"")</f>
        <v/>
      </c>
      <c r="BU264" s="14" t="str">
        <f>IF(AND(ISNUMBER($I264),OR($K264="Milestone",$K264="Deadline"),$I264&gt;=BU$4,$I264&lt;BU$4+7),IF($K264="Deadline","◇","◆"),"")</f>
        <v/>
      </c>
      <c r="BV264" s="14" t="str">
        <f>IF(AND(ISNUMBER($I264),OR($K264="Milestone",$K264="Deadline"),$I264&gt;=BV$4,$I264&lt;BV$4+7),IF($K264="Deadline","◇","◆"),"")</f>
        <v/>
      </c>
      <c r="BW264" s="14" t="str">
        <f>IF(AND(ISNUMBER($I264),OR($K264="Milestone",$K264="Deadline"),$I264&gt;=BW$4,$I264&lt;BW$4+7),IF($K264="Deadline","◇","◆"),"")</f>
        <v/>
      </c>
      <c r="BX264" s="14" t="str">
        <f>IF(AND(ISNUMBER($I264),OR($K264="Milestone",$K264="Deadline"),$I264&gt;=BX$4,$I264&lt;BX$4+7),IF($K264="Deadline","◇","◆"),"")</f>
        <v/>
      </c>
      <c r="BY264" s="14" t="str">
        <f>IF(AND(ISNUMBER($I264),OR($K264="Milestone",$K264="Deadline"),$I264&gt;=BY$4,$I264&lt;BY$4+7),IF($K264="Deadline","◇","◆"),"")</f>
        <v/>
      </c>
      <c r="BZ264" s="14" t="str">
        <f>IF(AND(ISNUMBER($I264),OR($K264="Milestone",$K264="Deadline"),$I264&gt;=BZ$4,$I264&lt;BZ$4+7),IF($K264="Deadline","◇","◆"),"")</f>
        <v/>
      </c>
      <c r="CA264" s="14" t="str">
        <f>IF(AND(ISNUMBER($I264),OR($K264="Milestone",$K264="Deadline"),$I264&gt;=CA$4,$I264&lt;CA$4+7),IF($K264="Deadline","◇","◆"),"")</f>
        <v/>
      </c>
      <c r="CB264" s="14" t="str">
        <f>IF(AND(ISNUMBER($I264),OR($K264="Milestone",$K264="Deadline"),$I264&gt;=CB$4,$I264&lt;CB$4+7),IF($K264="Deadline","◇","◆"),"")</f>
        <v/>
      </c>
      <c r="CC264" s="14" t="str">
        <f>IF(AND(ISNUMBER($I264),OR($K264="Milestone",$K264="Deadline"),$I264&gt;=CC$4,$I264&lt;CC$4+7),IF($K264="Deadline","◇","◆"),"")</f>
        <v/>
      </c>
      <c r="CD264" s="14" t="str">
        <f>IF(AND(ISNUMBER($I264),OR($K264="Milestone",$K264="Deadline"),$I264&gt;=CD$4,$I264&lt;CD$4+7),IF($K264="Deadline","◇","◆"),"")</f>
        <v/>
      </c>
      <c r="CE264" s="14" t="str">
        <f>IF(AND(ISNUMBER($I264),OR($K264="Milestone",$K264="Deadline"),$I264&gt;=CE$4,$I264&lt;CE$4+7),IF($K264="Deadline","◇","◆"),"")</f>
        <v/>
      </c>
      <c r="CF264" s="14" t="str">
        <f>IF(AND(ISNUMBER($I264),OR($K264="Milestone",$K264="Deadline"),$I264&gt;=CF$4,$I264&lt;CF$4+7),IF($K264="Deadline","◇","◆"),"")</f>
        <v/>
      </c>
      <c r="CG264" s="14" t="str">
        <f>IF(AND(ISNUMBER($I264),OR($K264="Milestone",$K264="Deadline"),$I264&gt;=CG$4,$I264&lt;CG$4+7),IF($K264="Deadline","◇","◆"),"")</f>
        <v/>
      </c>
      <c r="CH264" s="14" t="str">
        <f>IF(AND(ISNUMBER($I264),OR($K264="Milestone",$K264="Deadline"),$I264&gt;=CH$4,$I264&lt;CH$4+7),IF($K264="Deadline","◇","◆"),"")</f>
        <v/>
      </c>
      <c r="CI264" s="14" t="str">
        <f>IF(AND(ISNUMBER($I264),OR($K264="Milestone",$K264="Deadline"),$I264&gt;=CI$4,$I264&lt;CI$4+7),IF($K264="Deadline","◇","◆"),"")</f>
        <v/>
      </c>
      <c r="CJ264" s="14" t="str">
        <f>IF(AND(ISNUMBER($I264),OR($K264="Milestone",$K264="Deadline"),$I264&gt;=CJ$4,$I264&lt;CJ$4+7),IF($K264="Deadline","◇","◆"),"")</f>
        <v/>
      </c>
      <c r="CK264" s="14" t="str">
        <f>IF(AND(ISNUMBER($I264),OR($K264="Milestone",$K264="Deadline"),$I264&gt;=CK$4,$I264&lt;CK$4+7),IF($K264="Deadline","◇","◆"),"")</f>
        <v/>
      </c>
      <c r="CL264" s="14" t="str">
        <f>IF(AND(ISNUMBER($I264),OR($K264="Milestone",$K264="Deadline"),$I264&gt;=CL$4,$I264&lt;CL$4+7),IF($K264="Deadline","◇","◆"),"")</f>
        <v/>
      </c>
      <c r="CM264" s="14" t="str">
        <f>IF(AND(ISNUMBER($I264),OR($K264="Milestone",$K264="Deadline"),$I264&gt;=CM$4,$I264&lt;CM$4+7),IF($K264="Deadline","◇","◆"),"")</f>
        <v/>
      </c>
    </row>
    <row r="265" spans="1:91" hidden="1">
      <c r="A265" s="39" t="s">
        <v>529</v>
      </c>
      <c r="B265" s="39" t="s">
        <v>527</v>
      </c>
      <c r="C265" s="39" t="s">
        <v>93</v>
      </c>
      <c r="D265" s="39" t="s">
        <v>514</v>
      </c>
      <c r="E265" s="39" t="s">
        <v>196</v>
      </c>
      <c r="F265" s="39" t="s">
        <v>204</v>
      </c>
      <c r="G265" s="39" t="s">
        <v>387</v>
      </c>
      <c r="H265" s="39">
        <v>14</v>
      </c>
      <c r="I265" s="40">
        <f>MAX($C$2,J264+1)</f>
        <v>46388</v>
      </c>
      <c r="J265" s="41">
        <f>IF(AND(ISNUMBER(I265),ISNUMBER(H265)),I265+H265-1,"")</f>
        <v>46401</v>
      </c>
      <c r="K265" s="39" t="s">
        <v>27</v>
      </c>
      <c r="L265" s="39" t="s">
        <v>528</v>
      </c>
      <c r="M265" s="42"/>
      <c r="N265" s="39"/>
      <c r="O265" s="42">
        <f>IF(AND(ISNUMBER(I265),ISNUMBER(J265)),J265-I265+1,"")</f>
        <v>14</v>
      </c>
      <c r="P265" s="13"/>
      <c r="Q265" s="13"/>
      <c r="R265" s="13"/>
      <c r="S265" s="13"/>
      <c r="T265" s="13"/>
      <c r="U265" s="13"/>
      <c r="V265" s="13"/>
      <c r="W265" s="13" t="s">
        <v>140</v>
      </c>
      <c r="X265" s="13"/>
      <c r="Y265" s="13"/>
      <c r="Z265" s="13"/>
      <c r="AA265" s="13"/>
      <c r="AB265" s="13"/>
      <c r="AC265" s="13"/>
      <c r="AD265" s="13"/>
      <c r="AE265" s="13"/>
      <c r="AF265" s="13"/>
      <c r="AG265" s="13"/>
      <c r="AH265" s="13"/>
      <c r="AI265" s="13"/>
      <c r="AJ265" s="13"/>
      <c r="AK265" s="13"/>
      <c r="AL265" s="13"/>
      <c r="AM265" s="13"/>
      <c r="AN265" s="13"/>
      <c r="AO265" s="14" t="str">
        <f>IF(AND(ISNUMBER($I265),OR($K265="Milestone",$K265="Deadline"),$I265&gt;=AO$4,$I265&lt;AO$4+7),IF($K265="Deadline","◇","◆"),"")</f>
        <v/>
      </c>
      <c r="AP265" s="14" t="str">
        <f>IF(AND(ISNUMBER($I265),OR($K265="Milestone",$K265="Deadline"),$I265&gt;=AP$4,$I265&lt;AP$4+7),IF($K265="Deadline","◇","◆"),"")</f>
        <v/>
      </c>
      <c r="AQ265" s="14" t="str">
        <f>IF(AND(ISNUMBER($I265),OR($K265="Milestone",$K265="Deadline"),$I265&gt;=AQ$4,$I265&lt;AQ$4+7),IF($K265="Deadline","◇","◆"),"")</f>
        <v/>
      </c>
      <c r="AR265" s="14" t="str">
        <f>IF(AND(ISNUMBER($I265),OR($K265="Milestone",$K265="Deadline"),$I265&gt;=AR$4,$I265&lt;AR$4+7),IF($K265="Deadline","◇","◆"),"")</f>
        <v/>
      </c>
      <c r="AS265" s="14" t="str">
        <f>IF(AND(ISNUMBER($I265),OR($K265="Milestone",$K265="Deadline"),$I265&gt;=AS$4,$I265&lt;AS$4+7),IF($K265="Deadline","◇","◆"),"")</f>
        <v/>
      </c>
      <c r="AT265" s="14" t="str">
        <f>IF(AND(ISNUMBER($I265),OR($K265="Milestone",$K265="Deadline"),$I265&gt;=AT$4,$I265&lt;AT$4+7),IF($K265="Deadline","◇","◆"),"")</f>
        <v/>
      </c>
      <c r="AU265" s="14" t="str">
        <f>IF(AND(ISNUMBER($I265),OR($K265="Milestone",$K265="Deadline"),$I265&gt;=AU$4,$I265&lt;AU$4+7),IF($K265="Deadline","◇","◆"),"")</f>
        <v/>
      </c>
      <c r="AV265" s="14" t="str">
        <f>IF(AND(ISNUMBER($I265),OR($K265="Milestone",$K265="Deadline"),$I265&gt;=AV$4,$I265&lt;AV$4+7),IF($K265="Deadline","◇","◆"),"")</f>
        <v/>
      </c>
      <c r="AW265" s="14" t="str">
        <f>IF(AND(ISNUMBER($I265),OR($K265="Milestone",$K265="Deadline"),$I265&gt;=AW$4,$I265&lt;AW$4+7),IF($K265="Deadline","◇","◆"),"")</f>
        <v/>
      </c>
      <c r="AX265" s="14" t="str">
        <f>IF(AND(ISNUMBER($I265),OR($K265="Milestone",$K265="Deadline"),$I265&gt;=AX$4,$I265&lt;AX$4+7),IF($K265="Deadline","◇","◆"),"")</f>
        <v/>
      </c>
      <c r="AY265" s="14" t="str">
        <f>IF(AND(ISNUMBER($I265),OR($K265="Milestone",$K265="Deadline"),$I265&gt;=AY$4,$I265&lt;AY$4+7),IF($K265="Deadline","◇","◆"),"")</f>
        <v/>
      </c>
      <c r="AZ265" s="14" t="str">
        <f>IF(AND(ISNUMBER($I265),OR($K265="Milestone",$K265="Deadline"),$I265&gt;=AZ$4,$I265&lt;AZ$4+7),IF($K265="Deadline","◇","◆"),"")</f>
        <v/>
      </c>
      <c r="BA265" s="14" t="str">
        <f>IF(AND(ISNUMBER($I265),OR($K265="Milestone",$K265="Deadline"),$I265&gt;=BA$4,$I265&lt;BA$4+7),IF($K265="Deadline","◇","◆"),"")</f>
        <v/>
      </c>
      <c r="BB265" s="14" t="str">
        <f>IF(AND(ISNUMBER($I265),OR($K265="Milestone",$K265="Deadline"),$I265&gt;=BB$4,$I265&lt;BB$4+7),IF($K265="Deadline","◇","◆"),"")</f>
        <v/>
      </c>
      <c r="BC265" s="14" t="str">
        <f>IF(AND(ISNUMBER($I265),OR($K265="Milestone",$K265="Deadline"),$I265&gt;=BC$4,$I265&lt;BC$4+7),IF($K265="Deadline","◇","◆"),"")</f>
        <v/>
      </c>
      <c r="BD265" s="14" t="str">
        <f>IF(AND(ISNUMBER($I265),OR($K265="Milestone",$K265="Deadline"),$I265&gt;=BD$4,$I265&lt;BD$4+7),IF($K265="Deadline","◇","◆"),"")</f>
        <v/>
      </c>
      <c r="BE265" s="14" t="str">
        <f>IF(AND(ISNUMBER($I265),OR($K265="Milestone",$K265="Deadline"),$I265&gt;=BE$4,$I265&lt;BE$4+7),IF($K265="Deadline","◇","◆"),"")</f>
        <v/>
      </c>
      <c r="BF265" s="14" t="str">
        <f>IF(AND(ISNUMBER($I265),OR($K265="Milestone",$K265="Deadline"),$I265&gt;=BF$4,$I265&lt;BF$4+7),IF($K265="Deadline","◇","◆"),"")</f>
        <v/>
      </c>
      <c r="BG265" s="14" t="str">
        <f>IF(AND(ISNUMBER($I265),OR($K265="Milestone",$K265="Deadline"),$I265&gt;=BG$4,$I265&lt;BG$4+7),IF($K265="Deadline","◇","◆"),"")</f>
        <v/>
      </c>
      <c r="BH265" s="14" t="str">
        <f>IF(AND(ISNUMBER($I265),OR($K265="Milestone",$K265="Deadline"),$I265&gt;=BH$4,$I265&lt;BH$4+7),IF($K265="Deadline","◇","◆"),"")</f>
        <v/>
      </c>
      <c r="BI265" s="14" t="str">
        <f>IF(AND(ISNUMBER($I265),OR($K265="Milestone",$K265="Deadline"),$I265&gt;=BI$4,$I265&lt;BI$4+7),IF($K265="Deadline","◇","◆"),"")</f>
        <v/>
      </c>
      <c r="BJ265" s="14" t="str">
        <f>IF(AND(ISNUMBER($I265),OR($K265="Milestone",$K265="Deadline"),$I265&gt;=BJ$4,$I265&lt;BJ$4+7),IF($K265="Deadline","◇","◆"),"")</f>
        <v/>
      </c>
      <c r="BK265" s="14" t="str">
        <f>IF(AND(ISNUMBER($I265),OR($K265="Milestone",$K265="Deadline"),$I265&gt;=BK$4,$I265&lt;BK$4+7),IF($K265="Deadline","◇","◆"),"")</f>
        <v/>
      </c>
      <c r="BL265" s="14" t="str">
        <f>IF(AND(ISNUMBER($I265),OR($K265="Milestone",$K265="Deadline"),$I265&gt;=BL$4,$I265&lt;BL$4+7),IF($K265="Deadline","◇","◆"),"")</f>
        <v/>
      </c>
      <c r="BM265" s="14" t="str">
        <f>IF(AND(ISNUMBER($I265),OR($K265="Milestone",$K265="Deadline"),$I265&gt;=BM$4,$I265&lt;BM$4+7),IF($K265="Deadline","◇","◆"),"")</f>
        <v/>
      </c>
      <c r="BN265" s="14" t="str">
        <f>IF(AND(ISNUMBER($I265),OR($K265="Milestone",$K265="Deadline"),$I265&gt;=BN$4,$I265&lt;BN$4+7),IF($K265="Deadline","◇","◆"),"")</f>
        <v/>
      </c>
      <c r="BO265" s="14" t="str">
        <f>IF(AND(ISNUMBER($I265),OR($K265="Milestone",$K265="Deadline"),$I265&gt;=BO$4,$I265&lt;BO$4+7),IF($K265="Deadline","◇","◆"),"")</f>
        <v/>
      </c>
      <c r="BP265" s="14" t="str">
        <f>IF(AND(ISNUMBER($I265),OR($K265="Milestone",$K265="Deadline"),$I265&gt;=BP$4,$I265&lt;BP$4+7),IF($K265="Deadline","◇","◆"),"")</f>
        <v/>
      </c>
      <c r="BQ265" s="14" t="str">
        <f>IF(AND(ISNUMBER($I265),OR($K265="Milestone",$K265="Deadline"),$I265&gt;=BQ$4,$I265&lt;BQ$4+7),IF($K265="Deadline","◇","◆"),"")</f>
        <v/>
      </c>
      <c r="BR265" s="14" t="str">
        <f>IF(AND(ISNUMBER($I265),OR($K265="Milestone",$K265="Deadline"),$I265&gt;=BR$4,$I265&lt;BR$4+7),IF($K265="Deadline","◇","◆"),"")</f>
        <v/>
      </c>
      <c r="BS265" s="14" t="str">
        <f>IF(AND(ISNUMBER($I265),OR($K265="Milestone",$K265="Deadline"),$I265&gt;=BS$4,$I265&lt;BS$4+7),IF($K265="Deadline","◇","◆"),"")</f>
        <v/>
      </c>
      <c r="BT265" s="14" t="str">
        <f>IF(AND(ISNUMBER($I265),OR($K265="Milestone",$K265="Deadline"),$I265&gt;=BT$4,$I265&lt;BT$4+7),IF($K265="Deadline","◇","◆"),"")</f>
        <v/>
      </c>
      <c r="BU265" s="14" t="str">
        <f>IF(AND(ISNUMBER($I265),OR($K265="Milestone",$K265="Deadline"),$I265&gt;=BU$4,$I265&lt;BU$4+7),IF($K265="Deadline","◇","◆"),"")</f>
        <v/>
      </c>
      <c r="BV265" s="14" t="str">
        <f>IF(AND(ISNUMBER($I265),OR($K265="Milestone",$K265="Deadline"),$I265&gt;=BV$4,$I265&lt;BV$4+7),IF($K265="Deadline","◇","◆"),"")</f>
        <v/>
      </c>
      <c r="BW265" s="14" t="str">
        <f>IF(AND(ISNUMBER($I265),OR($K265="Milestone",$K265="Deadline"),$I265&gt;=BW$4,$I265&lt;BW$4+7),IF($K265="Deadline","◇","◆"),"")</f>
        <v/>
      </c>
      <c r="BX265" s="14" t="str">
        <f>IF(AND(ISNUMBER($I265),OR($K265="Milestone",$K265="Deadline"),$I265&gt;=BX$4,$I265&lt;BX$4+7),IF($K265="Deadline","◇","◆"),"")</f>
        <v/>
      </c>
      <c r="BY265" s="14" t="str">
        <f>IF(AND(ISNUMBER($I265),OR($K265="Milestone",$K265="Deadline"),$I265&gt;=BY$4,$I265&lt;BY$4+7),IF($K265="Deadline","◇","◆"),"")</f>
        <v/>
      </c>
      <c r="BZ265" s="14" t="str">
        <f>IF(AND(ISNUMBER($I265),OR($K265="Milestone",$K265="Deadline"),$I265&gt;=BZ$4,$I265&lt;BZ$4+7),IF($K265="Deadline","◇","◆"),"")</f>
        <v/>
      </c>
      <c r="CA265" s="14" t="str">
        <f>IF(AND(ISNUMBER($I265),OR($K265="Milestone",$K265="Deadline"),$I265&gt;=CA$4,$I265&lt;CA$4+7),IF($K265="Deadline","◇","◆"),"")</f>
        <v/>
      </c>
      <c r="CB265" s="14" t="str">
        <f>IF(AND(ISNUMBER($I265),OR($K265="Milestone",$K265="Deadline"),$I265&gt;=CB$4,$I265&lt;CB$4+7),IF($K265="Deadline","◇","◆"),"")</f>
        <v/>
      </c>
      <c r="CC265" s="14" t="str">
        <f>IF(AND(ISNUMBER($I265),OR($K265="Milestone",$K265="Deadline"),$I265&gt;=CC$4,$I265&lt;CC$4+7),IF($K265="Deadline","◇","◆"),"")</f>
        <v/>
      </c>
      <c r="CD265" s="14" t="str">
        <f>IF(AND(ISNUMBER($I265),OR($K265="Milestone",$K265="Deadline"),$I265&gt;=CD$4,$I265&lt;CD$4+7),IF($K265="Deadline","◇","◆"),"")</f>
        <v/>
      </c>
      <c r="CE265" s="14" t="str">
        <f>IF(AND(ISNUMBER($I265),OR($K265="Milestone",$K265="Deadline"),$I265&gt;=CE$4,$I265&lt;CE$4+7),IF($K265="Deadline","◇","◆"),"")</f>
        <v/>
      </c>
      <c r="CF265" s="14" t="str">
        <f>IF(AND(ISNUMBER($I265),OR($K265="Milestone",$K265="Deadline"),$I265&gt;=CF$4,$I265&lt;CF$4+7),IF($K265="Deadline","◇","◆"),"")</f>
        <v/>
      </c>
      <c r="CG265" s="14" t="str">
        <f>IF(AND(ISNUMBER($I265),OR($K265="Milestone",$K265="Deadline"),$I265&gt;=CG$4,$I265&lt;CG$4+7),IF($K265="Deadline","◇","◆"),"")</f>
        <v/>
      </c>
      <c r="CH265" s="14" t="str">
        <f>IF(AND(ISNUMBER($I265),OR($K265="Milestone",$K265="Deadline"),$I265&gt;=CH$4,$I265&lt;CH$4+7),IF($K265="Deadline","◇","◆"),"")</f>
        <v/>
      </c>
      <c r="CI265" s="14" t="str">
        <f>IF(AND(ISNUMBER($I265),OR($K265="Milestone",$K265="Deadline"),$I265&gt;=CI$4,$I265&lt;CI$4+7),IF($K265="Deadline","◇","◆"),"")</f>
        <v/>
      </c>
      <c r="CJ265" s="14" t="str">
        <f>IF(AND(ISNUMBER($I265),OR($K265="Milestone",$K265="Deadline"),$I265&gt;=CJ$4,$I265&lt;CJ$4+7),IF($K265="Deadline","◇","◆"),"")</f>
        <v/>
      </c>
      <c r="CK265" s="14" t="str">
        <f>IF(AND(ISNUMBER($I265),OR($K265="Milestone",$K265="Deadline"),$I265&gt;=CK$4,$I265&lt;CK$4+7),IF($K265="Deadline","◇","◆"),"")</f>
        <v/>
      </c>
      <c r="CL265" s="14" t="str">
        <f>IF(AND(ISNUMBER($I265),OR($K265="Milestone",$K265="Deadline"),$I265&gt;=CL$4,$I265&lt;CL$4+7),IF($K265="Deadline","◇","◆"),"")</f>
        <v/>
      </c>
      <c r="CM265" s="14" t="str">
        <f>IF(AND(ISNUMBER($I265),OR($K265="Milestone",$K265="Deadline"),$I265&gt;=CM$4,$I265&lt;CM$4+7),IF($K265="Deadline","◇","◆"),"")</f>
        <v/>
      </c>
    </row>
    <row r="266" spans="1:91" hidden="1">
      <c r="A266" s="39" t="s">
        <v>530</v>
      </c>
      <c r="B266" s="39" t="s">
        <v>527</v>
      </c>
      <c r="C266" s="39" t="s">
        <v>93</v>
      </c>
      <c r="D266" s="39" t="s">
        <v>514</v>
      </c>
      <c r="E266" s="39" t="s">
        <v>196</v>
      </c>
      <c r="F266" s="39" t="s">
        <v>204</v>
      </c>
      <c r="G266" s="39" t="s">
        <v>176</v>
      </c>
      <c r="H266" s="39">
        <v>28</v>
      </c>
      <c r="I266" s="40">
        <f>MAX($C$2,J265+1)</f>
        <v>46402</v>
      </c>
      <c r="J266" s="41">
        <f>IF(AND(ISNUMBER(I266),ISNUMBER(H266)),I266+H266-1,"")</f>
        <v>46429</v>
      </c>
      <c r="K266" s="39" t="s">
        <v>27</v>
      </c>
      <c r="L266" s="39" t="s">
        <v>529</v>
      </c>
      <c r="M266" s="42"/>
      <c r="N266" s="39"/>
      <c r="O266" s="42">
        <f>IF(AND(ISNUMBER(I266),ISNUMBER(J266)),J266-I266+1,"")</f>
        <v>28</v>
      </c>
      <c r="P266" s="13"/>
      <c r="Q266" s="13"/>
      <c r="R266" s="13"/>
      <c r="S266" s="13"/>
      <c r="T266" s="13"/>
      <c r="U266" s="13"/>
      <c r="V266" s="13"/>
      <c r="W266" s="13" t="s">
        <v>140</v>
      </c>
      <c r="X266" s="13"/>
      <c r="Y266" s="13"/>
      <c r="Z266" s="13"/>
      <c r="AA266" s="13"/>
      <c r="AB266" s="13"/>
      <c r="AC266" s="13"/>
      <c r="AD266" s="13"/>
      <c r="AE266" s="13"/>
      <c r="AF266" s="13"/>
      <c r="AG266" s="13"/>
      <c r="AH266" s="13"/>
      <c r="AI266" s="13"/>
      <c r="AJ266" s="13"/>
      <c r="AK266" s="13"/>
      <c r="AL266" s="13"/>
      <c r="AM266" s="13"/>
      <c r="AN266" s="13"/>
      <c r="AO266" s="14" t="str">
        <f>IF(AND(ISNUMBER($I266),OR($K266="Milestone",$K266="Deadline"),$I266&gt;=AO$4,$I266&lt;AO$4+7),IF($K266="Deadline","◇","◆"),"")</f>
        <v/>
      </c>
      <c r="AP266" s="14" t="str">
        <f>IF(AND(ISNUMBER($I266),OR($K266="Milestone",$K266="Deadline"),$I266&gt;=AP$4,$I266&lt;AP$4+7),IF($K266="Deadline","◇","◆"),"")</f>
        <v/>
      </c>
      <c r="AQ266" s="14" t="str">
        <f>IF(AND(ISNUMBER($I266),OR($K266="Milestone",$K266="Deadline"),$I266&gt;=AQ$4,$I266&lt;AQ$4+7),IF($K266="Deadline","◇","◆"),"")</f>
        <v/>
      </c>
      <c r="AR266" s="14" t="str">
        <f>IF(AND(ISNUMBER($I266),OR($K266="Milestone",$K266="Deadline"),$I266&gt;=AR$4,$I266&lt;AR$4+7),IF($K266="Deadline","◇","◆"),"")</f>
        <v/>
      </c>
      <c r="AS266" s="14" t="str">
        <f>IF(AND(ISNUMBER($I266),OR($K266="Milestone",$K266="Deadline"),$I266&gt;=AS$4,$I266&lt;AS$4+7),IF($K266="Deadline","◇","◆"),"")</f>
        <v/>
      </c>
      <c r="AT266" s="14" t="str">
        <f>IF(AND(ISNUMBER($I266),OR($K266="Milestone",$K266="Deadline"),$I266&gt;=AT$4,$I266&lt;AT$4+7),IF($K266="Deadline","◇","◆"),"")</f>
        <v/>
      </c>
      <c r="AU266" s="14" t="str">
        <f>IF(AND(ISNUMBER($I266),OR($K266="Milestone",$K266="Deadline"),$I266&gt;=AU$4,$I266&lt;AU$4+7),IF($K266="Deadline","◇","◆"),"")</f>
        <v/>
      </c>
      <c r="AV266" s="14" t="str">
        <f>IF(AND(ISNUMBER($I266),OR($K266="Milestone",$K266="Deadline"),$I266&gt;=AV$4,$I266&lt;AV$4+7),IF($K266="Deadline","◇","◆"),"")</f>
        <v/>
      </c>
      <c r="AW266" s="14" t="str">
        <f>IF(AND(ISNUMBER($I266),OR($K266="Milestone",$K266="Deadline"),$I266&gt;=AW$4,$I266&lt;AW$4+7),IF($K266="Deadline","◇","◆"),"")</f>
        <v/>
      </c>
      <c r="AX266" s="14" t="str">
        <f>IF(AND(ISNUMBER($I266),OR($K266="Milestone",$K266="Deadline"),$I266&gt;=AX$4,$I266&lt;AX$4+7),IF($K266="Deadline","◇","◆"),"")</f>
        <v/>
      </c>
      <c r="AY266" s="14" t="str">
        <f>IF(AND(ISNUMBER($I266),OR($K266="Milestone",$K266="Deadline"),$I266&gt;=AY$4,$I266&lt;AY$4+7),IF($K266="Deadline","◇","◆"),"")</f>
        <v/>
      </c>
      <c r="AZ266" s="14" t="str">
        <f>IF(AND(ISNUMBER($I266),OR($K266="Milestone",$K266="Deadline"),$I266&gt;=AZ$4,$I266&lt;AZ$4+7),IF($K266="Deadline","◇","◆"),"")</f>
        <v/>
      </c>
      <c r="BA266" s="14" t="str">
        <f>IF(AND(ISNUMBER($I266),OR($K266="Milestone",$K266="Deadline"),$I266&gt;=BA$4,$I266&lt;BA$4+7),IF($K266="Deadline","◇","◆"),"")</f>
        <v/>
      </c>
      <c r="BB266" s="14" t="str">
        <f>IF(AND(ISNUMBER($I266),OR($K266="Milestone",$K266="Deadline"),$I266&gt;=BB$4,$I266&lt;BB$4+7),IF($K266="Deadline","◇","◆"),"")</f>
        <v/>
      </c>
      <c r="BC266" s="14" t="str">
        <f>IF(AND(ISNUMBER($I266),OR($K266="Milestone",$K266="Deadline"),$I266&gt;=BC$4,$I266&lt;BC$4+7),IF($K266="Deadline","◇","◆"),"")</f>
        <v/>
      </c>
      <c r="BD266" s="14" t="str">
        <f>IF(AND(ISNUMBER($I266),OR($K266="Milestone",$K266="Deadline"),$I266&gt;=BD$4,$I266&lt;BD$4+7),IF($K266="Deadline","◇","◆"),"")</f>
        <v/>
      </c>
      <c r="BE266" s="14" t="str">
        <f>IF(AND(ISNUMBER($I266),OR($K266="Milestone",$K266="Deadline"),$I266&gt;=BE$4,$I266&lt;BE$4+7),IF($K266="Deadline","◇","◆"),"")</f>
        <v/>
      </c>
      <c r="BF266" s="14" t="str">
        <f>IF(AND(ISNUMBER($I266),OR($K266="Milestone",$K266="Deadline"),$I266&gt;=BF$4,$I266&lt;BF$4+7),IF($K266="Deadline","◇","◆"),"")</f>
        <v/>
      </c>
      <c r="BG266" s="14" t="str">
        <f>IF(AND(ISNUMBER($I266),OR($K266="Milestone",$K266="Deadline"),$I266&gt;=BG$4,$I266&lt;BG$4+7),IF($K266="Deadline","◇","◆"),"")</f>
        <v/>
      </c>
      <c r="BH266" s="14" t="str">
        <f>IF(AND(ISNUMBER($I266),OR($K266="Milestone",$K266="Deadline"),$I266&gt;=BH$4,$I266&lt;BH$4+7),IF($K266="Deadline","◇","◆"),"")</f>
        <v/>
      </c>
      <c r="BI266" s="14" t="str">
        <f>IF(AND(ISNUMBER($I266),OR($K266="Milestone",$K266="Deadline"),$I266&gt;=BI$4,$I266&lt;BI$4+7),IF($K266="Deadline","◇","◆"),"")</f>
        <v/>
      </c>
      <c r="BJ266" s="14" t="str">
        <f>IF(AND(ISNUMBER($I266),OR($K266="Milestone",$K266="Deadline"),$I266&gt;=BJ$4,$I266&lt;BJ$4+7),IF($K266="Deadline","◇","◆"),"")</f>
        <v/>
      </c>
      <c r="BK266" s="14" t="str">
        <f>IF(AND(ISNUMBER($I266),OR($K266="Milestone",$K266="Deadline"),$I266&gt;=BK$4,$I266&lt;BK$4+7),IF($K266="Deadline","◇","◆"),"")</f>
        <v/>
      </c>
      <c r="BL266" s="14" t="str">
        <f>IF(AND(ISNUMBER($I266),OR($K266="Milestone",$K266="Deadline"),$I266&gt;=BL$4,$I266&lt;BL$4+7),IF($K266="Deadline","◇","◆"),"")</f>
        <v/>
      </c>
      <c r="BM266" s="14" t="str">
        <f>IF(AND(ISNUMBER($I266),OR($K266="Milestone",$K266="Deadline"),$I266&gt;=BM$4,$I266&lt;BM$4+7),IF($K266="Deadline","◇","◆"),"")</f>
        <v/>
      </c>
      <c r="BN266" s="14" t="str">
        <f>IF(AND(ISNUMBER($I266),OR($K266="Milestone",$K266="Deadline"),$I266&gt;=BN$4,$I266&lt;BN$4+7),IF($K266="Deadline","◇","◆"),"")</f>
        <v/>
      </c>
      <c r="BO266" s="14" t="str">
        <f>IF(AND(ISNUMBER($I266),OR($K266="Milestone",$K266="Deadline"),$I266&gt;=BO$4,$I266&lt;BO$4+7),IF($K266="Deadline","◇","◆"),"")</f>
        <v/>
      </c>
      <c r="BP266" s="14" t="str">
        <f>IF(AND(ISNUMBER($I266),OR($K266="Milestone",$K266="Deadline"),$I266&gt;=BP$4,$I266&lt;BP$4+7),IF($K266="Deadline","◇","◆"),"")</f>
        <v/>
      </c>
      <c r="BQ266" s="14" t="str">
        <f>IF(AND(ISNUMBER($I266),OR($K266="Milestone",$K266="Deadline"),$I266&gt;=BQ$4,$I266&lt;BQ$4+7),IF($K266="Deadline","◇","◆"),"")</f>
        <v/>
      </c>
      <c r="BR266" s="14" t="str">
        <f>IF(AND(ISNUMBER($I266),OR($K266="Milestone",$K266="Deadline"),$I266&gt;=BR$4,$I266&lt;BR$4+7),IF($K266="Deadline","◇","◆"),"")</f>
        <v/>
      </c>
      <c r="BS266" s="14" t="str">
        <f>IF(AND(ISNUMBER($I266),OR($K266="Milestone",$K266="Deadline"),$I266&gt;=BS$4,$I266&lt;BS$4+7),IF($K266="Deadline","◇","◆"),"")</f>
        <v/>
      </c>
      <c r="BT266" s="14" t="str">
        <f>IF(AND(ISNUMBER($I266),OR($K266="Milestone",$K266="Deadline"),$I266&gt;=BT$4,$I266&lt;BT$4+7),IF($K266="Deadline","◇","◆"),"")</f>
        <v/>
      </c>
      <c r="BU266" s="14" t="str">
        <f>IF(AND(ISNUMBER($I266),OR($K266="Milestone",$K266="Deadline"),$I266&gt;=BU$4,$I266&lt;BU$4+7),IF($K266="Deadline","◇","◆"),"")</f>
        <v/>
      </c>
      <c r="BV266" s="14" t="str">
        <f>IF(AND(ISNUMBER($I266),OR($K266="Milestone",$K266="Deadline"),$I266&gt;=BV$4,$I266&lt;BV$4+7),IF($K266="Deadline","◇","◆"),"")</f>
        <v/>
      </c>
      <c r="BW266" s="14" t="str">
        <f>IF(AND(ISNUMBER($I266),OR($K266="Milestone",$K266="Deadline"),$I266&gt;=BW$4,$I266&lt;BW$4+7),IF($K266="Deadline","◇","◆"),"")</f>
        <v/>
      </c>
      <c r="BX266" s="14" t="str">
        <f>IF(AND(ISNUMBER($I266),OR($K266="Milestone",$K266="Deadline"),$I266&gt;=BX$4,$I266&lt;BX$4+7),IF($K266="Deadline","◇","◆"),"")</f>
        <v/>
      </c>
      <c r="BY266" s="14" t="str">
        <f>IF(AND(ISNUMBER($I266),OR($K266="Milestone",$K266="Deadline"),$I266&gt;=BY$4,$I266&lt;BY$4+7),IF($K266="Deadline","◇","◆"),"")</f>
        <v/>
      </c>
      <c r="BZ266" s="14" t="str">
        <f>IF(AND(ISNUMBER($I266),OR($K266="Milestone",$K266="Deadline"),$I266&gt;=BZ$4,$I266&lt;BZ$4+7),IF($K266="Deadline","◇","◆"),"")</f>
        <v/>
      </c>
      <c r="CA266" s="14" t="str">
        <f>IF(AND(ISNUMBER($I266),OR($K266="Milestone",$K266="Deadline"),$I266&gt;=CA$4,$I266&lt;CA$4+7),IF($K266="Deadline","◇","◆"),"")</f>
        <v/>
      </c>
      <c r="CB266" s="14" t="str">
        <f>IF(AND(ISNUMBER($I266),OR($K266="Milestone",$K266="Deadline"),$I266&gt;=CB$4,$I266&lt;CB$4+7),IF($K266="Deadline","◇","◆"),"")</f>
        <v/>
      </c>
      <c r="CC266" s="14" t="str">
        <f>IF(AND(ISNUMBER($I266),OR($K266="Milestone",$K266="Deadline"),$I266&gt;=CC$4,$I266&lt;CC$4+7),IF($K266="Deadline","◇","◆"),"")</f>
        <v/>
      </c>
      <c r="CD266" s="14" t="str">
        <f>IF(AND(ISNUMBER($I266),OR($K266="Milestone",$K266="Deadline"),$I266&gt;=CD$4,$I266&lt;CD$4+7),IF($K266="Deadline","◇","◆"),"")</f>
        <v/>
      </c>
      <c r="CE266" s="14" t="str">
        <f>IF(AND(ISNUMBER($I266),OR($K266="Milestone",$K266="Deadline"),$I266&gt;=CE$4,$I266&lt;CE$4+7),IF($K266="Deadline","◇","◆"),"")</f>
        <v/>
      </c>
      <c r="CF266" s="14" t="str">
        <f>IF(AND(ISNUMBER($I266),OR($K266="Milestone",$K266="Deadline"),$I266&gt;=CF$4,$I266&lt;CF$4+7),IF($K266="Deadline","◇","◆"),"")</f>
        <v/>
      </c>
      <c r="CG266" s="14" t="str">
        <f>IF(AND(ISNUMBER($I266),OR($K266="Milestone",$K266="Deadline"),$I266&gt;=CG$4,$I266&lt;CG$4+7),IF($K266="Deadline","◇","◆"),"")</f>
        <v/>
      </c>
      <c r="CH266" s="14" t="str">
        <f>IF(AND(ISNUMBER($I266),OR($K266="Milestone",$K266="Deadline"),$I266&gt;=CH$4,$I266&lt;CH$4+7),IF($K266="Deadline","◇","◆"),"")</f>
        <v/>
      </c>
      <c r="CI266" s="14" t="str">
        <f>IF(AND(ISNUMBER($I266),OR($K266="Milestone",$K266="Deadline"),$I266&gt;=CI$4,$I266&lt;CI$4+7),IF($K266="Deadline","◇","◆"),"")</f>
        <v/>
      </c>
      <c r="CJ266" s="14" t="str">
        <f>IF(AND(ISNUMBER($I266),OR($K266="Milestone",$K266="Deadline"),$I266&gt;=CJ$4,$I266&lt;CJ$4+7),IF($K266="Deadline","◇","◆"),"")</f>
        <v/>
      </c>
      <c r="CK266" s="14" t="str">
        <f>IF(AND(ISNUMBER($I266),OR($K266="Milestone",$K266="Deadline"),$I266&gt;=CK$4,$I266&lt;CK$4+7),IF($K266="Deadline","◇","◆"),"")</f>
        <v/>
      </c>
      <c r="CL266" s="14" t="str">
        <f>IF(AND(ISNUMBER($I266),OR($K266="Milestone",$K266="Deadline"),$I266&gt;=CL$4,$I266&lt;CL$4+7),IF($K266="Deadline","◇","◆"),"")</f>
        <v/>
      </c>
      <c r="CM266" s="14" t="str">
        <f>IF(AND(ISNUMBER($I266),OR($K266="Milestone",$K266="Deadline"),$I266&gt;=CM$4,$I266&lt;CM$4+7),IF($K266="Deadline","◇","◆"),"")</f>
        <v/>
      </c>
    </row>
    <row r="267" spans="1:91" hidden="1">
      <c r="A267" s="39" t="s">
        <v>507</v>
      </c>
      <c r="B267" s="39" t="s">
        <v>527</v>
      </c>
      <c r="C267" s="39" t="s">
        <v>93</v>
      </c>
      <c r="D267" s="39" t="s">
        <v>514</v>
      </c>
      <c r="E267" s="39" t="s">
        <v>196</v>
      </c>
      <c r="F267" s="39" t="s">
        <v>204</v>
      </c>
      <c r="G267" s="39" t="s">
        <v>184</v>
      </c>
      <c r="H267" s="39">
        <v>14</v>
      </c>
      <c r="I267" s="40">
        <f>MAX($C$2,J266+1,J174+1)</f>
        <v>46430</v>
      </c>
      <c r="J267" s="41">
        <f>IF(AND(ISNUMBER(I267),ISNUMBER(H267)),I267+H267-1,"")</f>
        <v>46443</v>
      </c>
      <c r="K267" s="39" t="s">
        <v>27</v>
      </c>
      <c r="L267" s="39" t="s">
        <v>530</v>
      </c>
      <c r="M267" s="42" t="s">
        <v>408</v>
      </c>
      <c r="N267" s="39"/>
      <c r="O267" s="42">
        <f>IF(AND(ISNUMBER(I267),ISNUMBER(J267)),J267-I267+1,"")</f>
        <v>14</v>
      </c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 t="s">
        <v>140</v>
      </c>
      <c r="AA267" s="13"/>
      <c r="AB267" s="13"/>
      <c r="AC267" s="13"/>
      <c r="AD267" s="13"/>
      <c r="AE267" s="13"/>
      <c r="AF267" s="13"/>
      <c r="AG267" s="13"/>
      <c r="AH267" s="13"/>
      <c r="AI267" s="13"/>
      <c r="AJ267" s="13"/>
      <c r="AK267" s="13"/>
      <c r="AL267" s="13"/>
      <c r="AM267" s="13"/>
      <c r="AN267" s="13"/>
      <c r="AO267" s="14" t="str">
        <f>IF(AND(ISNUMBER($I267),OR($K267="Milestone",$K267="Deadline"),$I267&gt;=AO$4,$I267&lt;AO$4+7),IF($K267="Deadline","◇","◆"),"")</f>
        <v/>
      </c>
      <c r="AP267" s="14" t="str">
        <f>IF(AND(ISNUMBER($I267),OR($K267="Milestone",$K267="Deadline"),$I267&gt;=AP$4,$I267&lt;AP$4+7),IF($K267="Deadline","◇","◆"),"")</f>
        <v/>
      </c>
      <c r="AQ267" s="14" t="str">
        <f>IF(AND(ISNUMBER($I267),OR($K267="Milestone",$K267="Deadline"),$I267&gt;=AQ$4,$I267&lt;AQ$4+7),IF($K267="Deadline","◇","◆"),"")</f>
        <v/>
      </c>
      <c r="AR267" s="14" t="str">
        <f>IF(AND(ISNUMBER($I267),OR($K267="Milestone",$K267="Deadline"),$I267&gt;=AR$4,$I267&lt;AR$4+7),IF($K267="Deadline","◇","◆"),"")</f>
        <v/>
      </c>
      <c r="AS267" s="14" t="str">
        <f>IF(AND(ISNUMBER($I267),OR($K267="Milestone",$K267="Deadline"),$I267&gt;=AS$4,$I267&lt;AS$4+7),IF($K267="Deadline","◇","◆"),"")</f>
        <v/>
      </c>
      <c r="AT267" s="14" t="str">
        <f>IF(AND(ISNUMBER($I267),OR($K267="Milestone",$K267="Deadline"),$I267&gt;=AT$4,$I267&lt;AT$4+7),IF($K267="Deadline","◇","◆"),"")</f>
        <v/>
      </c>
      <c r="AU267" s="14" t="str">
        <f>IF(AND(ISNUMBER($I267),OR($K267="Milestone",$K267="Deadline"),$I267&gt;=AU$4,$I267&lt;AU$4+7),IF($K267="Deadline","◇","◆"),"")</f>
        <v/>
      </c>
      <c r="AV267" s="14" t="str">
        <f>IF(AND(ISNUMBER($I267),OR($K267="Milestone",$K267="Deadline"),$I267&gt;=AV$4,$I267&lt;AV$4+7),IF($K267="Deadline","◇","◆"),"")</f>
        <v/>
      </c>
      <c r="AW267" s="14" t="str">
        <f>IF(AND(ISNUMBER($I267),OR($K267="Milestone",$K267="Deadline"),$I267&gt;=AW$4,$I267&lt;AW$4+7),IF($K267="Deadline","◇","◆"),"")</f>
        <v/>
      </c>
      <c r="AX267" s="14" t="str">
        <f>IF(AND(ISNUMBER($I267),OR($K267="Milestone",$K267="Deadline"),$I267&gt;=AX$4,$I267&lt;AX$4+7),IF($K267="Deadline","◇","◆"),"")</f>
        <v/>
      </c>
      <c r="AY267" s="14" t="str">
        <f>IF(AND(ISNUMBER($I267),OR($K267="Milestone",$K267="Deadline"),$I267&gt;=AY$4,$I267&lt;AY$4+7),IF($K267="Deadline","◇","◆"),"")</f>
        <v/>
      </c>
      <c r="AZ267" s="14" t="str">
        <f>IF(AND(ISNUMBER($I267),OR($K267="Milestone",$K267="Deadline"),$I267&gt;=AZ$4,$I267&lt;AZ$4+7),IF($K267="Deadline","◇","◆"),"")</f>
        <v/>
      </c>
      <c r="BA267" s="14" t="str">
        <f>IF(AND(ISNUMBER($I267),OR($K267="Milestone",$K267="Deadline"),$I267&gt;=BA$4,$I267&lt;BA$4+7),IF($K267="Deadline","◇","◆"),"")</f>
        <v/>
      </c>
      <c r="BB267" s="14" t="str">
        <f>IF(AND(ISNUMBER($I267),OR($K267="Milestone",$K267="Deadline"),$I267&gt;=BB$4,$I267&lt;BB$4+7),IF($K267="Deadline","◇","◆"),"")</f>
        <v/>
      </c>
      <c r="BC267" s="14" t="str">
        <f>IF(AND(ISNUMBER($I267),OR($K267="Milestone",$K267="Deadline"),$I267&gt;=BC$4,$I267&lt;BC$4+7),IF($K267="Deadline","◇","◆"),"")</f>
        <v/>
      </c>
      <c r="BD267" s="14" t="str">
        <f>IF(AND(ISNUMBER($I267),OR($K267="Milestone",$K267="Deadline"),$I267&gt;=BD$4,$I267&lt;BD$4+7),IF($K267="Deadline","◇","◆"),"")</f>
        <v/>
      </c>
      <c r="BE267" s="14" t="str">
        <f>IF(AND(ISNUMBER($I267),OR($K267="Milestone",$K267="Deadline"),$I267&gt;=BE$4,$I267&lt;BE$4+7),IF($K267="Deadline","◇","◆"),"")</f>
        <v/>
      </c>
      <c r="BF267" s="14" t="str">
        <f>IF(AND(ISNUMBER($I267),OR($K267="Milestone",$K267="Deadline"),$I267&gt;=BF$4,$I267&lt;BF$4+7),IF($K267="Deadline","◇","◆"),"")</f>
        <v/>
      </c>
      <c r="BG267" s="14" t="str">
        <f>IF(AND(ISNUMBER($I267),OR($K267="Milestone",$K267="Deadline"),$I267&gt;=BG$4,$I267&lt;BG$4+7),IF($K267="Deadline","◇","◆"),"")</f>
        <v/>
      </c>
      <c r="BH267" s="14" t="str">
        <f>IF(AND(ISNUMBER($I267),OR($K267="Milestone",$K267="Deadline"),$I267&gt;=BH$4,$I267&lt;BH$4+7),IF($K267="Deadline","◇","◆"),"")</f>
        <v/>
      </c>
      <c r="BI267" s="14" t="str">
        <f>IF(AND(ISNUMBER($I267),OR($K267="Milestone",$K267="Deadline"),$I267&gt;=BI$4,$I267&lt;BI$4+7),IF($K267="Deadline","◇","◆"),"")</f>
        <v/>
      </c>
      <c r="BJ267" s="14" t="str">
        <f>IF(AND(ISNUMBER($I267),OR($K267="Milestone",$K267="Deadline"),$I267&gt;=BJ$4,$I267&lt;BJ$4+7),IF($K267="Deadline","◇","◆"),"")</f>
        <v/>
      </c>
      <c r="BK267" s="14" t="str">
        <f>IF(AND(ISNUMBER($I267),OR($K267="Milestone",$K267="Deadline"),$I267&gt;=BK$4,$I267&lt;BK$4+7),IF($K267="Deadline","◇","◆"),"")</f>
        <v/>
      </c>
      <c r="BL267" s="14" t="str">
        <f>IF(AND(ISNUMBER($I267),OR($K267="Milestone",$K267="Deadline"),$I267&gt;=BL$4,$I267&lt;BL$4+7),IF($K267="Deadline","◇","◆"),"")</f>
        <v/>
      </c>
      <c r="BM267" s="14" t="str">
        <f>IF(AND(ISNUMBER($I267),OR($K267="Milestone",$K267="Deadline"),$I267&gt;=BM$4,$I267&lt;BM$4+7),IF($K267="Deadline","◇","◆"),"")</f>
        <v/>
      </c>
      <c r="BN267" s="14" t="str">
        <f>IF(AND(ISNUMBER($I267),OR($K267="Milestone",$K267="Deadline"),$I267&gt;=BN$4,$I267&lt;BN$4+7),IF($K267="Deadline","◇","◆"),"")</f>
        <v/>
      </c>
      <c r="BO267" s="14" t="str">
        <f>IF(AND(ISNUMBER($I267),OR($K267="Milestone",$K267="Deadline"),$I267&gt;=BO$4,$I267&lt;BO$4+7),IF($K267="Deadline","◇","◆"),"")</f>
        <v/>
      </c>
      <c r="BP267" s="14" t="str">
        <f>IF(AND(ISNUMBER($I267),OR($K267="Milestone",$K267="Deadline"),$I267&gt;=BP$4,$I267&lt;BP$4+7),IF($K267="Deadline","◇","◆"),"")</f>
        <v/>
      </c>
      <c r="BQ267" s="14" t="str">
        <f>IF(AND(ISNUMBER($I267),OR($K267="Milestone",$K267="Deadline"),$I267&gt;=BQ$4,$I267&lt;BQ$4+7),IF($K267="Deadline","◇","◆"),"")</f>
        <v/>
      </c>
      <c r="BR267" s="14" t="str">
        <f>IF(AND(ISNUMBER($I267),OR($K267="Milestone",$K267="Deadline"),$I267&gt;=BR$4,$I267&lt;BR$4+7),IF($K267="Deadline","◇","◆"),"")</f>
        <v/>
      </c>
      <c r="BS267" s="14" t="str">
        <f>IF(AND(ISNUMBER($I267),OR($K267="Milestone",$K267="Deadline"),$I267&gt;=BS$4,$I267&lt;BS$4+7),IF($K267="Deadline","◇","◆"),"")</f>
        <v/>
      </c>
      <c r="BT267" s="14" t="str">
        <f>IF(AND(ISNUMBER($I267),OR($K267="Milestone",$K267="Deadline"),$I267&gt;=BT$4,$I267&lt;BT$4+7),IF($K267="Deadline","◇","◆"),"")</f>
        <v/>
      </c>
      <c r="BU267" s="14" t="str">
        <f>IF(AND(ISNUMBER($I267),OR($K267="Milestone",$K267="Deadline"),$I267&gt;=BU$4,$I267&lt;BU$4+7),IF($K267="Deadline","◇","◆"),"")</f>
        <v/>
      </c>
      <c r="BV267" s="14" t="str">
        <f>IF(AND(ISNUMBER($I267),OR($K267="Milestone",$K267="Deadline"),$I267&gt;=BV$4,$I267&lt;BV$4+7),IF($K267="Deadline","◇","◆"),"")</f>
        <v/>
      </c>
      <c r="BW267" s="14" t="str">
        <f>IF(AND(ISNUMBER($I267),OR($K267="Milestone",$K267="Deadline"),$I267&gt;=BW$4,$I267&lt;BW$4+7),IF($K267="Deadline","◇","◆"),"")</f>
        <v/>
      </c>
      <c r="BX267" s="14" t="str">
        <f>IF(AND(ISNUMBER($I267),OR($K267="Milestone",$K267="Deadline"),$I267&gt;=BX$4,$I267&lt;BX$4+7),IF($K267="Deadline","◇","◆"),"")</f>
        <v/>
      </c>
      <c r="BY267" s="14" t="str">
        <f>IF(AND(ISNUMBER($I267),OR($K267="Milestone",$K267="Deadline"),$I267&gt;=BY$4,$I267&lt;BY$4+7),IF($K267="Deadline","◇","◆"),"")</f>
        <v/>
      </c>
      <c r="BZ267" s="14" t="str">
        <f>IF(AND(ISNUMBER($I267),OR($K267="Milestone",$K267="Deadline"),$I267&gt;=BZ$4,$I267&lt;BZ$4+7),IF($K267="Deadline","◇","◆"),"")</f>
        <v/>
      </c>
      <c r="CA267" s="14" t="str">
        <f>IF(AND(ISNUMBER($I267),OR($K267="Milestone",$K267="Deadline"),$I267&gt;=CA$4,$I267&lt;CA$4+7),IF($K267="Deadline","◇","◆"),"")</f>
        <v/>
      </c>
      <c r="CB267" s="14" t="str">
        <f>IF(AND(ISNUMBER($I267),OR($K267="Milestone",$K267="Deadline"),$I267&gt;=CB$4,$I267&lt;CB$4+7),IF($K267="Deadline","◇","◆"),"")</f>
        <v/>
      </c>
      <c r="CC267" s="14" t="str">
        <f>IF(AND(ISNUMBER($I267),OR($K267="Milestone",$K267="Deadline"),$I267&gt;=CC$4,$I267&lt;CC$4+7),IF($K267="Deadline","◇","◆"),"")</f>
        <v/>
      </c>
      <c r="CD267" s="14" t="str">
        <f>IF(AND(ISNUMBER($I267),OR($K267="Milestone",$K267="Deadline"),$I267&gt;=CD$4,$I267&lt;CD$4+7),IF($K267="Deadline","◇","◆"),"")</f>
        <v/>
      </c>
      <c r="CE267" s="14" t="str">
        <f>IF(AND(ISNUMBER($I267),OR($K267="Milestone",$K267="Deadline"),$I267&gt;=CE$4,$I267&lt;CE$4+7),IF($K267="Deadline","◇","◆"),"")</f>
        <v/>
      </c>
      <c r="CF267" s="14" t="str">
        <f>IF(AND(ISNUMBER($I267),OR($K267="Milestone",$K267="Deadline"),$I267&gt;=CF$4,$I267&lt;CF$4+7),IF($K267="Deadline","◇","◆"),"")</f>
        <v/>
      </c>
      <c r="CG267" s="14" t="str">
        <f>IF(AND(ISNUMBER($I267),OR($K267="Milestone",$K267="Deadline"),$I267&gt;=CG$4,$I267&lt;CG$4+7),IF($K267="Deadline","◇","◆"),"")</f>
        <v/>
      </c>
      <c r="CH267" s="14" t="str">
        <f>IF(AND(ISNUMBER($I267),OR($K267="Milestone",$K267="Deadline"),$I267&gt;=CH$4,$I267&lt;CH$4+7),IF($K267="Deadline","◇","◆"),"")</f>
        <v/>
      </c>
      <c r="CI267" s="14" t="str">
        <f>IF(AND(ISNUMBER($I267),OR($K267="Milestone",$K267="Deadline"),$I267&gt;=CI$4,$I267&lt;CI$4+7),IF($K267="Deadline","◇","◆"),"")</f>
        <v/>
      </c>
      <c r="CJ267" s="14" t="str">
        <f>IF(AND(ISNUMBER($I267),OR($K267="Milestone",$K267="Deadline"),$I267&gt;=CJ$4,$I267&lt;CJ$4+7),IF($K267="Deadline","◇","◆"),"")</f>
        <v/>
      </c>
      <c r="CK267" s="14" t="str">
        <f>IF(AND(ISNUMBER($I267),OR($K267="Milestone",$K267="Deadline"),$I267&gt;=CK$4,$I267&lt;CK$4+7),IF($K267="Deadline","◇","◆"),"")</f>
        <v/>
      </c>
      <c r="CL267" s="14" t="str">
        <f>IF(AND(ISNUMBER($I267),OR($K267="Milestone",$K267="Deadline"),$I267&gt;=CL$4,$I267&lt;CL$4+7),IF($K267="Deadline","◇","◆"),"")</f>
        <v/>
      </c>
      <c r="CM267" s="14" t="str">
        <f>IF(AND(ISNUMBER($I267),OR($K267="Milestone",$K267="Deadline"),$I267&gt;=CM$4,$I267&lt;CM$4+7),IF($K267="Deadline","◇","◆"),"")</f>
        <v/>
      </c>
    </row>
    <row r="268" spans="1:91" hidden="1">
      <c r="A268" s="39" t="s">
        <v>531</v>
      </c>
      <c r="B268" s="39" t="s">
        <v>527</v>
      </c>
      <c r="C268" s="39" t="s">
        <v>93</v>
      </c>
      <c r="D268" s="39" t="s">
        <v>514</v>
      </c>
      <c r="E268" s="39" t="s">
        <v>196</v>
      </c>
      <c r="F268" s="39" t="s">
        <v>204</v>
      </c>
      <c r="G268" s="39" t="s">
        <v>275</v>
      </c>
      <c r="H268" s="39">
        <v>13</v>
      </c>
      <c r="I268" s="40">
        <f>MAX($C$2,J267+1,J202+1)</f>
        <v>46444</v>
      </c>
      <c r="J268" s="41">
        <f>IF(AND(ISNUMBER(I268),ISNUMBER(H268)),I268+H268-1,"")</f>
        <v>46456</v>
      </c>
      <c r="K268" s="39" t="s">
        <v>27</v>
      </c>
      <c r="L268" s="39" t="s">
        <v>507</v>
      </c>
      <c r="M268" s="42" t="s">
        <v>279</v>
      </c>
      <c r="N268" s="39"/>
      <c r="O268" s="42">
        <f>IF(AND(ISNUMBER(I268),ISNUMBER(J268)),J268-I268+1,"")</f>
        <v>13</v>
      </c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  <c r="AG268" s="13"/>
      <c r="AH268" s="13" t="s">
        <v>140</v>
      </c>
      <c r="AI268" s="13"/>
      <c r="AJ268" s="13"/>
      <c r="AK268" s="13"/>
      <c r="AL268" s="13"/>
      <c r="AM268" s="13"/>
      <c r="AN268" s="13"/>
      <c r="AO268" s="14" t="str">
        <f>IF(AND(ISNUMBER($I268),OR($K268="Milestone",$K268="Deadline"),$I268&gt;=AO$4,$I268&lt;AO$4+7),IF($K268="Deadline","◇","◆"),"")</f>
        <v/>
      </c>
      <c r="AP268" s="14" t="str">
        <f>IF(AND(ISNUMBER($I268),OR($K268="Milestone",$K268="Deadline"),$I268&gt;=AP$4,$I268&lt;AP$4+7),IF($K268="Deadline","◇","◆"),"")</f>
        <v/>
      </c>
      <c r="AQ268" s="14" t="str">
        <f>IF(AND(ISNUMBER($I268),OR($K268="Milestone",$K268="Deadline"),$I268&gt;=AQ$4,$I268&lt;AQ$4+7),IF($K268="Deadline","◇","◆"),"")</f>
        <v/>
      </c>
      <c r="AR268" s="14" t="str">
        <f>IF(AND(ISNUMBER($I268),OR($K268="Milestone",$K268="Deadline"),$I268&gt;=AR$4,$I268&lt;AR$4+7),IF($K268="Deadline","◇","◆"),"")</f>
        <v/>
      </c>
      <c r="AS268" s="14" t="str">
        <f>IF(AND(ISNUMBER($I268),OR($K268="Milestone",$K268="Deadline"),$I268&gt;=AS$4,$I268&lt;AS$4+7),IF($K268="Deadline","◇","◆"),"")</f>
        <v/>
      </c>
      <c r="AT268" s="14" t="str">
        <f>IF(AND(ISNUMBER($I268),OR($K268="Milestone",$K268="Deadline"),$I268&gt;=AT$4,$I268&lt;AT$4+7),IF($K268="Deadline","◇","◆"),"")</f>
        <v/>
      </c>
      <c r="AU268" s="14" t="str">
        <f>IF(AND(ISNUMBER($I268),OR($K268="Milestone",$K268="Deadline"),$I268&gt;=AU$4,$I268&lt;AU$4+7),IF($K268="Deadline","◇","◆"),"")</f>
        <v/>
      </c>
      <c r="AV268" s="14" t="str">
        <f>IF(AND(ISNUMBER($I268),OR($K268="Milestone",$K268="Deadline"),$I268&gt;=AV$4,$I268&lt;AV$4+7),IF($K268="Deadline","◇","◆"),"")</f>
        <v/>
      </c>
      <c r="AW268" s="14" t="str">
        <f>IF(AND(ISNUMBER($I268),OR($K268="Milestone",$K268="Deadline"),$I268&gt;=AW$4,$I268&lt;AW$4+7),IF($K268="Deadline","◇","◆"),"")</f>
        <v/>
      </c>
      <c r="AX268" s="14" t="str">
        <f>IF(AND(ISNUMBER($I268),OR($K268="Milestone",$K268="Deadline"),$I268&gt;=AX$4,$I268&lt;AX$4+7),IF($K268="Deadline","◇","◆"),"")</f>
        <v/>
      </c>
      <c r="AY268" s="14" t="str">
        <f>IF(AND(ISNUMBER($I268),OR($K268="Milestone",$K268="Deadline"),$I268&gt;=AY$4,$I268&lt;AY$4+7),IF($K268="Deadline","◇","◆"),"")</f>
        <v/>
      </c>
      <c r="AZ268" s="14" t="str">
        <f>IF(AND(ISNUMBER($I268),OR($K268="Milestone",$K268="Deadline"),$I268&gt;=AZ$4,$I268&lt;AZ$4+7),IF($K268="Deadline","◇","◆"),"")</f>
        <v/>
      </c>
      <c r="BA268" s="14" t="str">
        <f>IF(AND(ISNUMBER($I268),OR($K268="Milestone",$K268="Deadline"),$I268&gt;=BA$4,$I268&lt;BA$4+7),IF($K268="Deadline","◇","◆"),"")</f>
        <v/>
      </c>
      <c r="BB268" s="14" t="str">
        <f>IF(AND(ISNUMBER($I268),OR($K268="Milestone",$K268="Deadline"),$I268&gt;=BB$4,$I268&lt;BB$4+7),IF($K268="Deadline","◇","◆"),"")</f>
        <v/>
      </c>
      <c r="BC268" s="14" t="str">
        <f>IF(AND(ISNUMBER($I268),OR($K268="Milestone",$K268="Deadline"),$I268&gt;=BC$4,$I268&lt;BC$4+7),IF($K268="Deadline","◇","◆"),"")</f>
        <v/>
      </c>
      <c r="BD268" s="14" t="str">
        <f>IF(AND(ISNUMBER($I268),OR($K268="Milestone",$K268="Deadline"),$I268&gt;=BD$4,$I268&lt;BD$4+7),IF($K268="Deadline","◇","◆"),"")</f>
        <v/>
      </c>
      <c r="BE268" s="14" t="str">
        <f>IF(AND(ISNUMBER($I268),OR($K268="Milestone",$K268="Deadline"),$I268&gt;=BE$4,$I268&lt;BE$4+7),IF($K268="Deadline","◇","◆"),"")</f>
        <v/>
      </c>
      <c r="BF268" s="14" t="str">
        <f>IF(AND(ISNUMBER($I268),OR($K268="Milestone",$K268="Deadline"),$I268&gt;=BF$4,$I268&lt;BF$4+7),IF($K268="Deadline","◇","◆"),"")</f>
        <v/>
      </c>
      <c r="BG268" s="14" t="str">
        <f>IF(AND(ISNUMBER($I268),OR($K268="Milestone",$K268="Deadline"),$I268&gt;=BG$4,$I268&lt;BG$4+7),IF($K268="Deadline","◇","◆"),"")</f>
        <v/>
      </c>
      <c r="BH268" s="14" t="str">
        <f>IF(AND(ISNUMBER($I268),OR($K268="Milestone",$K268="Deadline"),$I268&gt;=BH$4,$I268&lt;BH$4+7),IF($K268="Deadline","◇","◆"),"")</f>
        <v/>
      </c>
      <c r="BI268" s="14" t="str">
        <f>IF(AND(ISNUMBER($I268),OR($K268="Milestone",$K268="Deadline"),$I268&gt;=BI$4,$I268&lt;BI$4+7),IF($K268="Deadline","◇","◆"),"")</f>
        <v/>
      </c>
      <c r="BJ268" s="14" t="str">
        <f>IF(AND(ISNUMBER($I268),OR($K268="Milestone",$K268="Deadline"),$I268&gt;=BJ$4,$I268&lt;BJ$4+7),IF($K268="Deadline","◇","◆"),"")</f>
        <v/>
      </c>
      <c r="BK268" s="14" t="str">
        <f>IF(AND(ISNUMBER($I268),OR($K268="Milestone",$K268="Deadline"),$I268&gt;=BK$4,$I268&lt;BK$4+7),IF($K268="Deadline","◇","◆"),"")</f>
        <v/>
      </c>
      <c r="BL268" s="14" t="str">
        <f>IF(AND(ISNUMBER($I268),OR($K268="Milestone",$K268="Deadline"),$I268&gt;=BL$4,$I268&lt;BL$4+7),IF($K268="Deadline","◇","◆"),"")</f>
        <v/>
      </c>
      <c r="BM268" s="14" t="str">
        <f>IF(AND(ISNUMBER($I268),OR($K268="Milestone",$K268="Deadline"),$I268&gt;=BM$4,$I268&lt;BM$4+7),IF($K268="Deadline","◇","◆"),"")</f>
        <v/>
      </c>
      <c r="BN268" s="14" t="str">
        <f>IF(AND(ISNUMBER($I268),OR($K268="Milestone",$K268="Deadline"),$I268&gt;=BN$4,$I268&lt;BN$4+7),IF($K268="Deadline","◇","◆"),"")</f>
        <v/>
      </c>
      <c r="BO268" s="14" t="str">
        <f>IF(AND(ISNUMBER($I268),OR($K268="Milestone",$K268="Deadline"),$I268&gt;=BO$4,$I268&lt;BO$4+7),IF($K268="Deadline","◇","◆"),"")</f>
        <v/>
      </c>
      <c r="BP268" s="14" t="str">
        <f>IF(AND(ISNUMBER($I268),OR($K268="Milestone",$K268="Deadline"),$I268&gt;=BP$4,$I268&lt;BP$4+7),IF($K268="Deadline","◇","◆"),"")</f>
        <v/>
      </c>
      <c r="BQ268" s="14" t="str">
        <f>IF(AND(ISNUMBER($I268),OR($K268="Milestone",$K268="Deadline"),$I268&gt;=BQ$4,$I268&lt;BQ$4+7),IF($K268="Deadline","◇","◆"),"")</f>
        <v/>
      </c>
      <c r="BR268" s="14" t="str">
        <f>IF(AND(ISNUMBER($I268),OR($K268="Milestone",$K268="Deadline"),$I268&gt;=BR$4,$I268&lt;BR$4+7),IF($K268="Deadline","◇","◆"),"")</f>
        <v/>
      </c>
      <c r="BS268" s="14" t="str">
        <f>IF(AND(ISNUMBER($I268),OR($K268="Milestone",$K268="Deadline"),$I268&gt;=BS$4,$I268&lt;BS$4+7),IF($K268="Deadline","◇","◆"),"")</f>
        <v/>
      </c>
      <c r="BT268" s="14" t="str">
        <f>IF(AND(ISNUMBER($I268),OR($K268="Milestone",$K268="Deadline"),$I268&gt;=BT$4,$I268&lt;BT$4+7),IF($K268="Deadline","◇","◆"),"")</f>
        <v/>
      </c>
      <c r="BU268" s="14" t="str">
        <f>IF(AND(ISNUMBER($I268),OR($K268="Milestone",$K268="Deadline"),$I268&gt;=BU$4,$I268&lt;BU$4+7),IF($K268="Deadline","◇","◆"),"")</f>
        <v/>
      </c>
      <c r="BV268" s="14" t="str">
        <f>IF(AND(ISNUMBER($I268),OR($K268="Milestone",$K268="Deadline"),$I268&gt;=BV$4,$I268&lt;BV$4+7),IF($K268="Deadline","◇","◆"),"")</f>
        <v/>
      </c>
      <c r="BW268" s="14" t="str">
        <f>IF(AND(ISNUMBER($I268),OR($K268="Milestone",$K268="Deadline"),$I268&gt;=BW$4,$I268&lt;BW$4+7),IF($K268="Deadline","◇","◆"),"")</f>
        <v/>
      </c>
      <c r="BX268" s="14" t="str">
        <f>IF(AND(ISNUMBER($I268),OR($K268="Milestone",$K268="Deadline"),$I268&gt;=BX$4,$I268&lt;BX$4+7),IF($K268="Deadline","◇","◆"),"")</f>
        <v/>
      </c>
      <c r="BY268" s="14" t="str">
        <f>IF(AND(ISNUMBER($I268),OR($K268="Milestone",$K268="Deadline"),$I268&gt;=BY$4,$I268&lt;BY$4+7),IF($K268="Deadline","◇","◆"),"")</f>
        <v/>
      </c>
      <c r="BZ268" s="14" t="str">
        <f>IF(AND(ISNUMBER($I268),OR($K268="Milestone",$K268="Deadline"),$I268&gt;=BZ$4,$I268&lt;BZ$4+7),IF($K268="Deadline","◇","◆"),"")</f>
        <v/>
      </c>
      <c r="CA268" s="14" t="str">
        <f>IF(AND(ISNUMBER($I268),OR($K268="Milestone",$K268="Deadline"),$I268&gt;=CA$4,$I268&lt;CA$4+7),IF($K268="Deadline","◇","◆"),"")</f>
        <v/>
      </c>
      <c r="CB268" s="14" t="str">
        <f>IF(AND(ISNUMBER($I268),OR($K268="Milestone",$K268="Deadline"),$I268&gt;=CB$4,$I268&lt;CB$4+7),IF($K268="Deadline","◇","◆"),"")</f>
        <v/>
      </c>
      <c r="CC268" s="14" t="str">
        <f>IF(AND(ISNUMBER($I268),OR($K268="Milestone",$K268="Deadline"),$I268&gt;=CC$4,$I268&lt;CC$4+7),IF($K268="Deadline","◇","◆"),"")</f>
        <v/>
      </c>
      <c r="CD268" s="14" t="str">
        <f>IF(AND(ISNUMBER($I268),OR($K268="Milestone",$K268="Deadline"),$I268&gt;=CD$4,$I268&lt;CD$4+7),IF($K268="Deadline","◇","◆"),"")</f>
        <v/>
      </c>
      <c r="CE268" s="14" t="str">
        <f>IF(AND(ISNUMBER($I268),OR($K268="Milestone",$K268="Deadline"),$I268&gt;=CE$4,$I268&lt;CE$4+7),IF($K268="Deadline","◇","◆"),"")</f>
        <v/>
      </c>
      <c r="CF268" s="14" t="str">
        <f>IF(AND(ISNUMBER($I268),OR($K268="Milestone",$K268="Deadline"),$I268&gt;=CF$4,$I268&lt;CF$4+7),IF($K268="Deadline","◇","◆"),"")</f>
        <v/>
      </c>
      <c r="CG268" s="14" t="str">
        <f>IF(AND(ISNUMBER($I268),OR($K268="Milestone",$K268="Deadline"),$I268&gt;=CG$4,$I268&lt;CG$4+7),IF($K268="Deadline","◇","◆"),"")</f>
        <v/>
      </c>
      <c r="CH268" s="14" t="str">
        <f>IF(AND(ISNUMBER($I268),OR($K268="Milestone",$K268="Deadline"),$I268&gt;=CH$4,$I268&lt;CH$4+7),IF($K268="Deadline","◇","◆"),"")</f>
        <v/>
      </c>
      <c r="CI268" s="14" t="str">
        <f>IF(AND(ISNUMBER($I268),OR($K268="Milestone",$K268="Deadline"),$I268&gt;=CI$4,$I268&lt;CI$4+7),IF($K268="Deadline","◇","◆"),"")</f>
        <v/>
      </c>
      <c r="CJ268" s="14" t="str">
        <f>IF(AND(ISNUMBER($I268),OR($K268="Milestone",$K268="Deadline"),$I268&gt;=CJ$4,$I268&lt;CJ$4+7),IF($K268="Deadline","◇","◆"),"")</f>
        <v/>
      </c>
      <c r="CK268" s="14" t="str">
        <f>IF(AND(ISNUMBER($I268),OR($K268="Milestone",$K268="Deadline"),$I268&gt;=CK$4,$I268&lt;CK$4+7),IF($K268="Deadline","◇","◆"),"")</f>
        <v/>
      </c>
      <c r="CL268" s="14" t="str">
        <f>IF(AND(ISNUMBER($I268),OR($K268="Milestone",$K268="Deadline"),$I268&gt;=CL$4,$I268&lt;CL$4+7),IF($K268="Deadline","◇","◆"),"")</f>
        <v/>
      </c>
      <c r="CM268" s="14" t="str">
        <f>IF(AND(ISNUMBER($I268),OR($K268="Milestone",$K268="Deadline"),$I268&gt;=CM$4,$I268&lt;CM$4+7),IF($K268="Deadline","◇","◆"),"")</f>
        <v/>
      </c>
    </row>
    <row r="269" spans="1:91" hidden="1">
      <c r="A269" s="39" t="s">
        <v>532</v>
      </c>
      <c r="B269" s="39" t="s">
        <v>527</v>
      </c>
      <c r="C269" s="39" t="s">
        <v>191</v>
      </c>
      <c r="D269" s="39" t="s">
        <v>514</v>
      </c>
      <c r="E269" s="39" t="s">
        <v>196</v>
      </c>
      <c r="F269" s="39" t="s">
        <v>204</v>
      </c>
      <c r="G269" s="39" t="s">
        <v>278</v>
      </c>
      <c r="H269" s="39">
        <v>8</v>
      </c>
      <c r="I269" s="40">
        <f>MAX(DATE(2027,3,1),J268+1,J93+1)</f>
        <v>46457</v>
      </c>
      <c r="J269" s="41">
        <f>IF(AND(ISNUMBER(I269),ISNUMBER(H269)),I269+H269-1,"")</f>
        <v>46464</v>
      </c>
      <c r="K269" s="39" t="s">
        <v>27</v>
      </c>
      <c r="L269" s="39" t="s">
        <v>531</v>
      </c>
      <c r="M269" s="42" t="s">
        <v>277</v>
      </c>
      <c r="N269" s="39"/>
      <c r="O269" s="42">
        <f>IF(AND(ISNUMBER(I269),ISNUMBER(J269)),J269-I269+1,"")</f>
        <v>8</v>
      </c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  <c r="AG269" s="13" t="s">
        <v>140</v>
      </c>
      <c r="AH269" s="13"/>
      <c r="AI269" s="13"/>
      <c r="AJ269" s="13"/>
      <c r="AK269" s="13"/>
      <c r="AL269" s="13"/>
      <c r="AM269" s="13"/>
      <c r="AN269" s="13"/>
      <c r="AO269" s="14" t="str">
        <f>IF(AND(ISNUMBER($I269),OR($K269="Milestone",$K269="Deadline"),$I269&gt;=AO$4,$I269&lt;AO$4+7),IF($K269="Deadline","◇","◆"),"")</f>
        <v/>
      </c>
      <c r="AP269" s="14" t="str">
        <f>IF(AND(ISNUMBER($I269),OR($K269="Milestone",$K269="Deadline"),$I269&gt;=AP$4,$I269&lt;AP$4+7),IF($K269="Deadline","◇","◆"),"")</f>
        <v/>
      </c>
      <c r="AQ269" s="14" t="str">
        <f>IF(AND(ISNUMBER($I269),OR($K269="Milestone",$K269="Deadline"),$I269&gt;=AQ$4,$I269&lt;AQ$4+7),IF($K269="Deadline","◇","◆"),"")</f>
        <v/>
      </c>
      <c r="AR269" s="14" t="str">
        <f>IF(AND(ISNUMBER($I269),OR($K269="Milestone",$K269="Deadline"),$I269&gt;=AR$4,$I269&lt;AR$4+7),IF($K269="Deadline","◇","◆"),"")</f>
        <v/>
      </c>
      <c r="AS269" s="14" t="str">
        <f>IF(AND(ISNUMBER($I269),OR($K269="Milestone",$K269="Deadline"),$I269&gt;=AS$4,$I269&lt;AS$4+7),IF($K269="Deadline","◇","◆"),"")</f>
        <v/>
      </c>
      <c r="AT269" s="14" t="str">
        <f>IF(AND(ISNUMBER($I269),OR($K269="Milestone",$K269="Deadline"),$I269&gt;=AT$4,$I269&lt;AT$4+7),IF($K269="Deadline","◇","◆"),"")</f>
        <v/>
      </c>
      <c r="AU269" s="14" t="str">
        <f>IF(AND(ISNUMBER($I269),OR($K269="Milestone",$K269="Deadline"),$I269&gt;=AU$4,$I269&lt;AU$4+7),IF($K269="Deadline","◇","◆"),"")</f>
        <v/>
      </c>
      <c r="AV269" s="14" t="str">
        <f>IF(AND(ISNUMBER($I269),OR($K269="Milestone",$K269="Deadline"),$I269&gt;=AV$4,$I269&lt;AV$4+7),IF($K269="Deadline","◇","◆"),"")</f>
        <v/>
      </c>
      <c r="AW269" s="14" t="str">
        <f>IF(AND(ISNUMBER($I269),OR($K269="Milestone",$K269="Deadline"),$I269&gt;=AW$4,$I269&lt;AW$4+7),IF($K269="Deadline","◇","◆"),"")</f>
        <v/>
      </c>
      <c r="AX269" s="14" t="str">
        <f>IF(AND(ISNUMBER($I269),OR($K269="Milestone",$K269="Deadline"),$I269&gt;=AX$4,$I269&lt;AX$4+7),IF($K269="Deadline","◇","◆"),"")</f>
        <v/>
      </c>
      <c r="AY269" s="14" t="str">
        <f>IF(AND(ISNUMBER($I269),OR($K269="Milestone",$K269="Deadline"),$I269&gt;=AY$4,$I269&lt;AY$4+7),IF($K269="Deadline","◇","◆"),"")</f>
        <v/>
      </c>
      <c r="AZ269" s="14" t="str">
        <f>IF(AND(ISNUMBER($I269),OR($K269="Milestone",$K269="Deadline"),$I269&gt;=AZ$4,$I269&lt;AZ$4+7),IF($K269="Deadline","◇","◆"),"")</f>
        <v/>
      </c>
      <c r="BA269" s="14" t="str">
        <f>IF(AND(ISNUMBER($I269),OR($K269="Milestone",$K269="Deadline"),$I269&gt;=BA$4,$I269&lt;BA$4+7),IF($K269="Deadline","◇","◆"),"")</f>
        <v/>
      </c>
      <c r="BB269" s="14" t="str">
        <f>IF(AND(ISNUMBER($I269),OR($K269="Milestone",$K269="Deadline"),$I269&gt;=BB$4,$I269&lt;BB$4+7),IF($K269="Deadline","◇","◆"),"")</f>
        <v/>
      </c>
      <c r="BC269" s="14" t="str">
        <f>IF(AND(ISNUMBER($I269),OR($K269="Milestone",$K269="Deadline"),$I269&gt;=BC$4,$I269&lt;BC$4+7),IF($K269="Deadline","◇","◆"),"")</f>
        <v/>
      </c>
      <c r="BD269" s="14" t="str">
        <f>IF(AND(ISNUMBER($I269),OR($K269="Milestone",$K269="Deadline"),$I269&gt;=BD$4,$I269&lt;BD$4+7),IF($K269="Deadline","◇","◆"),"")</f>
        <v/>
      </c>
      <c r="BE269" s="14" t="str">
        <f>IF(AND(ISNUMBER($I269),OR($K269="Milestone",$K269="Deadline"),$I269&gt;=BE$4,$I269&lt;BE$4+7),IF($K269="Deadline","◇","◆"),"")</f>
        <v/>
      </c>
      <c r="BF269" s="14" t="str">
        <f>IF(AND(ISNUMBER($I269),OR($K269="Milestone",$K269="Deadline"),$I269&gt;=BF$4,$I269&lt;BF$4+7),IF($K269="Deadline","◇","◆"),"")</f>
        <v/>
      </c>
      <c r="BG269" s="14" t="str">
        <f>IF(AND(ISNUMBER($I269),OR($K269="Milestone",$K269="Deadline"),$I269&gt;=BG$4,$I269&lt;BG$4+7),IF($K269="Deadline","◇","◆"),"")</f>
        <v/>
      </c>
      <c r="BH269" s="14" t="str">
        <f>IF(AND(ISNUMBER($I269),OR($K269="Milestone",$K269="Deadline"),$I269&gt;=BH$4,$I269&lt;BH$4+7),IF($K269="Deadline","◇","◆"),"")</f>
        <v/>
      </c>
      <c r="BI269" s="14" t="str">
        <f>IF(AND(ISNUMBER($I269),OR($K269="Milestone",$K269="Deadline"),$I269&gt;=BI$4,$I269&lt;BI$4+7),IF($K269="Deadline","◇","◆"),"")</f>
        <v/>
      </c>
      <c r="BJ269" s="14" t="str">
        <f>IF(AND(ISNUMBER($I269),OR($K269="Milestone",$K269="Deadline"),$I269&gt;=BJ$4,$I269&lt;BJ$4+7),IF($K269="Deadline","◇","◆"),"")</f>
        <v/>
      </c>
      <c r="BK269" s="14" t="str">
        <f>IF(AND(ISNUMBER($I269),OR($K269="Milestone",$K269="Deadline"),$I269&gt;=BK$4,$I269&lt;BK$4+7),IF($K269="Deadline","◇","◆"),"")</f>
        <v/>
      </c>
      <c r="BL269" s="14" t="str">
        <f>IF(AND(ISNUMBER($I269),OR($K269="Milestone",$K269="Deadline"),$I269&gt;=BL$4,$I269&lt;BL$4+7),IF($K269="Deadline","◇","◆"),"")</f>
        <v/>
      </c>
      <c r="BM269" s="14" t="str">
        <f>IF(AND(ISNUMBER($I269),OR($K269="Milestone",$K269="Deadline"),$I269&gt;=BM$4,$I269&lt;BM$4+7),IF($K269="Deadline","◇","◆"),"")</f>
        <v/>
      </c>
      <c r="BN269" s="14" t="str">
        <f>IF(AND(ISNUMBER($I269),OR($K269="Milestone",$K269="Deadline"),$I269&gt;=BN$4,$I269&lt;BN$4+7),IF($K269="Deadline","◇","◆"),"")</f>
        <v/>
      </c>
      <c r="BO269" s="14" t="str">
        <f>IF(AND(ISNUMBER($I269),OR($K269="Milestone",$K269="Deadline"),$I269&gt;=BO$4,$I269&lt;BO$4+7),IF($K269="Deadline","◇","◆"),"")</f>
        <v/>
      </c>
      <c r="BP269" s="14" t="str">
        <f>IF(AND(ISNUMBER($I269),OR($K269="Milestone",$K269="Deadline"),$I269&gt;=BP$4,$I269&lt;BP$4+7),IF($K269="Deadline","◇","◆"),"")</f>
        <v/>
      </c>
      <c r="BQ269" s="14" t="str">
        <f>IF(AND(ISNUMBER($I269),OR($K269="Milestone",$K269="Deadline"),$I269&gt;=BQ$4,$I269&lt;BQ$4+7),IF($K269="Deadline","◇","◆"),"")</f>
        <v/>
      </c>
      <c r="BR269" s="14" t="str">
        <f>IF(AND(ISNUMBER($I269),OR($K269="Milestone",$K269="Deadline"),$I269&gt;=BR$4,$I269&lt;BR$4+7),IF($K269="Deadline","◇","◆"),"")</f>
        <v/>
      </c>
      <c r="BS269" s="14" t="str">
        <f>IF(AND(ISNUMBER($I269),OR($K269="Milestone",$K269="Deadline"),$I269&gt;=BS$4,$I269&lt;BS$4+7),IF($K269="Deadline","◇","◆"),"")</f>
        <v/>
      </c>
      <c r="BT269" s="14" t="str">
        <f>IF(AND(ISNUMBER($I269),OR($K269="Milestone",$K269="Deadline"),$I269&gt;=BT$4,$I269&lt;BT$4+7),IF($K269="Deadline","◇","◆"),"")</f>
        <v/>
      </c>
      <c r="BU269" s="14" t="str">
        <f>IF(AND(ISNUMBER($I269),OR($K269="Milestone",$K269="Deadline"),$I269&gt;=BU$4,$I269&lt;BU$4+7),IF($K269="Deadline","◇","◆"),"")</f>
        <v/>
      </c>
      <c r="BV269" s="14" t="str">
        <f>IF(AND(ISNUMBER($I269),OR($K269="Milestone",$K269="Deadline"),$I269&gt;=BV$4,$I269&lt;BV$4+7),IF($K269="Deadline","◇","◆"),"")</f>
        <v/>
      </c>
      <c r="BW269" s="14" t="str">
        <f>IF(AND(ISNUMBER($I269),OR($K269="Milestone",$K269="Deadline"),$I269&gt;=BW$4,$I269&lt;BW$4+7),IF($K269="Deadline","◇","◆"),"")</f>
        <v/>
      </c>
      <c r="BX269" s="14" t="str">
        <f>IF(AND(ISNUMBER($I269),OR($K269="Milestone",$K269="Deadline"),$I269&gt;=BX$4,$I269&lt;BX$4+7),IF($K269="Deadline","◇","◆"),"")</f>
        <v/>
      </c>
      <c r="BY269" s="14" t="str">
        <f>IF(AND(ISNUMBER($I269),OR($K269="Milestone",$K269="Deadline"),$I269&gt;=BY$4,$I269&lt;BY$4+7),IF($K269="Deadline","◇","◆"),"")</f>
        <v/>
      </c>
      <c r="BZ269" s="14" t="str">
        <f>IF(AND(ISNUMBER($I269),OR($K269="Milestone",$K269="Deadline"),$I269&gt;=BZ$4,$I269&lt;BZ$4+7),IF($K269="Deadline","◇","◆"),"")</f>
        <v/>
      </c>
      <c r="CA269" s="14" t="str">
        <f>IF(AND(ISNUMBER($I269),OR($K269="Milestone",$K269="Deadline"),$I269&gt;=CA$4,$I269&lt;CA$4+7),IF($K269="Deadline","◇","◆"),"")</f>
        <v/>
      </c>
      <c r="CB269" s="14" t="str">
        <f>IF(AND(ISNUMBER($I269),OR($K269="Milestone",$K269="Deadline"),$I269&gt;=CB$4,$I269&lt;CB$4+7),IF($K269="Deadline","◇","◆"),"")</f>
        <v/>
      </c>
      <c r="CC269" s="14" t="str">
        <f>IF(AND(ISNUMBER($I269),OR($K269="Milestone",$K269="Deadline"),$I269&gt;=CC$4,$I269&lt;CC$4+7),IF($K269="Deadline","◇","◆"),"")</f>
        <v/>
      </c>
      <c r="CD269" s="14" t="str">
        <f>IF(AND(ISNUMBER($I269),OR($K269="Milestone",$K269="Deadline"),$I269&gt;=CD$4,$I269&lt;CD$4+7),IF($K269="Deadline","◇","◆"),"")</f>
        <v/>
      </c>
      <c r="CE269" s="14" t="str">
        <f>IF(AND(ISNUMBER($I269),OR($K269="Milestone",$K269="Deadline"),$I269&gt;=CE$4,$I269&lt;CE$4+7),IF($K269="Deadline","◇","◆"),"")</f>
        <v/>
      </c>
      <c r="CF269" s="14" t="str">
        <f>IF(AND(ISNUMBER($I269),OR($K269="Milestone",$K269="Deadline"),$I269&gt;=CF$4,$I269&lt;CF$4+7),IF($K269="Deadline","◇","◆"),"")</f>
        <v/>
      </c>
      <c r="CG269" s="14" t="str">
        <f>IF(AND(ISNUMBER($I269),OR($K269="Milestone",$K269="Deadline"),$I269&gt;=CG$4,$I269&lt;CG$4+7),IF($K269="Deadline","◇","◆"),"")</f>
        <v/>
      </c>
      <c r="CH269" s="14" t="str">
        <f>IF(AND(ISNUMBER($I269),OR($K269="Milestone",$K269="Deadline"),$I269&gt;=CH$4,$I269&lt;CH$4+7),IF($K269="Deadline","◇","◆"),"")</f>
        <v/>
      </c>
      <c r="CI269" s="14" t="str">
        <f>IF(AND(ISNUMBER($I269),OR($K269="Milestone",$K269="Deadline"),$I269&gt;=CI$4,$I269&lt;CI$4+7),IF($K269="Deadline","◇","◆"),"")</f>
        <v/>
      </c>
      <c r="CJ269" s="14" t="str">
        <f>IF(AND(ISNUMBER($I269),OR($K269="Milestone",$K269="Deadline"),$I269&gt;=CJ$4,$I269&lt;CJ$4+7),IF($K269="Deadline","◇","◆"),"")</f>
        <v/>
      </c>
      <c r="CK269" s="14" t="str">
        <f>IF(AND(ISNUMBER($I269),OR($K269="Milestone",$K269="Deadline"),$I269&gt;=CK$4,$I269&lt;CK$4+7),IF($K269="Deadline","◇","◆"),"")</f>
        <v/>
      </c>
      <c r="CL269" s="14" t="str">
        <f>IF(AND(ISNUMBER($I269),OR($K269="Milestone",$K269="Deadline"),$I269&gt;=CL$4,$I269&lt;CL$4+7),IF($K269="Deadline","◇","◆"),"")</f>
        <v/>
      </c>
      <c r="CM269" s="14" t="str">
        <f>IF(AND(ISNUMBER($I269),OR($K269="Milestone",$K269="Deadline"),$I269&gt;=CM$4,$I269&lt;CM$4+7),IF($K269="Deadline","◇","◆"),"")</f>
        <v/>
      </c>
    </row>
    <row r="270" spans="1:91" hidden="1">
      <c r="A270" s="39" t="s">
        <v>533</v>
      </c>
      <c r="B270" s="39" t="s">
        <v>527</v>
      </c>
      <c r="C270" s="39" t="s">
        <v>191</v>
      </c>
      <c r="D270" s="39" t="s">
        <v>514</v>
      </c>
      <c r="E270" s="39"/>
      <c r="F270" s="39" t="s">
        <v>216</v>
      </c>
      <c r="G270" s="39" t="s">
        <v>217</v>
      </c>
      <c r="H270" s="39">
        <v>14</v>
      </c>
      <c r="I270" s="40">
        <f>MAX($C$2,J264+1,J259+1)</f>
        <v>46423</v>
      </c>
      <c r="J270" s="41">
        <f>IF(AND(ISNUMBER(I270),ISNUMBER(H270)),I270+H270-1,"")</f>
        <v>46436</v>
      </c>
      <c r="K270" s="39" t="s">
        <v>27</v>
      </c>
      <c r="L270" s="39" t="s">
        <v>528</v>
      </c>
      <c r="M270" s="42" t="s">
        <v>522</v>
      </c>
      <c r="N270" s="39"/>
      <c r="O270" s="42">
        <f>IF(AND(ISNUMBER(I270),ISNUMBER(J270)),J270-I270+1,"")</f>
        <v>14</v>
      </c>
      <c r="P270" s="13"/>
      <c r="Q270" s="13" t="s">
        <v>140</v>
      </c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  <c r="AG270" s="13"/>
      <c r="AH270" s="13"/>
      <c r="AI270" s="13"/>
      <c r="AJ270" s="13"/>
      <c r="AK270" s="13"/>
      <c r="AL270" s="13"/>
      <c r="AM270" s="13"/>
      <c r="AN270" s="13"/>
      <c r="AO270" s="14" t="str">
        <f>IF(AND(ISNUMBER($I270),OR($K270="Milestone",$K270="Deadline"),$I270&gt;=AO$4,$I270&lt;AO$4+7),IF($K270="Deadline","◇","◆"),"")</f>
        <v/>
      </c>
      <c r="AP270" s="14" t="str">
        <f>IF(AND(ISNUMBER($I270),OR($K270="Milestone",$K270="Deadline"),$I270&gt;=AP$4,$I270&lt;AP$4+7),IF($K270="Deadline","◇","◆"),"")</f>
        <v/>
      </c>
      <c r="AQ270" s="14" t="str">
        <f>IF(AND(ISNUMBER($I270),OR($K270="Milestone",$K270="Deadline"),$I270&gt;=AQ$4,$I270&lt;AQ$4+7),IF($K270="Deadline","◇","◆"),"")</f>
        <v/>
      </c>
      <c r="AR270" s="14" t="str">
        <f>IF(AND(ISNUMBER($I270),OR($K270="Milestone",$K270="Deadline"),$I270&gt;=AR$4,$I270&lt;AR$4+7),IF($K270="Deadline","◇","◆"),"")</f>
        <v/>
      </c>
      <c r="AS270" s="14" t="str">
        <f>IF(AND(ISNUMBER($I270),OR($K270="Milestone",$K270="Deadline"),$I270&gt;=AS$4,$I270&lt;AS$4+7),IF($K270="Deadline","◇","◆"),"")</f>
        <v/>
      </c>
      <c r="AT270" s="14" t="str">
        <f>IF(AND(ISNUMBER($I270),OR($K270="Milestone",$K270="Deadline"),$I270&gt;=AT$4,$I270&lt;AT$4+7),IF($K270="Deadline","◇","◆"),"")</f>
        <v/>
      </c>
      <c r="AU270" s="14" t="str">
        <f>IF(AND(ISNUMBER($I270),OR($K270="Milestone",$K270="Deadline"),$I270&gt;=AU$4,$I270&lt;AU$4+7),IF($K270="Deadline","◇","◆"),"")</f>
        <v/>
      </c>
      <c r="AV270" s="14" t="str">
        <f>IF(AND(ISNUMBER($I270),OR($K270="Milestone",$K270="Deadline"),$I270&gt;=AV$4,$I270&lt;AV$4+7),IF($K270="Deadline","◇","◆"),"")</f>
        <v/>
      </c>
      <c r="AW270" s="14" t="str">
        <f>IF(AND(ISNUMBER($I270),OR($K270="Milestone",$K270="Deadline"),$I270&gt;=AW$4,$I270&lt;AW$4+7),IF($K270="Deadline","◇","◆"),"")</f>
        <v/>
      </c>
      <c r="AX270" s="14" t="str">
        <f>IF(AND(ISNUMBER($I270),OR($K270="Milestone",$K270="Deadline"),$I270&gt;=AX$4,$I270&lt;AX$4+7),IF($K270="Deadline","◇","◆"),"")</f>
        <v/>
      </c>
      <c r="AY270" s="14" t="str">
        <f>IF(AND(ISNUMBER($I270),OR($K270="Milestone",$K270="Deadline"),$I270&gt;=AY$4,$I270&lt;AY$4+7),IF($K270="Deadline","◇","◆"),"")</f>
        <v/>
      </c>
      <c r="AZ270" s="14" t="str">
        <f>IF(AND(ISNUMBER($I270),OR($K270="Milestone",$K270="Deadline"),$I270&gt;=AZ$4,$I270&lt;AZ$4+7),IF($K270="Deadline","◇","◆"),"")</f>
        <v/>
      </c>
      <c r="BA270" s="14" t="str">
        <f>IF(AND(ISNUMBER($I270),OR($K270="Milestone",$K270="Deadline"),$I270&gt;=BA$4,$I270&lt;BA$4+7),IF($K270="Deadline","◇","◆"),"")</f>
        <v/>
      </c>
      <c r="BB270" s="14" t="str">
        <f>IF(AND(ISNUMBER($I270),OR($K270="Milestone",$K270="Deadline"),$I270&gt;=BB$4,$I270&lt;BB$4+7),IF($K270="Deadline","◇","◆"),"")</f>
        <v/>
      </c>
      <c r="BC270" s="14" t="str">
        <f>IF(AND(ISNUMBER($I270),OR($K270="Milestone",$K270="Deadline"),$I270&gt;=BC$4,$I270&lt;BC$4+7),IF($K270="Deadline","◇","◆"),"")</f>
        <v/>
      </c>
      <c r="BD270" s="14" t="str">
        <f>IF(AND(ISNUMBER($I270),OR($K270="Milestone",$K270="Deadline"),$I270&gt;=BD$4,$I270&lt;BD$4+7),IF($K270="Deadline","◇","◆"),"")</f>
        <v/>
      </c>
      <c r="BE270" s="14" t="str">
        <f>IF(AND(ISNUMBER($I270),OR($K270="Milestone",$K270="Deadline"),$I270&gt;=BE$4,$I270&lt;BE$4+7),IF($K270="Deadline","◇","◆"),"")</f>
        <v/>
      </c>
      <c r="BF270" s="14" t="str">
        <f>IF(AND(ISNUMBER($I270),OR($K270="Milestone",$K270="Deadline"),$I270&gt;=BF$4,$I270&lt;BF$4+7),IF($K270="Deadline","◇","◆"),"")</f>
        <v/>
      </c>
      <c r="BG270" s="14" t="str">
        <f>IF(AND(ISNUMBER($I270),OR($K270="Milestone",$K270="Deadline"),$I270&gt;=BG$4,$I270&lt;BG$4+7),IF($K270="Deadline","◇","◆"),"")</f>
        <v/>
      </c>
      <c r="BH270" s="14" t="str">
        <f>IF(AND(ISNUMBER($I270),OR($K270="Milestone",$K270="Deadline"),$I270&gt;=BH$4,$I270&lt;BH$4+7),IF($K270="Deadline","◇","◆"),"")</f>
        <v/>
      </c>
      <c r="BI270" s="14" t="str">
        <f>IF(AND(ISNUMBER($I270),OR($K270="Milestone",$K270="Deadline"),$I270&gt;=BI$4,$I270&lt;BI$4+7),IF($K270="Deadline","◇","◆"),"")</f>
        <v/>
      </c>
      <c r="BJ270" s="14" t="str">
        <f>IF(AND(ISNUMBER($I270),OR($K270="Milestone",$K270="Deadline"),$I270&gt;=BJ$4,$I270&lt;BJ$4+7),IF($K270="Deadline","◇","◆"),"")</f>
        <v/>
      </c>
      <c r="BK270" s="14" t="str">
        <f>IF(AND(ISNUMBER($I270),OR($K270="Milestone",$K270="Deadline"),$I270&gt;=BK$4,$I270&lt;BK$4+7),IF($K270="Deadline","◇","◆"),"")</f>
        <v/>
      </c>
      <c r="BL270" s="14" t="str">
        <f>IF(AND(ISNUMBER($I270),OR($K270="Milestone",$K270="Deadline"),$I270&gt;=BL$4,$I270&lt;BL$4+7),IF($K270="Deadline","◇","◆"),"")</f>
        <v/>
      </c>
      <c r="BM270" s="14" t="str">
        <f>IF(AND(ISNUMBER($I270),OR($K270="Milestone",$K270="Deadline"),$I270&gt;=BM$4,$I270&lt;BM$4+7),IF($K270="Deadline","◇","◆"),"")</f>
        <v/>
      </c>
      <c r="BN270" s="14" t="str">
        <f>IF(AND(ISNUMBER($I270),OR($K270="Milestone",$K270="Deadline"),$I270&gt;=BN$4,$I270&lt;BN$4+7),IF($K270="Deadline","◇","◆"),"")</f>
        <v/>
      </c>
      <c r="BO270" s="14" t="str">
        <f>IF(AND(ISNUMBER($I270),OR($K270="Milestone",$K270="Deadline"),$I270&gt;=BO$4,$I270&lt;BO$4+7),IF($K270="Deadline","◇","◆"),"")</f>
        <v/>
      </c>
      <c r="BP270" s="14" t="str">
        <f>IF(AND(ISNUMBER($I270),OR($K270="Milestone",$K270="Deadline"),$I270&gt;=BP$4,$I270&lt;BP$4+7),IF($K270="Deadline","◇","◆"),"")</f>
        <v/>
      </c>
      <c r="BQ270" s="14" t="str">
        <f>IF(AND(ISNUMBER($I270),OR($K270="Milestone",$K270="Deadline"),$I270&gt;=BQ$4,$I270&lt;BQ$4+7),IF($K270="Deadline","◇","◆"),"")</f>
        <v/>
      </c>
      <c r="BR270" s="14" t="str">
        <f>IF(AND(ISNUMBER($I270),OR($K270="Milestone",$K270="Deadline"),$I270&gt;=BR$4,$I270&lt;BR$4+7),IF($K270="Deadline","◇","◆"),"")</f>
        <v/>
      </c>
      <c r="BS270" s="14" t="str">
        <f>IF(AND(ISNUMBER($I270),OR($K270="Milestone",$K270="Deadline"),$I270&gt;=BS$4,$I270&lt;BS$4+7),IF($K270="Deadline","◇","◆"),"")</f>
        <v/>
      </c>
      <c r="BT270" s="14" t="str">
        <f>IF(AND(ISNUMBER($I270),OR($K270="Milestone",$K270="Deadline"),$I270&gt;=BT$4,$I270&lt;BT$4+7),IF($K270="Deadline","◇","◆"),"")</f>
        <v/>
      </c>
      <c r="BU270" s="14" t="str">
        <f>IF(AND(ISNUMBER($I270),OR($K270="Milestone",$K270="Deadline"),$I270&gt;=BU$4,$I270&lt;BU$4+7),IF($K270="Deadline","◇","◆"),"")</f>
        <v/>
      </c>
      <c r="BV270" s="14" t="str">
        <f>IF(AND(ISNUMBER($I270),OR($K270="Milestone",$K270="Deadline"),$I270&gt;=BV$4,$I270&lt;BV$4+7),IF($K270="Deadline","◇","◆"),"")</f>
        <v/>
      </c>
      <c r="BW270" s="14" t="str">
        <f>IF(AND(ISNUMBER($I270),OR($K270="Milestone",$K270="Deadline"),$I270&gt;=BW$4,$I270&lt;BW$4+7),IF($K270="Deadline","◇","◆"),"")</f>
        <v/>
      </c>
      <c r="BX270" s="14" t="str">
        <f>IF(AND(ISNUMBER($I270),OR($K270="Milestone",$K270="Deadline"),$I270&gt;=BX$4,$I270&lt;BX$4+7),IF($K270="Deadline","◇","◆"),"")</f>
        <v/>
      </c>
      <c r="BY270" s="14" t="str">
        <f>IF(AND(ISNUMBER($I270),OR($K270="Milestone",$K270="Deadline"),$I270&gt;=BY$4,$I270&lt;BY$4+7),IF($K270="Deadline","◇","◆"),"")</f>
        <v/>
      </c>
      <c r="BZ270" s="14" t="str">
        <f>IF(AND(ISNUMBER($I270),OR($K270="Milestone",$K270="Deadline"),$I270&gt;=BZ$4,$I270&lt;BZ$4+7),IF($K270="Deadline","◇","◆"),"")</f>
        <v/>
      </c>
      <c r="CA270" s="14" t="str">
        <f>IF(AND(ISNUMBER($I270),OR($K270="Milestone",$K270="Deadline"),$I270&gt;=CA$4,$I270&lt;CA$4+7),IF($K270="Deadline","◇","◆"),"")</f>
        <v/>
      </c>
      <c r="CB270" s="14" t="str">
        <f>IF(AND(ISNUMBER($I270),OR($K270="Milestone",$K270="Deadline"),$I270&gt;=CB$4,$I270&lt;CB$4+7),IF($K270="Deadline","◇","◆"),"")</f>
        <v/>
      </c>
      <c r="CC270" s="14" t="str">
        <f>IF(AND(ISNUMBER($I270),OR($K270="Milestone",$K270="Deadline"),$I270&gt;=CC$4,$I270&lt;CC$4+7),IF($K270="Deadline","◇","◆"),"")</f>
        <v/>
      </c>
      <c r="CD270" s="14" t="str">
        <f>IF(AND(ISNUMBER($I270),OR($K270="Milestone",$K270="Deadline"),$I270&gt;=CD$4,$I270&lt;CD$4+7),IF($K270="Deadline","◇","◆"),"")</f>
        <v/>
      </c>
      <c r="CE270" s="14" t="str">
        <f>IF(AND(ISNUMBER($I270),OR($K270="Milestone",$K270="Deadline"),$I270&gt;=CE$4,$I270&lt;CE$4+7),IF($K270="Deadline","◇","◆"),"")</f>
        <v/>
      </c>
      <c r="CF270" s="14" t="str">
        <f>IF(AND(ISNUMBER($I270),OR($K270="Milestone",$K270="Deadline"),$I270&gt;=CF$4,$I270&lt;CF$4+7),IF($K270="Deadline","◇","◆"),"")</f>
        <v/>
      </c>
      <c r="CG270" s="14" t="str">
        <f>IF(AND(ISNUMBER($I270),OR($K270="Milestone",$K270="Deadline"),$I270&gt;=CG$4,$I270&lt;CG$4+7),IF($K270="Deadline","◇","◆"),"")</f>
        <v/>
      </c>
      <c r="CH270" s="14" t="str">
        <f>IF(AND(ISNUMBER($I270),OR($K270="Milestone",$K270="Deadline"),$I270&gt;=CH$4,$I270&lt;CH$4+7),IF($K270="Deadline","◇","◆"),"")</f>
        <v/>
      </c>
      <c r="CI270" s="14" t="str">
        <f>IF(AND(ISNUMBER($I270),OR($K270="Milestone",$K270="Deadline"),$I270&gt;=CI$4,$I270&lt;CI$4+7),IF($K270="Deadline","◇","◆"),"")</f>
        <v/>
      </c>
      <c r="CJ270" s="14" t="str">
        <f>IF(AND(ISNUMBER($I270),OR($K270="Milestone",$K270="Deadline"),$I270&gt;=CJ$4,$I270&lt;CJ$4+7),IF($K270="Deadline","◇","◆"),"")</f>
        <v/>
      </c>
      <c r="CK270" s="14" t="str">
        <f>IF(AND(ISNUMBER($I270),OR($K270="Milestone",$K270="Deadline"),$I270&gt;=CK$4,$I270&lt;CK$4+7),IF($K270="Deadline","◇","◆"),"")</f>
        <v/>
      </c>
      <c r="CL270" s="14" t="str">
        <f>IF(AND(ISNUMBER($I270),OR($K270="Milestone",$K270="Deadline"),$I270&gt;=CL$4,$I270&lt;CL$4+7),IF($K270="Deadline","◇","◆"),"")</f>
        <v/>
      </c>
      <c r="CM270" s="14" t="str">
        <f>IF(AND(ISNUMBER($I270),OR($K270="Milestone",$K270="Deadline"),$I270&gt;=CM$4,$I270&lt;CM$4+7),IF($K270="Deadline","◇","◆"),"")</f>
        <v/>
      </c>
    </row>
    <row r="271" spans="1:91" hidden="1">
      <c r="A271" s="39" t="s">
        <v>534</v>
      </c>
      <c r="B271" s="39" t="s">
        <v>527</v>
      </c>
      <c r="C271" s="39" t="s">
        <v>221</v>
      </c>
      <c r="D271" s="39" t="s">
        <v>514</v>
      </c>
      <c r="E271" s="39"/>
      <c r="F271" s="39" t="s">
        <v>216</v>
      </c>
      <c r="G271" s="39" t="s">
        <v>222</v>
      </c>
      <c r="H271" s="39">
        <v>7</v>
      </c>
      <c r="I271" s="40">
        <f>MAX($C$2,J268+1,J88+1,J197+1)</f>
        <v>46503</v>
      </c>
      <c r="J271" s="41">
        <f>IF(AND(ISNUMBER(I271),ISNUMBER(H271)),I271+H271-1,"")</f>
        <v>46509</v>
      </c>
      <c r="K271" s="39" t="s">
        <v>27</v>
      </c>
      <c r="L271" s="39" t="s">
        <v>531</v>
      </c>
      <c r="M271" s="42" t="s">
        <v>535</v>
      </c>
      <c r="N271" s="39"/>
      <c r="O271" s="42">
        <f>IF(AND(ISNUMBER(I271),ISNUMBER(J271)),J271-I271+1,"")</f>
        <v>7</v>
      </c>
      <c r="P271" s="13"/>
      <c r="Q271" s="13" t="s">
        <v>140</v>
      </c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  <c r="AG271" s="13"/>
      <c r="AH271" s="13" t="s">
        <v>140</v>
      </c>
      <c r="AI271" s="13"/>
      <c r="AJ271" s="13"/>
      <c r="AK271" s="13"/>
      <c r="AL271" s="13"/>
      <c r="AM271" s="13"/>
      <c r="AN271" s="13"/>
      <c r="AO271" s="14" t="str">
        <f>IF(AND(ISNUMBER($I271),OR($K271="Milestone",$K271="Deadline"),$I271&gt;=AO$4,$I271&lt;AO$4+7),IF($K271="Deadline","◇","◆"),"")</f>
        <v/>
      </c>
      <c r="AP271" s="14" t="str">
        <f>IF(AND(ISNUMBER($I271),OR($K271="Milestone",$K271="Deadline"),$I271&gt;=AP$4,$I271&lt;AP$4+7),IF($K271="Deadline","◇","◆"),"")</f>
        <v/>
      </c>
      <c r="AQ271" s="14" t="str">
        <f>IF(AND(ISNUMBER($I271),OR($K271="Milestone",$K271="Deadline"),$I271&gt;=AQ$4,$I271&lt;AQ$4+7),IF($K271="Deadline","◇","◆"),"")</f>
        <v/>
      </c>
      <c r="AR271" s="14" t="str">
        <f>IF(AND(ISNUMBER($I271),OR($K271="Milestone",$K271="Deadline"),$I271&gt;=AR$4,$I271&lt;AR$4+7),IF($K271="Deadline","◇","◆"),"")</f>
        <v/>
      </c>
      <c r="AS271" s="14" t="str">
        <f>IF(AND(ISNUMBER($I271),OR($K271="Milestone",$K271="Deadline"),$I271&gt;=AS$4,$I271&lt;AS$4+7),IF($K271="Deadline","◇","◆"),"")</f>
        <v/>
      </c>
      <c r="AT271" s="14" t="str">
        <f>IF(AND(ISNUMBER($I271),OR($K271="Milestone",$K271="Deadline"),$I271&gt;=AT$4,$I271&lt;AT$4+7),IF($K271="Deadline","◇","◆"),"")</f>
        <v/>
      </c>
      <c r="AU271" s="14" t="str">
        <f>IF(AND(ISNUMBER($I271),OR($K271="Milestone",$K271="Deadline"),$I271&gt;=AU$4,$I271&lt;AU$4+7),IF($K271="Deadline","◇","◆"),"")</f>
        <v/>
      </c>
      <c r="AV271" s="14" t="str">
        <f>IF(AND(ISNUMBER($I271),OR($K271="Milestone",$K271="Deadline"),$I271&gt;=AV$4,$I271&lt;AV$4+7),IF($K271="Deadline","◇","◆"),"")</f>
        <v/>
      </c>
      <c r="AW271" s="14" t="str">
        <f>IF(AND(ISNUMBER($I271),OR($K271="Milestone",$K271="Deadline"),$I271&gt;=AW$4,$I271&lt;AW$4+7),IF($K271="Deadline","◇","◆"),"")</f>
        <v/>
      </c>
      <c r="AX271" s="14" t="str">
        <f>IF(AND(ISNUMBER($I271),OR($K271="Milestone",$K271="Deadline"),$I271&gt;=AX$4,$I271&lt;AX$4+7),IF($K271="Deadline","◇","◆"),"")</f>
        <v/>
      </c>
      <c r="AY271" s="14" t="str">
        <f>IF(AND(ISNUMBER($I271),OR($K271="Milestone",$K271="Deadline"),$I271&gt;=AY$4,$I271&lt;AY$4+7),IF($K271="Deadline","◇","◆"),"")</f>
        <v/>
      </c>
      <c r="AZ271" s="14" t="str">
        <f>IF(AND(ISNUMBER($I271),OR($K271="Milestone",$K271="Deadline"),$I271&gt;=AZ$4,$I271&lt;AZ$4+7),IF($K271="Deadline","◇","◆"),"")</f>
        <v/>
      </c>
      <c r="BA271" s="14" t="str">
        <f>IF(AND(ISNUMBER($I271),OR($K271="Milestone",$K271="Deadline"),$I271&gt;=BA$4,$I271&lt;BA$4+7),IF($K271="Deadline","◇","◆"),"")</f>
        <v/>
      </c>
      <c r="BB271" s="14" t="str">
        <f>IF(AND(ISNUMBER($I271),OR($K271="Milestone",$K271="Deadline"),$I271&gt;=BB$4,$I271&lt;BB$4+7),IF($K271="Deadline","◇","◆"),"")</f>
        <v/>
      </c>
      <c r="BC271" s="14" t="str">
        <f>IF(AND(ISNUMBER($I271),OR($K271="Milestone",$K271="Deadline"),$I271&gt;=BC$4,$I271&lt;BC$4+7),IF($K271="Deadline","◇","◆"),"")</f>
        <v/>
      </c>
      <c r="BD271" s="14" t="str">
        <f>IF(AND(ISNUMBER($I271),OR($K271="Milestone",$K271="Deadline"),$I271&gt;=BD$4,$I271&lt;BD$4+7),IF($K271="Deadline","◇","◆"),"")</f>
        <v/>
      </c>
      <c r="BE271" s="14" t="str">
        <f>IF(AND(ISNUMBER($I271),OR($K271="Milestone",$K271="Deadline"),$I271&gt;=BE$4,$I271&lt;BE$4+7),IF($K271="Deadline","◇","◆"),"")</f>
        <v/>
      </c>
      <c r="BF271" s="14" t="str">
        <f>IF(AND(ISNUMBER($I271),OR($K271="Milestone",$K271="Deadline"),$I271&gt;=BF$4,$I271&lt;BF$4+7),IF($K271="Deadline","◇","◆"),"")</f>
        <v/>
      </c>
      <c r="BG271" s="14" t="str">
        <f>IF(AND(ISNUMBER($I271),OR($K271="Milestone",$K271="Deadline"),$I271&gt;=BG$4,$I271&lt;BG$4+7),IF($K271="Deadline","◇","◆"),"")</f>
        <v/>
      </c>
      <c r="BH271" s="14" t="str">
        <f>IF(AND(ISNUMBER($I271),OR($K271="Milestone",$K271="Deadline"),$I271&gt;=BH$4,$I271&lt;BH$4+7),IF($K271="Deadline","◇","◆"),"")</f>
        <v/>
      </c>
      <c r="BI271" s="14" t="str">
        <f>IF(AND(ISNUMBER($I271),OR($K271="Milestone",$K271="Deadline"),$I271&gt;=BI$4,$I271&lt;BI$4+7),IF($K271="Deadline","◇","◆"),"")</f>
        <v/>
      </c>
      <c r="BJ271" s="14" t="str">
        <f>IF(AND(ISNUMBER($I271),OR($K271="Milestone",$K271="Deadline"),$I271&gt;=BJ$4,$I271&lt;BJ$4+7),IF($K271="Deadline","◇","◆"),"")</f>
        <v/>
      </c>
      <c r="BK271" s="14" t="str">
        <f>IF(AND(ISNUMBER($I271),OR($K271="Milestone",$K271="Deadline"),$I271&gt;=BK$4,$I271&lt;BK$4+7),IF($K271="Deadline","◇","◆"),"")</f>
        <v/>
      </c>
      <c r="BL271" s="14" t="str">
        <f>IF(AND(ISNUMBER($I271),OR($K271="Milestone",$K271="Deadline"),$I271&gt;=BL$4,$I271&lt;BL$4+7),IF($K271="Deadline","◇","◆"),"")</f>
        <v/>
      </c>
      <c r="BM271" s="14" t="str">
        <f>IF(AND(ISNUMBER($I271),OR($K271="Milestone",$K271="Deadline"),$I271&gt;=BM$4,$I271&lt;BM$4+7),IF($K271="Deadline","◇","◆"),"")</f>
        <v/>
      </c>
      <c r="BN271" s="14" t="str">
        <f>IF(AND(ISNUMBER($I271),OR($K271="Milestone",$K271="Deadline"),$I271&gt;=BN$4,$I271&lt;BN$4+7),IF($K271="Deadline","◇","◆"),"")</f>
        <v/>
      </c>
      <c r="BO271" s="14" t="str">
        <f>IF(AND(ISNUMBER($I271),OR($K271="Milestone",$K271="Deadline"),$I271&gt;=BO$4,$I271&lt;BO$4+7),IF($K271="Deadline","◇","◆"),"")</f>
        <v/>
      </c>
      <c r="BP271" s="14" t="str">
        <f>IF(AND(ISNUMBER($I271),OR($K271="Milestone",$K271="Deadline"),$I271&gt;=BP$4,$I271&lt;BP$4+7),IF($K271="Deadline","◇","◆"),"")</f>
        <v/>
      </c>
      <c r="BQ271" s="14" t="str">
        <f>IF(AND(ISNUMBER($I271),OR($K271="Milestone",$K271="Deadline"),$I271&gt;=BQ$4,$I271&lt;BQ$4+7),IF($K271="Deadline","◇","◆"),"")</f>
        <v/>
      </c>
      <c r="BR271" s="14" t="str">
        <f>IF(AND(ISNUMBER($I271),OR($K271="Milestone",$K271="Deadline"),$I271&gt;=BR$4,$I271&lt;BR$4+7),IF($K271="Deadline","◇","◆"),"")</f>
        <v/>
      </c>
      <c r="BS271" s="14" t="str">
        <f>IF(AND(ISNUMBER($I271),OR($K271="Milestone",$K271="Deadline"),$I271&gt;=BS$4,$I271&lt;BS$4+7),IF($K271="Deadline","◇","◆"),"")</f>
        <v/>
      </c>
      <c r="BT271" s="14" t="str">
        <f>IF(AND(ISNUMBER($I271),OR($K271="Milestone",$K271="Deadline"),$I271&gt;=BT$4,$I271&lt;BT$4+7),IF($K271="Deadline","◇","◆"),"")</f>
        <v/>
      </c>
      <c r="BU271" s="14" t="str">
        <f>IF(AND(ISNUMBER($I271),OR($K271="Milestone",$K271="Deadline"),$I271&gt;=BU$4,$I271&lt;BU$4+7),IF($K271="Deadline","◇","◆"),"")</f>
        <v/>
      </c>
      <c r="BV271" s="14" t="str">
        <f>IF(AND(ISNUMBER($I271),OR($K271="Milestone",$K271="Deadline"),$I271&gt;=BV$4,$I271&lt;BV$4+7),IF($K271="Deadline","◇","◆"),"")</f>
        <v/>
      </c>
      <c r="BW271" s="14" t="str">
        <f>IF(AND(ISNUMBER($I271),OR($K271="Milestone",$K271="Deadline"),$I271&gt;=BW$4,$I271&lt;BW$4+7),IF($K271="Deadline","◇","◆"),"")</f>
        <v/>
      </c>
      <c r="BX271" s="14" t="str">
        <f>IF(AND(ISNUMBER($I271),OR($K271="Milestone",$K271="Deadline"),$I271&gt;=BX$4,$I271&lt;BX$4+7),IF($K271="Deadline","◇","◆"),"")</f>
        <v/>
      </c>
      <c r="BY271" s="14" t="str">
        <f>IF(AND(ISNUMBER($I271),OR($K271="Milestone",$K271="Deadline"),$I271&gt;=BY$4,$I271&lt;BY$4+7),IF($K271="Deadline","◇","◆"),"")</f>
        <v/>
      </c>
      <c r="BZ271" s="14" t="str">
        <f>IF(AND(ISNUMBER($I271),OR($K271="Milestone",$K271="Deadline"),$I271&gt;=BZ$4,$I271&lt;BZ$4+7),IF($K271="Deadline","◇","◆"),"")</f>
        <v/>
      </c>
      <c r="CA271" s="14" t="str">
        <f>IF(AND(ISNUMBER($I271),OR($K271="Milestone",$K271="Deadline"),$I271&gt;=CA$4,$I271&lt;CA$4+7),IF($K271="Deadline","◇","◆"),"")</f>
        <v/>
      </c>
      <c r="CB271" s="14" t="str">
        <f>IF(AND(ISNUMBER($I271),OR($K271="Milestone",$K271="Deadline"),$I271&gt;=CB$4,$I271&lt;CB$4+7),IF($K271="Deadline","◇","◆"),"")</f>
        <v/>
      </c>
      <c r="CC271" s="14" t="str">
        <f>IF(AND(ISNUMBER($I271),OR($K271="Milestone",$K271="Deadline"),$I271&gt;=CC$4,$I271&lt;CC$4+7),IF($K271="Deadline","◇","◆"),"")</f>
        <v/>
      </c>
      <c r="CD271" s="14" t="str">
        <f>IF(AND(ISNUMBER($I271),OR($K271="Milestone",$K271="Deadline"),$I271&gt;=CD$4,$I271&lt;CD$4+7),IF($K271="Deadline","◇","◆"),"")</f>
        <v/>
      </c>
      <c r="CE271" s="14" t="str">
        <f>IF(AND(ISNUMBER($I271),OR($K271="Milestone",$K271="Deadline"),$I271&gt;=CE$4,$I271&lt;CE$4+7),IF($K271="Deadline","◇","◆"),"")</f>
        <v/>
      </c>
      <c r="CF271" s="14" t="str">
        <f>IF(AND(ISNUMBER($I271),OR($K271="Milestone",$K271="Deadline"),$I271&gt;=CF$4,$I271&lt;CF$4+7),IF($K271="Deadline","◇","◆"),"")</f>
        <v/>
      </c>
      <c r="CG271" s="14" t="str">
        <f>IF(AND(ISNUMBER($I271),OR($K271="Milestone",$K271="Deadline"),$I271&gt;=CG$4,$I271&lt;CG$4+7),IF($K271="Deadline","◇","◆"),"")</f>
        <v/>
      </c>
      <c r="CH271" s="14" t="str">
        <f>IF(AND(ISNUMBER($I271),OR($K271="Milestone",$K271="Deadline"),$I271&gt;=CH$4,$I271&lt;CH$4+7),IF($K271="Deadline","◇","◆"),"")</f>
        <v/>
      </c>
      <c r="CI271" s="14" t="str">
        <f>IF(AND(ISNUMBER($I271),OR($K271="Milestone",$K271="Deadline"),$I271&gt;=CI$4,$I271&lt;CI$4+7),IF($K271="Deadline","◇","◆"),"")</f>
        <v/>
      </c>
      <c r="CJ271" s="14" t="str">
        <f>IF(AND(ISNUMBER($I271),OR($K271="Milestone",$K271="Deadline"),$I271&gt;=CJ$4,$I271&lt;CJ$4+7),IF($K271="Deadline","◇","◆"),"")</f>
        <v/>
      </c>
      <c r="CK271" s="14" t="str">
        <f>IF(AND(ISNUMBER($I271),OR($K271="Milestone",$K271="Deadline"),$I271&gt;=CK$4,$I271&lt;CK$4+7),IF($K271="Deadline","◇","◆"),"")</f>
        <v/>
      </c>
      <c r="CL271" s="14" t="str">
        <f>IF(AND(ISNUMBER($I271),OR($K271="Milestone",$K271="Deadline"),$I271&gt;=CL$4,$I271&lt;CL$4+7),IF($K271="Deadline","◇","◆"),"")</f>
        <v/>
      </c>
      <c r="CM271" s="14" t="str">
        <f>IF(AND(ISNUMBER($I271),OR($K271="Milestone",$K271="Deadline"),$I271&gt;=CM$4,$I271&lt;CM$4+7),IF($K271="Deadline","◇","◆"),"")</f>
        <v/>
      </c>
    </row>
    <row r="272" spans="1:91" hidden="1">
      <c r="A272" s="39" t="s">
        <v>536</v>
      </c>
      <c r="B272" s="39" t="s">
        <v>527</v>
      </c>
      <c r="C272" s="39" t="s">
        <v>226</v>
      </c>
      <c r="D272" s="39" t="s">
        <v>514</v>
      </c>
      <c r="E272" s="39"/>
      <c r="F272" s="39" t="s">
        <v>216</v>
      </c>
      <c r="G272" s="39" t="s">
        <v>227</v>
      </c>
      <c r="H272" s="39">
        <v>7</v>
      </c>
      <c r="I272" s="40">
        <f>MAX($C$2,J261+1)</f>
        <v>46497</v>
      </c>
      <c r="J272" s="41">
        <f>IF(AND(ISNUMBER(I272),ISNUMBER(H272)),I272+H272-1,"")</f>
        <v>46503</v>
      </c>
      <c r="K272" s="39" t="s">
        <v>27</v>
      </c>
      <c r="L272" s="39"/>
      <c r="M272" s="42" t="s">
        <v>525</v>
      </c>
      <c r="N272" s="39"/>
      <c r="O272" s="42">
        <f>IF(AND(ISNUMBER(I272),ISNUMBER(J272)),J272-I272+1,"")</f>
        <v>7</v>
      </c>
      <c r="P272" s="13" t="s">
        <v>140</v>
      </c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  <c r="AF272" s="13"/>
      <c r="AG272" s="13"/>
      <c r="AH272" s="13"/>
      <c r="AI272" s="13"/>
      <c r="AJ272" s="13"/>
      <c r="AK272" s="13"/>
      <c r="AL272" s="13"/>
      <c r="AM272" s="13"/>
      <c r="AN272" s="13"/>
      <c r="AO272" s="14" t="str">
        <f>IF(AND(ISNUMBER($I272),OR($K272="Milestone",$K272="Deadline"),$I272&gt;=AO$4,$I272&lt;AO$4+7),IF($K272="Deadline","◇","◆"),"")</f>
        <v/>
      </c>
      <c r="AP272" s="14" t="str">
        <f>IF(AND(ISNUMBER($I272),OR($K272="Milestone",$K272="Deadline"),$I272&gt;=AP$4,$I272&lt;AP$4+7),IF($K272="Deadline","◇","◆"),"")</f>
        <v/>
      </c>
      <c r="AQ272" s="14" t="str">
        <f>IF(AND(ISNUMBER($I272),OR($K272="Milestone",$K272="Deadline"),$I272&gt;=AQ$4,$I272&lt;AQ$4+7),IF($K272="Deadline","◇","◆"),"")</f>
        <v/>
      </c>
      <c r="AR272" s="14" t="str">
        <f>IF(AND(ISNUMBER($I272),OR($K272="Milestone",$K272="Deadline"),$I272&gt;=AR$4,$I272&lt;AR$4+7),IF($K272="Deadline","◇","◆"),"")</f>
        <v/>
      </c>
      <c r="AS272" s="14" t="str">
        <f>IF(AND(ISNUMBER($I272),OR($K272="Milestone",$K272="Deadline"),$I272&gt;=AS$4,$I272&lt;AS$4+7),IF($K272="Deadline","◇","◆"),"")</f>
        <v/>
      </c>
      <c r="AT272" s="14" t="str">
        <f>IF(AND(ISNUMBER($I272),OR($K272="Milestone",$K272="Deadline"),$I272&gt;=AT$4,$I272&lt;AT$4+7),IF($K272="Deadline","◇","◆"),"")</f>
        <v/>
      </c>
      <c r="AU272" s="14" t="str">
        <f>IF(AND(ISNUMBER($I272),OR($K272="Milestone",$K272="Deadline"),$I272&gt;=AU$4,$I272&lt;AU$4+7),IF($K272="Deadline","◇","◆"),"")</f>
        <v/>
      </c>
      <c r="AV272" s="14" t="str">
        <f>IF(AND(ISNUMBER($I272),OR($K272="Milestone",$K272="Deadline"),$I272&gt;=AV$4,$I272&lt;AV$4+7),IF($K272="Deadline","◇","◆"),"")</f>
        <v/>
      </c>
      <c r="AW272" s="14" t="str">
        <f>IF(AND(ISNUMBER($I272),OR($K272="Milestone",$K272="Deadline"),$I272&gt;=AW$4,$I272&lt;AW$4+7),IF($K272="Deadline","◇","◆"),"")</f>
        <v/>
      </c>
      <c r="AX272" s="14" t="str">
        <f>IF(AND(ISNUMBER($I272),OR($K272="Milestone",$K272="Deadline"),$I272&gt;=AX$4,$I272&lt;AX$4+7),IF($K272="Deadline","◇","◆"),"")</f>
        <v/>
      </c>
      <c r="AY272" s="14" t="str">
        <f>IF(AND(ISNUMBER($I272),OR($K272="Milestone",$K272="Deadline"),$I272&gt;=AY$4,$I272&lt;AY$4+7),IF($K272="Deadline","◇","◆"),"")</f>
        <v/>
      </c>
      <c r="AZ272" s="14" t="str">
        <f>IF(AND(ISNUMBER($I272),OR($K272="Milestone",$K272="Deadline"),$I272&gt;=AZ$4,$I272&lt;AZ$4+7),IF($K272="Deadline","◇","◆"),"")</f>
        <v/>
      </c>
      <c r="BA272" s="14" t="str">
        <f>IF(AND(ISNUMBER($I272),OR($K272="Milestone",$K272="Deadline"),$I272&gt;=BA$4,$I272&lt;BA$4+7),IF($K272="Deadline","◇","◆"),"")</f>
        <v/>
      </c>
      <c r="BB272" s="14" t="str">
        <f>IF(AND(ISNUMBER($I272),OR($K272="Milestone",$K272="Deadline"),$I272&gt;=BB$4,$I272&lt;BB$4+7),IF($K272="Deadline","◇","◆"),"")</f>
        <v/>
      </c>
      <c r="BC272" s="14" t="str">
        <f>IF(AND(ISNUMBER($I272),OR($K272="Milestone",$K272="Deadline"),$I272&gt;=BC$4,$I272&lt;BC$4+7),IF($K272="Deadline","◇","◆"),"")</f>
        <v/>
      </c>
      <c r="BD272" s="14" t="str">
        <f>IF(AND(ISNUMBER($I272),OR($K272="Milestone",$K272="Deadline"),$I272&gt;=BD$4,$I272&lt;BD$4+7),IF($K272="Deadline","◇","◆"),"")</f>
        <v/>
      </c>
      <c r="BE272" s="14" t="str">
        <f>IF(AND(ISNUMBER($I272),OR($K272="Milestone",$K272="Deadline"),$I272&gt;=BE$4,$I272&lt;BE$4+7),IF($K272="Deadline","◇","◆"),"")</f>
        <v/>
      </c>
      <c r="BF272" s="14" t="str">
        <f>IF(AND(ISNUMBER($I272),OR($K272="Milestone",$K272="Deadline"),$I272&gt;=BF$4,$I272&lt;BF$4+7),IF($K272="Deadline","◇","◆"),"")</f>
        <v/>
      </c>
      <c r="BG272" s="14" t="str">
        <f>IF(AND(ISNUMBER($I272),OR($K272="Milestone",$K272="Deadline"),$I272&gt;=BG$4,$I272&lt;BG$4+7),IF($K272="Deadline","◇","◆"),"")</f>
        <v/>
      </c>
      <c r="BH272" s="14" t="str">
        <f>IF(AND(ISNUMBER($I272),OR($K272="Milestone",$K272="Deadline"),$I272&gt;=BH$4,$I272&lt;BH$4+7),IF($K272="Deadline","◇","◆"),"")</f>
        <v/>
      </c>
      <c r="BI272" s="14" t="str">
        <f>IF(AND(ISNUMBER($I272),OR($K272="Milestone",$K272="Deadline"),$I272&gt;=BI$4,$I272&lt;BI$4+7),IF($K272="Deadline","◇","◆"),"")</f>
        <v/>
      </c>
      <c r="BJ272" s="14" t="str">
        <f>IF(AND(ISNUMBER($I272),OR($K272="Milestone",$K272="Deadline"),$I272&gt;=BJ$4,$I272&lt;BJ$4+7),IF($K272="Deadline","◇","◆"),"")</f>
        <v/>
      </c>
      <c r="BK272" s="14" t="str">
        <f>IF(AND(ISNUMBER($I272),OR($K272="Milestone",$K272="Deadline"),$I272&gt;=BK$4,$I272&lt;BK$4+7),IF($K272="Deadline","◇","◆"),"")</f>
        <v/>
      </c>
      <c r="BL272" s="14" t="str">
        <f>IF(AND(ISNUMBER($I272),OR($K272="Milestone",$K272="Deadline"),$I272&gt;=BL$4,$I272&lt;BL$4+7),IF($K272="Deadline","◇","◆"),"")</f>
        <v/>
      </c>
      <c r="BM272" s="14" t="str">
        <f>IF(AND(ISNUMBER($I272),OR($K272="Milestone",$K272="Deadline"),$I272&gt;=BM$4,$I272&lt;BM$4+7),IF($K272="Deadline","◇","◆"),"")</f>
        <v/>
      </c>
      <c r="BN272" s="14" t="str">
        <f>IF(AND(ISNUMBER($I272),OR($K272="Milestone",$K272="Deadline"),$I272&gt;=BN$4,$I272&lt;BN$4+7),IF($K272="Deadline","◇","◆"),"")</f>
        <v/>
      </c>
      <c r="BO272" s="14" t="str">
        <f>IF(AND(ISNUMBER($I272),OR($K272="Milestone",$K272="Deadline"),$I272&gt;=BO$4,$I272&lt;BO$4+7),IF($K272="Deadline","◇","◆"),"")</f>
        <v/>
      </c>
      <c r="BP272" s="14" t="str">
        <f>IF(AND(ISNUMBER($I272),OR($K272="Milestone",$K272="Deadline"),$I272&gt;=BP$4,$I272&lt;BP$4+7),IF($K272="Deadline","◇","◆"),"")</f>
        <v/>
      </c>
      <c r="BQ272" s="14" t="str">
        <f>IF(AND(ISNUMBER($I272),OR($K272="Milestone",$K272="Deadline"),$I272&gt;=BQ$4,$I272&lt;BQ$4+7),IF($K272="Deadline","◇","◆"),"")</f>
        <v/>
      </c>
      <c r="BR272" s="14" t="str">
        <f>IF(AND(ISNUMBER($I272),OR($K272="Milestone",$K272="Deadline"),$I272&gt;=BR$4,$I272&lt;BR$4+7),IF($K272="Deadline","◇","◆"),"")</f>
        <v/>
      </c>
      <c r="BS272" s="14" t="str">
        <f>IF(AND(ISNUMBER($I272),OR($K272="Milestone",$K272="Deadline"),$I272&gt;=BS$4,$I272&lt;BS$4+7),IF($K272="Deadline","◇","◆"),"")</f>
        <v/>
      </c>
      <c r="BT272" s="14" t="str">
        <f>IF(AND(ISNUMBER($I272),OR($K272="Milestone",$K272="Deadline"),$I272&gt;=BT$4,$I272&lt;BT$4+7),IF($K272="Deadline","◇","◆"),"")</f>
        <v/>
      </c>
      <c r="BU272" s="14" t="str">
        <f>IF(AND(ISNUMBER($I272),OR($K272="Milestone",$K272="Deadline"),$I272&gt;=BU$4,$I272&lt;BU$4+7),IF($K272="Deadline","◇","◆"),"")</f>
        <v/>
      </c>
      <c r="BV272" s="14" t="str">
        <f>IF(AND(ISNUMBER($I272),OR($K272="Milestone",$K272="Deadline"),$I272&gt;=BV$4,$I272&lt;BV$4+7),IF($K272="Deadline","◇","◆"),"")</f>
        <v/>
      </c>
      <c r="BW272" s="14" t="str">
        <f>IF(AND(ISNUMBER($I272),OR($K272="Milestone",$K272="Deadline"),$I272&gt;=BW$4,$I272&lt;BW$4+7),IF($K272="Deadline","◇","◆"),"")</f>
        <v/>
      </c>
      <c r="BX272" s="14" t="str">
        <f>IF(AND(ISNUMBER($I272),OR($K272="Milestone",$K272="Deadline"),$I272&gt;=BX$4,$I272&lt;BX$4+7),IF($K272="Deadline","◇","◆"),"")</f>
        <v/>
      </c>
      <c r="BY272" s="14" t="str">
        <f>IF(AND(ISNUMBER($I272),OR($K272="Milestone",$K272="Deadline"),$I272&gt;=BY$4,$I272&lt;BY$4+7),IF($K272="Deadline","◇","◆"),"")</f>
        <v/>
      </c>
      <c r="BZ272" s="14" t="str">
        <f>IF(AND(ISNUMBER($I272),OR($K272="Milestone",$K272="Deadline"),$I272&gt;=BZ$4,$I272&lt;BZ$4+7),IF($K272="Deadline","◇","◆"),"")</f>
        <v/>
      </c>
      <c r="CA272" s="14" t="str">
        <f>IF(AND(ISNUMBER($I272),OR($K272="Milestone",$K272="Deadline"),$I272&gt;=CA$4,$I272&lt;CA$4+7),IF($K272="Deadline","◇","◆"),"")</f>
        <v/>
      </c>
      <c r="CB272" s="14" t="str">
        <f>IF(AND(ISNUMBER($I272),OR($K272="Milestone",$K272="Deadline"),$I272&gt;=CB$4,$I272&lt;CB$4+7),IF($K272="Deadline","◇","◆"),"")</f>
        <v/>
      </c>
      <c r="CC272" s="14" t="str">
        <f>IF(AND(ISNUMBER($I272),OR($K272="Milestone",$K272="Deadline"),$I272&gt;=CC$4,$I272&lt;CC$4+7),IF($K272="Deadline","◇","◆"),"")</f>
        <v/>
      </c>
      <c r="CD272" s="14" t="str">
        <f>IF(AND(ISNUMBER($I272),OR($K272="Milestone",$K272="Deadline"),$I272&gt;=CD$4,$I272&lt;CD$4+7),IF($K272="Deadline","◇","◆"),"")</f>
        <v/>
      </c>
      <c r="CE272" s="14" t="str">
        <f>IF(AND(ISNUMBER($I272),OR($K272="Milestone",$K272="Deadline"),$I272&gt;=CE$4,$I272&lt;CE$4+7),IF($K272="Deadline","◇","◆"),"")</f>
        <v/>
      </c>
      <c r="CF272" s="14" t="str">
        <f>IF(AND(ISNUMBER($I272),OR($K272="Milestone",$K272="Deadline"),$I272&gt;=CF$4,$I272&lt;CF$4+7),IF($K272="Deadline","◇","◆"),"")</f>
        <v/>
      </c>
      <c r="CG272" s="14" t="str">
        <f>IF(AND(ISNUMBER($I272),OR($K272="Milestone",$K272="Deadline"),$I272&gt;=CG$4,$I272&lt;CG$4+7),IF($K272="Deadline","◇","◆"),"")</f>
        <v/>
      </c>
      <c r="CH272" s="14" t="str">
        <f>IF(AND(ISNUMBER($I272),OR($K272="Milestone",$K272="Deadline"),$I272&gt;=CH$4,$I272&lt;CH$4+7),IF($K272="Deadline","◇","◆"),"")</f>
        <v/>
      </c>
      <c r="CI272" s="14" t="str">
        <f>IF(AND(ISNUMBER($I272),OR($K272="Milestone",$K272="Deadline"),$I272&gt;=CI$4,$I272&lt;CI$4+7),IF($K272="Deadline","◇","◆"),"")</f>
        <v/>
      </c>
      <c r="CJ272" s="14" t="str">
        <f>IF(AND(ISNUMBER($I272),OR($K272="Milestone",$K272="Deadline"),$I272&gt;=CJ$4,$I272&lt;CJ$4+7),IF($K272="Deadline","◇","◆"),"")</f>
        <v/>
      </c>
      <c r="CK272" s="14" t="str">
        <f>IF(AND(ISNUMBER($I272),OR($K272="Milestone",$K272="Deadline"),$I272&gt;=CK$4,$I272&lt;CK$4+7),IF($K272="Deadline","◇","◆"),"")</f>
        <v/>
      </c>
      <c r="CL272" s="14" t="str">
        <f>IF(AND(ISNUMBER($I272),OR($K272="Milestone",$K272="Deadline"),$I272&gt;=CL$4,$I272&lt;CL$4+7),IF($K272="Deadline","◇","◆"),"")</f>
        <v/>
      </c>
      <c r="CM272" s="14" t="str">
        <f>IF(AND(ISNUMBER($I272),OR($K272="Milestone",$K272="Deadline"),$I272&gt;=CM$4,$I272&lt;CM$4+7),IF($K272="Deadline","◇","◆"),"")</f>
        <v/>
      </c>
    </row>
    <row r="273" spans="1:91" hidden="1">
      <c r="A273" s="39" t="s">
        <v>537</v>
      </c>
      <c r="B273" s="39" t="s">
        <v>527</v>
      </c>
      <c r="C273" s="39" t="s">
        <v>230</v>
      </c>
      <c r="D273" s="39" t="s">
        <v>514</v>
      </c>
      <c r="E273" s="39"/>
      <c r="F273" s="39" t="s">
        <v>216</v>
      </c>
      <c r="G273" s="39" t="s">
        <v>231</v>
      </c>
      <c r="H273" s="39">
        <v>14</v>
      </c>
      <c r="I273" s="40">
        <f>MAX(DATE(2027,3,8),J90+1)</f>
        <v>46468</v>
      </c>
      <c r="J273" s="41">
        <f>IF(AND(ISNUMBER(I273),ISNUMBER(H273)),I273+H273-1,"")</f>
        <v>46481</v>
      </c>
      <c r="K273" s="39" t="s">
        <v>27</v>
      </c>
      <c r="L273" s="39"/>
      <c r="M273" s="42" t="s">
        <v>268</v>
      </c>
      <c r="N273" s="39"/>
      <c r="O273" s="42">
        <f>IF(AND(ISNUMBER(I273),ISNUMBER(J273)),J273-I273+1,"")</f>
        <v>14</v>
      </c>
      <c r="P273" s="13"/>
      <c r="Q273" s="13" t="s">
        <v>140</v>
      </c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  <c r="AF273" s="13"/>
      <c r="AG273" s="13"/>
      <c r="AH273" s="13"/>
      <c r="AI273" s="13"/>
      <c r="AJ273" s="13"/>
      <c r="AK273" s="13"/>
      <c r="AL273" s="13"/>
      <c r="AM273" s="13"/>
      <c r="AN273" s="13"/>
      <c r="AO273" s="14" t="str">
        <f>IF(AND(ISNUMBER($I273),OR($K273="Milestone",$K273="Deadline"),$I273&gt;=AO$4,$I273&lt;AO$4+7),IF($K273="Deadline","◇","◆"),"")</f>
        <v/>
      </c>
      <c r="AP273" s="14" t="str">
        <f>IF(AND(ISNUMBER($I273),OR($K273="Milestone",$K273="Deadline"),$I273&gt;=AP$4,$I273&lt;AP$4+7),IF($K273="Deadline","◇","◆"),"")</f>
        <v/>
      </c>
      <c r="AQ273" s="14" t="str">
        <f>IF(AND(ISNUMBER($I273),OR($K273="Milestone",$K273="Deadline"),$I273&gt;=AQ$4,$I273&lt;AQ$4+7),IF($K273="Deadline","◇","◆"),"")</f>
        <v/>
      </c>
      <c r="AR273" s="14" t="str">
        <f>IF(AND(ISNUMBER($I273),OR($K273="Milestone",$K273="Deadline"),$I273&gt;=AR$4,$I273&lt;AR$4+7),IF($K273="Deadline","◇","◆"),"")</f>
        <v/>
      </c>
      <c r="AS273" s="14" t="str">
        <f>IF(AND(ISNUMBER($I273),OR($K273="Milestone",$K273="Deadline"),$I273&gt;=AS$4,$I273&lt;AS$4+7),IF($K273="Deadline","◇","◆"),"")</f>
        <v/>
      </c>
      <c r="AT273" s="14" t="str">
        <f>IF(AND(ISNUMBER($I273),OR($K273="Milestone",$K273="Deadline"),$I273&gt;=AT$4,$I273&lt;AT$4+7),IF($K273="Deadline","◇","◆"),"")</f>
        <v/>
      </c>
      <c r="AU273" s="14" t="str">
        <f>IF(AND(ISNUMBER($I273),OR($K273="Milestone",$K273="Deadline"),$I273&gt;=AU$4,$I273&lt;AU$4+7),IF($K273="Deadline","◇","◆"),"")</f>
        <v/>
      </c>
      <c r="AV273" s="14" t="str">
        <f>IF(AND(ISNUMBER($I273),OR($K273="Milestone",$K273="Deadline"),$I273&gt;=AV$4,$I273&lt;AV$4+7),IF($K273="Deadline","◇","◆"),"")</f>
        <v/>
      </c>
      <c r="AW273" s="14" t="str">
        <f>IF(AND(ISNUMBER($I273),OR($K273="Milestone",$K273="Deadline"),$I273&gt;=AW$4,$I273&lt;AW$4+7),IF($K273="Deadline","◇","◆"),"")</f>
        <v/>
      </c>
      <c r="AX273" s="14" t="str">
        <f>IF(AND(ISNUMBER($I273),OR($K273="Milestone",$K273="Deadline"),$I273&gt;=AX$4,$I273&lt;AX$4+7),IF($K273="Deadline","◇","◆"),"")</f>
        <v/>
      </c>
      <c r="AY273" s="14" t="str">
        <f>IF(AND(ISNUMBER($I273),OR($K273="Milestone",$K273="Deadline"),$I273&gt;=AY$4,$I273&lt;AY$4+7),IF($K273="Deadline","◇","◆"),"")</f>
        <v/>
      </c>
      <c r="AZ273" s="14" t="str">
        <f>IF(AND(ISNUMBER($I273),OR($K273="Milestone",$K273="Deadline"),$I273&gt;=AZ$4,$I273&lt;AZ$4+7),IF($K273="Deadline","◇","◆"),"")</f>
        <v/>
      </c>
      <c r="BA273" s="14" t="str">
        <f>IF(AND(ISNUMBER($I273),OR($K273="Milestone",$K273="Deadline"),$I273&gt;=BA$4,$I273&lt;BA$4+7),IF($K273="Deadline","◇","◆"),"")</f>
        <v/>
      </c>
      <c r="BB273" s="14" t="str">
        <f>IF(AND(ISNUMBER($I273),OR($K273="Milestone",$K273="Deadline"),$I273&gt;=BB$4,$I273&lt;BB$4+7),IF($K273="Deadline","◇","◆"),"")</f>
        <v/>
      </c>
      <c r="BC273" s="14" t="str">
        <f>IF(AND(ISNUMBER($I273),OR($K273="Milestone",$K273="Deadline"),$I273&gt;=BC$4,$I273&lt;BC$4+7),IF($K273="Deadline","◇","◆"),"")</f>
        <v/>
      </c>
      <c r="BD273" s="14" t="str">
        <f>IF(AND(ISNUMBER($I273),OR($K273="Milestone",$K273="Deadline"),$I273&gt;=BD$4,$I273&lt;BD$4+7),IF($K273="Deadline","◇","◆"),"")</f>
        <v/>
      </c>
      <c r="BE273" s="14" t="str">
        <f>IF(AND(ISNUMBER($I273),OR($K273="Milestone",$K273="Deadline"),$I273&gt;=BE$4,$I273&lt;BE$4+7),IF($K273="Deadline","◇","◆"),"")</f>
        <v/>
      </c>
      <c r="BF273" s="14" t="str">
        <f>IF(AND(ISNUMBER($I273),OR($K273="Milestone",$K273="Deadline"),$I273&gt;=BF$4,$I273&lt;BF$4+7),IF($K273="Deadline","◇","◆"),"")</f>
        <v/>
      </c>
      <c r="BG273" s="14" t="str">
        <f>IF(AND(ISNUMBER($I273),OR($K273="Milestone",$K273="Deadline"),$I273&gt;=BG$4,$I273&lt;BG$4+7),IF($K273="Deadline","◇","◆"),"")</f>
        <v/>
      </c>
      <c r="BH273" s="14" t="str">
        <f>IF(AND(ISNUMBER($I273),OR($K273="Milestone",$K273="Deadline"),$I273&gt;=BH$4,$I273&lt;BH$4+7),IF($K273="Deadline","◇","◆"),"")</f>
        <v/>
      </c>
      <c r="BI273" s="14" t="str">
        <f>IF(AND(ISNUMBER($I273),OR($K273="Milestone",$K273="Deadline"),$I273&gt;=BI$4,$I273&lt;BI$4+7),IF($K273="Deadline","◇","◆"),"")</f>
        <v/>
      </c>
      <c r="BJ273" s="14" t="str">
        <f>IF(AND(ISNUMBER($I273),OR($K273="Milestone",$K273="Deadline"),$I273&gt;=BJ$4,$I273&lt;BJ$4+7),IF($K273="Deadline","◇","◆"),"")</f>
        <v/>
      </c>
      <c r="BK273" s="14" t="str">
        <f>IF(AND(ISNUMBER($I273),OR($K273="Milestone",$K273="Deadline"),$I273&gt;=BK$4,$I273&lt;BK$4+7),IF($K273="Deadline","◇","◆"),"")</f>
        <v/>
      </c>
      <c r="BL273" s="14" t="str">
        <f>IF(AND(ISNUMBER($I273),OR($K273="Milestone",$K273="Deadline"),$I273&gt;=BL$4,$I273&lt;BL$4+7),IF($K273="Deadline","◇","◆"),"")</f>
        <v/>
      </c>
      <c r="BM273" s="14" t="str">
        <f>IF(AND(ISNUMBER($I273),OR($K273="Milestone",$K273="Deadline"),$I273&gt;=BM$4,$I273&lt;BM$4+7),IF($K273="Deadline","◇","◆"),"")</f>
        <v/>
      </c>
      <c r="BN273" s="14" t="str">
        <f>IF(AND(ISNUMBER($I273),OR($K273="Milestone",$K273="Deadline"),$I273&gt;=BN$4,$I273&lt;BN$4+7),IF($K273="Deadline","◇","◆"),"")</f>
        <v/>
      </c>
      <c r="BO273" s="14" t="str">
        <f>IF(AND(ISNUMBER($I273),OR($K273="Milestone",$K273="Deadline"),$I273&gt;=BO$4,$I273&lt;BO$4+7),IF($K273="Deadline","◇","◆"),"")</f>
        <v/>
      </c>
      <c r="BP273" s="14" t="str">
        <f>IF(AND(ISNUMBER($I273),OR($K273="Milestone",$K273="Deadline"),$I273&gt;=BP$4,$I273&lt;BP$4+7),IF($K273="Deadline","◇","◆"),"")</f>
        <v/>
      </c>
      <c r="BQ273" s="14" t="str">
        <f>IF(AND(ISNUMBER($I273),OR($K273="Milestone",$K273="Deadline"),$I273&gt;=BQ$4,$I273&lt;BQ$4+7),IF($K273="Deadline","◇","◆"),"")</f>
        <v/>
      </c>
      <c r="BR273" s="14" t="str">
        <f>IF(AND(ISNUMBER($I273),OR($K273="Milestone",$K273="Deadline"),$I273&gt;=BR$4,$I273&lt;BR$4+7),IF($K273="Deadline","◇","◆"),"")</f>
        <v/>
      </c>
      <c r="BS273" s="14" t="str">
        <f>IF(AND(ISNUMBER($I273),OR($K273="Milestone",$K273="Deadline"),$I273&gt;=BS$4,$I273&lt;BS$4+7),IF($K273="Deadline","◇","◆"),"")</f>
        <v/>
      </c>
      <c r="BT273" s="14" t="str">
        <f>IF(AND(ISNUMBER($I273),OR($K273="Milestone",$K273="Deadline"),$I273&gt;=BT$4,$I273&lt;BT$4+7),IF($K273="Deadline","◇","◆"),"")</f>
        <v/>
      </c>
      <c r="BU273" s="14" t="str">
        <f>IF(AND(ISNUMBER($I273),OR($K273="Milestone",$K273="Deadline"),$I273&gt;=BU$4,$I273&lt;BU$4+7),IF($K273="Deadline","◇","◆"),"")</f>
        <v/>
      </c>
      <c r="BV273" s="14" t="str">
        <f>IF(AND(ISNUMBER($I273),OR($K273="Milestone",$K273="Deadline"),$I273&gt;=BV$4,$I273&lt;BV$4+7),IF($K273="Deadline","◇","◆"),"")</f>
        <v/>
      </c>
      <c r="BW273" s="14" t="str">
        <f>IF(AND(ISNUMBER($I273),OR($K273="Milestone",$K273="Deadline"),$I273&gt;=BW$4,$I273&lt;BW$4+7),IF($K273="Deadline","◇","◆"),"")</f>
        <v/>
      </c>
      <c r="BX273" s="14" t="str">
        <f>IF(AND(ISNUMBER($I273),OR($K273="Milestone",$K273="Deadline"),$I273&gt;=BX$4,$I273&lt;BX$4+7),IF($K273="Deadline","◇","◆"),"")</f>
        <v/>
      </c>
      <c r="BY273" s="14" t="str">
        <f>IF(AND(ISNUMBER($I273),OR($K273="Milestone",$K273="Deadline"),$I273&gt;=BY$4,$I273&lt;BY$4+7),IF($K273="Deadline","◇","◆"),"")</f>
        <v/>
      </c>
      <c r="BZ273" s="14" t="str">
        <f>IF(AND(ISNUMBER($I273),OR($K273="Milestone",$K273="Deadline"),$I273&gt;=BZ$4,$I273&lt;BZ$4+7),IF($K273="Deadline","◇","◆"),"")</f>
        <v/>
      </c>
      <c r="CA273" s="14" t="str">
        <f>IF(AND(ISNUMBER($I273),OR($K273="Milestone",$K273="Deadline"),$I273&gt;=CA$4,$I273&lt;CA$4+7),IF($K273="Deadline","◇","◆"),"")</f>
        <v/>
      </c>
      <c r="CB273" s="14" t="str">
        <f>IF(AND(ISNUMBER($I273),OR($K273="Milestone",$K273="Deadline"),$I273&gt;=CB$4,$I273&lt;CB$4+7),IF($K273="Deadline","◇","◆"),"")</f>
        <v/>
      </c>
      <c r="CC273" s="14" t="str">
        <f>IF(AND(ISNUMBER($I273),OR($K273="Milestone",$K273="Deadline"),$I273&gt;=CC$4,$I273&lt;CC$4+7),IF($K273="Deadline","◇","◆"),"")</f>
        <v/>
      </c>
      <c r="CD273" s="14" t="str">
        <f>IF(AND(ISNUMBER($I273),OR($K273="Milestone",$K273="Deadline"),$I273&gt;=CD$4,$I273&lt;CD$4+7),IF($K273="Deadline","◇","◆"),"")</f>
        <v/>
      </c>
      <c r="CE273" s="14" t="str">
        <f>IF(AND(ISNUMBER($I273),OR($K273="Milestone",$K273="Deadline"),$I273&gt;=CE$4,$I273&lt;CE$4+7),IF($K273="Deadline","◇","◆"),"")</f>
        <v/>
      </c>
      <c r="CF273" s="14" t="str">
        <f>IF(AND(ISNUMBER($I273),OR($K273="Milestone",$K273="Deadline"),$I273&gt;=CF$4,$I273&lt;CF$4+7),IF($K273="Deadline","◇","◆"),"")</f>
        <v/>
      </c>
      <c r="CG273" s="14" t="str">
        <f>IF(AND(ISNUMBER($I273),OR($K273="Milestone",$K273="Deadline"),$I273&gt;=CG$4,$I273&lt;CG$4+7),IF($K273="Deadline","◇","◆"),"")</f>
        <v/>
      </c>
      <c r="CH273" s="14" t="str">
        <f>IF(AND(ISNUMBER($I273),OR($K273="Milestone",$K273="Deadline"),$I273&gt;=CH$4,$I273&lt;CH$4+7),IF($K273="Deadline","◇","◆"),"")</f>
        <v/>
      </c>
      <c r="CI273" s="14" t="str">
        <f>IF(AND(ISNUMBER($I273),OR($K273="Milestone",$K273="Deadline"),$I273&gt;=CI$4,$I273&lt;CI$4+7),IF($K273="Deadline","◇","◆"),"")</f>
        <v/>
      </c>
      <c r="CJ273" s="14" t="str">
        <f>IF(AND(ISNUMBER($I273),OR($K273="Milestone",$K273="Deadline"),$I273&gt;=CJ$4,$I273&lt;CJ$4+7),IF($K273="Deadline","◇","◆"),"")</f>
        <v/>
      </c>
      <c r="CK273" s="14" t="str">
        <f>IF(AND(ISNUMBER($I273),OR($K273="Milestone",$K273="Deadline"),$I273&gt;=CK$4,$I273&lt;CK$4+7),IF($K273="Deadline","◇","◆"),"")</f>
        <v/>
      </c>
      <c r="CL273" s="14" t="str">
        <f>IF(AND(ISNUMBER($I273),OR($K273="Milestone",$K273="Deadline"),$I273&gt;=CL$4,$I273&lt;CL$4+7),IF($K273="Deadline","◇","◆"),"")</f>
        <v/>
      </c>
      <c r="CM273" s="14" t="str">
        <f>IF(AND(ISNUMBER($I273),OR($K273="Milestone",$K273="Deadline"),$I273&gt;=CM$4,$I273&lt;CM$4+7),IF($K273="Deadline","◇","◆"),"")</f>
        <v/>
      </c>
    </row>
    <row r="274" spans="1:91" hidden="1">
      <c r="A274" s="39" t="s">
        <v>334</v>
      </c>
      <c r="B274" s="39" t="s">
        <v>538</v>
      </c>
      <c r="C274" s="39" t="s">
        <v>93</v>
      </c>
      <c r="D274" s="39" t="s">
        <v>514</v>
      </c>
      <c r="E274" s="39" t="s">
        <v>196</v>
      </c>
      <c r="F274" s="39" t="s">
        <v>204</v>
      </c>
      <c r="G274" s="39" t="s">
        <v>201</v>
      </c>
      <c r="H274" s="39">
        <v>2</v>
      </c>
      <c r="I274" s="40">
        <f>MAX(DATE(2026,11,2),J263+1,J193+1)</f>
        <v>46352</v>
      </c>
      <c r="J274" s="41">
        <f>IF(AND(ISNUMBER(I274),ISNUMBER(H274)),I274+H274-1,"")</f>
        <v>46353</v>
      </c>
      <c r="K274" s="39" t="s">
        <v>27</v>
      </c>
      <c r="L274" s="39" t="s">
        <v>248</v>
      </c>
      <c r="M274" s="42" t="s">
        <v>436</v>
      </c>
      <c r="N274" s="39"/>
      <c r="O274" s="42">
        <f>IF(AND(ISNUMBER(I274),ISNUMBER(J274)),J274-I274+1,"")</f>
        <v>2</v>
      </c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 t="s">
        <v>140</v>
      </c>
      <c r="AD274" s="13"/>
      <c r="AE274" s="13"/>
      <c r="AF274" s="13"/>
      <c r="AG274" s="13"/>
      <c r="AH274" s="13"/>
      <c r="AI274" s="13"/>
      <c r="AJ274" s="13"/>
      <c r="AK274" s="13"/>
      <c r="AL274" s="13" t="s">
        <v>140</v>
      </c>
      <c r="AM274" s="13"/>
      <c r="AN274" s="13"/>
      <c r="AO274" s="14" t="str">
        <f>IF(AND(ISNUMBER($I274),OR($K274="Milestone",$K274="Deadline"),$I274&gt;=AO$4,$I274&lt;AO$4+7),IF($K274="Deadline","◇","◆"),"")</f>
        <v/>
      </c>
      <c r="AP274" s="14" t="str">
        <f>IF(AND(ISNUMBER($I274),OR($K274="Milestone",$K274="Deadline"),$I274&gt;=AP$4,$I274&lt;AP$4+7),IF($K274="Deadline","◇","◆"),"")</f>
        <v/>
      </c>
      <c r="AQ274" s="14" t="str">
        <f>IF(AND(ISNUMBER($I274),OR($K274="Milestone",$K274="Deadline"),$I274&gt;=AQ$4,$I274&lt;AQ$4+7),IF($K274="Deadline","◇","◆"),"")</f>
        <v/>
      </c>
      <c r="AR274" s="14" t="str">
        <f>IF(AND(ISNUMBER($I274),OR($K274="Milestone",$K274="Deadline"),$I274&gt;=AR$4,$I274&lt;AR$4+7),IF($K274="Deadline","◇","◆"),"")</f>
        <v/>
      </c>
      <c r="AS274" s="14" t="str">
        <f>IF(AND(ISNUMBER($I274),OR($K274="Milestone",$K274="Deadline"),$I274&gt;=AS$4,$I274&lt;AS$4+7),IF($K274="Deadline","◇","◆"),"")</f>
        <v/>
      </c>
      <c r="AT274" s="14" t="str">
        <f>IF(AND(ISNUMBER($I274),OR($K274="Milestone",$K274="Deadline"),$I274&gt;=AT$4,$I274&lt;AT$4+7),IF($K274="Deadline","◇","◆"),"")</f>
        <v/>
      </c>
      <c r="AU274" s="14" t="str">
        <f>IF(AND(ISNUMBER($I274),OR($K274="Milestone",$K274="Deadline"),$I274&gt;=AU$4,$I274&lt;AU$4+7),IF($K274="Deadline","◇","◆"),"")</f>
        <v/>
      </c>
      <c r="AV274" s="14" t="str">
        <f>IF(AND(ISNUMBER($I274),OR($K274="Milestone",$K274="Deadline"),$I274&gt;=AV$4,$I274&lt;AV$4+7),IF($K274="Deadline","◇","◆"),"")</f>
        <v/>
      </c>
      <c r="AW274" s="14" t="str">
        <f>IF(AND(ISNUMBER($I274),OR($K274="Milestone",$K274="Deadline"),$I274&gt;=AW$4,$I274&lt;AW$4+7),IF($K274="Deadline","◇","◆"),"")</f>
        <v/>
      </c>
      <c r="AX274" s="14" t="str">
        <f>IF(AND(ISNUMBER($I274),OR($K274="Milestone",$K274="Deadline"),$I274&gt;=AX$4,$I274&lt;AX$4+7),IF($K274="Deadline","◇","◆"),"")</f>
        <v/>
      </c>
      <c r="AY274" s="14" t="str">
        <f>IF(AND(ISNUMBER($I274),OR($K274="Milestone",$K274="Deadline"),$I274&gt;=AY$4,$I274&lt;AY$4+7),IF($K274="Deadline","◇","◆"),"")</f>
        <v/>
      </c>
      <c r="AZ274" s="14" t="str">
        <f>IF(AND(ISNUMBER($I274),OR($K274="Milestone",$K274="Deadline"),$I274&gt;=AZ$4,$I274&lt;AZ$4+7),IF($K274="Deadline","◇","◆"),"")</f>
        <v/>
      </c>
      <c r="BA274" s="14" t="str">
        <f>IF(AND(ISNUMBER($I274),OR($K274="Milestone",$K274="Deadline"),$I274&gt;=BA$4,$I274&lt;BA$4+7),IF($K274="Deadline","◇","◆"),"")</f>
        <v/>
      </c>
      <c r="BB274" s="14" t="str">
        <f>IF(AND(ISNUMBER($I274),OR($K274="Milestone",$K274="Deadline"),$I274&gt;=BB$4,$I274&lt;BB$4+7),IF($K274="Deadline","◇","◆"),"")</f>
        <v/>
      </c>
      <c r="BC274" s="14" t="str">
        <f>IF(AND(ISNUMBER($I274),OR($K274="Milestone",$K274="Deadline"),$I274&gt;=BC$4,$I274&lt;BC$4+7),IF($K274="Deadline","◇","◆"),"")</f>
        <v/>
      </c>
      <c r="BD274" s="14" t="str">
        <f>IF(AND(ISNUMBER($I274),OR($K274="Milestone",$K274="Deadline"),$I274&gt;=BD$4,$I274&lt;BD$4+7),IF($K274="Deadline","◇","◆"),"")</f>
        <v/>
      </c>
      <c r="BE274" s="14" t="str">
        <f>IF(AND(ISNUMBER($I274),OR($K274="Milestone",$K274="Deadline"),$I274&gt;=BE$4,$I274&lt;BE$4+7),IF($K274="Deadline","◇","◆"),"")</f>
        <v/>
      </c>
      <c r="BF274" s="14" t="str">
        <f>IF(AND(ISNUMBER($I274),OR($K274="Milestone",$K274="Deadline"),$I274&gt;=BF$4,$I274&lt;BF$4+7),IF($K274="Deadline","◇","◆"),"")</f>
        <v/>
      </c>
      <c r="BG274" s="14" t="str">
        <f>IF(AND(ISNUMBER($I274),OR($K274="Milestone",$K274="Deadline"),$I274&gt;=BG$4,$I274&lt;BG$4+7),IF($K274="Deadline","◇","◆"),"")</f>
        <v/>
      </c>
      <c r="BH274" s="14" t="str">
        <f>IF(AND(ISNUMBER($I274),OR($K274="Milestone",$K274="Deadline"),$I274&gt;=BH$4,$I274&lt;BH$4+7),IF($K274="Deadline","◇","◆"),"")</f>
        <v/>
      </c>
      <c r="BI274" s="14" t="str">
        <f>IF(AND(ISNUMBER($I274),OR($K274="Milestone",$K274="Deadline"),$I274&gt;=BI$4,$I274&lt;BI$4+7),IF($K274="Deadline","◇","◆"),"")</f>
        <v/>
      </c>
      <c r="BJ274" s="14" t="str">
        <f>IF(AND(ISNUMBER($I274),OR($K274="Milestone",$K274="Deadline"),$I274&gt;=BJ$4,$I274&lt;BJ$4+7),IF($K274="Deadline","◇","◆"),"")</f>
        <v/>
      </c>
      <c r="BK274" s="14" t="str">
        <f>IF(AND(ISNUMBER($I274),OR($K274="Milestone",$K274="Deadline"),$I274&gt;=BK$4,$I274&lt;BK$4+7),IF($K274="Deadline","◇","◆"),"")</f>
        <v/>
      </c>
      <c r="BL274" s="14" t="str">
        <f>IF(AND(ISNUMBER($I274),OR($K274="Milestone",$K274="Deadline"),$I274&gt;=BL$4,$I274&lt;BL$4+7),IF($K274="Deadline","◇","◆"),"")</f>
        <v/>
      </c>
      <c r="BM274" s="14" t="str">
        <f>IF(AND(ISNUMBER($I274),OR($K274="Milestone",$K274="Deadline"),$I274&gt;=BM$4,$I274&lt;BM$4+7),IF($K274="Deadline","◇","◆"),"")</f>
        <v/>
      </c>
      <c r="BN274" s="14" t="str">
        <f>IF(AND(ISNUMBER($I274),OR($K274="Milestone",$K274="Deadline"),$I274&gt;=BN$4,$I274&lt;BN$4+7),IF($K274="Deadline","◇","◆"),"")</f>
        <v/>
      </c>
      <c r="BO274" s="14" t="str">
        <f>IF(AND(ISNUMBER($I274),OR($K274="Milestone",$K274="Deadline"),$I274&gt;=BO$4,$I274&lt;BO$4+7),IF($K274="Deadline","◇","◆"),"")</f>
        <v/>
      </c>
      <c r="BP274" s="14" t="str">
        <f>IF(AND(ISNUMBER($I274),OR($K274="Milestone",$K274="Deadline"),$I274&gt;=BP$4,$I274&lt;BP$4+7),IF($K274="Deadline","◇","◆"),"")</f>
        <v/>
      </c>
      <c r="BQ274" s="14" t="str">
        <f>IF(AND(ISNUMBER($I274),OR($K274="Milestone",$K274="Deadline"),$I274&gt;=BQ$4,$I274&lt;BQ$4+7),IF($K274="Deadline","◇","◆"),"")</f>
        <v/>
      </c>
      <c r="BR274" s="14" t="str">
        <f>IF(AND(ISNUMBER($I274),OR($K274="Milestone",$K274="Deadline"),$I274&gt;=BR$4,$I274&lt;BR$4+7),IF($K274="Deadline","◇","◆"),"")</f>
        <v/>
      </c>
      <c r="BS274" s="14" t="str">
        <f>IF(AND(ISNUMBER($I274),OR($K274="Milestone",$K274="Deadline"),$I274&gt;=BS$4,$I274&lt;BS$4+7),IF($K274="Deadline","◇","◆"),"")</f>
        <v/>
      </c>
      <c r="BT274" s="14" t="str">
        <f>IF(AND(ISNUMBER($I274),OR($K274="Milestone",$K274="Deadline"),$I274&gt;=BT$4,$I274&lt;BT$4+7),IF($K274="Deadline","◇","◆"),"")</f>
        <v/>
      </c>
      <c r="BU274" s="14" t="str">
        <f>IF(AND(ISNUMBER($I274),OR($K274="Milestone",$K274="Deadline"),$I274&gt;=BU$4,$I274&lt;BU$4+7),IF($K274="Deadline","◇","◆"),"")</f>
        <v/>
      </c>
      <c r="BV274" s="14" t="str">
        <f>IF(AND(ISNUMBER($I274),OR($K274="Milestone",$K274="Deadline"),$I274&gt;=BV$4,$I274&lt;BV$4+7),IF($K274="Deadline","◇","◆"),"")</f>
        <v/>
      </c>
      <c r="BW274" s="14" t="str">
        <f>IF(AND(ISNUMBER($I274),OR($K274="Milestone",$K274="Deadline"),$I274&gt;=BW$4,$I274&lt;BW$4+7),IF($K274="Deadline","◇","◆"),"")</f>
        <v/>
      </c>
      <c r="BX274" s="14" t="str">
        <f>IF(AND(ISNUMBER($I274),OR($K274="Milestone",$K274="Deadline"),$I274&gt;=BX$4,$I274&lt;BX$4+7),IF($K274="Deadline","◇","◆"),"")</f>
        <v/>
      </c>
      <c r="BY274" s="14" t="str">
        <f>IF(AND(ISNUMBER($I274),OR($K274="Milestone",$K274="Deadline"),$I274&gt;=BY$4,$I274&lt;BY$4+7),IF($K274="Deadline","◇","◆"),"")</f>
        <v/>
      </c>
      <c r="BZ274" s="14" t="str">
        <f>IF(AND(ISNUMBER($I274),OR($K274="Milestone",$K274="Deadline"),$I274&gt;=BZ$4,$I274&lt;BZ$4+7),IF($K274="Deadline","◇","◆"),"")</f>
        <v/>
      </c>
      <c r="CA274" s="14" t="str">
        <f>IF(AND(ISNUMBER($I274),OR($K274="Milestone",$K274="Deadline"),$I274&gt;=CA$4,$I274&lt;CA$4+7),IF($K274="Deadline","◇","◆"),"")</f>
        <v/>
      </c>
      <c r="CB274" s="14" t="str">
        <f>IF(AND(ISNUMBER($I274),OR($K274="Milestone",$K274="Deadline"),$I274&gt;=CB$4,$I274&lt;CB$4+7),IF($K274="Deadline","◇","◆"),"")</f>
        <v/>
      </c>
      <c r="CC274" s="14" t="str">
        <f>IF(AND(ISNUMBER($I274),OR($K274="Milestone",$K274="Deadline"),$I274&gt;=CC$4,$I274&lt;CC$4+7),IF($K274="Deadline","◇","◆"),"")</f>
        <v/>
      </c>
      <c r="CD274" s="14" t="str">
        <f>IF(AND(ISNUMBER($I274),OR($K274="Milestone",$K274="Deadline"),$I274&gt;=CD$4,$I274&lt;CD$4+7),IF($K274="Deadline","◇","◆"),"")</f>
        <v/>
      </c>
      <c r="CE274" s="14" t="str">
        <f>IF(AND(ISNUMBER($I274),OR($K274="Milestone",$K274="Deadline"),$I274&gt;=CE$4,$I274&lt;CE$4+7),IF($K274="Deadline","◇","◆"),"")</f>
        <v/>
      </c>
      <c r="CF274" s="14" t="str">
        <f>IF(AND(ISNUMBER($I274),OR($K274="Milestone",$K274="Deadline"),$I274&gt;=CF$4,$I274&lt;CF$4+7),IF($K274="Deadline","◇","◆"),"")</f>
        <v/>
      </c>
      <c r="CG274" s="14" t="str">
        <f>IF(AND(ISNUMBER($I274),OR($K274="Milestone",$K274="Deadline"),$I274&gt;=CG$4,$I274&lt;CG$4+7),IF($K274="Deadline","◇","◆"),"")</f>
        <v/>
      </c>
      <c r="CH274" s="14" t="str">
        <f>IF(AND(ISNUMBER($I274),OR($K274="Milestone",$K274="Deadline"),$I274&gt;=CH$4,$I274&lt;CH$4+7),IF($K274="Deadline","◇","◆"),"")</f>
        <v/>
      </c>
      <c r="CI274" s="14" t="str">
        <f>IF(AND(ISNUMBER($I274),OR($K274="Milestone",$K274="Deadline"),$I274&gt;=CI$4,$I274&lt;CI$4+7),IF($K274="Deadline","◇","◆"),"")</f>
        <v/>
      </c>
      <c r="CJ274" s="14" t="str">
        <f>IF(AND(ISNUMBER($I274),OR($K274="Milestone",$K274="Deadline"),$I274&gt;=CJ$4,$I274&lt;CJ$4+7),IF($K274="Deadline","◇","◆"),"")</f>
        <v/>
      </c>
      <c r="CK274" s="14" t="str">
        <f>IF(AND(ISNUMBER($I274),OR($K274="Milestone",$K274="Deadline"),$I274&gt;=CK$4,$I274&lt;CK$4+7),IF($K274="Deadline","◇","◆"),"")</f>
        <v/>
      </c>
      <c r="CL274" s="14" t="str">
        <f>IF(AND(ISNUMBER($I274),OR($K274="Milestone",$K274="Deadline"),$I274&gt;=CL$4,$I274&lt;CL$4+7),IF($K274="Deadline","◇","◆"),"")</f>
        <v/>
      </c>
      <c r="CM274" s="14" t="str">
        <f>IF(AND(ISNUMBER($I274),OR($K274="Milestone",$K274="Deadline"),$I274&gt;=CM$4,$I274&lt;CM$4+7),IF($K274="Deadline","◇","◆"),"")</f>
        <v/>
      </c>
    </row>
    <row r="275" spans="1:91">
      <c r="A275" s="39" t="s">
        <v>509</v>
      </c>
      <c r="B275" s="39" t="s">
        <v>538</v>
      </c>
      <c r="C275" s="39" t="s">
        <v>93</v>
      </c>
      <c r="D275" s="39" t="s">
        <v>514</v>
      </c>
      <c r="E275" s="39" t="s">
        <v>196</v>
      </c>
      <c r="F275" s="39" t="s">
        <v>204</v>
      </c>
      <c r="G275" s="39" t="s">
        <v>198</v>
      </c>
      <c r="H275" s="39">
        <v>7</v>
      </c>
      <c r="I275" s="40">
        <f>MAX($C$2,J274+1,J264+1)</f>
        <v>46388</v>
      </c>
      <c r="J275" s="41">
        <f>IF(AND(ISNUMBER(I275),ISNUMBER(H275)),I275+H275-1,"")</f>
        <v>46394</v>
      </c>
      <c r="K275" s="39" t="s">
        <v>27</v>
      </c>
      <c r="L275" s="39" t="s">
        <v>334</v>
      </c>
      <c r="M275" s="42" t="s">
        <v>528</v>
      </c>
      <c r="N275" s="39"/>
      <c r="O275" s="42">
        <f>IF(AND(ISNUMBER(I275),ISNUMBER(J275)),J275-I275+1,"")</f>
        <v>7</v>
      </c>
      <c r="P275" s="13"/>
      <c r="Q275" s="13" t="s">
        <v>140</v>
      </c>
      <c r="R275" s="13"/>
      <c r="S275" s="13"/>
      <c r="T275" s="13"/>
      <c r="U275" s="13"/>
      <c r="V275" s="13"/>
      <c r="W275" s="13" t="s">
        <v>140</v>
      </c>
      <c r="X275" s="13"/>
      <c r="Y275" s="13"/>
      <c r="Z275" s="13"/>
      <c r="AA275" s="13"/>
      <c r="AB275" s="13"/>
      <c r="AC275" s="13"/>
      <c r="AD275" s="13"/>
      <c r="AE275" s="13"/>
      <c r="AF275" s="13"/>
      <c r="AG275" s="13"/>
      <c r="AH275" s="13"/>
      <c r="AI275" s="13"/>
      <c r="AJ275" s="13"/>
      <c r="AK275" s="13"/>
      <c r="AL275" s="13"/>
      <c r="AM275" s="13"/>
      <c r="AN275" s="13"/>
      <c r="AO275" s="14" t="str">
        <f>IF(AND(ISNUMBER($I275),OR($K275="Milestone",$K275="Deadline"),$I275&gt;=AO$4,$I275&lt;AO$4+7),IF($K275="Deadline","◇","◆"),"")</f>
        <v/>
      </c>
      <c r="AP275" s="14" t="str">
        <f>IF(AND(ISNUMBER($I275),OR($K275="Milestone",$K275="Deadline"),$I275&gt;=AP$4,$I275&lt;AP$4+7),IF($K275="Deadline","◇","◆"),"")</f>
        <v/>
      </c>
      <c r="AQ275" s="14" t="str">
        <f>IF(AND(ISNUMBER($I275),OR($K275="Milestone",$K275="Deadline"),$I275&gt;=AQ$4,$I275&lt;AQ$4+7),IF($K275="Deadline","◇","◆"),"")</f>
        <v/>
      </c>
      <c r="AR275" s="14" t="str">
        <f>IF(AND(ISNUMBER($I275),OR($K275="Milestone",$K275="Deadline"),$I275&gt;=AR$4,$I275&lt;AR$4+7),IF($K275="Deadline","◇","◆"),"")</f>
        <v/>
      </c>
      <c r="AS275" s="14" t="str">
        <f>IF(AND(ISNUMBER($I275),OR($K275="Milestone",$K275="Deadline"),$I275&gt;=AS$4,$I275&lt;AS$4+7),IF($K275="Deadline","◇","◆"),"")</f>
        <v/>
      </c>
      <c r="AT275" s="14" t="str">
        <f>IF(AND(ISNUMBER($I275),OR($K275="Milestone",$K275="Deadline"),$I275&gt;=AT$4,$I275&lt;AT$4+7),IF($K275="Deadline","◇","◆"),"")</f>
        <v/>
      </c>
      <c r="AU275" s="14" t="str">
        <f>IF(AND(ISNUMBER($I275),OR($K275="Milestone",$K275="Deadline"),$I275&gt;=AU$4,$I275&lt;AU$4+7),IF($K275="Deadline","◇","◆"),"")</f>
        <v/>
      </c>
      <c r="AV275" s="14" t="str">
        <f>IF(AND(ISNUMBER($I275),OR($K275="Milestone",$K275="Deadline"),$I275&gt;=AV$4,$I275&lt;AV$4+7),IF($K275="Deadline","◇","◆"),"")</f>
        <v/>
      </c>
      <c r="AW275" s="14" t="str">
        <f>IF(AND(ISNUMBER($I275),OR($K275="Milestone",$K275="Deadline"),$I275&gt;=AW$4,$I275&lt;AW$4+7),IF($K275="Deadline","◇","◆"),"")</f>
        <v/>
      </c>
      <c r="AX275" s="14" t="str">
        <f>IF(AND(ISNUMBER($I275),OR($K275="Milestone",$K275="Deadline"),$I275&gt;=AX$4,$I275&lt;AX$4+7),IF($K275="Deadline","◇","◆"),"")</f>
        <v/>
      </c>
      <c r="AY275" s="14" t="str">
        <f>IF(AND(ISNUMBER($I275),OR($K275="Milestone",$K275="Deadline"),$I275&gt;=AY$4,$I275&lt;AY$4+7),IF($K275="Deadline","◇","◆"),"")</f>
        <v/>
      </c>
      <c r="AZ275" s="14" t="str">
        <f>IF(AND(ISNUMBER($I275),OR($K275="Milestone",$K275="Deadline"),$I275&gt;=AZ$4,$I275&lt;AZ$4+7),IF($K275="Deadline","◇","◆"),"")</f>
        <v/>
      </c>
      <c r="BA275" s="14" t="str">
        <f>IF(AND(ISNUMBER($I275),OR($K275="Milestone",$K275="Deadline"),$I275&gt;=BA$4,$I275&lt;BA$4+7),IF($K275="Deadline","◇","◆"),"")</f>
        <v/>
      </c>
      <c r="BB275" s="14" t="str">
        <f>IF(AND(ISNUMBER($I275),OR($K275="Milestone",$K275="Deadline"),$I275&gt;=BB$4,$I275&lt;BB$4+7),IF($K275="Deadline","◇","◆"),"")</f>
        <v/>
      </c>
      <c r="BC275" s="14" t="str">
        <f>IF(AND(ISNUMBER($I275),OR($K275="Milestone",$K275="Deadline"),$I275&gt;=BC$4,$I275&lt;BC$4+7),IF($K275="Deadline","◇","◆"),"")</f>
        <v/>
      </c>
      <c r="BD275" s="14" t="str">
        <f>IF(AND(ISNUMBER($I275),OR($K275="Milestone",$K275="Deadline"),$I275&gt;=BD$4,$I275&lt;BD$4+7),IF($K275="Deadline","◇","◆"),"")</f>
        <v/>
      </c>
      <c r="BE275" s="14" t="str">
        <f>IF(AND(ISNUMBER($I275),OR($K275="Milestone",$K275="Deadline"),$I275&gt;=BE$4,$I275&lt;BE$4+7),IF($K275="Deadline","◇","◆"),"")</f>
        <v/>
      </c>
      <c r="BF275" s="14" t="str">
        <f>IF(AND(ISNUMBER($I275),OR($K275="Milestone",$K275="Deadline"),$I275&gt;=BF$4,$I275&lt;BF$4+7),IF($K275="Deadline","◇","◆"),"")</f>
        <v/>
      </c>
      <c r="BG275" s="14" t="str">
        <f>IF(AND(ISNUMBER($I275),OR($K275="Milestone",$K275="Deadline"),$I275&gt;=BG$4,$I275&lt;BG$4+7),IF($K275="Deadline","◇","◆"),"")</f>
        <v/>
      </c>
      <c r="BH275" s="14" t="str">
        <f>IF(AND(ISNUMBER($I275),OR($K275="Milestone",$K275="Deadline"),$I275&gt;=BH$4,$I275&lt;BH$4+7),IF($K275="Deadline","◇","◆"),"")</f>
        <v/>
      </c>
      <c r="BI275" s="14" t="str">
        <f>IF(AND(ISNUMBER($I275),OR($K275="Milestone",$K275="Deadline"),$I275&gt;=BI$4,$I275&lt;BI$4+7),IF($K275="Deadline","◇","◆"),"")</f>
        <v/>
      </c>
      <c r="BJ275" s="14" t="str">
        <f>IF(AND(ISNUMBER($I275),OR($K275="Milestone",$K275="Deadline"),$I275&gt;=BJ$4,$I275&lt;BJ$4+7),IF($K275="Deadline","◇","◆"),"")</f>
        <v/>
      </c>
      <c r="BK275" s="14" t="str">
        <f>IF(AND(ISNUMBER($I275),OR($K275="Milestone",$K275="Deadline"),$I275&gt;=BK$4,$I275&lt;BK$4+7),IF($K275="Deadline","◇","◆"),"")</f>
        <v/>
      </c>
      <c r="BL275" s="14" t="str">
        <f>IF(AND(ISNUMBER($I275),OR($K275="Milestone",$K275="Deadline"),$I275&gt;=BL$4,$I275&lt;BL$4+7),IF($K275="Deadline","◇","◆"),"")</f>
        <v/>
      </c>
      <c r="BM275" s="14" t="str">
        <f>IF(AND(ISNUMBER($I275),OR($K275="Milestone",$K275="Deadline"),$I275&gt;=BM$4,$I275&lt;BM$4+7),IF($K275="Deadline","◇","◆"),"")</f>
        <v/>
      </c>
      <c r="BN275" s="14" t="str">
        <f>IF(AND(ISNUMBER($I275),OR($K275="Milestone",$K275="Deadline"),$I275&gt;=BN$4,$I275&lt;BN$4+7),IF($K275="Deadline","◇","◆"),"")</f>
        <v/>
      </c>
      <c r="BO275" s="14" t="str">
        <f>IF(AND(ISNUMBER($I275),OR($K275="Milestone",$K275="Deadline"),$I275&gt;=BO$4,$I275&lt;BO$4+7),IF($K275="Deadline","◇","◆"),"")</f>
        <v/>
      </c>
      <c r="BP275" s="14" t="str">
        <f>IF(AND(ISNUMBER($I275),OR($K275="Milestone",$K275="Deadline"),$I275&gt;=BP$4,$I275&lt;BP$4+7),IF($K275="Deadline","◇","◆"),"")</f>
        <v/>
      </c>
      <c r="BQ275" s="14" t="str">
        <f>IF(AND(ISNUMBER($I275),OR($K275="Milestone",$K275="Deadline"),$I275&gt;=BQ$4,$I275&lt;BQ$4+7),IF($K275="Deadline","◇","◆"),"")</f>
        <v/>
      </c>
      <c r="BR275" s="14" t="str">
        <f>IF(AND(ISNUMBER($I275),OR($K275="Milestone",$K275="Deadline"),$I275&gt;=BR$4,$I275&lt;BR$4+7),IF($K275="Deadline","◇","◆"),"")</f>
        <v/>
      </c>
      <c r="BS275" s="14" t="str">
        <f>IF(AND(ISNUMBER($I275),OR($K275="Milestone",$K275="Deadline"),$I275&gt;=BS$4,$I275&lt;BS$4+7),IF($K275="Deadline","◇","◆"),"")</f>
        <v/>
      </c>
      <c r="BT275" s="14" t="str">
        <f>IF(AND(ISNUMBER($I275),OR($K275="Milestone",$K275="Deadline"),$I275&gt;=BT$4,$I275&lt;BT$4+7),IF($K275="Deadline","◇","◆"),"")</f>
        <v/>
      </c>
      <c r="BU275" s="14" t="str">
        <f>IF(AND(ISNUMBER($I275),OR($K275="Milestone",$K275="Deadline"),$I275&gt;=BU$4,$I275&lt;BU$4+7),IF($K275="Deadline","◇","◆"),"")</f>
        <v/>
      </c>
      <c r="BV275" s="14" t="str">
        <f>IF(AND(ISNUMBER($I275),OR($K275="Milestone",$K275="Deadline"),$I275&gt;=BV$4,$I275&lt;BV$4+7),IF($K275="Deadline","◇","◆"),"")</f>
        <v/>
      </c>
      <c r="BW275" s="14" t="str">
        <f>IF(AND(ISNUMBER($I275),OR($K275="Milestone",$K275="Deadline"),$I275&gt;=BW$4,$I275&lt;BW$4+7),IF($K275="Deadline","◇","◆"),"")</f>
        <v/>
      </c>
      <c r="BX275" s="14" t="str">
        <f>IF(AND(ISNUMBER($I275),OR($K275="Milestone",$K275="Deadline"),$I275&gt;=BX$4,$I275&lt;BX$4+7),IF($K275="Deadline","◇","◆"),"")</f>
        <v/>
      </c>
      <c r="BY275" s="14" t="str">
        <f>IF(AND(ISNUMBER($I275),OR($K275="Milestone",$K275="Deadline"),$I275&gt;=BY$4,$I275&lt;BY$4+7),IF($K275="Deadline","◇","◆"),"")</f>
        <v/>
      </c>
      <c r="BZ275" s="14" t="str">
        <f>IF(AND(ISNUMBER($I275),OR($K275="Milestone",$K275="Deadline"),$I275&gt;=BZ$4,$I275&lt;BZ$4+7),IF($K275="Deadline","◇","◆"),"")</f>
        <v/>
      </c>
      <c r="CA275" s="14" t="str">
        <f>IF(AND(ISNUMBER($I275),OR($K275="Milestone",$K275="Deadline"),$I275&gt;=CA$4,$I275&lt;CA$4+7),IF($K275="Deadline","◇","◆"),"")</f>
        <v/>
      </c>
      <c r="CB275" s="14" t="str">
        <f>IF(AND(ISNUMBER($I275),OR($K275="Milestone",$K275="Deadline"),$I275&gt;=CB$4,$I275&lt;CB$4+7),IF($K275="Deadline","◇","◆"),"")</f>
        <v/>
      </c>
      <c r="CC275" s="14" t="str">
        <f>IF(AND(ISNUMBER($I275),OR($K275="Milestone",$K275="Deadline"),$I275&gt;=CC$4,$I275&lt;CC$4+7),IF($K275="Deadline","◇","◆"),"")</f>
        <v/>
      </c>
      <c r="CD275" s="14" t="str">
        <f>IF(AND(ISNUMBER($I275),OR($K275="Milestone",$K275="Deadline"),$I275&gt;=CD$4,$I275&lt;CD$4+7),IF($K275="Deadline","◇","◆"),"")</f>
        <v/>
      </c>
      <c r="CE275" s="14" t="str">
        <f>IF(AND(ISNUMBER($I275),OR($K275="Milestone",$K275="Deadline"),$I275&gt;=CE$4,$I275&lt;CE$4+7),IF($K275="Deadline","◇","◆"),"")</f>
        <v/>
      </c>
      <c r="CF275" s="14" t="str">
        <f>IF(AND(ISNUMBER($I275),OR($K275="Milestone",$K275="Deadline"),$I275&gt;=CF$4,$I275&lt;CF$4+7),IF($K275="Deadline","◇","◆"),"")</f>
        <v/>
      </c>
      <c r="CG275" s="14" t="str">
        <f>IF(AND(ISNUMBER($I275),OR($K275="Milestone",$K275="Deadline"),$I275&gt;=CG$4,$I275&lt;CG$4+7),IF($K275="Deadline","◇","◆"),"")</f>
        <v/>
      </c>
      <c r="CH275" s="14" t="str">
        <f>IF(AND(ISNUMBER($I275),OR($K275="Milestone",$K275="Deadline"),$I275&gt;=CH$4,$I275&lt;CH$4+7),IF($K275="Deadline","◇","◆"),"")</f>
        <v/>
      </c>
      <c r="CI275" s="14" t="str">
        <f>IF(AND(ISNUMBER($I275),OR($K275="Milestone",$K275="Deadline"),$I275&gt;=CI$4,$I275&lt;CI$4+7),IF($K275="Deadline","◇","◆"),"")</f>
        <v/>
      </c>
      <c r="CJ275" s="14" t="str">
        <f>IF(AND(ISNUMBER($I275),OR($K275="Milestone",$K275="Deadline"),$I275&gt;=CJ$4,$I275&lt;CJ$4+7),IF($K275="Deadline","◇","◆"),"")</f>
        <v/>
      </c>
      <c r="CK275" s="14" t="str">
        <f>IF(AND(ISNUMBER($I275),OR($K275="Milestone",$K275="Deadline"),$I275&gt;=CK$4,$I275&lt;CK$4+7),IF($K275="Deadline","◇","◆"),"")</f>
        <v/>
      </c>
      <c r="CL275" s="14" t="str">
        <f>IF(AND(ISNUMBER($I275),OR($K275="Milestone",$K275="Deadline"),$I275&gt;=CL$4,$I275&lt;CL$4+7),IF($K275="Deadline","◇","◆"),"")</f>
        <v/>
      </c>
      <c r="CM275" s="14" t="str">
        <f>IF(AND(ISNUMBER($I275),OR($K275="Milestone",$K275="Deadline"),$I275&gt;=CM$4,$I275&lt;CM$4+7),IF($K275="Deadline","◇","◆"),"")</f>
        <v/>
      </c>
    </row>
    <row r="276" spans="1:91" hidden="1">
      <c r="A276" s="39" t="s">
        <v>539</v>
      </c>
      <c r="B276" s="39" t="s">
        <v>538</v>
      </c>
      <c r="C276" s="39" t="s">
        <v>93</v>
      </c>
      <c r="D276" s="39" t="s">
        <v>514</v>
      </c>
      <c r="E276" s="39" t="s">
        <v>196</v>
      </c>
      <c r="F276" s="39" t="s">
        <v>204</v>
      </c>
      <c r="G276" s="39" t="s">
        <v>387</v>
      </c>
      <c r="H276" s="39">
        <v>7</v>
      </c>
      <c r="I276" s="40">
        <f>MAX($C$2,J275+1)</f>
        <v>46395</v>
      </c>
      <c r="J276" s="41">
        <f>IF(AND(ISNUMBER(I276),ISNUMBER(H276)),I276+H276-1,"")</f>
        <v>46401</v>
      </c>
      <c r="K276" s="39" t="s">
        <v>27</v>
      </c>
      <c r="L276" s="39" t="s">
        <v>509</v>
      </c>
      <c r="M276" s="42"/>
      <c r="N276" s="39"/>
      <c r="O276" s="42">
        <f>IF(AND(ISNUMBER(I276),ISNUMBER(J276)),J276-I276+1,"")</f>
        <v>7</v>
      </c>
      <c r="P276" s="13"/>
      <c r="Q276" s="13"/>
      <c r="R276" s="13"/>
      <c r="S276" s="13"/>
      <c r="T276" s="13"/>
      <c r="U276" s="13"/>
      <c r="V276" s="13" t="s">
        <v>140</v>
      </c>
      <c r="W276" s="13"/>
      <c r="X276" s="13"/>
      <c r="Y276" s="13"/>
      <c r="Z276" s="13"/>
      <c r="AA276" s="13"/>
      <c r="AB276" s="13"/>
      <c r="AC276" s="13"/>
      <c r="AD276" s="13"/>
      <c r="AE276" s="13"/>
      <c r="AF276" s="13"/>
      <c r="AG276" s="13"/>
      <c r="AH276" s="13"/>
      <c r="AI276" s="13"/>
      <c r="AJ276" s="13"/>
      <c r="AK276" s="13"/>
      <c r="AL276" s="13"/>
      <c r="AM276" s="13"/>
      <c r="AN276" s="13"/>
      <c r="AO276" s="14" t="str">
        <f>IF(AND(ISNUMBER($I276),OR($K276="Milestone",$K276="Deadline"),$I276&gt;=AO$4,$I276&lt;AO$4+7),IF($K276="Deadline","◇","◆"),"")</f>
        <v/>
      </c>
      <c r="AP276" s="14" t="str">
        <f>IF(AND(ISNUMBER($I276),OR($K276="Milestone",$K276="Deadline"),$I276&gt;=AP$4,$I276&lt;AP$4+7),IF($K276="Deadline","◇","◆"),"")</f>
        <v/>
      </c>
      <c r="AQ276" s="14" t="str">
        <f>IF(AND(ISNUMBER($I276),OR($K276="Milestone",$K276="Deadline"),$I276&gt;=AQ$4,$I276&lt;AQ$4+7),IF($K276="Deadline","◇","◆"),"")</f>
        <v/>
      </c>
      <c r="AR276" s="14" t="str">
        <f>IF(AND(ISNUMBER($I276),OR($K276="Milestone",$K276="Deadline"),$I276&gt;=AR$4,$I276&lt;AR$4+7),IF($K276="Deadline","◇","◆"),"")</f>
        <v/>
      </c>
      <c r="AS276" s="14" t="str">
        <f>IF(AND(ISNUMBER($I276),OR($K276="Milestone",$K276="Deadline"),$I276&gt;=AS$4,$I276&lt;AS$4+7),IF($K276="Deadline","◇","◆"),"")</f>
        <v/>
      </c>
      <c r="AT276" s="14" t="str">
        <f>IF(AND(ISNUMBER($I276),OR($K276="Milestone",$K276="Deadline"),$I276&gt;=AT$4,$I276&lt;AT$4+7),IF($K276="Deadline","◇","◆"),"")</f>
        <v/>
      </c>
      <c r="AU276" s="14" t="str">
        <f>IF(AND(ISNUMBER($I276),OR($K276="Milestone",$K276="Deadline"),$I276&gt;=AU$4,$I276&lt;AU$4+7),IF($K276="Deadline","◇","◆"),"")</f>
        <v/>
      </c>
      <c r="AV276" s="14" t="str">
        <f>IF(AND(ISNUMBER($I276),OR($K276="Milestone",$K276="Deadline"),$I276&gt;=AV$4,$I276&lt;AV$4+7),IF($K276="Deadline","◇","◆"),"")</f>
        <v/>
      </c>
      <c r="AW276" s="14" t="str">
        <f>IF(AND(ISNUMBER($I276),OR($K276="Milestone",$K276="Deadline"),$I276&gt;=AW$4,$I276&lt;AW$4+7),IF($K276="Deadline","◇","◆"),"")</f>
        <v/>
      </c>
      <c r="AX276" s="14" t="str">
        <f>IF(AND(ISNUMBER($I276),OR($K276="Milestone",$K276="Deadline"),$I276&gt;=AX$4,$I276&lt;AX$4+7),IF($K276="Deadline","◇","◆"),"")</f>
        <v/>
      </c>
      <c r="AY276" s="14" t="str">
        <f>IF(AND(ISNUMBER($I276),OR($K276="Milestone",$K276="Deadline"),$I276&gt;=AY$4,$I276&lt;AY$4+7),IF($K276="Deadline","◇","◆"),"")</f>
        <v/>
      </c>
      <c r="AZ276" s="14" t="str">
        <f>IF(AND(ISNUMBER($I276),OR($K276="Milestone",$K276="Deadline"),$I276&gt;=AZ$4,$I276&lt;AZ$4+7),IF($K276="Deadline","◇","◆"),"")</f>
        <v/>
      </c>
      <c r="BA276" s="14" t="str">
        <f>IF(AND(ISNUMBER($I276),OR($K276="Milestone",$K276="Deadline"),$I276&gt;=BA$4,$I276&lt;BA$4+7),IF($K276="Deadline","◇","◆"),"")</f>
        <v/>
      </c>
      <c r="BB276" s="14" t="str">
        <f>IF(AND(ISNUMBER($I276),OR($K276="Milestone",$K276="Deadline"),$I276&gt;=BB$4,$I276&lt;BB$4+7),IF($K276="Deadline","◇","◆"),"")</f>
        <v/>
      </c>
      <c r="BC276" s="14" t="str">
        <f>IF(AND(ISNUMBER($I276),OR($K276="Milestone",$K276="Deadline"),$I276&gt;=BC$4,$I276&lt;BC$4+7),IF($K276="Deadline","◇","◆"),"")</f>
        <v/>
      </c>
      <c r="BD276" s="14" t="str">
        <f>IF(AND(ISNUMBER($I276),OR($K276="Milestone",$K276="Deadline"),$I276&gt;=BD$4,$I276&lt;BD$4+7),IF($K276="Deadline","◇","◆"),"")</f>
        <v/>
      </c>
      <c r="BE276" s="14" t="str">
        <f>IF(AND(ISNUMBER($I276),OR($K276="Milestone",$K276="Deadline"),$I276&gt;=BE$4,$I276&lt;BE$4+7),IF($K276="Deadline","◇","◆"),"")</f>
        <v/>
      </c>
      <c r="BF276" s="14" t="str">
        <f>IF(AND(ISNUMBER($I276),OR($K276="Milestone",$K276="Deadline"),$I276&gt;=BF$4,$I276&lt;BF$4+7),IF($K276="Deadline","◇","◆"),"")</f>
        <v/>
      </c>
      <c r="BG276" s="14" t="str">
        <f>IF(AND(ISNUMBER($I276),OR($K276="Milestone",$K276="Deadline"),$I276&gt;=BG$4,$I276&lt;BG$4+7),IF($K276="Deadline","◇","◆"),"")</f>
        <v/>
      </c>
      <c r="BH276" s="14" t="str">
        <f>IF(AND(ISNUMBER($I276),OR($K276="Milestone",$K276="Deadline"),$I276&gt;=BH$4,$I276&lt;BH$4+7),IF($K276="Deadline","◇","◆"),"")</f>
        <v/>
      </c>
      <c r="BI276" s="14" t="str">
        <f>IF(AND(ISNUMBER($I276),OR($K276="Milestone",$K276="Deadline"),$I276&gt;=BI$4,$I276&lt;BI$4+7),IF($K276="Deadline","◇","◆"),"")</f>
        <v/>
      </c>
      <c r="BJ276" s="14" t="str">
        <f>IF(AND(ISNUMBER($I276),OR($K276="Milestone",$K276="Deadline"),$I276&gt;=BJ$4,$I276&lt;BJ$4+7),IF($K276="Deadline","◇","◆"),"")</f>
        <v/>
      </c>
      <c r="BK276" s="14" t="str">
        <f>IF(AND(ISNUMBER($I276),OR($K276="Milestone",$K276="Deadline"),$I276&gt;=BK$4,$I276&lt;BK$4+7),IF($K276="Deadline","◇","◆"),"")</f>
        <v/>
      </c>
      <c r="BL276" s="14" t="str">
        <f>IF(AND(ISNUMBER($I276),OR($K276="Milestone",$K276="Deadline"),$I276&gt;=BL$4,$I276&lt;BL$4+7),IF($K276="Deadline","◇","◆"),"")</f>
        <v/>
      </c>
      <c r="BM276" s="14" t="str">
        <f>IF(AND(ISNUMBER($I276),OR($K276="Milestone",$K276="Deadline"),$I276&gt;=BM$4,$I276&lt;BM$4+7),IF($K276="Deadline","◇","◆"),"")</f>
        <v/>
      </c>
      <c r="BN276" s="14" t="str">
        <f>IF(AND(ISNUMBER($I276),OR($K276="Milestone",$K276="Deadline"),$I276&gt;=BN$4,$I276&lt;BN$4+7),IF($K276="Deadline","◇","◆"),"")</f>
        <v/>
      </c>
      <c r="BO276" s="14" t="str">
        <f>IF(AND(ISNUMBER($I276),OR($K276="Milestone",$K276="Deadline"),$I276&gt;=BO$4,$I276&lt;BO$4+7),IF($K276="Deadline","◇","◆"),"")</f>
        <v/>
      </c>
      <c r="BP276" s="14" t="str">
        <f>IF(AND(ISNUMBER($I276),OR($K276="Milestone",$K276="Deadline"),$I276&gt;=BP$4,$I276&lt;BP$4+7),IF($K276="Deadline","◇","◆"),"")</f>
        <v/>
      </c>
      <c r="BQ276" s="14" t="str">
        <f>IF(AND(ISNUMBER($I276),OR($K276="Milestone",$K276="Deadline"),$I276&gt;=BQ$4,$I276&lt;BQ$4+7),IF($K276="Deadline","◇","◆"),"")</f>
        <v/>
      </c>
      <c r="BR276" s="14" t="str">
        <f>IF(AND(ISNUMBER($I276),OR($K276="Milestone",$K276="Deadline"),$I276&gt;=BR$4,$I276&lt;BR$4+7),IF($K276="Deadline","◇","◆"),"")</f>
        <v/>
      </c>
      <c r="BS276" s="14" t="str">
        <f>IF(AND(ISNUMBER($I276),OR($K276="Milestone",$K276="Deadline"),$I276&gt;=BS$4,$I276&lt;BS$4+7),IF($K276="Deadline","◇","◆"),"")</f>
        <v/>
      </c>
      <c r="BT276" s="14" t="str">
        <f>IF(AND(ISNUMBER($I276),OR($K276="Milestone",$K276="Deadline"),$I276&gt;=BT$4,$I276&lt;BT$4+7),IF($K276="Deadline","◇","◆"),"")</f>
        <v/>
      </c>
      <c r="BU276" s="14" t="str">
        <f>IF(AND(ISNUMBER($I276),OR($K276="Milestone",$K276="Deadline"),$I276&gt;=BU$4,$I276&lt;BU$4+7),IF($K276="Deadline","◇","◆"),"")</f>
        <v/>
      </c>
      <c r="BV276" s="14" t="str">
        <f>IF(AND(ISNUMBER($I276),OR($K276="Milestone",$K276="Deadline"),$I276&gt;=BV$4,$I276&lt;BV$4+7),IF($K276="Deadline","◇","◆"),"")</f>
        <v/>
      </c>
      <c r="BW276" s="14" t="str">
        <f>IF(AND(ISNUMBER($I276),OR($K276="Milestone",$K276="Deadline"),$I276&gt;=BW$4,$I276&lt;BW$4+7),IF($K276="Deadline","◇","◆"),"")</f>
        <v/>
      </c>
      <c r="BX276" s="14" t="str">
        <f>IF(AND(ISNUMBER($I276),OR($K276="Milestone",$K276="Deadline"),$I276&gt;=BX$4,$I276&lt;BX$4+7),IF($K276="Deadline","◇","◆"),"")</f>
        <v/>
      </c>
      <c r="BY276" s="14" t="str">
        <f>IF(AND(ISNUMBER($I276),OR($K276="Milestone",$K276="Deadline"),$I276&gt;=BY$4,$I276&lt;BY$4+7),IF($K276="Deadline","◇","◆"),"")</f>
        <v/>
      </c>
      <c r="BZ276" s="14" t="str">
        <f>IF(AND(ISNUMBER($I276),OR($K276="Milestone",$K276="Deadline"),$I276&gt;=BZ$4,$I276&lt;BZ$4+7),IF($K276="Deadline","◇","◆"),"")</f>
        <v/>
      </c>
      <c r="CA276" s="14" t="str">
        <f>IF(AND(ISNUMBER($I276),OR($K276="Milestone",$K276="Deadline"),$I276&gt;=CA$4,$I276&lt;CA$4+7),IF($K276="Deadline","◇","◆"),"")</f>
        <v/>
      </c>
      <c r="CB276" s="14" t="str">
        <f>IF(AND(ISNUMBER($I276),OR($K276="Milestone",$K276="Deadline"),$I276&gt;=CB$4,$I276&lt;CB$4+7),IF($K276="Deadline","◇","◆"),"")</f>
        <v/>
      </c>
      <c r="CC276" s="14" t="str">
        <f>IF(AND(ISNUMBER($I276),OR($K276="Milestone",$K276="Deadline"),$I276&gt;=CC$4,$I276&lt;CC$4+7),IF($K276="Deadline","◇","◆"),"")</f>
        <v/>
      </c>
      <c r="CD276" s="14" t="str">
        <f>IF(AND(ISNUMBER($I276),OR($K276="Milestone",$K276="Deadline"),$I276&gt;=CD$4,$I276&lt;CD$4+7),IF($K276="Deadline","◇","◆"),"")</f>
        <v/>
      </c>
      <c r="CE276" s="14" t="str">
        <f>IF(AND(ISNUMBER($I276),OR($K276="Milestone",$K276="Deadline"),$I276&gt;=CE$4,$I276&lt;CE$4+7),IF($K276="Deadline","◇","◆"),"")</f>
        <v/>
      </c>
      <c r="CF276" s="14" t="str">
        <f>IF(AND(ISNUMBER($I276),OR($K276="Milestone",$K276="Deadline"),$I276&gt;=CF$4,$I276&lt;CF$4+7),IF($K276="Deadline","◇","◆"),"")</f>
        <v/>
      </c>
      <c r="CG276" s="14" t="str">
        <f>IF(AND(ISNUMBER($I276),OR($K276="Milestone",$K276="Deadline"),$I276&gt;=CG$4,$I276&lt;CG$4+7),IF($K276="Deadline","◇","◆"),"")</f>
        <v/>
      </c>
      <c r="CH276" s="14" t="str">
        <f>IF(AND(ISNUMBER($I276),OR($K276="Milestone",$K276="Deadline"),$I276&gt;=CH$4,$I276&lt;CH$4+7),IF($K276="Deadline","◇","◆"),"")</f>
        <v/>
      </c>
      <c r="CI276" s="14" t="str">
        <f>IF(AND(ISNUMBER($I276),OR($K276="Milestone",$K276="Deadline"),$I276&gt;=CI$4,$I276&lt;CI$4+7),IF($K276="Deadline","◇","◆"),"")</f>
        <v/>
      </c>
      <c r="CJ276" s="14" t="str">
        <f>IF(AND(ISNUMBER($I276),OR($K276="Milestone",$K276="Deadline"),$I276&gt;=CJ$4,$I276&lt;CJ$4+7),IF($K276="Deadline","◇","◆"),"")</f>
        <v/>
      </c>
      <c r="CK276" s="14" t="str">
        <f>IF(AND(ISNUMBER($I276),OR($K276="Milestone",$K276="Deadline"),$I276&gt;=CK$4,$I276&lt;CK$4+7),IF($K276="Deadline","◇","◆"),"")</f>
        <v/>
      </c>
      <c r="CL276" s="14" t="str">
        <f>IF(AND(ISNUMBER($I276),OR($K276="Milestone",$K276="Deadline"),$I276&gt;=CL$4,$I276&lt;CL$4+7),IF($K276="Deadline","◇","◆"),"")</f>
        <v/>
      </c>
      <c r="CM276" s="14" t="str">
        <f>IF(AND(ISNUMBER($I276),OR($K276="Milestone",$K276="Deadline"),$I276&gt;=CM$4,$I276&lt;CM$4+7),IF($K276="Deadline","◇","◆"),"")</f>
        <v/>
      </c>
    </row>
    <row r="277" spans="1:91" hidden="1">
      <c r="A277" s="39" t="s">
        <v>540</v>
      </c>
      <c r="B277" s="39" t="s">
        <v>538</v>
      </c>
      <c r="C277" s="39" t="s">
        <v>93</v>
      </c>
      <c r="D277" s="39" t="s">
        <v>514</v>
      </c>
      <c r="E277" s="39" t="s">
        <v>196</v>
      </c>
      <c r="F277" s="39" t="s">
        <v>204</v>
      </c>
      <c r="G277" s="39" t="s">
        <v>176</v>
      </c>
      <c r="H277" s="39">
        <v>28</v>
      </c>
      <c r="I277" s="40">
        <f>MAX($C$2,J276+1)</f>
        <v>46402</v>
      </c>
      <c r="J277" s="41">
        <f>IF(AND(ISNUMBER(I277),ISNUMBER(H277)),I277+H277-1,"")</f>
        <v>46429</v>
      </c>
      <c r="K277" s="39" t="s">
        <v>27</v>
      </c>
      <c r="L277" s="39" t="s">
        <v>539</v>
      </c>
      <c r="M277" s="42"/>
      <c r="N277" s="39"/>
      <c r="O277" s="42">
        <f>IF(AND(ISNUMBER(I277),ISNUMBER(J277)),J277-I277+1,"")</f>
        <v>28</v>
      </c>
      <c r="P277" s="13"/>
      <c r="Q277" s="13"/>
      <c r="R277" s="13"/>
      <c r="S277" s="13"/>
      <c r="T277" s="13"/>
      <c r="U277" s="13"/>
      <c r="V277" s="13" t="s">
        <v>140</v>
      </c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  <c r="AG277" s="13"/>
      <c r="AH277" s="13"/>
      <c r="AI277" s="13"/>
      <c r="AJ277" s="13"/>
      <c r="AK277" s="13"/>
      <c r="AL277" s="13"/>
      <c r="AM277" s="13"/>
      <c r="AN277" s="13"/>
      <c r="AO277" s="14" t="str">
        <f>IF(AND(ISNUMBER($I277),OR($K277="Milestone",$K277="Deadline"),$I277&gt;=AO$4,$I277&lt;AO$4+7),IF($K277="Deadline","◇","◆"),"")</f>
        <v/>
      </c>
      <c r="AP277" s="14" t="str">
        <f>IF(AND(ISNUMBER($I277),OR($K277="Milestone",$K277="Deadline"),$I277&gt;=AP$4,$I277&lt;AP$4+7),IF($K277="Deadline","◇","◆"),"")</f>
        <v/>
      </c>
      <c r="AQ277" s="14" t="str">
        <f>IF(AND(ISNUMBER($I277),OR($K277="Milestone",$K277="Deadline"),$I277&gt;=AQ$4,$I277&lt;AQ$4+7),IF($K277="Deadline","◇","◆"),"")</f>
        <v/>
      </c>
      <c r="AR277" s="14" t="str">
        <f>IF(AND(ISNUMBER($I277),OR($K277="Milestone",$K277="Deadline"),$I277&gt;=AR$4,$I277&lt;AR$4+7),IF($K277="Deadline","◇","◆"),"")</f>
        <v/>
      </c>
      <c r="AS277" s="14" t="str">
        <f>IF(AND(ISNUMBER($I277),OR($K277="Milestone",$K277="Deadline"),$I277&gt;=AS$4,$I277&lt;AS$4+7),IF($K277="Deadline","◇","◆"),"")</f>
        <v/>
      </c>
      <c r="AT277" s="14" t="str">
        <f>IF(AND(ISNUMBER($I277),OR($K277="Milestone",$K277="Deadline"),$I277&gt;=AT$4,$I277&lt;AT$4+7),IF($K277="Deadline","◇","◆"),"")</f>
        <v/>
      </c>
      <c r="AU277" s="14" t="str">
        <f>IF(AND(ISNUMBER($I277),OR($K277="Milestone",$K277="Deadline"),$I277&gt;=AU$4,$I277&lt;AU$4+7),IF($K277="Deadline","◇","◆"),"")</f>
        <v/>
      </c>
      <c r="AV277" s="14" t="str">
        <f>IF(AND(ISNUMBER($I277),OR($K277="Milestone",$K277="Deadline"),$I277&gt;=AV$4,$I277&lt;AV$4+7),IF($K277="Deadline","◇","◆"),"")</f>
        <v/>
      </c>
      <c r="AW277" s="14" t="str">
        <f>IF(AND(ISNUMBER($I277),OR($K277="Milestone",$K277="Deadline"),$I277&gt;=AW$4,$I277&lt;AW$4+7),IF($K277="Deadline","◇","◆"),"")</f>
        <v/>
      </c>
      <c r="AX277" s="14" t="str">
        <f>IF(AND(ISNUMBER($I277),OR($K277="Milestone",$K277="Deadline"),$I277&gt;=AX$4,$I277&lt;AX$4+7),IF($K277="Deadline","◇","◆"),"")</f>
        <v/>
      </c>
      <c r="AY277" s="14" t="str">
        <f>IF(AND(ISNUMBER($I277),OR($K277="Milestone",$K277="Deadline"),$I277&gt;=AY$4,$I277&lt;AY$4+7),IF($K277="Deadline","◇","◆"),"")</f>
        <v/>
      </c>
      <c r="AZ277" s="14" t="str">
        <f>IF(AND(ISNUMBER($I277),OR($K277="Milestone",$K277="Deadline"),$I277&gt;=AZ$4,$I277&lt;AZ$4+7),IF($K277="Deadline","◇","◆"),"")</f>
        <v/>
      </c>
      <c r="BA277" s="14" t="str">
        <f>IF(AND(ISNUMBER($I277),OR($K277="Milestone",$K277="Deadline"),$I277&gt;=BA$4,$I277&lt;BA$4+7),IF($K277="Deadline","◇","◆"),"")</f>
        <v/>
      </c>
      <c r="BB277" s="14" t="str">
        <f>IF(AND(ISNUMBER($I277),OR($K277="Milestone",$K277="Deadline"),$I277&gt;=BB$4,$I277&lt;BB$4+7),IF($K277="Deadline","◇","◆"),"")</f>
        <v/>
      </c>
      <c r="BC277" s="14" t="str">
        <f>IF(AND(ISNUMBER($I277),OR($K277="Milestone",$K277="Deadline"),$I277&gt;=BC$4,$I277&lt;BC$4+7),IF($K277="Deadline","◇","◆"),"")</f>
        <v/>
      </c>
      <c r="BD277" s="14" t="str">
        <f>IF(AND(ISNUMBER($I277),OR($K277="Milestone",$K277="Deadline"),$I277&gt;=BD$4,$I277&lt;BD$4+7),IF($K277="Deadline","◇","◆"),"")</f>
        <v/>
      </c>
      <c r="BE277" s="14" t="str">
        <f>IF(AND(ISNUMBER($I277),OR($K277="Milestone",$K277="Deadline"),$I277&gt;=BE$4,$I277&lt;BE$4+7),IF($K277="Deadline","◇","◆"),"")</f>
        <v/>
      </c>
      <c r="BF277" s="14" t="str">
        <f>IF(AND(ISNUMBER($I277),OR($K277="Milestone",$K277="Deadline"),$I277&gt;=BF$4,$I277&lt;BF$4+7),IF($K277="Deadline","◇","◆"),"")</f>
        <v/>
      </c>
      <c r="BG277" s="14" t="str">
        <f>IF(AND(ISNUMBER($I277),OR($K277="Milestone",$K277="Deadline"),$I277&gt;=BG$4,$I277&lt;BG$4+7),IF($K277="Deadline","◇","◆"),"")</f>
        <v/>
      </c>
      <c r="BH277" s="14" t="str">
        <f>IF(AND(ISNUMBER($I277),OR($K277="Milestone",$K277="Deadline"),$I277&gt;=BH$4,$I277&lt;BH$4+7),IF($K277="Deadline","◇","◆"),"")</f>
        <v/>
      </c>
      <c r="BI277" s="14" t="str">
        <f>IF(AND(ISNUMBER($I277),OR($K277="Milestone",$K277="Deadline"),$I277&gt;=BI$4,$I277&lt;BI$4+7),IF($K277="Deadline","◇","◆"),"")</f>
        <v/>
      </c>
      <c r="BJ277" s="14" t="str">
        <f>IF(AND(ISNUMBER($I277),OR($K277="Milestone",$K277="Deadline"),$I277&gt;=BJ$4,$I277&lt;BJ$4+7),IF($K277="Deadline","◇","◆"),"")</f>
        <v/>
      </c>
      <c r="BK277" s="14" t="str">
        <f>IF(AND(ISNUMBER($I277),OR($K277="Milestone",$K277="Deadline"),$I277&gt;=BK$4,$I277&lt;BK$4+7),IF($K277="Deadline","◇","◆"),"")</f>
        <v/>
      </c>
      <c r="BL277" s="14" t="str">
        <f>IF(AND(ISNUMBER($I277),OR($K277="Milestone",$K277="Deadline"),$I277&gt;=BL$4,$I277&lt;BL$4+7),IF($K277="Deadline","◇","◆"),"")</f>
        <v/>
      </c>
      <c r="BM277" s="14" t="str">
        <f>IF(AND(ISNUMBER($I277),OR($K277="Milestone",$K277="Deadline"),$I277&gt;=BM$4,$I277&lt;BM$4+7),IF($K277="Deadline","◇","◆"),"")</f>
        <v/>
      </c>
      <c r="BN277" s="14" t="str">
        <f>IF(AND(ISNUMBER($I277),OR($K277="Milestone",$K277="Deadline"),$I277&gt;=BN$4,$I277&lt;BN$4+7),IF($K277="Deadline","◇","◆"),"")</f>
        <v/>
      </c>
      <c r="BO277" s="14" t="str">
        <f>IF(AND(ISNUMBER($I277),OR($K277="Milestone",$K277="Deadline"),$I277&gt;=BO$4,$I277&lt;BO$4+7),IF($K277="Deadline","◇","◆"),"")</f>
        <v/>
      </c>
      <c r="BP277" s="14" t="str">
        <f>IF(AND(ISNUMBER($I277),OR($K277="Milestone",$K277="Deadline"),$I277&gt;=BP$4,$I277&lt;BP$4+7),IF($K277="Deadline","◇","◆"),"")</f>
        <v/>
      </c>
      <c r="BQ277" s="14" t="str">
        <f>IF(AND(ISNUMBER($I277),OR($K277="Milestone",$K277="Deadline"),$I277&gt;=BQ$4,$I277&lt;BQ$4+7),IF($K277="Deadline","◇","◆"),"")</f>
        <v/>
      </c>
      <c r="BR277" s="14" t="str">
        <f>IF(AND(ISNUMBER($I277),OR($K277="Milestone",$K277="Deadline"),$I277&gt;=BR$4,$I277&lt;BR$4+7),IF($K277="Deadline","◇","◆"),"")</f>
        <v/>
      </c>
      <c r="BS277" s="14" t="str">
        <f>IF(AND(ISNUMBER($I277),OR($K277="Milestone",$K277="Deadline"),$I277&gt;=BS$4,$I277&lt;BS$4+7),IF($K277="Deadline","◇","◆"),"")</f>
        <v/>
      </c>
      <c r="BT277" s="14" t="str">
        <f>IF(AND(ISNUMBER($I277),OR($K277="Milestone",$K277="Deadline"),$I277&gt;=BT$4,$I277&lt;BT$4+7),IF($K277="Deadline","◇","◆"),"")</f>
        <v/>
      </c>
      <c r="BU277" s="14" t="str">
        <f>IF(AND(ISNUMBER($I277),OR($K277="Milestone",$K277="Deadline"),$I277&gt;=BU$4,$I277&lt;BU$4+7),IF($K277="Deadline","◇","◆"),"")</f>
        <v/>
      </c>
      <c r="BV277" s="14" t="str">
        <f>IF(AND(ISNUMBER($I277),OR($K277="Milestone",$K277="Deadline"),$I277&gt;=BV$4,$I277&lt;BV$4+7),IF($K277="Deadline","◇","◆"),"")</f>
        <v/>
      </c>
      <c r="BW277" s="14" t="str">
        <f>IF(AND(ISNUMBER($I277),OR($K277="Milestone",$K277="Deadline"),$I277&gt;=BW$4,$I277&lt;BW$4+7),IF($K277="Deadline","◇","◆"),"")</f>
        <v/>
      </c>
      <c r="BX277" s="14" t="str">
        <f>IF(AND(ISNUMBER($I277),OR($K277="Milestone",$K277="Deadline"),$I277&gt;=BX$4,$I277&lt;BX$4+7),IF($K277="Deadline","◇","◆"),"")</f>
        <v/>
      </c>
      <c r="BY277" s="14" t="str">
        <f>IF(AND(ISNUMBER($I277),OR($K277="Milestone",$K277="Deadline"),$I277&gt;=BY$4,$I277&lt;BY$4+7),IF($K277="Deadline","◇","◆"),"")</f>
        <v/>
      </c>
      <c r="BZ277" s="14" t="str">
        <f>IF(AND(ISNUMBER($I277),OR($K277="Milestone",$K277="Deadline"),$I277&gt;=BZ$4,$I277&lt;BZ$4+7),IF($K277="Deadline","◇","◆"),"")</f>
        <v/>
      </c>
      <c r="CA277" s="14" t="str">
        <f>IF(AND(ISNUMBER($I277),OR($K277="Milestone",$K277="Deadline"),$I277&gt;=CA$4,$I277&lt;CA$4+7),IF($K277="Deadline","◇","◆"),"")</f>
        <v/>
      </c>
      <c r="CB277" s="14" t="str">
        <f>IF(AND(ISNUMBER($I277),OR($K277="Milestone",$K277="Deadline"),$I277&gt;=CB$4,$I277&lt;CB$4+7),IF($K277="Deadline","◇","◆"),"")</f>
        <v/>
      </c>
      <c r="CC277" s="14" t="str">
        <f>IF(AND(ISNUMBER($I277),OR($K277="Milestone",$K277="Deadline"),$I277&gt;=CC$4,$I277&lt;CC$4+7),IF($K277="Deadline","◇","◆"),"")</f>
        <v/>
      </c>
      <c r="CD277" s="14" t="str">
        <f>IF(AND(ISNUMBER($I277),OR($K277="Milestone",$K277="Deadline"),$I277&gt;=CD$4,$I277&lt;CD$4+7),IF($K277="Deadline","◇","◆"),"")</f>
        <v/>
      </c>
      <c r="CE277" s="14" t="str">
        <f>IF(AND(ISNUMBER($I277),OR($K277="Milestone",$K277="Deadline"),$I277&gt;=CE$4,$I277&lt;CE$4+7),IF($K277="Deadline","◇","◆"),"")</f>
        <v/>
      </c>
      <c r="CF277" s="14" t="str">
        <f>IF(AND(ISNUMBER($I277),OR($K277="Milestone",$K277="Deadline"),$I277&gt;=CF$4,$I277&lt;CF$4+7),IF($K277="Deadline","◇","◆"),"")</f>
        <v/>
      </c>
      <c r="CG277" s="14" t="str">
        <f>IF(AND(ISNUMBER($I277),OR($K277="Milestone",$K277="Deadline"),$I277&gt;=CG$4,$I277&lt;CG$4+7),IF($K277="Deadline","◇","◆"),"")</f>
        <v/>
      </c>
      <c r="CH277" s="14" t="str">
        <f>IF(AND(ISNUMBER($I277),OR($K277="Milestone",$K277="Deadline"),$I277&gt;=CH$4,$I277&lt;CH$4+7),IF($K277="Deadline","◇","◆"),"")</f>
        <v/>
      </c>
      <c r="CI277" s="14" t="str">
        <f>IF(AND(ISNUMBER($I277),OR($K277="Milestone",$K277="Deadline"),$I277&gt;=CI$4,$I277&lt;CI$4+7),IF($K277="Deadline","◇","◆"),"")</f>
        <v/>
      </c>
      <c r="CJ277" s="14" t="str">
        <f>IF(AND(ISNUMBER($I277),OR($K277="Milestone",$K277="Deadline"),$I277&gt;=CJ$4,$I277&lt;CJ$4+7),IF($K277="Deadline","◇","◆"),"")</f>
        <v/>
      </c>
      <c r="CK277" s="14" t="str">
        <f>IF(AND(ISNUMBER($I277),OR($K277="Milestone",$K277="Deadline"),$I277&gt;=CK$4,$I277&lt;CK$4+7),IF($K277="Deadline","◇","◆"),"")</f>
        <v/>
      </c>
      <c r="CL277" s="14" t="str">
        <f>IF(AND(ISNUMBER($I277),OR($K277="Milestone",$K277="Deadline"),$I277&gt;=CL$4,$I277&lt;CL$4+7),IF($K277="Deadline","◇","◆"),"")</f>
        <v/>
      </c>
      <c r="CM277" s="14" t="str">
        <f>IF(AND(ISNUMBER($I277),OR($K277="Milestone",$K277="Deadline"),$I277&gt;=CM$4,$I277&lt;CM$4+7),IF($K277="Deadline","◇","◆"),"")</f>
        <v/>
      </c>
    </row>
    <row r="278" spans="1:91" hidden="1">
      <c r="A278" s="39" t="s">
        <v>193</v>
      </c>
      <c r="B278" s="39" t="s">
        <v>538</v>
      </c>
      <c r="C278" s="39" t="s">
        <v>93</v>
      </c>
      <c r="D278" s="39" t="s">
        <v>514</v>
      </c>
      <c r="E278" s="39" t="s">
        <v>196</v>
      </c>
      <c r="F278" s="39" t="s">
        <v>204</v>
      </c>
      <c r="G278" s="39" t="s">
        <v>184</v>
      </c>
      <c r="H278" s="39">
        <v>14</v>
      </c>
      <c r="I278" s="40">
        <f>MAX($C$2,J277+1,J293+1)</f>
        <v>46430</v>
      </c>
      <c r="J278" s="41">
        <f>IF(AND(ISNUMBER(I278),ISNUMBER(H278)),I278+H278-1,"")</f>
        <v>46443</v>
      </c>
      <c r="K278" s="39" t="s">
        <v>27</v>
      </c>
      <c r="L278" s="39" t="s">
        <v>540</v>
      </c>
      <c r="M278" s="42" t="s">
        <v>541</v>
      </c>
      <c r="N278" s="39"/>
      <c r="O278" s="42">
        <f>IF(AND(ISNUMBER(I278),ISNUMBER(J278)),J278-I278+1,"")</f>
        <v>14</v>
      </c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  <c r="AE278" s="13"/>
      <c r="AF278" s="13" t="s">
        <v>140</v>
      </c>
      <c r="AG278" s="13"/>
      <c r="AH278" s="13"/>
      <c r="AI278" s="13"/>
      <c r="AJ278" s="13"/>
      <c r="AK278" s="13"/>
      <c r="AL278" s="13"/>
      <c r="AM278" s="13"/>
      <c r="AN278" s="13"/>
      <c r="AO278" s="14" t="str">
        <f>IF(AND(ISNUMBER($I278),OR($K278="Milestone",$K278="Deadline"),$I278&gt;=AO$4,$I278&lt;AO$4+7),IF($K278="Deadline","◇","◆"),"")</f>
        <v/>
      </c>
      <c r="AP278" s="14" t="str">
        <f>IF(AND(ISNUMBER($I278),OR($K278="Milestone",$K278="Deadline"),$I278&gt;=AP$4,$I278&lt;AP$4+7),IF($K278="Deadline","◇","◆"),"")</f>
        <v/>
      </c>
      <c r="AQ278" s="14" t="str">
        <f>IF(AND(ISNUMBER($I278),OR($K278="Milestone",$K278="Deadline"),$I278&gt;=AQ$4,$I278&lt;AQ$4+7),IF($K278="Deadline","◇","◆"),"")</f>
        <v/>
      </c>
      <c r="AR278" s="14" t="str">
        <f>IF(AND(ISNUMBER($I278),OR($K278="Milestone",$K278="Deadline"),$I278&gt;=AR$4,$I278&lt;AR$4+7),IF($K278="Deadline","◇","◆"),"")</f>
        <v/>
      </c>
      <c r="AS278" s="14" t="str">
        <f>IF(AND(ISNUMBER($I278),OR($K278="Milestone",$K278="Deadline"),$I278&gt;=AS$4,$I278&lt;AS$4+7),IF($K278="Deadline","◇","◆"),"")</f>
        <v/>
      </c>
      <c r="AT278" s="14" t="str">
        <f>IF(AND(ISNUMBER($I278),OR($K278="Milestone",$K278="Deadline"),$I278&gt;=AT$4,$I278&lt;AT$4+7),IF($K278="Deadline","◇","◆"),"")</f>
        <v/>
      </c>
      <c r="AU278" s="14" t="str">
        <f>IF(AND(ISNUMBER($I278),OR($K278="Milestone",$K278="Deadline"),$I278&gt;=AU$4,$I278&lt;AU$4+7),IF($K278="Deadline","◇","◆"),"")</f>
        <v/>
      </c>
      <c r="AV278" s="14" t="str">
        <f>IF(AND(ISNUMBER($I278),OR($K278="Milestone",$K278="Deadline"),$I278&gt;=AV$4,$I278&lt;AV$4+7),IF($K278="Deadline","◇","◆"),"")</f>
        <v/>
      </c>
      <c r="AW278" s="14" t="str">
        <f>IF(AND(ISNUMBER($I278),OR($K278="Milestone",$K278="Deadline"),$I278&gt;=AW$4,$I278&lt;AW$4+7),IF($K278="Deadline","◇","◆"),"")</f>
        <v/>
      </c>
      <c r="AX278" s="14" t="str">
        <f>IF(AND(ISNUMBER($I278),OR($K278="Milestone",$K278="Deadline"),$I278&gt;=AX$4,$I278&lt;AX$4+7),IF($K278="Deadline","◇","◆"),"")</f>
        <v/>
      </c>
      <c r="AY278" s="14" t="str">
        <f>IF(AND(ISNUMBER($I278),OR($K278="Milestone",$K278="Deadline"),$I278&gt;=AY$4,$I278&lt;AY$4+7),IF($K278="Deadline","◇","◆"),"")</f>
        <v/>
      </c>
      <c r="AZ278" s="14" t="str">
        <f>IF(AND(ISNUMBER($I278),OR($K278="Milestone",$K278="Deadline"),$I278&gt;=AZ$4,$I278&lt;AZ$4+7),IF($K278="Deadline","◇","◆"),"")</f>
        <v/>
      </c>
      <c r="BA278" s="14" t="str">
        <f>IF(AND(ISNUMBER($I278),OR($K278="Milestone",$K278="Deadline"),$I278&gt;=BA$4,$I278&lt;BA$4+7),IF($K278="Deadline","◇","◆"),"")</f>
        <v/>
      </c>
      <c r="BB278" s="14" t="str">
        <f>IF(AND(ISNUMBER($I278),OR($K278="Milestone",$K278="Deadline"),$I278&gt;=BB$4,$I278&lt;BB$4+7),IF($K278="Deadline","◇","◆"),"")</f>
        <v/>
      </c>
      <c r="BC278" s="14" t="str">
        <f>IF(AND(ISNUMBER($I278),OR($K278="Milestone",$K278="Deadline"),$I278&gt;=BC$4,$I278&lt;BC$4+7),IF($K278="Deadline","◇","◆"),"")</f>
        <v/>
      </c>
      <c r="BD278" s="14" t="str">
        <f>IF(AND(ISNUMBER($I278),OR($K278="Milestone",$K278="Deadline"),$I278&gt;=BD$4,$I278&lt;BD$4+7),IF($K278="Deadline","◇","◆"),"")</f>
        <v/>
      </c>
      <c r="BE278" s="14" t="str">
        <f>IF(AND(ISNUMBER($I278),OR($K278="Milestone",$K278="Deadline"),$I278&gt;=BE$4,$I278&lt;BE$4+7),IF($K278="Deadline","◇","◆"),"")</f>
        <v/>
      </c>
      <c r="BF278" s="14" t="str">
        <f>IF(AND(ISNUMBER($I278),OR($K278="Milestone",$K278="Deadline"),$I278&gt;=BF$4,$I278&lt;BF$4+7),IF($K278="Deadline","◇","◆"),"")</f>
        <v/>
      </c>
      <c r="BG278" s="14" t="str">
        <f>IF(AND(ISNUMBER($I278),OR($K278="Milestone",$K278="Deadline"),$I278&gt;=BG$4,$I278&lt;BG$4+7),IF($K278="Deadline","◇","◆"),"")</f>
        <v/>
      </c>
      <c r="BH278" s="14" t="str">
        <f>IF(AND(ISNUMBER($I278),OR($K278="Milestone",$K278="Deadline"),$I278&gt;=BH$4,$I278&lt;BH$4+7),IF($K278="Deadline","◇","◆"),"")</f>
        <v/>
      </c>
      <c r="BI278" s="14" t="str">
        <f>IF(AND(ISNUMBER($I278),OR($K278="Milestone",$K278="Deadline"),$I278&gt;=BI$4,$I278&lt;BI$4+7),IF($K278="Deadline","◇","◆"),"")</f>
        <v/>
      </c>
      <c r="BJ278" s="14" t="str">
        <f>IF(AND(ISNUMBER($I278),OR($K278="Milestone",$K278="Deadline"),$I278&gt;=BJ$4,$I278&lt;BJ$4+7),IF($K278="Deadline","◇","◆"),"")</f>
        <v/>
      </c>
      <c r="BK278" s="14" t="str">
        <f>IF(AND(ISNUMBER($I278),OR($K278="Milestone",$K278="Deadline"),$I278&gt;=BK$4,$I278&lt;BK$4+7),IF($K278="Deadline","◇","◆"),"")</f>
        <v/>
      </c>
      <c r="BL278" s="14" t="str">
        <f>IF(AND(ISNUMBER($I278),OR($K278="Milestone",$K278="Deadline"),$I278&gt;=BL$4,$I278&lt;BL$4+7),IF($K278="Deadline","◇","◆"),"")</f>
        <v/>
      </c>
      <c r="BM278" s="14" t="str">
        <f>IF(AND(ISNUMBER($I278),OR($K278="Milestone",$K278="Deadline"),$I278&gt;=BM$4,$I278&lt;BM$4+7),IF($K278="Deadline","◇","◆"),"")</f>
        <v/>
      </c>
      <c r="BN278" s="14" t="str">
        <f>IF(AND(ISNUMBER($I278),OR($K278="Milestone",$K278="Deadline"),$I278&gt;=BN$4,$I278&lt;BN$4+7),IF($K278="Deadline","◇","◆"),"")</f>
        <v/>
      </c>
      <c r="BO278" s="14" t="str">
        <f>IF(AND(ISNUMBER($I278),OR($K278="Milestone",$K278="Deadline"),$I278&gt;=BO$4,$I278&lt;BO$4+7),IF($K278="Deadline","◇","◆"),"")</f>
        <v/>
      </c>
      <c r="BP278" s="14" t="str">
        <f>IF(AND(ISNUMBER($I278),OR($K278="Milestone",$K278="Deadline"),$I278&gt;=BP$4,$I278&lt;BP$4+7),IF($K278="Deadline","◇","◆"),"")</f>
        <v/>
      </c>
      <c r="BQ278" s="14" t="str">
        <f>IF(AND(ISNUMBER($I278),OR($K278="Milestone",$K278="Deadline"),$I278&gt;=BQ$4,$I278&lt;BQ$4+7),IF($K278="Deadline","◇","◆"),"")</f>
        <v/>
      </c>
      <c r="BR278" s="14" t="str">
        <f>IF(AND(ISNUMBER($I278),OR($K278="Milestone",$K278="Deadline"),$I278&gt;=BR$4,$I278&lt;BR$4+7),IF($K278="Deadline","◇","◆"),"")</f>
        <v/>
      </c>
      <c r="BS278" s="14" t="str">
        <f>IF(AND(ISNUMBER($I278),OR($K278="Milestone",$K278="Deadline"),$I278&gt;=BS$4,$I278&lt;BS$4+7),IF($K278="Deadline","◇","◆"),"")</f>
        <v/>
      </c>
      <c r="BT278" s="14" t="str">
        <f>IF(AND(ISNUMBER($I278),OR($K278="Milestone",$K278="Deadline"),$I278&gt;=BT$4,$I278&lt;BT$4+7),IF($K278="Deadline","◇","◆"),"")</f>
        <v/>
      </c>
      <c r="BU278" s="14" t="str">
        <f>IF(AND(ISNUMBER($I278),OR($K278="Milestone",$K278="Deadline"),$I278&gt;=BU$4,$I278&lt;BU$4+7),IF($K278="Deadline","◇","◆"),"")</f>
        <v/>
      </c>
      <c r="BV278" s="14" t="str">
        <f>IF(AND(ISNUMBER($I278),OR($K278="Milestone",$K278="Deadline"),$I278&gt;=BV$4,$I278&lt;BV$4+7),IF($K278="Deadline","◇","◆"),"")</f>
        <v/>
      </c>
      <c r="BW278" s="14" t="str">
        <f>IF(AND(ISNUMBER($I278),OR($K278="Milestone",$K278="Deadline"),$I278&gt;=BW$4,$I278&lt;BW$4+7),IF($K278="Deadline","◇","◆"),"")</f>
        <v/>
      </c>
      <c r="BX278" s="14" t="str">
        <f>IF(AND(ISNUMBER($I278),OR($K278="Milestone",$K278="Deadline"),$I278&gt;=BX$4,$I278&lt;BX$4+7),IF($K278="Deadline","◇","◆"),"")</f>
        <v/>
      </c>
      <c r="BY278" s="14" t="str">
        <f>IF(AND(ISNUMBER($I278),OR($K278="Milestone",$K278="Deadline"),$I278&gt;=BY$4,$I278&lt;BY$4+7),IF($K278="Deadline","◇","◆"),"")</f>
        <v/>
      </c>
      <c r="BZ278" s="14" t="str">
        <f>IF(AND(ISNUMBER($I278),OR($K278="Milestone",$K278="Deadline"),$I278&gt;=BZ$4,$I278&lt;BZ$4+7),IF($K278="Deadline","◇","◆"),"")</f>
        <v/>
      </c>
      <c r="CA278" s="14" t="str">
        <f>IF(AND(ISNUMBER($I278),OR($K278="Milestone",$K278="Deadline"),$I278&gt;=CA$4,$I278&lt;CA$4+7),IF($K278="Deadline","◇","◆"),"")</f>
        <v/>
      </c>
      <c r="CB278" s="14" t="str">
        <f>IF(AND(ISNUMBER($I278),OR($K278="Milestone",$K278="Deadline"),$I278&gt;=CB$4,$I278&lt;CB$4+7),IF($K278="Deadline","◇","◆"),"")</f>
        <v/>
      </c>
      <c r="CC278" s="14" t="str">
        <f>IF(AND(ISNUMBER($I278),OR($K278="Milestone",$K278="Deadline"),$I278&gt;=CC$4,$I278&lt;CC$4+7),IF($K278="Deadline","◇","◆"),"")</f>
        <v/>
      </c>
      <c r="CD278" s="14" t="str">
        <f>IF(AND(ISNUMBER($I278),OR($K278="Milestone",$K278="Deadline"),$I278&gt;=CD$4,$I278&lt;CD$4+7),IF($K278="Deadline","◇","◆"),"")</f>
        <v/>
      </c>
      <c r="CE278" s="14" t="str">
        <f>IF(AND(ISNUMBER($I278),OR($K278="Milestone",$K278="Deadline"),$I278&gt;=CE$4,$I278&lt;CE$4+7),IF($K278="Deadline","◇","◆"),"")</f>
        <v/>
      </c>
      <c r="CF278" s="14" t="str">
        <f>IF(AND(ISNUMBER($I278),OR($K278="Milestone",$K278="Deadline"),$I278&gt;=CF$4,$I278&lt;CF$4+7),IF($K278="Deadline","◇","◆"),"")</f>
        <v/>
      </c>
      <c r="CG278" s="14" t="str">
        <f>IF(AND(ISNUMBER($I278),OR($K278="Milestone",$K278="Deadline"),$I278&gt;=CG$4,$I278&lt;CG$4+7),IF($K278="Deadline","◇","◆"),"")</f>
        <v/>
      </c>
      <c r="CH278" s="14" t="str">
        <f>IF(AND(ISNUMBER($I278),OR($K278="Milestone",$K278="Deadline"),$I278&gt;=CH$4,$I278&lt;CH$4+7),IF($K278="Deadline","◇","◆"),"")</f>
        <v/>
      </c>
      <c r="CI278" s="14" t="str">
        <f>IF(AND(ISNUMBER($I278),OR($K278="Milestone",$K278="Deadline"),$I278&gt;=CI$4,$I278&lt;CI$4+7),IF($K278="Deadline","◇","◆"),"")</f>
        <v/>
      </c>
      <c r="CJ278" s="14" t="str">
        <f>IF(AND(ISNUMBER($I278),OR($K278="Milestone",$K278="Deadline"),$I278&gt;=CJ$4,$I278&lt;CJ$4+7),IF($K278="Deadline","◇","◆"),"")</f>
        <v/>
      </c>
      <c r="CK278" s="14" t="str">
        <f>IF(AND(ISNUMBER($I278),OR($K278="Milestone",$K278="Deadline"),$I278&gt;=CK$4,$I278&lt;CK$4+7),IF($K278="Deadline","◇","◆"),"")</f>
        <v/>
      </c>
      <c r="CL278" s="14" t="str">
        <f>IF(AND(ISNUMBER($I278),OR($K278="Milestone",$K278="Deadline"),$I278&gt;=CL$4,$I278&lt;CL$4+7),IF($K278="Deadline","◇","◆"),"")</f>
        <v/>
      </c>
      <c r="CM278" s="14" t="str">
        <f>IF(AND(ISNUMBER($I278),OR($K278="Milestone",$K278="Deadline"),$I278&gt;=CM$4,$I278&lt;CM$4+7),IF($K278="Deadline","◇","◆"),"")</f>
        <v/>
      </c>
    </row>
    <row r="279" spans="1:91" hidden="1">
      <c r="A279" s="39" t="s">
        <v>243</v>
      </c>
      <c r="B279" s="39" t="s">
        <v>538</v>
      </c>
      <c r="C279" s="39" t="s">
        <v>93</v>
      </c>
      <c r="D279" s="39" t="s">
        <v>514</v>
      </c>
      <c r="E279" s="39" t="s">
        <v>196</v>
      </c>
      <c r="F279" s="39" t="s">
        <v>204</v>
      </c>
      <c r="G279" s="39" t="s">
        <v>275</v>
      </c>
      <c r="H279" s="39">
        <v>7</v>
      </c>
      <c r="I279" s="40">
        <f>MAX($C$2,J278+1,J224+1,J235+1)</f>
        <v>46444</v>
      </c>
      <c r="J279" s="41">
        <f>IF(AND(ISNUMBER(I279),ISNUMBER(H279)),I279+H279-1,"")</f>
        <v>46450</v>
      </c>
      <c r="K279" s="39" t="s">
        <v>27</v>
      </c>
      <c r="L279" s="39" t="s">
        <v>193</v>
      </c>
      <c r="M279" s="42" t="s">
        <v>542</v>
      </c>
      <c r="N279" s="39"/>
      <c r="O279" s="42">
        <f>IF(AND(ISNUMBER(I279),ISNUMBER(J279)),J279-I279+1,"")</f>
        <v>7</v>
      </c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 t="s">
        <v>140</v>
      </c>
      <c r="AD279" s="13"/>
      <c r="AE279" s="13" t="s">
        <v>140</v>
      </c>
      <c r="AF279" s="13"/>
      <c r="AG279" s="13"/>
      <c r="AH279" s="13"/>
      <c r="AI279" s="13"/>
      <c r="AJ279" s="13"/>
      <c r="AK279" s="13"/>
      <c r="AL279" s="13"/>
      <c r="AM279" s="13"/>
      <c r="AN279" s="13"/>
      <c r="AO279" s="14" t="str">
        <f>IF(AND(ISNUMBER($I279),OR($K279="Milestone",$K279="Deadline"),$I279&gt;=AO$4,$I279&lt;AO$4+7),IF($K279="Deadline","◇","◆"),"")</f>
        <v/>
      </c>
      <c r="AP279" s="14" t="str">
        <f>IF(AND(ISNUMBER($I279),OR($K279="Milestone",$K279="Deadline"),$I279&gt;=AP$4,$I279&lt;AP$4+7),IF($K279="Deadline","◇","◆"),"")</f>
        <v/>
      </c>
      <c r="AQ279" s="14" t="str">
        <f>IF(AND(ISNUMBER($I279),OR($K279="Milestone",$K279="Deadline"),$I279&gt;=AQ$4,$I279&lt;AQ$4+7),IF($K279="Deadline","◇","◆"),"")</f>
        <v/>
      </c>
      <c r="AR279" s="14" t="str">
        <f>IF(AND(ISNUMBER($I279),OR($K279="Milestone",$K279="Deadline"),$I279&gt;=AR$4,$I279&lt;AR$4+7),IF($K279="Deadline","◇","◆"),"")</f>
        <v/>
      </c>
      <c r="AS279" s="14" t="str">
        <f>IF(AND(ISNUMBER($I279),OR($K279="Milestone",$K279="Deadline"),$I279&gt;=AS$4,$I279&lt;AS$4+7),IF($K279="Deadline","◇","◆"),"")</f>
        <v/>
      </c>
      <c r="AT279" s="14" t="str">
        <f>IF(AND(ISNUMBER($I279),OR($K279="Milestone",$K279="Deadline"),$I279&gt;=AT$4,$I279&lt;AT$4+7),IF($K279="Deadline","◇","◆"),"")</f>
        <v/>
      </c>
      <c r="AU279" s="14" t="str">
        <f>IF(AND(ISNUMBER($I279),OR($K279="Milestone",$K279="Deadline"),$I279&gt;=AU$4,$I279&lt;AU$4+7),IF($K279="Deadline","◇","◆"),"")</f>
        <v/>
      </c>
      <c r="AV279" s="14" t="str">
        <f>IF(AND(ISNUMBER($I279),OR($K279="Milestone",$K279="Deadline"),$I279&gt;=AV$4,$I279&lt;AV$4+7),IF($K279="Deadline","◇","◆"),"")</f>
        <v/>
      </c>
      <c r="AW279" s="14" t="str">
        <f>IF(AND(ISNUMBER($I279),OR($K279="Milestone",$K279="Deadline"),$I279&gt;=AW$4,$I279&lt;AW$4+7),IF($K279="Deadline","◇","◆"),"")</f>
        <v/>
      </c>
      <c r="AX279" s="14" t="str">
        <f>IF(AND(ISNUMBER($I279),OR($K279="Milestone",$K279="Deadline"),$I279&gt;=AX$4,$I279&lt;AX$4+7),IF($K279="Deadline","◇","◆"),"")</f>
        <v/>
      </c>
      <c r="AY279" s="14" t="str">
        <f>IF(AND(ISNUMBER($I279),OR($K279="Milestone",$K279="Deadline"),$I279&gt;=AY$4,$I279&lt;AY$4+7),IF($K279="Deadline","◇","◆"),"")</f>
        <v/>
      </c>
      <c r="AZ279" s="14" t="str">
        <f>IF(AND(ISNUMBER($I279),OR($K279="Milestone",$K279="Deadline"),$I279&gt;=AZ$4,$I279&lt;AZ$4+7),IF($K279="Deadline","◇","◆"),"")</f>
        <v/>
      </c>
      <c r="BA279" s="14" t="str">
        <f>IF(AND(ISNUMBER($I279),OR($K279="Milestone",$K279="Deadline"),$I279&gt;=BA$4,$I279&lt;BA$4+7),IF($K279="Deadline","◇","◆"),"")</f>
        <v/>
      </c>
      <c r="BB279" s="14" t="str">
        <f>IF(AND(ISNUMBER($I279),OR($K279="Milestone",$K279="Deadline"),$I279&gt;=BB$4,$I279&lt;BB$4+7),IF($K279="Deadline","◇","◆"),"")</f>
        <v/>
      </c>
      <c r="BC279" s="14" t="str">
        <f>IF(AND(ISNUMBER($I279),OR($K279="Milestone",$K279="Deadline"),$I279&gt;=BC$4,$I279&lt;BC$4+7),IF($K279="Deadline","◇","◆"),"")</f>
        <v/>
      </c>
      <c r="BD279" s="14" t="str">
        <f>IF(AND(ISNUMBER($I279),OR($K279="Milestone",$K279="Deadline"),$I279&gt;=BD$4,$I279&lt;BD$4+7),IF($K279="Deadline","◇","◆"),"")</f>
        <v/>
      </c>
      <c r="BE279" s="14" t="str">
        <f>IF(AND(ISNUMBER($I279),OR($K279="Milestone",$K279="Deadline"),$I279&gt;=BE$4,$I279&lt;BE$4+7),IF($K279="Deadline","◇","◆"),"")</f>
        <v/>
      </c>
      <c r="BF279" s="14" t="str">
        <f>IF(AND(ISNUMBER($I279),OR($K279="Milestone",$K279="Deadline"),$I279&gt;=BF$4,$I279&lt;BF$4+7),IF($K279="Deadline","◇","◆"),"")</f>
        <v/>
      </c>
      <c r="BG279" s="14" t="str">
        <f>IF(AND(ISNUMBER($I279),OR($K279="Milestone",$K279="Deadline"),$I279&gt;=BG$4,$I279&lt;BG$4+7),IF($K279="Deadline","◇","◆"),"")</f>
        <v/>
      </c>
      <c r="BH279" s="14" t="str">
        <f>IF(AND(ISNUMBER($I279),OR($K279="Milestone",$K279="Deadline"),$I279&gt;=BH$4,$I279&lt;BH$4+7),IF($K279="Deadline","◇","◆"),"")</f>
        <v/>
      </c>
      <c r="BI279" s="14" t="str">
        <f>IF(AND(ISNUMBER($I279),OR($K279="Milestone",$K279="Deadline"),$I279&gt;=BI$4,$I279&lt;BI$4+7),IF($K279="Deadline","◇","◆"),"")</f>
        <v/>
      </c>
      <c r="BJ279" s="14" t="str">
        <f>IF(AND(ISNUMBER($I279),OR($K279="Milestone",$K279="Deadline"),$I279&gt;=BJ$4,$I279&lt;BJ$4+7),IF($K279="Deadline","◇","◆"),"")</f>
        <v/>
      </c>
      <c r="BK279" s="14" t="str">
        <f>IF(AND(ISNUMBER($I279),OR($K279="Milestone",$K279="Deadline"),$I279&gt;=BK$4,$I279&lt;BK$4+7),IF($K279="Deadline","◇","◆"),"")</f>
        <v/>
      </c>
      <c r="BL279" s="14" t="str">
        <f>IF(AND(ISNUMBER($I279),OR($K279="Milestone",$K279="Deadline"),$I279&gt;=BL$4,$I279&lt;BL$4+7),IF($K279="Deadline","◇","◆"),"")</f>
        <v/>
      </c>
      <c r="BM279" s="14" t="str">
        <f>IF(AND(ISNUMBER($I279),OR($K279="Milestone",$K279="Deadline"),$I279&gt;=BM$4,$I279&lt;BM$4+7),IF($K279="Deadline","◇","◆"),"")</f>
        <v/>
      </c>
      <c r="BN279" s="14" t="str">
        <f>IF(AND(ISNUMBER($I279),OR($K279="Milestone",$K279="Deadline"),$I279&gt;=BN$4,$I279&lt;BN$4+7),IF($K279="Deadline","◇","◆"),"")</f>
        <v/>
      </c>
      <c r="BO279" s="14" t="str">
        <f>IF(AND(ISNUMBER($I279),OR($K279="Milestone",$K279="Deadline"),$I279&gt;=BO$4,$I279&lt;BO$4+7),IF($K279="Deadline","◇","◆"),"")</f>
        <v/>
      </c>
      <c r="BP279" s="14" t="str">
        <f>IF(AND(ISNUMBER($I279),OR($K279="Milestone",$K279="Deadline"),$I279&gt;=BP$4,$I279&lt;BP$4+7),IF($K279="Deadline","◇","◆"),"")</f>
        <v/>
      </c>
      <c r="BQ279" s="14" t="str">
        <f>IF(AND(ISNUMBER($I279),OR($K279="Milestone",$K279="Deadline"),$I279&gt;=BQ$4,$I279&lt;BQ$4+7),IF($K279="Deadline","◇","◆"),"")</f>
        <v/>
      </c>
      <c r="BR279" s="14" t="str">
        <f>IF(AND(ISNUMBER($I279),OR($K279="Milestone",$K279="Deadline"),$I279&gt;=BR$4,$I279&lt;BR$4+7),IF($K279="Deadline","◇","◆"),"")</f>
        <v/>
      </c>
      <c r="BS279" s="14" t="str">
        <f>IF(AND(ISNUMBER($I279),OR($K279="Milestone",$K279="Deadline"),$I279&gt;=BS$4,$I279&lt;BS$4+7),IF($K279="Deadline","◇","◆"),"")</f>
        <v/>
      </c>
      <c r="BT279" s="14" t="str">
        <f>IF(AND(ISNUMBER($I279),OR($K279="Milestone",$K279="Deadline"),$I279&gt;=BT$4,$I279&lt;BT$4+7),IF($K279="Deadline","◇","◆"),"")</f>
        <v/>
      </c>
      <c r="BU279" s="14" t="str">
        <f>IF(AND(ISNUMBER($I279),OR($K279="Milestone",$K279="Deadline"),$I279&gt;=BU$4,$I279&lt;BU$4+7),IF($K279="Deadline","◇","◆"),"")</f>
        <v/>
      </c>
      <c r="BV279" s="14" t="str">
        <f>IF(AND(ISNUMBER($I279),OR($K279="Milestone",$K279="Deadline"),$I279&gt;=BV$4,$I279&lt;BV$4+7),IF($K279="Deadline","◇","◆"),"")</f>
        <v/>
      </c>
      <c r="BW279" s="14" t="str">
        <f>IF(AND(ISNUMBER($I279),OR($K279="Milestone",$K279="Deadline"),$I279&gt;=BW$4,$I279&lt;BW$4+7),IF($K279="Deadline","◇","◆"),"")</f>
        <v/>
      </c>
      <c r="BX279" s="14" t="str">
        <f>IF(AND(ISNUMBER($I279),OR($K279="Milestone",$K279="Deadline"),$I279&gt;=BX$4,$I279&lt;BX$4+7),IF($K279="Deadline","◇","◆"),"")</f>
        <v/>
      </c>
      <c r="BY279" s="14" t="str">
        <f>IF(AND(ISNUMBER($I279),OR($K279="Milestone",$K279="Deadline"),$I279&gt;=BY$4,$I279&lt;BY$4+7),IF($K279="Deadline","◇","◆"),"")</f>
        <v/>
      </c>
      <c r="BZ279" s="14" t="str">
        <f>IF(AND(ISNUMBER($I279),OR($K279="Milestone",$K279="Deadline"),$I279&gt;=BZ$4,$I279&lt;BZ$4+7),IF($K279="Deadline","◇","◆"),"")</f>
        <v/>
      </c>
      <c r="CA279" s="14" t="str">
        <f>IF(AND(ISNUMBER($I279),OR($K279="Milestone",$K279="Deadline"),$I279&gt;=CA$4,$I279&lt;CA$4+7),IF($K279="Deadline","◇","◆"),"")</f>
        <v/>
      </c>
      <c r="CB279" s="14" t="str">
        <f>IF(AND(ISNUMBER($I279),OR($K279="Milestone",$K279="Deadline"),$I279&gt;=CB$4,$I279&lt;CB$4+7),IF($K279="Deadline","◇","◆"),"")</f>
        <v/>
      </c>
      <c r="CC279" s="14" t="str">
        <f>IF(AND(ISNUMBER($I279),OR($K279="Milestone",$K279="Deadline"),$I279&gt;=CC$4,$I279&lt;CC$4+7),IF($K279="Deadline","◇","◆"),"")</f>
        <v/>
      </c>
      <c r="CD279" s="14" t="str">
        <f>IF(AND(ISNUMBER($I279),OR($K279="Milestone",$K279="Deadline"),$I279&gt;=CD$4,$I279&lt;CD$4+7),IF($K279="Deadline","◇","◆"),"")</f>
        <v/>
      </c>
      <c r="CE279" s="14" t="str">
        <f>IF(AND(ISNUMBER($I279),OR($K279="Milestone",$K279="Deadline"),$I279&gt;=CE$4,$I279&lt;CE$4+7),IF($K279="Deadline","◇","◆"),"")</f>
        <v/>
      </c>
      <c r="CF279" s="14" t="str">
        <f>IF(AND(ISNUMBER($I279),OR($K279="Milestone",$K279="Deadline"),$I279&gt;=CF$4,$I279&lt;CF$4+7),IF($K279="Deadline","◇","◆"),"")</f>
        <v/>
      </c>
      <c r="CG279" s="14" t="str">
        <f>IF(AND(ISNUMBER($I279),OR($K279="Milestone",$K279="Deadline"),$I279&gt;=CG$4,$I279&lt;CG$4+7),IF($K279="Deadline","◇","◆"),"")</f>
        <v/>
      </c>
      <c r="CH279" s="14" t="str">
        <f>IF(AND(ISNUMBER($I279),OR($K279="Milestone",$K279="Deadline"),$I279&gt;=CH$4,$I279&lt;CH$4+7),IF($K279="Deadline","◇","◆"),"")</f>
        <v/>
      </c>
      <c r="CI279" s="14" t="str">
        <f>IF(AND(ISNUMBER($I279),OR($K279="Milestone",$K279="Deadline"),$I279&gt;=CI$4,$I279&lt;CI$4+7),IF($K279="Deadline","◇","◆"),"")</f>
        <v/>
      </c>
      <c r="CJ279" s="14" t="str">
        <f>IF(AND(ISNUMBER($I279),OR($K279="Milestone",$K279="Deadline"),$I279&gt;=CJ$4,$I279&lt;CJ$4+7),IF($K279="Deadline","◇","◆"),"")</f>
        <v/>
      </c>
      <c r="CK279" s="14" t="str">
        <f>IF(AND(ISNUMBER($I279),OR($K279="Milestone",$K279="Deadline"),$I279&gt;=CK$4,$I279&lt;CK$4+7),IF($K279="Deadline","◇","◆"),"")</f>
        <v/>
      </c>
      <c r="CL279" s="14" t="str">
        <f>IF(AND(ISNUMBER($I279),OR($K279="Milestone",$K279="Deadline"),$I279&gt;=CL$4,$I279&lt;CL$4+7),IF($K279="Deadline","◇","◆"),"")</f>
        <v/>
      </c>
      <c r="CM279" s="14" t="str">
        <f>IF(AND(ISNUMBER($I279),OR($K279="Milestone",$K279="Deadline"),$I279&gt;=CM$4,$I279&lt;CM$4+7),IF($K279="Deadline","◇","◆"),"")</f>
        <v/>
      </c>
    </row>
    <row r="280" spans="1:91" hidden="1">
      <c r="A280" s="39" t="s">
        <v>543</v>
      </c>
      <c r="B280" s="39" t="s">
        <v>538</v>
      </c>
      <c r="C280" s="39" t="s">
        <v>191</v>
      </c>
      <c r="D280" s="39" t="s">
        <v>514</v>
      </c>
      <c r="E280" s="39" t="s">
        <v>196</v>
      </c>
      <c r="F280" s="39" t="s">
        <v>204</v>
      </c>
      <c r="G280" s="39" t="s">
        <v>278</v>
      </c>
      <c r="H280" s="39">
        <v>4</v>
      </c>
      <c r="I280" s="40">
        <f>MAX(DATE(2027,3,1),J279+1,J212+1,J191+1)</f>
        <v>46473</v>
      </c>
      <c r="J280" s="41">
        <f>IF(AND(ISNUMBER(I280),ISNUMBER(H280)),I280+H280-1,"")</f>
        <v>46476</v>
      </c>
      <c r="K280" s="39" t="s">
        <v>27</v>
      </c>
      <c r="L280" s="39" t="s">
        <v>243</v>
      </c>
      <c r="M280" s="42" t="s">
        <v>544</v>
      </c>
      <c r="N280" s="39"/>
      <c r="O280" s="42">
        <f>IF(AND(ISNUMBER(I280),ISNUMBER(J280)),J280-I280+1,"")</f>
        <v>4</v>
      </c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 t="s">
        <v>140</v>
      </c>
      <c r="AE280" s="13"/>
      <c r="AF280" s="13"/>
      <c r="AG280" s="13"/>
      <c r="AH280" s="13"/>
      <c r="AI280" s="13" t="s">
        <v>140</v>
      </c>
      <c r="AJ280" s="13"/>
      <c r="AK280" s="13"/>
      <c r="AL280" s="13"/>
      <c r="AM280" s="13"/>
      <c r="AN280" s="13"/>
      <c r="AO280" s="14" t="str">
        <f>IF(AND(ISNUMBER($I280),OR($K280="Milestone",$K280="Deadline"),$I280&gt;=AO$4,$I280&lt;AO$4+7),IF($K280="Deadline","◇","◆"),"")</f>
        <v/>
      </c>
      <c r="AP280" s="14" t="str">
        <f>IF(AND(ISNUMBER($I280),OR($K280="Milestone",$K280="Deadline"),$I280&gt;=AP$4,$I280&lt;AP$4+7),IF($K280="Deadline","◇","◆"),"")</f>
        <v/>
      </c>
      <c r="AQ280" s="14" t="str">
        <f>IF(AND(ISNUMBER($I280),OR($K280="Milestone",$K280="Deadline"),$I280&gt;=AQ$4,$I280&lt;AQ$4+7),IF($K280="Deadline","◇","◆"),"")</f>
        <v/>
      </c>
      <c r="AR280" s="14" t="str">
        <f>IF(AND(ISNUMBER($I280),OR($K280="Milestone",$K280="Deadline"),$I280&gt;=AR$4,$I280&lt;AR$4+7),IF($K280="Deadline","◇","◆"),"")</f>
        <v/>
      </c>
      <c r="AS280" s="14" t="str">
        <f>IF(AND(ISNUMBER($I280),OR($K280="Milestone",$K280="Deadline"),$I280&gt;=AS$4,$I280&lt;AS$4+7),IF($K280="Deadline","◇","◆"),"")</f>
        <v/>
      </c>
      <c r="AT280" s="14" t="str">
        <f>IF(AND(ISNUMBER($I280),OR($K280="Milestone",$K280="Deadline"),$I280&gt;=AT$4,$I280&lt;AT$4+7),IF($K280="Deadline","◇","◆"),"")</f>
        <v/>
      </c>
      <c r="AU280" s="14" t="str">
        <f>IF(AND(ISNUMBER($I280),OR($K280="Milestone",$K280="Deadline"),$I280&gt;=AU$4,$I280&lt;AU$4+7),IF($K280="Deadline","◇","◆"),"")</f>
        <v/>
      </c>
      <c r="AV280" s="14" t="str">
        <f>IF(AND(ISNUMBER($I280),OR($K280="Milestone",$K280="Deadline"),$I280&gt;=AV$4,$I280&lt;AV$4+7),IF($K280="Deadline","◇","◆"),"")</f>
        <v/>
      </c>
      <c r="AW280" s="14" t="str">
        <f>IF(AND(ISNUMBER($I280),OR($K280="Milestone",$K280="Deadline"),$I280&gt;=AW$4,$I280&lt;AW$4+7),IF($K280="Deadline","◇","◆"),"")</f>
        <v/>
      </c>
      <c r="AX280" s="14" t="str">
        <f>IF(AND(ISNUMBER($I280),OR($K280="Milestone",$K280="Deadline"),$I280&gt;=AX$4,$I280&lt;AX$4+7),IF($K280="Deadline","◇","◆"),"")</f>
        <v/>
      </c>
      <c r="AY280" s="14" t="str">
        <f>IF(AND(ISNUMBER($I280),OR($K280="Milestone",$K280="Deadline"),$I280&gt;=AY$4,$I280&lt;AY$4+7),IF($K280="Deadline","◇","◆"),"")</f>
        <v/>
      </c>
      <c r="AZ280" s="14" t="str">
        <f>IF(AND(ISNUMBER($I280),OR($K280="Milestone",$K280="Deadline"),$I280&gt;=AZ$4,$I280&lt;AZ$4+7),IF($K280="Deadline","◇","◆"),"")</f>
        <v/>
      </c>
      <c r="BA280" s="14" t="str">
        <f>IF(AND(ISNUMBER($I280),OR($K280="Milestone",$K280="Deadline"),$I280&gt;=BA$4,$I280&lt;BA$4+7),IF($K280="Deadline","◇","◆"),"")</f>
        <v/>
      </c>
      <c r="BB280" s="14" t="str">
        <f>IF(AND(ISNUMBER($I280),OR($K280="Milestone",$K280="Deadline"),$I280&gt;=BB$4,$I280&lt;BB$4+7),IF($K280="Deadline","◇","◆"),"")</f>
        <v/>
      </c>
      <c r="BC280" s="14" t="str">
        <f>IF(AND(ISNUMBER($I280),OR($K280="Milestone",$K280="Deadline"),$I280&gt;=BC$4,$I280&lt;BC$4+7),IF($K280="Deadline","◇","◆"),"")</f>
        <v/>
      </c>
      <c r="BD280" s="14" t="str">
        <f>IF(AND(ISNUMBER($I280),OR($K280="Milestone",$K280="Deadline"),$I280&gt;=BD$4,$I280&lt;BD$4+7),IF($K280="Deadline","◇","◆"),"")</f>
        <v/>
      </c>
      <c r="BE280" s="14" t="str">
        <f>IF(AND(ISNUMBER($I280),OR($K280="Milestone",$K280="Deadline"),$I280&gt;=BE$4,$I280&lt;BE$4+7),IF($K280="Deadline","◇","◆"),"")</f>
        <v/>
      </c>
      <c r="BF280" s="14" t="str">
        <f>IF(AND(ISNUMBER($I280),OR($K280="Milestone",$K280="Deadline"),$I280&gt;=BF$4,$I280&lt;BF$4+7),IF($K280="Deadline","◇","◆"),"")</f>
        <v/>
      </c>
      <c r="BG280" s="14" t="str">
        <f>IF(AND(ISNUMBER($I280),OR($K280="Milestone",$K280="Deadline"),$I280&gt;=BG$4,$I280&lt;BG$4+7),IF($K280="Deadline","◇","◆"),"")</f>
        <v/>
      </c>
      <c r="BH280" s="14" t="str">
        <f>IF(AND(ISNUMBER($I280),OR($K280="Milestone",$K280="Deadline"),$I280&gt;=BH$4,$I280&lt;BH$4+7),IF($K280="Deadline","◇","◆"),"")</f>
        <v/>
      </c>
      <c r="BI280" s="14" t="str">
        <f>IF(AND(ISNUMBER($I280),OR($K280="Milestone",$K280="Deadline"),$I280&gt;=BI$4,$I280&lt;BI$4+7),IF($K280="Deadline","◇","◆"),"")</f>
        <v/>
      </c>
      <c r="BJ280" s="14" t="str">
        <f>IF(AND(ISNUMBER($I280),OR($K280="Milestone",$K280="Deadline"),$I280&gt;=BJ$4,$I280&lt;BJ$4+7),IF($K280="Deadline","◇","◆"),"")</f>
        <v/>
      </c>
      <c r="BK280" s="14" t="str">
        <f>IF(AND(ISNUMBER($I280),OR($K280="Milestone",$K280="Deadline"),$I280&gt;=BK$4,$I280&lt;BK$4+7),IF($K280="Deadline","◇","◆"),"")</f>
        <v/>
      </c>
      <c r="BL280" s="14" t="str">
        <f>IF(AND(ISNUMBER($I280),OR($K280="Milestone",$K280="Deadline"),$I280&gt;=BL$4,$I280&lt;BL$4+7),IF($K280="Deadline","◇","◆"),"")</f>
        <v/>
      </c>
      <c r="BM280" s="14" t="str">
        <f>IF(AND(ISNUMBER($I280),OR($K280="Milestone",$K280="Deadline"),$I280&gt;=BM$4,$I280&lt;BM$4+7),IF($K280="Deadline","◇","◆"),"")</f>
        <v/>
      </c>
      <c r="BN280" s="14" t="str">
        <f>IF(AND(ISNUMBER($I280),OR($K280="Milestone",$K280="Deadline"),$I280&gt;=BN$4,$I280&lt;BN$4+7),IF($K280="Deadline","◇","◆"),"")</f>
        <v/>
      </c>
      <c r="BO280" s="14" t="str">
        <f>IF(AND(ISNUMBER($I280),OR($K280="Milestone",$K280="Deadline"),$I280&gt;=BO$4,$I280&lt;BO$4+7),IF($K280="Deadline","◇","◆"),"")</f>
        <v/>
      </c>
      <c r="BP280" s="14" t="str">
        <f>IF(AND(ISNUMBER($I280),OR($K280="Milestone",$K280="Deadline"),$I280&gt;=BP$4,$I280&lt;BP$4+7),IF($K280="Deadline","◇","◆"),"")</f>
        <v/>
      </c>
      <c r="BQ280" s="14" t="str">
        <f>IF(AND(ISNUMBER($I280),OR($K280="Milestone",$K280="Deadline"),$I280&gt;=BQ$4,$I280&lt;BQ$4+7),IF($K280="Deadline","◇","◆"),"")</f>
        <v/>
      </c>
      <c r="BR280" s="14" t="str">
        <f>IF(AND(ISNUMBER($I280),OR($K280="Milestone",$K280="Deadline"),$I280&gt;=BR$4,$I280&lt;BR$4+7),IF($K280="Deadline","◇","◆"),"")</f>
        <v/>
      </c>
      <c r="BS280" s="14" t="str">
        <f>IF(AND(ISNUMBER($I280),OR($K280="Milestone",$K280="Deadline"),$I280&gt;=BS$4,$I280&lt;BS$4+7),IF($K280="Deadline","◇","◆"),"")</f>
        <v/>
      </c>
      <c r="BT280" s="14" t="str">
        <f>IF(AND(ISNUMBER($I280),OR($K280="Milestone",$K280="Deadline"),$I280&gt;=BT$4,$I280&lt;BT$4+7),IF($K280="Deadline","◇","◆"),"")</f>
        <v/>
      </c>
      <c r="BU280" s="14" t="str">
        <f>IF(AND(ISNUMBER($I280),OR($K280="Milestone",$K280="Deadline"),$I280&gt;=BU$4,$I280&lt;BU$4+7),IF($K280="Deadline","◇","◆"),"")</f>
        <v/>
      </c>
      <c r="BV280" s="14" t="str">
        <f>IF(AND(ISNUMBER($I280),OR($K280="Milestone",$K280="Deadline"),$I280&gt;=BV$4,$I280&lt;BV$4+7),IF($K280="Deadline","◇","◆"),"")</f>
        <v/>
      </c>
      <c r="BW280" s="14" t="str">
        <f>IF(AND(ISNUMBER($I280),OR($K280="Milestone",$K280="Deadline"),$I280&gt;=BW$4,$I280&lt;BW$4+7),IF($K280="Deadline","◇","◆"),"")</f>
        <v/>
      </c>
      <c r="BX280" s="14" t="str">
        <f>IF(AND(ISNUMBER($I280),OR($K280="Milestone",$K280="Deadline"),$I280&gt;=BX$4,$I280&lt;BX$4+7),IF($K280="Deadline","◇","◆"),"")</f>
        <v/>
      </c>
      <c r="BY280" s="14" t="str">
        <f>IF(AND(ISNUMBER($I280),OR($K280="Milestone",$K280="Deadline"),$I280&gt;=BY$4,$I280&lt;BY$4+7),IF($K280="Deadline","◇","◆"),"")</f>
        <v/>
      </c>
      <c r="BZ280" s="14" t="str">
        <f>IF(AND(ISNUMBER($I280),OR($K280="Milestone",$K280="Deadline"),$I280&gt;=BZ$4,$I280&lt;BZ$4+7),IF($K280="Deadline","◇","◆"),"")</f>
        <v/>
      </c>
      <c r="CA280" s="14" t="str">
        <f>IF(AND(ISNUMBER($I280),OR($K280="Milestone",$K280="Deadline"),$I280&gt;=CA$4,$I280&lt;CA$4+7),IF($K280="Deadline","◇","◆"),"")</f>
        <v/>
      </c>
      <c r="CB280" s="14" t="str">
        <f>IF(AND(ISNUMBER($I280),OR($K280="Milestone",$K280="Deadline"),$I280&gt;=CB$4,$I280&lt;CB$4+7),IF($K280="Deadline","◇","◆"),"")</f>
        <v/>
      </c>
      <c r="CC280" s="14" t="str">
        <f>IF(AND(ISNUMBER($I280),OR($K280="Milestone",$K280="Deadline"),$I280&gt;=CC$4,$I280&lt;CC$4+7),IF($K280="Deadline","◇","◆"),"")</f>
        <v/>
      </c>
      <c r="CD280" s="14" t="str">
        <f>IF(AND(ISNUMBER($I280),OR($K280="Milestone",$K280="Deadline"),$I280&gt;=CD$4,$I280&lt;CD$4+7),IF($K280="Deadline","◇","◆"),"")</f>
        <v/>
      </c>
      <c r="CE280" s="14" t="str">
        <f>IF(AND(ISNUMBER($I280),OR($K280="Milestone",$K280="Deadline"),$I280&gt;=CE$4,$I280&lt;CE$4+7),IF($K280="Deadline","◇","◆"),"")</f>
        <v/>
      </c>
      <c r="CF280" s="14" t="str">
        <f>IF(AND(ISNUMBER($I280),OR($K280="Milestone",$K280="Deadline"),$I280&gt;=CF$4,$I280&lt;CF$4+7),IF($K280="Deadline","◇","◆"),"")</f>
        <v/>
      </c>
      <c r="CG280" s="14" t="str">
        <f>IF(AND(ISNUMBER($I280),OR($K280="Milestone",$K280="Deadline"),$I280&gt;=CG$4,$I280&lt;CG$4+7),IF($K280="Deadline","◇","◆"),"")</f>
        <v/>
      </c>
      <c r="CH280" s="14" t="str">
        <f>IF(AND(ISNUMBER($I280),OR($K280="Milestone",$K280="Deadline"),$I280&gt;=CH$4,$I280&lt;CH$4+7),IF($K280="Deadline","◇","◆"),"")</f>
        <v/>
      </c>
      <c r="CI280" s="14" t="str">
        <f>IF(AND(ISNUMBER($I280),OR($K280="Milestone",$K280="Deadline"),$I280&gt;=CI$4,$I280&lt;CI$4+7),IF($K280="Deadline","◇","◆"),"")</f>
        <v/>
      </c>
      <c r="CJ280" s="14" t="str">
        <f>IF(AND(ISNUMBER($I280),OR($K280="Milestone",$K280="Deadline"),$I280&gt;=CJ$4,$I280&lt;CJ$4+7),IF($K280="Deadline","◇","◆"),"")</f>
        <v/>
      </c>
      <c r="CK280" s="14" t="str">
        <f>IF(AND(ISNUMBER($I280),OR($K280="Milestone",$K280="Deadline"),$I280&gt;=CK$4,$I280&lt;CK$4+7),IF($K280="Deadline","◇","◆"),"")</f>
        <v/>
      </c>
      <c r="CL280" s="14" t="str">
        <f>IF(AND(ISNUMBER($I280),OR($K280="Milestone",$K280="Deadline"),$I280&gt;=CL$4,$I280&lt;CL$4+7),IF($K280="Deadline","◇","◆"),"")</f>
        <v/>
      </c>
      <c r="CM280" s="14" t="str">
        <f>IF(AND(ISNUMBER($I280),OR($K280="Milestone",$K280="Deadline"),$I280&gt;=CM$4,$I280&lt;CM$4+7),IF($K280="Deadline","◇","◆"),"")</f>
        <v/>
      </c>
    </row>
    <row r="281" spans="1:91" hidden="1">
      <c r="A281" s="39" t="s">
        <v>269</v>
      </c>
      <c r="B281" s="39" t="s">
        <v>538</v>
      </c>
      <c r="C281" s="39" t="s">
        <v>191</v>
      </c>
      <c r="D281" s="39" t="s">
        <v>514</v>
      </c>
      <c r="E281" s="39"/>
      <c r="F281" s="39" t="s">
        <v>216</v>
      </c>
      <c r="G281" s="39" t="s">
        <v>217</v>
      </c>
      <c r="H281" s="39">
        <v>14</v>
      </c>
      <c r="I281" s="40">
        <f>MAX($C$2,J275+1,J270+1)</f>
        <v>46437</v>
      </c>
      <c r="J281" s="41">
        <f>IF(AND(ISNUMBER(I281),ISNUMBER(H281)),I281+H281-1,"")</f>
        <v>46450</v>
      </c>
      <c r="K281" s="39" t="s">
        <v>27</v>
      </c>
      <c r="L281" s="39" t="s">
        <v>509</v>
      </c>
      <c r="M281" s="42" t="s">
        <v>533</v>
      </c>
      <c r="N281" s="39"/>
      <c r="O281" s="42">
        <f>IF(AND(ISNUMBER(I281),ISNUMBER(J281)),J281-I281+1,"")</f>
        <v>14</v>
      </c>
      <c r="P281" s="13"/>
      <c r="Q281" s="13" t="s">
        <v>140</v>
      </c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  <c r="AG281" s="13"/>
      <c r="AH281" s="13"/>
      <c r="AI281" s="13"/>
      <c r="AJ281" s="13"/>
      <c r="AK281" s="13"/>
      <c r="AL281" s="13"/>
      <c r="AM281" s="13"/>
      <c r="AN281" s="13"/>
      <c r="AO281" s="14" t="str">
        <f>IF(AND(ISNUMBER($I281),OR($K281="Milestone",$K281="Deadline"),$I281&gt;=AO$4,$I281&lt;AO$4+7),IF($K281="Deadline","◇","◆"),"")</f>
        <v/>
      </c>
      <c r="AP281" s="14" t="str">
        <f>IF(AND(ISNUMBER($I281),OR($K281="Milestone",$K281="Deadline"),$I281&gt;=AP$4,$I281&lt;AP$4+7),IF($K281="Deadline","◇","◆"),"")</f>
        <v/>
      </c>
      <c r="AQ281" s="14" t="str">
        <f>IF(AND(ISNUMBER($I281),OR($K281="Milestone",$K281="Deadline"),$I281&gt;=AQ$4,$I281&lt;AQ$4+7),IF($K281="Deadline","◇","◆"),"")</f>
        <v/>
      </c>
      <c r="AR281" s="14" t="str">
        <f>IF(AND(ISNUMBER($I281),OR($K281="Milestone",$K281="Deadline"),$I281&gt;=AR$4,$I281&lt;AR$4+7),IF($K281="Deadline","◇","◆"),"")</f>
        <v/>
      </c>
      <c r="AS281" s="14" t="str">
        <f>IF(AND(ISNUMBER($I281),OR($K281="Milestone",$K281="Deadline"),$I281&gt;=AS$4,$I281&lt;AS$4+7),IF($K281="Deadline","◇","◆"),"")</f>
        <v/>
      </c>
      <c r="AT281" s="14" t="str">
        <f>IF(AND(ISNUMBER($I281),OR($K281="Milestone",$K281="Deadline"),$I281&gt;=AT$4,$I281&lt;AT$4+7),IF($K281="Deadline","◇","◆"),"")</f>
        <v/>
      </c>
      <c r="AU281" s="14" t="str">
        <f>IF(AND(ISNUMBER($I281),OR($K281="Milestone",$K281="Deadline"),$I281&gt;=AU$4,$I281&lt;AU$4+7),IF($K281="Deadline","◇","◆"),"")</f>
        <v/>
      </c>
      <c r="AV281" s="14" t="str">
        <f>IF(AND(ISNUMBER($I281),OR($K281="Milestone",$K281="Deadline"),$I281&gt;=AV$4,$I281&lt;AV$4+7),IF($K281="Deadline","◇","◆"),"")</f>
        <v/>
      </c>
      <c r="AW281" s="14" t="str">
        <f>IF(AND(ISNUMBER($I281),OR($K281="Milestone",$K281="Deadline"),$I281&gt;=AW$4,$I281&lt;AW$4+7),IF($K281="Deadline","◇","◆"),"")</f>
        <v/>
      </c>
      <c r="AX281" s="14" t="str">
        <f>IF(AND(ISNUMBER($I281),OR($K281="Milestone",$K281="Deadline"),$I281&gt;=AX$4,$I281&lt;AX$4+7),IF($K281="Deadline","◇","◆"),"")</f>
        <v/>
      </c>
      <c r="AY281" s="14" t="str">
        <f>IF(AND(ISNUMBER($I281),OR($K281="Milestone",$K281="Deadline"),$I281&gt;=AY$4,$I281&lt;AY$4+7),IF($K281="Deadline","◇","◆"),"")</f>
        <v/>
      </c>
      <c r="AZ281" s="14" t="str">
        <f>IF(AND(ISNUMBER($I281),OR($K281="Milestone",$K281="Deadline"),$I281&gt;=AZ$4,$I281&lt;AZ$4+7),IF($K281="Deadline","◇","◆"),"")</f>
        <v/>
      </c>
      <c r="BA281" s="14" t="str">
        <f>IF(AND(ISNUMBER($I281),OR($K281="Milestone",$K281="Deadline"),$I281&gt;=BA$4,$I281&lt;BA$4+7),IF($K281="Deadline","◇","◆"),"")</f>
        <v/>
      </c>
      <c r="BB281" s="14" t="str">
        <f>IF(AND(ISNUMBER($I281),OR($K281="Milestone",$K281="Deadline"),$I281&gt;=BB$4,$I281&lt;BB$4+7),IF($K281="Deadline","◇","◆"),"")</f>
        <v/>
      </c>
      <c r="BC281" s="14" t="str">
        <f>IF(AND(ISNUMBER($I281),OR($K281="Milestone",$K281="Deadline"),$I281&gt;=BC$4,$I281&lt;BC$4+7),IF($K281="Deadline","◇","◆"),"")</f>
        <v/>
      </c>
      <c r="BD281" s="14" t="str">
        <f>IF(AND(ISNUMBER($I281),OR($K281="Milestone",$K281="Deadline"),$I281&gt;=BD$4,$I281&lt;BD$4+7),IF($K281="Deadline","◇","◆"),"")</f>
        <v/>
      </c>
      <c r="BE281" s="14" t="str">
        <f>IF(AND(ISNUMBER($I281),OR($K281="Milestone",$K281="Deadline"),$I281&gt;=BE$4,$I281&lt;BE$4+7),IF($K281="Deadline","◇","◆"),"")</f>
        <v/>
      </c>
      <c r="BF281" s="14" t="str">
        <f>IF(AND(ISNUMBER($I281),OR($K281="Milestone",$K281="Deadline"),$I281&gt;=BF$4,$I281&lt;BF$4+7),IF($K281="Deadline","◇","◆"),"")</f>
        <v/>
      </c>
      <c r="BG281" s="14" t="str">
        <f>IF(AND(ISNUMBER($I281),OR($K281="Milestone",$K281="Deadline"),$I281&gt;=BG$4,$I281&lt;BG$4+7),IF($K281="Deadline","◇","◆"),"")</f>
        <v/>
      </c>
      <c r="BH281" s="14" t="str">
        <f>IF(AND(ISNUMBER($I281),OR($K281="Milestone",$K281="Deadline"),$I281&gt;=BH$4,$I281&lt;BH$4+7),IF($K281="Deadline","◇","◆"),"")</f>
        <v/>
      </c>
      <c r="BI281" s="14" t="str">
        <f>IF(AND(ISNUMBER($I281),OR($K281="Milestone",$K281="Deadline"),$I281&gt;=BI$4,$I281&lt;BI$4+7),IF($K281="Deadline","◇","◆"),"")</f>
        <v/>
      </c>
      <c r="BJ281" s="14" t="str">
        <f>IF(AND(ISNUMBER($I281),OR($K281="Milestone",$K281="Deadline"),$I281&gt;=BJ$4,$I281&lt;BJ$4+7),IF($K281="Deadline","◇","◆"),"")</f>
        <v/>
      </c>
      <c r="BK281" s="14" t="str">
        <f>IF(AND(ISNUMBER($I281),OR($K281="Milestone",$K281="Deadline"),$I281&gt;=BK$4,$I281&lt;BK$4+7),IF($K281="Deadline","◇","◆"),"")</f>
        <v/>
      </c>
      <c r="BL281" s="14" t="str">
        <f>IF(AND(ISNUMBER($I281),OR($K281="Milestone",$K281="Deadline"),$I281&gt;=BL$4,$I281&lt;BL$4+7),IF($K281="Deadline","◇","◆"),"")</f>
        <v/>
      </c>
      <c r="BM281" s="14" t="str">
        <f>IF(AND(ISNUMBER($I281),OR($K281="Milestone",$K281="Deadline"),$I281&gt;=BM$4,$I281&lt;BM$4+7),IF($K281="Deadline","◇","◆"),"")</f>
        <v/>
      </c>
      <c r="BN281" s="14" t="str">
        <f>IF(AND(ISNUMBER($I281),OR($K281="Milestone",$K281="Deadline"),$I281&gt;=BN$4,$I281&lt;BN$4+7),IF($K281="Deadline","◇","◆"),"")</f>
        <v/>
      </c>
      <c r="BO281" s="14" t="str">
        <f>IF(AND(ISNUMBER($I281),OR($K281="Milestone",$K281="Deadline"),$I281&gt;=BO$4,$I281&lt;BO$4+7),IF($K281="Deadline","◇","◆"),"")</f>
        <v/>
      </c>
      <c r="BP281" s="14" t="str">
        <f>IF(AND(ISNUMBER($I281),OR($K281="Milestone",$K281="Deadline"),$I281&gt;=BP$4,$I281&lt;BP$4+7),IF($K281="Deadline","◇","◆"),"")</f>
        <v/>
      </c>
      <c r="BQ281" s="14" t="str">
        <f>IF(AND(ISNUMBER($I281),OR($K281="Milestone",$K281="Deadline"),$I281&gt;=BQ$4,$I281&lt;BQ$4+7),IF($K281="Deadline","◇","◆"),"")</f>
        <v/>
      </c>
      <c r="BR281" s="14" t="str">
        <f>IF(AND(ISNUMBER($I281),OR($K281="Milestone",$K281="Deadline"),$I281&gt;=BR$4,$I281&lt;BR$4+7),IF($K281="Deadline","◇","◆"),"")</f>
        <v/>
      </c>
      <c r="BS281" s="14" t="str">
        <f>IF(AND(ISNUMBER($I281),OR($K281="Milestone",$K281="Deadline"),$I281&gt;=BS$4,$I281&lt;BS$4+7),IF($K281="Deadline","◇","◆"),"")</f>
        <v/>
      </c>
      <c r="BT281" s="14" t="str">
        <f>IF(AND(ISNUMBER($I281),OR($K281="Milestone",$K281="Deadline"),$I281&gt;=BT$4,$I281&lt;BT$4+7),IF($K281="Deadline","◇","◆"),"")</f>
        <v/>
      </c>
      <c r="BU281" s="14" t="str">
        <f>IF(AND(ISNUMBER($I281),OR($K281="Milestone",$K281="Deadline"),$I281&gt;=BU$4,$I281&lt;BU$4+7),IF($K281="Deadline","◇","◆"),"")</f>
        <v/>
      </c>
      <c r="BV281" s="14" t="str">
        <f>IF(AND(ISNUMBER($I281),OR($K281="Milestone",$K281="Deadline"),$I281&gt;=BV$4,$I281&lt;BV$4+7),IF($K281="Deadline","◇","◆"),"")</f>
        <v/>
      </c>
      <c r="BW281" s="14" t="str">
        <f>IF(AND(ISNUMBER($I281),OR($K281="Milestone",$K281="Deadline"),$I281&gt;=BW$4,$I281&lt;BW$4+7),IF($K281="Deadline","◇","◆"),"")</f>
        <v/>
      </c>
      <c r="BX281" s="14" t="str">
        <f>IF(AND(ISNUMBER($I281),OR($K281="Milestone",$K281="Deadline"),$I281&gt;=BX$4,$I281&lt;BX$4+7),IF($K281="Deadline","◇","◆"),"")</f>
        <v/>
      </c>
      <c r="BY281" s="14" t="str">
        <f>IF(AND(ISNUMBER($I281),OR($K281="Milestone",$K281="Deadline"),$I281&gt;=BY$4,$I281&lt;BY$4+7),IF($K281="Deadline","◇","◆"),"")</f>
        <v/>
      </c>
      <c r="BZ281" s="14" t="str">
        <f>IF(AND(ISNUMBER($I281),OR($K281="Milestone",$K281="Deadline"),$I281&gt;=BZ$4,$I281&lt;BZ$4+7),IF($K281="Deadline","◇","◆"),"")</f>
        <v/>
      </c>
      <c r="CA281" s="14" t="str">
        <f>IF(AND(ISNUMBER($I281),OR($K281="Milestone",$K281="Deadline"),$I281&gt;=CA$4,$I281&lt;CA$4+7),IF($K281="Deadline","◇","◆"),"")</f>
        <v/>
      </c>
      <c r="CB281" s="14" t="str">
        <f>IF(AND(ISNUMBER($I281),OR($K281="Milestone",$K281="Deadline"),$I281&gt;=CB$4,$I281&lt;CB$4+7),IF($K281="Deadline","◇","◆"),"")</f>
        <v/>
      </c>
      <c r="CC281" s="14" t="str">
        <f>IF(AND(ISNUMBER($I281),OR($K281="Milestone",$K281="Deadline"),$I281&gt;=CC$4,$I281&lt;CC$4+7),IF($K281="Deadline","◇","◆"),"")</f>
        <v/>
      </c>
      <c r="CD281" s="14" t="str">
        <f>IF(AND(ISNUMBER($I281),OR($K281="Milestone",$K281="Deadline"),$I281&gt;=CD$4,$I281&lt;CD$4+7),IF($K281="Deadline","◇","◆"),"")</f>
        <v/>
      </c>
      <c r="CE281" s="14" t="str">
        <f>IF(AND(ISNUMBER($I281),OR($K281="Milestone",$K281="Deadline"),$I281&gt;=CE$4,$I281&lt;CE$4+7),IF($K281="Deadline","◇","◆"),"")</f>
        <v/>
      </c>
      <c r="CF281" s="14" t="str">
        <f>IF(AND(ISNUMBER($I281),OR($K281="Milestone",$K281="Deadline"),$I281&gt;=CF$4,$I281&lt;CF$4+7),IF($K281="Deadline","◇","◆"),"")</f>
        <v/>
      </c>
      <c r="CG281" s="14" t="str">
        <f>IF(AND(ISNUMBER($I281),OR($K281="Milestone",$K281="Deadline"),$I281&gt;=CG$4,$I281&lt;CG$4+7),IF($K281="Deadline","◇","◆"),"")</f>
        <v/>
      </c>
      <c r="CH281" s="14" t="str">
        <f>IF(AND(ISNUMBER($I281),OR($K281="Milestone",$K281="Deadline"),$I281&gt;=CH$4,$I281&lt;CH$4+7),IF($K281="Deadline","◇","◆"),"")</f>
        <v/>
      </c>
      <c r="CI281" s="14" t="str">
        <f>IF(AND(ISNUMBER($I281),OR($K281="Milestone",$K281="Deadline"),$I281&gt;=CI$4,$I281&lt;CI$4+7),IF($K281="Deadline","◇","◆"),"")</f>
        <v/>
      </c>
      <c r="CJ281" s="14" t="str">
        <f>IF(AND(ISNUMBER($I281),OR($K281="Milestone",$K281="Deadline"),$I281&gt;=CJ$4,$I281&lt;CJ$4+7),IF($K281="Deadline","◇","◆"),"")</f>
        <v/>
      </c>
      <c r="CK281" s="14" t="str">
        <f>IF(AND(ISNUMBER($I281),OR($K281="Milestone",$K281="Deadline"),$I281&gt;=CK$4,$I281&lt;CK$4+7),IF($K281="Deadline","◇","◆"),"")</f>
        <v/>
      </c>
      <c r="CL281" s="14" t="str">
        <f>IF(AND(ISNUMBER($I281),OR($K281="Milestone",$K281="Deadline"),$I281&gt;=CL$4,$I281&lt;CL$4+7),IF($K281="Deadline","◇","◆"),"")</f>
        <v/>
      </c>
      <c r="CM281" s="14" t="str">
        <f>IF(AND(ISNUMBER($I281),OR($K281="Milestone",$K281="Deadline"),$I281&gt;=CM$4,$I281&lt;CM$4+7),IF($K281="Deadline","◇","◆"),"")</f>
        <v/>
      </c>
    </row>
    <row r="282" spans="1:91" hidden="1">
      <c r="A282" s="39" t="s">
        <v>545</v>
      </c>
      <c r="B282" s="39" t="s">
        <v>538</v>
      </c>
      <c r="C282" s="39" t="s">
        <v>221</v>
      </c>
      <c r="D282" s="39" t="s">
        <v>514</v>
      </c>
      <c r="E282" s="39"/>
      <c r="F282" s="39" t="s">
        <v>216</v>
      </c>
      <c r="G282" s="39" t="s">
        <v>222</v>
      </c>
      <c r="H282" s="39">
        <v>7</v>
      </c>
      <c r="I282" s="40">
        <f>MAX($C$2,J279+1,J271+1,J227+1)</f>
        <v>46524</v>
      </c>
      <c r="J282" s="41">
        <f>IF(AND(ISNUMBER(I282),ISNUMBER(H282)),I282+H282-1,"")</f>
        <v>46530</v>
      </c>
      <c r="K282" s="39" t="s">
        <v>27</v>
      </c>
      <c r="L282" s="39" t="s">
        <v>243</v>
      </c>
      <c r="M282" s="42" t="s">
        <v>546</v>
      </c>
      <c r="N282" s="39"/>
      <c r="O282" s="42">
        <f>IF(AND(ISNUMBER(I282),ISNUMBER(J282)),J282-I282+1,"")</f>
        <v>7</v>
      </c>
      <c r="P282" s="13"/>
      <c r="Q282" s="13" t="s">
        <v>140</v>
      </c>
      <c r="R282" s="13"/>
      <c r="S282" s="13"/>
      <c r="T282" s="13"/>
      <c r="U282" s="13"/>
      <c r="V282" s="13"/>
      <c r="W282" s="13"/>
      <c r="X282" s="13"/>
      <c r="Y282" s="13" t="s">
        <v>140</v>
      </c>
      <c r="Z282" s="13"/>
      <c r="AA282" s="13"/>
      <c r="AB282" s="13"/>
      <c r="AC282" s="13"/>
      <c r="AD282" s="13"/>
      <c r="AE282" s="13"/>
      <c r="AF282" s="13"/>
      <c r="AG282" s="13"/>
      <c r="AH282" s="13"/>
      <c r="AI282" s="13"/>
      <c r="AJ282" s="13"/>
      <c r="AK282" s="13"/>
      <c r="AL282" s="13"/>
      <c r="AM282" s="13"/>
      <c r="AN282" s="13"/>
      <c r="AO282" s="14" t="str">
        <f>IF(AND(ISNUMBER($I282),OR($K282="Milestone",$K282="Deadline"),$I282&gt;=AO$4,$I282&lt;AO$4+7),IF($K282="Deadline","◇","◆"),"")</f>
        <v/>
      </c>
      <c r="AP282" s="14" t="str">
        <f>IF(AND(ISNUMBER($I282),OR($K282="Milestone",$K282="Deadline"),$I282&gt;=AP$4,$I282&lt;AP$4+7),IF($K282="Deadline","◇","◆"),"")</f>
        <v/>
      </c>
      <c r="AQ282" s="14" t="str">
        <f>IF(AND(ISNUMBER($I282),OR($K282="Milestone",$K282="Deadline"),$I282&gt;=AQ$4,$I282&lt;AQ$4+7),IF($K282="Deadline","◇","◆"),"")</f>
        <v/>
      </c>
      <c r="AR282" s="14" t="str">
        <f>IF(AND(ISNUMBER($I282),OR($K282="Milestone",$K282="Deadline"),$I282&gt;=AR$4,$I282&lt;AR$4+7),IF($K282="Deadline","◇","◆"),"")</f>
        <v/>
      </c>
      <c r="AS282" s="14" t="str">
        <f>IF(AND(ISNUMBER($I282),OR($K282="Milestone",$K282="Deadline"),$I282&gt;=AS$4,$I282&lt;AS$4+7),IF($K282="Deadline","◇","◆"),"")</f>
        <v/>
      </c>
      <c r="AT282" s="14" t="str">
        <f>IF(AND(ISNUMBER($I282),OR($K282="Milestone",$K282="Deadline"),$I282&gt;=AT$4,$I282&lt;AT$4+7),IF($K282="Deadline","◇","◆"),"")</f>
        <v/>
      </c>
      <c r="AU282" s="14" t="str">
        <f>IF(AND(ISNUMBER($I282),OR($K282="Milestone",$K282="Deadline"),$I282&gt;=AU$4,$I282&lt;AU$4+7),IF($K282="Deadline","◇","◆"),"")</f>
        <v/>
      </c>
      <c r="AV282" s="14" t="str">
        <f>IF(AND(ISNUMBER($I282),OR($K282="Milestone",$K282="Deadline"),$I282&gt;=AV$4,$I282&lt;AV$4+7),IF($K282="Deadline","◇","◆"),"")</f>
        <v/>
      </c>
      <c r="AW282" s="14" t="str">
        <f>IF(AND(ISNUMBER($I282),OR($K282="Milestone",$K282="Deadline"),$I282&gt;=AW$4,$I282&lt;AW$4+7),IF($K282="Deadline","◇","◆"),"")</f>
        <v/>
      </c>
      <c r="AX282" s="14" t="str">
        <f>IF(AND(ISNUMBER($I282),OR($K282="Milestone",$K282="Deadline"),$I282&gt;=AX$4,$I282&lt;AX$4+7),IF($K282="Deadline","◇","◆"),"")</f>
        <v/>
      </c>
      <c r="AY282" s="14" t="str">
        <f>IF(AND(ISNUMBER($I282),OR($K282="Milestone",$K282="Deadline"),$I282&gt;=AY$4,$I282&lt;AY$4+7),IF($K282="Deadline","◇","◆"),"")</f>
        <v/>
      </c>
      <c r="AZ282" s="14" t="str">
        <f>IF(AND(ISNUMBER($I282),OR($K282="Milestone",$K282="Deadline"),$I282&gt;=AZ$4,$I282&lt;AZ$4+7),IF($K282="Deadline","◇","◆"),"")</f>
        <v/>
      </c>
      <c r="BA282" s="14" t="str">
        <f>IF(AND(ISNUMBER($I282),OR($K282="Milestone",$K282="Deadline"),$I282&gt;=BA$4,$I282&lt;BA$4+7),IF($K282="Deadline","◇","◆"),"")</f>
        <v/>
      </c>
      <c r="BB282" s="14" t="str">
        <f>IF(AND(ISNUMBER($I282),OR($K282="Milestone",$K282="Deadline"),$I282&gt;=BB$4,$I282&lt;BB$4+7),IF($K282="Deadline","◇","◆"),"")</f>
        <v/>
      </c>
      <c r="BC282" s="14" t="str">
        <f>IF(AND(ISNUMBER($I282),OR($K282="Milestone",$K282="Deadline"),$I282&gt;=BC$4,$I282&lt;BC$4+7),IF($K282="Deadline","◇","◆"),"")</f>
        <v/>
      </c>
      <c r="BD282" s="14" t="str">
        <f>IF(AND(ISNUMBER($I282),OR($K282="Milestone",$K282="Deadline"),$I282&gt;=BD$4,$I282&lt;BD$4+7),IF($K282="Deadline","◇","◆"),"")</f>
        <v/>
      </c>
      <c r="BE282" s="14" t="str">
        <f>IF(AND(ISNUMBER($I282),OR($K282="Milestone",$K282="Deadline"),$I282&gt;=BE$4,$I282&lt;BE$4+7),IF($K282="Deadline","◇","◆"),"")</f>
        <v/>
      </c>
      <c r="BF282" s="14" t="str">
        <f>IF(AND(ISNUMBER($I282),OR($K282="Milestone",$K282="Deadline"),$I282&gt;=BF$4,$I282&lt;BF$4+7),IF($K282="Deadline","◇","◆"),"")</f>
        <v/>
      </c>
      <c r="BG282" s="14" t="str">
        <f>IF(AND(ISNUMBER($I282),OR($K282="Milestone",$K282="Deadline"),$I282&gt;=BG$4,$I282&lt;BG$4+7),IF($K282="Deadline","◇","◆"),"")</f>
        <v/>
      </c>
      <c r="BH282" s="14" t="str">
        <f>IF(AND(ISNUMBER($I282),OR($K282="Milestone",$K282="Deadline"),$I282&gt;=BH$4,$I282&lt;BH$4+7),IF($K282="Deadline","◇","◆"),"")</f>
        <v/>
      </c>
      <c r="BI282" s="14" t="str">
        <f>IF(AND(ISNUMBER($I282),OR($K282="Milestone",$K282="Deadline"),$I282&gt;=BI$4,$I282&lt;BI$4+7),IF($K282="Deadline","◇","◆"),"")</f>
        <v/>
      </c>
      <c r="BJ282" s="14" t="str">
        <f>IF(AND(ISNUMBER($I282),OR($K282="Milestone",$K282="Deadline"),$I282&gt;=BJ$4,$I282&lt;BJ$4+7),IF($K282="Deadline","◇","◆"),"")</f>
        <v/>
      </c>
      <c r="BK282" s="14" t="str">
        <f>IF(AND(ISNUMBER($I282),OR($K282="Milestone",$K282="Deadline"),$I282&gt;=BK$4,$I282&lt;BK$4+7),IF($K282="Deadline","◇","◆"),"")</f>
        <v/>
      </c>
      <c r="BL282" s="14" t="str">
        <f>IF(AND(ISNUMBER($I282),OR($K282="Milestone",$K282="Deadline"),$I282&gt;=BL$4,$I282&lt;BL$4+7),IF($K282="Deadline","◇","◆"),"")</f>
        <v/>
      </c>
      <c r="BM282" s="14" t="str">
        <f>IF(AND(ISNUMBER($I282),OR($K282="Milestone",$K282="Deadline"),$I282&gt;=BM$4,$I282&lt;BM$4+7),IF($K282="Deadline","◇","◆"),"")</f>
        <v/>
      </c>
      <c r="BN282" s="14" t="str">
        <f>IF(AND(ISNUMBER($I282),OR($K282="Milestone",$K282="Deadline"),$I282&gt;=BN$4,$I282&lt;BN$4+7),IF($K282="Deadline","◇","◆"),"")</f>
        <v/>
      </c>
      <c r="BO282" s="14" t="str">
        <f>IF(AND(ISNUMBER($I282),OR($K282="Milestone",$K282="Deadline"),$I282&gt;=BO$4,$I282&lt;BO$4+7),IF($K282="Deadline","◇","◆"),"")</f>
        <v/>
      </c>
      <c r="BP282" s="14" t="str">
        <f>IF(AND(ISNUMBER($I282),OR($K282="Milestone",$K282="Deadline"),$I282&gt;=BP$4,$I282&lt;BP$4+7),IF($K282="Deadline","◇","◆"),"")</f>
        <v/>
      </c>
      <c r="BQ282" s="14" t="str">
        <f>IF(AND(ISNUMBER($I282),OR($K282="Milestone",$K282="Deadline"),$I282&gt;=BQ$4,$I282&lt;BQ$4+7),IF($K282="Deadline","◇","◆"),"")</f>
        <v/>
      </c>
      <c r="BR282" s="14" t="str">
        <f>IF(AND(ISNUMBER($I282),OR($K282="Milestone",$K282="Deadline"),$I282&gt;=BR$4,$I282&lt;BR$4+7),IF($K282="Deadline","◇","◆"),"")</f>
        <v/>
      </c>
      <c r="BS282" s="14" t="str">
        <f>IF(AND(ISNUMBER($I282),OR($K282="Milestone",$K282="Deadline"),$I282&gt;=BS$4,$I282&lt;BS$4+7),IF($K282="Deadline","◇","◆"),"")</f>
        <v/>
      </c>
      <c r="BT282" s="14" t="str">
        <f>IF(AND(ISNUMBER($I282),OR($K282="Milestone",$K282="Deadline"),$I282&gt;=BT$4,$I282&lt;BT$4+7),IF($K282="Deadline","◇","◆"),"")</f>
        <v/>
      </c>
      <c r="BU282" s="14" t="str">
        <f>IF(AND(ISNUMBER($I282),OR($K282="Milestone",$K282="Deadline"),$I282&gt;=BU$4,$I282&lt;BU$4+7),IF($K282="Deadline","◇","◆"),"")</f>
        <v/>
      </c>
      <c r="BV282" s="14" t="str">
        <f>IF(AND(ISNUMBER($I282),OR($K282="Milestone",$K282="Deadline"),$I282&gt;=BV$4,$I282&lt;BV$4+7),IF($K282="Deadline","◇","◆"),"")</f>
        <v/>
      </c>
      <c r="BW282" s="14" t="str">
        <f>IF(AND(ISNUMBER($I282),OR($K282="Milestone",$K282="Deadline"),$I282&gt;=BW$4,$I282&lt;BW$4+7),IF($K282="Deadline","◇","◆"),"")</f>
        <v/>
      </c>
      <c r="BX282" s="14" t="str">
        <f>IF(AND(ISNUMBER($I282),OR($K282="Milestone",$K282="Deadline"),$I282&gt;=BX$4,$I282&lt;BX$4+7),IF($K282="Deadline","◇","◆"),"")</f>
        <v/>
      </c>
      <c r="BY282" s="14" t="str">
        <f>IF(AND(ISNUMBER($I282),OR($K282="Milestone",$K282="Deadline"),$I282&gt;=BY$4,$I282&lt;BY$4+7),IF($K282="Deadline","◇","◆"),"")</f>
        <v/>
      </c>
      <c r="BZ282" s="14" t="str">
        <f>IF(AND(ISNUMBER($I282),OR($K282="Milestone",$K282="Deadline"),$I282&gt;=BZ$4,$I282&lt;BZ$4+7),IF($K282="Deadline","◇","◆"),"")</f>
        <v/>
      </c>
      <c r="CA282" s="14" t="str">
        <f>IF(AND(ISNUMBER($I282),OR($K282="Milestone",$K282="Deadline"),$I282&gt;=CA$4,$I282&lt;CA$4+7),IF($K282="Deadline","◇","◆"),"")</f>
        <v/>
      </c>
      <c r="CB282" s="14" t="str">
        <f>IF(AND(ISNUMBER($I282),OR($K282="Milestone",$K282="Deadline"),$I282&gt;=CB$4,$I282&lt;CB$4+7),IF($K282="Deadline","◇","◆"),"")</f>
        <v/>
      </c>
      <c r="CC282" s="14" t="str">
        <f>IF(AND(ISNUMBER($I282),OR($K282="Milestone",$K282="Deadline"),$I282&gt;=CC$4,$I282&lt;CC$4+7),IF($K282="Deadline","◇","◆"),"")</f>
        <v/>
      </c>
      <c r="CD282" s="14" t="str">
        <f>IF(AND(ISNUMBER($I282),OR($K282="Milestone",$K282="Deadline"),$I282&gt;=CD$4,$I282&lt;CD$4+7),IF($K282="Deadline","◇","◆"),"")</f>
        <v/>
      </c>
      <c r="CE282" s="14" t="str">
        <f>IF(AND(ISNUMBER($I282),OR($K282="Milestone",$K282="Deadline"),$I282&gt;=CE$4,$I282&lt;CE$4+7),IF($K282="Deadline","◇","◆"),"")</f>
        <v/>
      </c>
      <c r="CF282" s="14" t="str">
        <f>IF(AND(ISNUMBER($I282),OR($K282="Milestone",$K282="Deadline"),$I282&gt;=CF$4,$I282&lt;CF$4+7),IF($K282="Deadline","◇","◆"),"")</f>
        <v/>
      </c>
      <c r="CG282" s="14" t="str">
        <f>IF(AND(ISNUMBER($I282),OR($K282="Milestone",$K282="Deadline"),$I282&gt;=CG$4,$I282&lt;CG$4+7),IF($K282="Deadline","◇","◆"),"")</f>
        <v/>
      </c>
      <c r="CH282" s="14" t="str">
        <f>IF(AND(ISNUMBER($I282),OR($K282="Milestone",$K282="Deadline"),$I282&gt;=CH$4,$I282&lt;CH$4+7),IF($K282="Deadline","◇","◆"),"")</f>
        <v/>
      </c>
      <c r="CI282" s="14" t="str">
        <f>IF(AND(ISNUMBER($I282),OR($K282="Milestone",$K282="Deadline"),$I282&gt;=CI$4,$I282&lt;CI$4+7),IF($K282="Deadline","◇","◆"),"")</f>
        <v/>
      </c>
      <c r="CJ282" s="14" t="str">
        <f>IF(AND(ISNUMBER($I282),OR($K282="Milestone",$K282="Deadline"),$I282&gt;=CJ$4,$I282&lt;CJ$4+7),IF($K282="Deadline","◇","◆"),"")</f>
        <v/>
      </c>
      <c r="CK282" s="14" t="str">
        <f>IF(AND(ISNUMBER($I282),OR($K282="Milestone",$K282="Deadline"),$I282&gt;=CK$4,$I282&lt;CK$4+7),IF($K282="Deadline","◇","◆"),"")</f>
        <v/>
      </c>
      <c r="CL282" s="14" t="str">
        <f>IF(AND(ISNUMBER($I282),OR($K282="Milestone",$K282="Deadline"),$I282&gt;=CL$4,$I282&lt;CL$4+7),IF($K282="Deadline","◇","◆"),"")</f>
        <v/>
      </c>
      <c r="CM282" s="14" t="str">
        <f>IF(AND(ISNUMBER($I282),OR($K282="Milestone",$K282="Deadline"),$I282&gt;=CM$4,$I282&lt;CM$4+7),IF($K282="Deadline","◇","◆"),"")</f>
        <v/>
      </c>
    </row>
    <row r="283" spans="1:91" hidden="1">
      <c r="A283" s="39" t="s">
        <v>547</v>
      </c>
      <c r="B283" s="39" t="s">
        <v>538</v>
      </c>
      <c r="C283" s="39" t="s">
        <v>226</v>
      </c>
      <c r="D283" s="39" t="s">
        <v>514</v>
      </c>
      <c r="E283" s="39"/>
      <c r="F283" s="39" t="s">
        <v>216</v>
      </c>
      <c r="G283" s="39" t="s">
        <v>227</v>
      </c>
      <c r="H283" s="39">
        <v>7</v>
      </c>
      <c r="I283" s="40">
        <f>MAX($C$2,J272+1)</f>
        <v>46504</v>
      </c>
      <c r="J283" s="41">
        <f>IF(AND(ISNUMBER(I283),ISNUMBER(H283)),I283+H283-1,"")</f>
        <v>46510</v>
      </c>
      <c r="K283" s="39" t="s">
        <v>27</v>
      </c>
      <c r="L283" s="39"/>
      <c r="M283" s="42" t="s">
        <v>536</v>
      </c>
      <c r="N283" s="39"/>
      <c r="O283" s="42">
        <f>IF(AND(ISNUMBER(I283),ISNUMBER(J283)),J283-I283+1,"")</f>
        <v>7</v>
      </c>
      <c r="P283" s="13" t="s">
        <v>140</v>
      </c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  <c r="AG283" s="13"/>
      <c r="AH283" s="13"/>
      <c r="AI283" s="13"/>
      <c r="AJ283" s="13"/>
      <c r="AK283" s="13"/>
      <c r="AL283" s="13"/>
      <c r="AM283" s="13"/>
      <c r="AN283" s="13"/>
      <c r="AO283" s="14" t="str">
        <f>IF(AND(ISNUMBER($I283),OR($K283="Milestone",$K283="Deadline"),$I283&gt;=AO$4,$I283&lt;AO$4+7),IF($K283="Deadline","◇","◆"),"")</f>
        <v/>
      </c>
      <c r="AP283" s="14" t="str">
        <f>IF(AND(ISNUMBER($I283),OR($K283="Milestone",$K283="Deadline"),$I283&gt;=AP$4,$I283&lt;AP$4+7),IF($K283="Deadline","◇","◆"),"")</f>
        <v/>
      </c>
      <c r="AQ283" s="14" t="str">
        <f>IF(AND(ISNUMBER($I283),OR($K283="Milestone",$K283="Deadline"),$I283&gt;=AQ$4,$I283&lt;AQ$4+7),IF($K283="Deadline","◇","◆"),"")</f>
        <v/>
      </c>
      <c r="AR283" s="14" t="str">
        <f>IF(AND(ISNUMBER($I283),OR($K283="Milestone",$K283="Deadline"),$I283&gt;=AR$4,$I283&lt;AR$4+7),IF($K283="Deadline","◇","◆"),"")</f>
        <v/>
      </c>
      <c r="AS283" s="14" t="str">
        <f>IF(AND(ISNUMBER($I283),OR($K283="Milestone",$K283="Deadline"),$I283&gt;=AS$4,$I283&lt;AS$4+7),IF($K283="Deadline","◇","◆"),"")</f>
        <v/>
      </c>
      <c r="AT283" s="14" t="str">
        <f>IF(AND(ISNUMBER($I283),OR($K283="Milestone",$K283="Deadline"),$I283&gt;=AT$4,$I283&lt;AT$4+7),IF($K283="Deadline","◇","◆"),"")</f>
        <v/>
      </c>
      <c r="AU283" s="14" t="str">
        <f>IF(AND(ISNUMBER($I283),OR($K283="Milestone",$K283="Deadline"),$I283&gt;=AU$4,$I283&lt;AU$4+7),IF($K283="Deadline","◇","◆"),"")</f>
        <v/>
      </c>
      <c r="AV283" s="14" t="str">
        <f>IF(AND(ISNUMBER($I283),OR($K283="Milestone",$K283="Deadline"),$I283&gt;=AV$4,$I283&lt;AV$4+7),IF($K283="Deadline","◇","◆"),"")</f>
        <v/>
      </c>
      <c r="AW283" s="14" t="str">
        <f>IF(AND(ISNUMBER($I283),OR($K283="Milestone",$K283="Deadline"),$I283&gt;=AW$4,$I283&lt;AW$4+7),IF($K283="Deadline","◇","◆"),"")</f>
        <v/>
      </c>
      <c r="AX283" s="14" t="str">
        <f>IF(AND(ISNUMBER($I283),OR($K283="Milestone",$K283="Deadline"),$I283&gt;=AX$4,$I283&lt;AX$4+7),IF($K283="Deadline","◇","◆"),"")</f>
        <v/>
      </c>
      <c r="AY283" s="14" t="str">
        <f>IF(AND(ISNUMBER($I283),OR($K283="Milestone",$K283="Deadline"),$I283&gt;=AY$4,$I283&lt;AY$4+7),IF($K283="Deadline","◇","◆"),"")</f>
        <v/>
      </c>
      <c r="AZ283" s="14" t="str">
        <f>IF(AND(ISNUMBER($I283),OR($K283="Milestone",$K283="Deadline"),$I283&gt;=AZ$4,$I283&lt;AZ$4+7),IF($K283="Deadline","◇","◆"),"")</f>
        <v/>
      </c>
      <c r="BA283" s="14" t="str">
        <f>IF(AND(ISNUMBER($I283),OR($K283="Milestone",$K283="Deadline"),$I283&gt;=BA$4,$I283&lt;BA$4+7),IF($K283="Deadline","◇","◆"),"")</f>
        <v/>
      </c>
      <c r="BB283" s="14" t="str">
        <f>IF(AND(ISNUMBER($I283),OR($K283="Milestone",$K283="Deadline"),$I283&gt;=BB$4,$I283&lt;BB$4+7),IF($K283="Deadline","◇","◆"),"")</f>
        <v/>
      </c>
      <c r="BC283" s="14" t="str">
        <f>IF(AND(ISNUMBER($I283),OR($K283="Milestone",$K283="Deadline"),$I283&gt;=BC$4,$I283&lt;BC$4+7),IF($K283="Deadline","◇","◆"),"")</f>
        <v/>
      </c>
      <c r="BD283" s="14" t="str">
        <f>IF(AND(ISNUMBER($I283),OR($K283="Milestone",$K283="Deadline"),$I283&gt;=BD$4,$I283&lt;BD$4+7),IF($K283="Deadline","◇","◆"),"")</f>
        <v/>
      </c>
      <c r="BE283" s="14" t="str">
        <f>IF(AND(ISNUMBER($I283),OR($K283="Milestone",$K283="Deadline"),$I283&gt;=BE$4,$I283&lt;BE$4+7),IF($K283="Deadline","◇","◆"),"")</f>
        <v/>
      </c>
      <c r="BF283" s="14" t="str">
        <f>IF(AND(ISNUMBER($I283),OR($K283="Milestone",$K283="Deadline"),$I283&gt;=BF$4,$I283&lt;BF$4+7),IF($K283="Deadline","◇","◆"),"")</f>
        <v/>
      </c>
      <c r="BG283" s="14" t="str">
        <f>IF(AND(ISNUMBER($I283),OR($K283="Milestone",$K283="Deadline"),$I283&gt;=BG$4,$I283&lt;BG$4+7),IF($K283="Deadline","◇","◆"),"")</f>
        <v/>
      </c>
      <c r="BH283" s="14" t="str">
        <f>IF(AND(ISNUMBER($I283),OR($K283="Milestone",$K283="Deadline"),$I283&gt;=BH$4,$I283&lt;BH$4+7),IF($K283="Deadline","◇","◆"),"")</f>
        <v/>
      </c>
      <c r="BI283" s="14" t="str">
        <f>IF(AND(ISNUMBER($I283),OR($K283="Milestone",$K283="Deadline"),$I283&gt;=BI$4,$I283&lt;BI$4+7),IF($K283="Deadline","◇","◆"),"")</f>
        <v/>
      </c>
      <c r="BJ283" s="14" t="str">
        <f>IF(AND(ISNUMBER($I283),OR($K283="Milestone",$K283="Deadline"),$I283&gt;=BJ$4,$I283&lt;BJ$4+7),IF($K283="Deadline","◇","◆"),"")</f>
        <v/>
      </c>
      <c r="BK283" s="14" t="str">
        <f>IF(AND(ISNUMBER($I283),OR($K283="Milestone",$K283="Deadline"),$I283&gt;=BK$4,$I283&lt;BK$4+7),IF($K283="Deadline","◇","◆"),"")</f>
        <v/>
      </c>
      <c r="BL283" s="14" t="str">
        <f>IF(AND(ISNUMBER($I283),OR($K283="Milestone",$K283="Deadline"),$I283&gt;=BL$4,$I283&lt;BL$4+7),IF($K283="Deadline","◇","◆"),"")</f>
        <v/>
      </c>
      <c r="BM283" s="14" t="str">
        <f>IF(AND(ISNUMBER($I283),OR($K283="Milestone",$K283="Deadline"),$I283&gt;=BM$4,$I283&lt;BM$4+7),IF($K283="Deadline","◇","◆"),"")</f>
        <v/>
      </c>
      <c r="BN283" s="14" t="str">
        <f>IF(AND(ISNUMBER($I283),OR($K283="Milestone",$K283="Deadline"),$I283&gt;=BN$4,$I283&lt;BN$4+7),IF($K283="Deadline","◇","◆"),"")</f>
        <v/>
      </c>
      <c r="BO283" s="14" t="str">
        <f>IF(AND(ISNUMBER($I283),OR($K283="Milestone",$K283="Deadline"),$I283&gt;=BO$4,$I283&lt;BO$4+7),IF($K283="Deadline","◇","◆"),"")</f>
        <v/>
      </c>
      <c r="BP283" s="14" t="str">
        <f>IF(AND(ISNUMBER($I283),OR($K283="Milestone",$K283="Deadline"),$I283&gt;=BP$4,$I283&lt;BP$4+7),IF($K283="Deadline","◇","◆"),"")</f>
        <v/>
      </c>
      <c r="BQ283" s="14" t="str">
        <f>IF(AND(ISNUMBER($I283),OR($K283="Milestone",$K283="Deadline"),$I283&gt;=BQ$4,$I283&lt;BQ$4+7),IF($K283="Deadline","◇","◆"),"")</f>
        <v/>
      </c>
      <c r="BR283" s="14" t="str">
        <f>IF(AND(ISNUMBER($I283),OR($K283="Milestone",$K283="Deadline"),$I283&gt;=BR$4,$I283&lt;BR$4+7),IF($K283="Deadline","◇","◆"),"")</f>
        <v/>
      </c>
      <c r="BS283" s="14" t="str">
        <f>IF(AND(ISNUMBER($I283),OR($K283="Milestone",$K283="Deadline"),$I283&gt;=BS$4,$I283&lt;BS$4+7),IF($K283="Deadline","◇","◆"),"")</f>
        <v/>
      </c>
      <c r="BT283" s="14" t="str">
        <f>IF(AND(ISNUMBER($I283),OR($K283="Milestone",$K283="Deadline"),$I283&gt;=BT$4,$I283&lt;BT$4+7),IF($K283="Deadline","◇","◆"),"")</f>
        <v/>
      </c>
      <c r="BU283" s="14" t="str">
        <f>IF(AND(ISNUMBER($I283),OR($K283="Milestone",$K283="Deadline"),$I283&gt;=BU$4,$I283&lt;BU$4+7),IF($K283="Deadline","◇","◆"),"")</f>
        <v/>
      </c>
      <c r="BV283" s="14" t="str">
        <f>IF(AND(ISNUMBER($I283),OR($K283="Milestone",$K283="Deadline"),$I283&gt;=BV$4,$I283&lt;BV$4+7),IF($K283="Deadline","◇","◆"),"")</f>
        <v/>
      </c>
      <c r="BW283" s="14" t="str">
        <f>IF(AND(ISNUMBER($I283),OR($K283="Milestone",$K283="Deadline"),$I283&gt;=BW$4,$I283&lt;BW$4+7),IF($K283="Deadline","◇","◆"),"")</f>
        <v/>
      </c>
      <c r="BX283" s="14" t="str">
        <f>IF(AND(ISNUMBER($I283),OR($K283="Milestone",$K283="Deadline"),$I283&gt;=BX$4,$I283&lt;BX$4+7),IF($K283="Deadline","◇","◆"),"")</f>
        <v/>
      </c>
      <c r="BY283" s="14" t="str">
        <f>IF(AND(ISNUMBER($I283),OR($K283="Milestone",$K283="Deadline"),$I283&gt;=BY$4,$I283&lt;BY$4+7),IF($K283="Deadline","◇","◆"),"")</f>
        <v/>
      </c>
      <c r="BZ283" s="14" t="str">
        <f>IF(AND(ISNUMBER($I283),OR($K283="Milestone",$K283="Deadline"),$I283&gt;=BZ$4,$I283&lt;BZ$4+7),IF($K283="Deadline","◇","◆"),"")</f>
        <v/>
      </c>
      <c r="CA283" s="14" t="str">
        <f>IF(AND(ISNUMBER($I283),OR($K283="Milestone",$K283="Deadline"),$I283&gt;=CA$4,$I283&lt;CA$4+7),IF($K283="Deadline","◇","◆"),"")</f>
        <v/>
      </c>
      <c r="CB283" s="14" t="str">
        <f>IF(AND(ISNUMBER($I283),OR($K283="Milestone",$K283="Deadline"),$I283&gt;=CB$4,$I283&lt;CB$4+7),IF($K283="Deadline","◇","◆"),"")</f>
        <v/>
      </c>
      <c r="CC283" s="14" t="str">
        <f>IF(AND(ISNUMBER($I283),OR($K283="Milestone",$K283="Deadline"),$I283&gt;=CC$4,$I283&lt;CC$4+7),IF($K283="Deadline","◇","◆"),"")</f>
        <v/>
      </c>
      <c r="CD283" s="14" t="str">
        <f>IF(AND(ISNUMBER($I283),OR($K283="Milestone",$K283="Deadline"),$I283&gt;=CD$4,$I283&lt;CD$4+7),IF($K283="Deadline","◇","◆"),"")</f>
        <v/>
      </c>
      <c r="CE283" s="14" t="str">
        <f>IF(AND(ISNUMBER($I283),OR($K283="Milestone",$K283="Deadline"),$I283&gt;=CE$4,$I283&lt;CE$4+7),IF($K283="Deadline","◇","◆"),"")</f>
        <v/>
      </c>
      <c r="CF283" s="14" t="str">
        <f>IF(AND(ISNUMBER($I283),OR($K283="Milestone",$K283="Deadline"),$I283&gt;=CF$4,$I283&lt;CF$4+7),IF($K283="Deadline","◇","◆"),"")</f>
        <v/>
      </c>
      <c r="CG283" s="14" t="str">
        <f>IF(AND(ISNUMBER($I283),OR($K283="Milestone",$K283="Deadline"),$I283&gt;=CG$4,$I283&lt;CG$4+7),IF($K283="Deadline","◇","◆"),"")</f>
        <v/>
      </c>
      <c r="CH283" s="14" t="str">
        <f>IF(AND(ISNUMBER($I283),OR($K283="Milestone",$K283="Deadline"),$I283&gt;=CH$4,$I283&lt;CH$4+7),IF($K283="Deadline","◇","◆"),"")</f>
        <v/>
      </c>
      <c r="CI283" s="14" t="str">
        <f>IF(AND(ISNUMBER($I283),OR($K283="Milestone",$K283="Deadline"),$I283&gt;=CI$4,$I283&lt;CI$4+7),IF($K283="Deadline","◇","◆"),"")</f>
        <v/>
      </c>
      <c r="CJ283" s="14" t="str">
        <f>IF(AND(ISNUMBER($I283),OR($K283="Milestone",$K283="Deadline"),$I283&gt;=CJ$4,$I283&lt;CJ$4+7),IF($K283="Deadline","◇","◆"),"")</f>
        <v/>
      </c>
      <c r="CK283" s="14" t="str">
        <f>IF(AND(ISNUMBER($I283),OR($K283="Milestone",$K283="Deadline"),$I283&gt;=CK$4,$I283&lt;CK$4+7),IF($K283="Deadline","◇","◆"),"")</f>
        <v/>
      </c>
      <c r="CL283" s="14" t="str">
        <f>IF(AND(ISNUMBER($I283),OR($K283="Milestone",$K283="Deadline"),$I283&gt;=CL$4,$I283&lt;CL$4+7),IF($K283="Deadline","◇","◆"),"")</f>
        <v/>
      </c>
      <c r="CM283" s="14" t="str">
        <f>IF(AND(ISNUMBER($I283),OR($K283="Milestone",$K283="Deadline"),$I283&gt;=CM$4,$I283&lt;CM$4+7),IF($K283="Deadline","◇","◆"),"")</f>
        <v/>
      </c>
    </row>
    <row r="284" spans="1:91" hidden="1">
      <c r="A284" s="39" t="s">
        <v>548</v>
      </c>
      <c r="B284" s="39" t="s">
        <v>538</v>
      </c>
      <c r="C284" s="39" t="s">
        <v>230</v>
      </c>
      <c r="D284" s="39" t="s">
        <v>514</v>
      </c>
      <c r="E284" s="39"/>
      <c r="F284" s="39" t="s">
        <v>216</v>
      </c>
      <c r="G284" s="39" t="s">
        <v>231</v>
      </c>
      <c r="H284" s="39">
        <v>14</v>
      </c>
      <c r="I284" s="40">
        <f>MAX(DATE(2027,3,8),J273+1)</f>
        <v>46482</v>
      </c>
      <c r="J284" s="41">
        <f>IF(AND(ISNUMBER(I284),ISNUMBER(H284)),I284+H284-1,"")</f>
        <v>46495</v>
      </c>
      <c r="K284" s="39" t="s">
        <v>27</v>
      </c>
      <c r="L284" s="39"/>
      <c r="M284" s="42" t="s">
        <v>537</v>
      </c>
      <c r="N284" s="39"/>
      <c r="O284" s="42">
        <f>IF(AND(ISNUMBER(I284),ISNUMBER(J284)),J284-I284+1,"")</f>
        <v>14</v>
      </c>
      <c r="P284" s="13"/>
      <c r="Q284" s="13" t="s">
        <v>140</v>
      </c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  <c r="AG284" s="13"/>
      <c r="AH284" s="13"/>
      <c r="AI284" s="13"/>
      <c r="AJ284" s="13"/>
      <c r="AK284" s="13"/>
      <c r="AL284" s="13"/>
      <c r="AM284" s="13"/>
      <c r="AN284" s="13"/>
      <c r="AO284" s="14" t="str">
        <f>IF(AND(ISNUMBER($I284),OR($K284="Milestone",$K284="Deadline"),$I284&gt;=AO$4,$I284&lt;AO$4+7),IF($K284="Deadline","◇","◆"),"")</f>
        <v/>
      </c>
      <c r="AP284" s="14" t="str">
        <f>IF(AND(ISNUMBER($I284),OR($K284="Milestone",$K284="Deadline"),$I284&gt;=AP$4,$I284&lt;AP$4+7),IF($K284="Deadline","◇","◆"),"")</f>
        <v/>
      </c>
      <c r="AQ284" s="14" t="str">
        <f>IF(AND(ISNUMBER($I284),OR($K284="Milestone",$K284="Deadline"),$I284&gt;=AQ$4,$I284&lt;AQ$4+7),IF($K284="Deadline","◇","◆"),"")</f>
        <v/>
      </c>
      <c r="AR284" s="14" t="str">
        <f>IF(AND(ISNUMBER($I284),OR($K284="Milestone",$K284="Deadline"),$I284&gt;=AR$4,$I284&lt;AR$4+7),IF($K284="Deadline","◇","◆"),"")</f>
        <v/>
      </c>
      <c r="AS284" s="14" t="str">
        <f>IF(AND(ISNUMBER($I284),OR($K284="Milestone",$K284="Deadline"),$I284&gt;=AS$4,$I284&lt;AS$4+7),IF($K284="Deadline","◇","◆"),"")</f>
        <v/>
      </c>
      <c r="AT284" s="14" t="str">
        <f>IF(AND(ISNUMBER($I284),OR($K284="Milestone",$K284="Deadline"),$I284&gt;=AT$4,$I284&lt;AT$4+7),IF($K284="Deadline","◇","◆"),"")</f>
        <v/>
      </c>
      <c r="AU284" s="14" t="str">
        <f>IF(AND(ISNUMBER($I284),OR($K284="Milestone",$K284="Deadline"),$I284&gt;=AU$4,$I284&lt;AU$4+7),IF($K284="Deadline","◇","◆"),"")</f>
        <v/>
      </c>
      <c r="AV284" s="14" t="str">
        <f>IF(AND(ISNUMBER($I284),OR($K284="Milestone",$K284="Deadline"),$I284&gt;=AV$4,$I284&lt;AV$4+7),IF($K284="Deadline","◇","◆"),"")</f>
        <v/>
      </c>
      <c r="AW284" s="14" t="str">
        <f>IF(AND(ISNUMBER($I284),OR($K284="Milestone",$K284="Deadline"),$I284&gt;=AW$4,$I284&lt;AW$4+7),IF($K284="Deadline","◇","◆"),"")</f>
        <v/>
      </c>
      <c r="AX284" s="14" t="str">
        <f>IF(AND(ISNUMBER($I284),OR($K284="Milestone",$K284="Deadline"),$I284&gt;=AX$4,$I284&lt;AX$4+7),IF($K284="Deadline","◇","◆"),"")</f>
        <v/>
      </c>
      <c r="AY284" s="14" t="str">
        <f>IF(AND(ISNUMBER($I284),OR($K284="Milestone",$K284="Deadline"),$I284&gt;=AY$4,$I284&lt;AY$4+7),IF($K284="Deadline","◇","◆"),"")</f>
        <v/>
      </c>
      <c r="AZ284" s="14" t="str">
        <f>IF(AND(ISNUMBER($I284),OR($K284="Milestone",$K284="Deadline"),$I284&gt;=AZ$4,$I284&lt;AZ$4+7),IF($K284="Deadline","◇","◆"),"")</f>
        <v/>
      </c>
      <c r="BA284" s="14" t="str">
        <f>IF(AND(ISNUMBER($I284),OR($K284="Milestone",$K284="Deadline"),$I284&gt;=BA$4,$I284&lt;BA$4+7),IF($K284="Deadline","◇","◆"),"")</f>
        <v/>
      </c>
      <c r="BB284" s="14" t="str">
        <f>IF(AND(ISNUMBER($I284),OR($K284="Milestone",$K284="Deadline"),$I284&gt;=BB$4,$I284&lt;BB$4+7),IF($K284="Deadline","◇","◆"),"")</f>
        <v/>
      </c>
      <c r="BC284" s="14" t="str">
        <f>IF(AND(ISNUMBER($I284),OR($K284="Milestone",$K284="Deadline"),$I284&gt;=BC$4,$I284&lt;BC$4+7),IF($K284="Deadline","◇","◆"),"")</f>
        <v/>
      </c>
      <c r="BD284" s="14" t="str">
        <f>IF(AND(ISNUMBER($I284),OR($K284="Milestone",$K284="Deadline"),$I284&gt;=BD$4,$I284&lt;BD$4+7),IF($K284="Deadline","◇","◆"),"")</f>
        <v/>
      </c>
      <c r="BE284" s="14" t="str">
        <f>IF(AND(ISNUMBER($I284),OR($K284="Milestone",$K284="Deadline"),$I284&gt;=BE$4,$I284&lt;BE$4+7),IF($K284="Deadline","◇","◆"),"")</f>
        <v/>
      </c>
      <c r="BF284" s="14" t="str">
        <f>IF(AND(ISNUMBER($I284),OR($K284="Milestone",$K284="Deadline"),$I284&gt;=BF$4,$I284&lt;BF$4+7),IF($K284="Deadline","◇","◆"),"")</f>
        <v/>
      </c>
      <c r="BG284" s="14" t="str">
        <f>IF(AND(ISNUMBER($I284),OR($K284="Milestone",$K284="Deadline"),$I284&gt;=BG$4,$I284&lt;BG$4+7),IF($K284="Deadline","◇","◆"),"")</f>
        <v/>
      </c>
      <c r="BH284" s="14" t="str">
        <f>IF(AND(ISNUMBER($I284),OR($K284="Milestone",$K284="Deadline"),$I284&gt;=BH$4,$I284&lt;BH$4+7),IF($K284="Deadline","◇","◆"),"")</f>
        <v/>
      </c>
      <c r="BI284" s="14" t="str">
        <f>IF(AND(ISNUMBER($I284),OR($K284="Milestone",$K284="Deadline"),$I284&gt;=BI$4,$I284&lt;BI$4+7),IF($K284="Deadline","◇","◆"),"")</f>
        <v/>
      </c>
      <c r="BJ284" s="14" t="str">
        <f>IF(AND(ISNUMBER($I284),OR($K284="Milestone",$K284="Deadline"),$I284&gt;=BJ$4,$I284&lt;BJ$4+7),IF($K284="Deadline","◇","◆"),"")</f>
        <v/>
      </c>
      <c r="BK284" s="14" t="str">
        <f>IF(AND(ISNUMBER($I284),OR($K284="Milestone",$K284="Deadline"),$I284&gt;=BK$4,$I284&lt;BK$4+7),IF($K284="Deadline","◇","◆"),"")</f>
        <v/>
      </c>
      <c r="BL284" s="14" t="str">
        <f>IF(AND(ISNUMBER($I284),OR($K284="Milestone",$K284="Deadline"),$I284&gt;=BL$4,$I284&lt;BL$4+7),IF($K284="Deadline","◇","◆"),"")</f>
        <v/>
      </c>
      <c r="BM284" s="14" t="str">
        <f>IF(AND(ISNUMBER($I284),OR($K284="Milestone",$K284="Deadline"),$I284&gt;=BM$4,$I284&lt;BM$4+7),IF($K284="Deadline","◇","◆"),"")</f>
        <v/>
      </c>
      <c r="BN284" s="14" t="str">
        <f>IF(AND(ISNUMBER($I284),OR($K284="Milestone",$K284="Deadline"),$I284&gt;=BN$4,$I284&lt;BN$4+7),IF($K284="Deadline","◇","◆"),"")</f>
        <v/>
      </c>
      <c r="BO284" s="14" t="str">
        <f>IF(AND(ISNUMBER($I284),OR($K284="Milestone",$K284="Deadline"),$I284&gt;=BO$4,$I284&lt;BO$4+7),IF($K284="Deadline","◇","◆"),"")</f>
        <v/>
      </c>
      <c r="BP284" s="14" t="str">
        <f>IF(AND(ISNUMBER($I284),OR($K284="Milestone",$K284="Deadline"),$I284&gt;=BP$4,$I284&lt;BP$4+7),IF($K284="Deadline","◇","◆"),"")</f>
        <v/>
      </c>
      <c r="BQ284" s="14" t="str">
        <f>IF(AND(ISNUMBER($I284),OR($K284="Milestone",$K284="Deadline"),$I284&gt;=BQ$4,$I284&lt;BQ$4+7),IF($K284="Deadline","◇","◆"),"")</f>
        <v/>
      </c>
      <c r="BR284" s="14" t="str">
        <f>IF(AND(ISNUMBER($I284),OR($K284="Milestone",$K284="Deadline"),$I284&gt;=BR$4,$I284&lt;BR$4+7),IF($K284="Deadline","◇","◆"),"")</f>
        <v/>
      </c>
      <c r="BS284" s="14" t="str">
        <f>IF(AND(ISNUMBER($I284),OR($K284="Milestone",$K284="Deadline"),$I284&gt;=BS$4,$I284&lt;BS$4+7),IF($K284="Deadline","◇","◆"),"")</f>
        <v/>
      </c>
      <c r="BT284" s="14" t="str">
        <f>IF(AND(ISNUMBER($I284),OR($K284="Milestone",$K284="Deadline"),$I284&gt;=BT$4,$I284&lt;BT$4+7),IF($K284="Deadline","◇","◆"),"")</f>
        <v/>
      </c>
      <c r="BU284" s="14" t="str">
        <f>IF(AND(ISNUMBER($I284),OR($K284="Milestone",$K284="Deadline"),$I284&gt;=BU$4,$I284&lt;BU$4+7),IF($K284="Deadline","◇","◆"),"")</f>
        <v/>
      </c>
      <c r="BV284" s="14" t="str">
        <f>IF(AND(ISNUMBER($I284),OR($K284="Milestone",$K284="Deadline"),$I284&gt;=BV$4,$I284&lt;BV$4+7),IF($K284="Deadline","◇","◆"),"")</f>
        <v/>
      </c>
      <c r="BW284" s="14" t="str">
        <f>IF(AND(ISNUMBER($I284),OR($K284="Milestone",$K284="Deadline"),$I284&gt;=BW$4,$I284&lt;BW$4+7),IF($K284="Deadline","◇","◆"),"")</f>
        <v/>
      </c>
      <c r="BX284" s="14" t="str">
        <f>IF(AND(ISNUMBER($I284),OR($K284="Milestone",$K284="Deadline"),$I284&gt;=BX$4,$I284&lt;BX$4+7),IF($K284="Deadline","◇","◆"),"")</f>
        <v/>
      </c>
      <c r="BY284" s="14" t="str">
        <f>IF(AND(ISNUMBER($I284),OR($K284="Milestone",$K284="Deadline"),$I284&gt;=BY$4,$I284&lt;BY$4+7),IF($K284="Deadline","◇","◆"),"")</f>
        <v/>
      </c>
      <c r="BZ284" s="14" t="str">
        <f>IF(AND(ISNUMBER($I284),OR($K284="Milestone",$K284="Deadline"),$I284&gt;=BZ$4,$I284&lt;BZ$4+7),IF($K284="Deadline","◇","◆"),"")</f>
        <v/>
      </c>
      <c r="CA284" s="14" t="str">
        <f>IF(AND(ISNUMBER($I284),OR($K284="Milestone",$K284="Deadline"),$I284&gt;=CA$4,$I284&lt;CA$4+7),IF($K284="Deadline","◇","◆"),"")</f>
        <v/>
      </c>
      <c r="CB284" s="14" t="str">
        <f>IF(AND(ISNUMBER($I284),OR($K284="Milestone",$K284="Deadline"),$I284&gt;=CB$4,$I284&lt;CB$4+7),IF($K284="Deadline","◇","◆"),"")</f>
        <v/>
      </c>
      <c r="CC284" s="14" t="str">
        <f>IF(AND(ISNUMBER($I284),OR($K284="Milestone",$K284="Deadline"),$I284&gt;=CC$4,$I284&lt;CC$4+7),IF($K284="Deadline","◇","◆"),"")</f>
        <v/>
      </c>
      <c r="CD284" s="14" t="str">
        <f>IF(AND(ISNUMBER($I284),OR($K284="Milestone",$K284="Deadline"),$I284&gt;=CD$4,$I284&lt;CD$4+7),IF($K284="Deadline","◇","◆"),"")</f>
        <v/>
      </c>
      <c r="CE284" s="14" t="str">
        <f>IF(AND(ISNUMBER($I284),OR($K284="Milestone",$K284="Deadline"),$I284&gt;=CE$4,$I284&lt;CE$4+7),IF($K284="Deadline","◇","◆"),"")</f>
        <v/>
      </c>
      <c r="CF284" s="14" t="str">
        <f>IF(AND(ISNUMBER($I284),OR($K284="Milestone",$K284="Deadline"),$I284&gt;=CF$4,$I284&lt;CF$4+7),IF($K284="Deadline","◇","◆"),"")</f>
        <v/>
      </c>
      <c r="CG284" s="14" t="str">
        <f>IF(AND(ISNUMBER($I284),OR($K284="Milestone",$K284="Deadline"),$I284&gt;=CG$4,$I284&lt;CG$4+7),IF($K284="Deadline","◇","◆"),"")</f>
        <v/>
      </c>
      <c r="CH284" s="14" t="str">
        <f>IF(AND(ISNUMBER($I284),OR($K284="Milestone",$K284="Deadline"),$I284&gt;=CH$4,$I284&lt;CH$4+7),IF($K284="Deadline","◇","◆"),"")</f>
        <v/>
      </c>
      <c r="CI284" s="14" t="str">
        <f>IF(AND(ISNUMBER($I284),OR($K284="Milestone",$K284="Deadline"),$I284&gt;=CI$4,$I284&lt;CI$4+7),IF($K284="Deadline","◇","◆"),"")</f>
        <v/>
      </c>
      <c r="CJ284" s="14" t="str">
        <f>IF(AND(ISNUMBER($I284),OR($K284="Milestone",$K284="Deadline"),$I284&gt;=CJ$4,$I284&lt;CJ$4+7),IF($K284="Deadline","◇","◆"),"")</f>
        <v/>
      </c>
      <c r="CK284" s="14" t="str">
        <f>IF(AND(ISNUMBER($I284),OR($K284="Milestone",$K284="Deadline"),$I284&gt;=CK$4,$I284&lt;CK$4+7),IF($K284="Deadline","◇","◆"),"")</f>
        <v/>
      </c>
      <c r="CL284" s="14" t="str">
        <f>IF(AND(ISNUMBER($I284),OR($K284="Milestone",$K284="Deadline"),$I284&gt;=CL$4,$I284&lt;CL$4+7),IF($K284="Deadline","◇","◆"),"")</f>
        <v/>
      </c>
      <c r="CM284" s="14" t="str">
        <f>IF(AND(ISNUMBER($I284),OR($K284="Milestone",$K284="Deadline"),$I284&gt;=CM$4,$I284&lt;CM$4+7),IF($K284="Deadline","◇","◆"),"")</f>
        <v/>
      </c>
    </row>
    <row r="285" spans="1:91" hidden="1">
      <c r="A285" s="19" t="s">
        <v>353</v>
      </c>
      <c r="B285" s="19" t="s">
        <v>549</v>
      </c>
      <c r="C285" s="19" t="s">
        <v>63</v>
      </c>
      <c r="D285" s="19"/>
      <c r="E285" s="19"/>
      <c r="F285" s="19" t="s">
        <v>550</v>
      </c>
      <c r="G285" s="19" t="s">
        <v>551</v>
      </c>
      <c r="H285" s="19">
        <v>14</v>
      </c>
      <c r="I285" s="23">
        <f>MAX(DATE(2026,12,14),J55+1,J110+1)</f>
        <v>46372</v>
      </c>
      <c r="J285" s="21">
        <f>IF(AND(ISNUMBER(I285),ISNUMBER(H285)),I285+H285-1,"")</f>
        <v>46385</v>
      </c>
      <c r="K285" s="19" t="s">
        <v>27</v>
      </c>
      <c r="L285" s="19"/>
      <c r="M285" s="22" t="s">
        <v>552</v>
      </c>
      <c r="N285" s="19"/>
      <c r="O285" s="22">
        <f>IF(AND(ISNUMBER(I285),ISNUMBER(J285)),J285-I285+1,"")</f>
        <v>14</v>
      </c>
      <c r="P285" s="13"/>
      <c r="Q285" s="13"/>
      <c r="R285" s="13"/>
      <c r="S285" s="13"/>
      <c r="T285" s="13"/>
      <c r="U285" s="13" t="s">
        <v>140</v>
      </c>
      <c r="V285" s="13" t="s">
        <v>140</v>
      </c>
      <c r="W285" s="13" t="s">
        <v>140</v>
      </c>
      <c r="X285" s="13" t="s">
        <v>140</v>
      </c>
      <c r="Y285" s="13"/>
      <c r="Z285" s="13"/>
      <c r="AA285" s="13" t="s">
        <v>140</v>
      </c>
      <c r="AB285" s="13" t="s">
        <v>140</v>
      </c>
      <c r="AC285" s="13"/>
      <c r="AD285" s="13"/>
      <c r="AE285" s="13"/>
      <c r="AF285" s="13"/>
      <c r="AG285" s="13"/>
      <c r="AH285" s="13"/>
      <c r="AI285" s="13"/>
      <c r="AJ285" s="13"/>
      <c r="AK285" s="13"/>
      <c r="AL285" s="13"/>
      <c r="AM285" s="13"/>
      <c r="AN285" s="13"/>
      <c r="AO285" s="14" t="str">
        <f>IF(AND(ISNUMBER($I285),OR($K285="Milestone",$K285="Deadline"),$I285&gt;=AO$4,$I285&lt;AO$4+7),IF($K285="Deadline","◇","◆"),"")</f>
        <v/>
      </c>
      <c r="AP285" s="14" t="str">
        <f>IF(AND(ISNUMBER($I285),OR($K285="Milestone",$K285="Deadline"),$I285&gt;=AP$4,$I285&lt;AP$4+7),IF($K285="Deadline","◇","◆"),"")</f>
        <v/>
      </c>
      <c r="AQ285" s="14" t="str">
        <f>IF(AND(ISNUMBER($I285),OR($K285="Milestone",$K285="Deadline"),$I285&gt;=AQ$4,$I285&lt;AQ$4+7),IF($K285="Deadline","◇","◆"),"")</f>
        <v/>
      </c>
      <c r="AR285" s="14" t="str">
        <f>IF(AND(ISNUMBER($I285),OR($K285="Milestone",$K285="Deadline"),$I285&gt;=AR$4,$I285&lt;AR$4+7),IF($K285="Deadline","◇","◆"),"")</f>
        <v/>
      </c>
      <c r="AS285" s="14" t="str">
        <f>IF(AND(ISNUMBER($I285),OR($K285="Milestone",$K285="Deadline"),$I285&gt;=AS$4,$I285&lt;AS$4+7),IF($K285="Deadline","◇","◆"),"")</f>
        <v/>
      </c>
      <c r="AT285" s="14" t="str">
        <f>IF(AND(ISNUMBER($I285),OR($K285="Milestone",$K285="Deadline"),$I285&gt;=AT$4,$I285&lt;AT$4+7),IF($K285="Deadline","◇","◆"),"")</f>
        <v/>
      </c>
      <c r="AU285" s="14" t="str">
        <f>IF(AND(ISNUMBER($I285),OR($K285="Milestone",$K285="Deadline"),$I285&gt;=AU$4,$I285&lt;AU$4+7),IF($K285="Deadline","◇","◆"),"")</f>
        <v/>
      </c>
      <c r="AV285" s="14" t="str">
        <f>IF(AND(ISNUMBER($I285),OR($K285="Milestone",$K285="Deadline"),$I285&gt;=AV$4,$I285&lt;AV$4+7),IF($K285="Deadline","◇","◆"),"")</f>
        <v/>
      </c>
      <c r="AW285" s="14" t="str">
        <f>IF(AND(ISNUMBER($I285),OR($K285="Milestone",$K285="Deadline"),$I285&gt;=AW$4,$I285&lt;AW$4+7),IF($K285="Deadline","◇","◆"),"")</f>
        <v/>
      </c>
      <c r="AX285" s="14" t="str">
        <f>IF(AND(ISNUMBER($I285),OR($K285="Milestone",$K285="Deadline"),$I285&gt;=AX$4,$I285&lt;AX$4+7),IF($K285="Deadline","◇","◆"),"")</f>
        <v/>
      </c>
      <c r="AY285" s="14" t="str">
        <f>IF(AND(ISNUMBER($I285),OR($K285="Milestone",$K285="Deadline"),$I285&gt;=AY$4,$I285&lt;AY$4+7),IF($K285="Deadline","◇","◆"),"")</f>
        <v/>
      </c>
      <c r="AZ285" s="14" t="str">
        <f>IF(AND(ISNUMBER($I285),OR($K285="Milestone",$K285="Deadline"),$I285&gt;=AZ$4,$I285&lt;AZ$4+7),IF($K285="Deadline","◇","◆"),"")</f>
        <v/>
      </c>
      <c r="BA285" s="14" t="str">
        <f>IF(AND(ISNUMBER($I285),OR($K285="Milestone",$K285="Deadline"),$I285&gt;=BA$4,$I285&lt;BA$4+7),IF($K285="Deadline","◇","◆"),"")</f>
        <v/>
      </c>
      <c r="BB285" s="14" t="str">
        <f>IF(AND(ISNUMBER($I285),OR($K285="Milestone",$K285="Deadline"),$I285&gt;=BB$4,$I285&lt;BB$4+7),IF($K285="Deadline","◇","◆"),"")</f>
        <v/>
      </c>
      <c r="BC285" s="14" t="str">
        <f>IF(AND(ISNUMBER($I285),OR($K285="Milestone",$K285="Deadline"),$I285&gt;=BC$4,$I285&lt;BC$4+7),IF($K285="Deadline","◇","◆"),"")</f>
        <v/>
      </c>
      <c r="BD285" s="14" t="str">
        <f>IF(AND(ISNUMBER($I285),OR($K285="Milestone",$K285="Deadline"),$I285&gt;=BD$4,$I285&lt;BD$4+7),IF($K285="Deadline","◇","◆"),"")</f>
        <v/>
      </c>
      <c r="BE285" s="14" t="str">
        <f>IF(AND(ISNUMBER($I285),OR($K285="Milestone",$K285="Deadline"),$I285&gt;=BE$4,$I285&lt;BE$4+7),IF($K285="Deadline","◇","◆"),"")</f>
        <v/>
      </c>
      <c r="BF285" s="14" t="str">
        <f>IF(AND(ISNUMBER($I285),OR($K285="Milestone",$K285="Deadline"),$I285&gt;=BF$4,$I285&lt;BF$4+7),IF($K285="Deadline","◇","◆"),"")</f>
        <v/>
      </c>
      <c r="BG285" s="14" t="str">
        <f>IF(AND(ISNUMBER($I285),OR($K285="Milestone",$K285="Deadline"),$I285&gt;=BG$4,$I285&lt;BG$4+7),IF($K285="Deadline","◇","◆"),"")</f>
        <v/>
      </c>
      <c r="BH285" s="14" t="str">
        <f>IF(AND(ISNUMBER($I285),OR($K285="Milestone",$K285="Deadline"),$I285&gt;=BH$4,$I285&lt;BH$4+7),IF($K285="Deadline","◇","◆"),"")</f>
        <v/>
      </c>
      <c r="BI285" s="14" t="str">
        <f>IF(AND(ISNUMBER($I285),OR($K285="Milestone",$K285="Deadline"),$I285&gt;=BI$4,$I285&lt;BI$4+7),IF($K285="Deadline","◇","◆"),"")</f>
        <v/>
      </c>
      <c r="BJ285" s="14" t="str">
        <f>IF(AND(ISNUMBER($I285),OR($K285="Milestone",$K285="Deadline"),$I285&gt;=BJ$4,$I285&lt;BJ$4+7),IF($K285="Deadline","◇","◆"),"")</f>
        <v/>
      </c>
      <c r="BK285" s="14" t="str">
        <f>IF(AND(ISNUMBER($I285),OR($K285="Milestone",$K285="Deadline"),$I285&gt;=BK$4,$I285&lt;BK$4+7),IF($K285="Deadline","◇","◆"),"")</f>
        <v/>
      </c>
      <c r="BL285" s="14" t="str">
        <f>IF(AND(ISNUMBER($I285),OR($K285="Milestone",$K285="Deadline"),$I285&gt;=BL$4,$I285&lt;BL$4+7),IF($K285="Deadline","◇","◆"),"")</f>
        <v/>
      </c>
      <c r="BM285" s="14" t="str">
        <f>IF(AND(ISNUMBER($I285),OR($K285="Milestone",$K285="Deadline"),$I285&gt;=BM$4,$I285&lt;BM$4+7),IF($K285="Deadline","◇","◆"),"")</f>
        <v/>
      </c>
      <c r="BN285" s="14" t="str">
        <f>IF(AND(ISNUMBER($I285),OR($K285="Milestone",$K285="Deadline"),$I285&gt;=BN$4,$I285&lt;BN$4+7),IF($K285="Deadline","◇","◆"),"")</f>
        <v/>
      </c>
      <c r="BO285" s="14" t="str">
        <f>IF(AND(ISNUMBER($I285),OR($K285="Milestone",$K285="Deadline"),$I285&gt;=BO$4,$I285&lt;BO$4+7),IF($K285="Deadline","◇","◆"),"")</f>
        <v/>
      </c>
      <c r="BP285" s="14" t="str">
        <f>IF(AND(ISNUMBER($I285),OR($K285="Milestone",$K285="Deadline"),$I285&gt;=BP$4,$I285&lt;BP$4+7),IF($K285="Deadline","◇","◆"),"")</f>
        <v/>
      </c>
      <c r="BQ285" s="14" t="str">
        <f>IF(AND(ISNUMBER($I285),OR($K285="Milestone",$K285="Deadline"),$I285&gt;=BQ$4,$I285&lt;BQ$4+7),IF($K285="Deadline","◇","◆"),"")</f>
        <v/>
      </c>
      <c r="BR285" s="14" t="str">
        <f>IF(AND(ISNUMBER($I285),OR($K285="Milestone",$K285="Deadline"),$I285&gt;=BR$4,$I285&lt;BR$4+7),IF($K285="Deadline","◇","◆"),"")</f>
        <v/>
      </c>
      <c r="BS285" s="14" t="str">
        <f>IF(AND(ISNUMBER($I285),OR($K285="Milestone",$K285="Deadline"),$I285&gt;=BS$4,$I285&lt;BS$4+7),IF($K285="Deadline","◇","◆"),"")</f>
        <v/>
      </c>
      <c r="BT285" s="14" t="str">
        <f>IF(AND(ISNUMBER($I285),OR($K285="Milestone",$K285="Deadline"),$I285&gt;=BT$4,$I285&lt;BT$4+7),IF($K285="Deadline","◇","◆"),"")</f>
        <v/>
      </c>
      <c r="BU285" s="14" t="str">
        <f>IF(AND(ISNUMBER($I285),OR($K285="Milestone",$K285="Deadline"),$I285&gt;=BU$4,$I285&lt;BU$4+7),IF($K285="Deadline","◇","◆"),"")</f>
        <v/>
      </c>
      <c r="BV285" s="14" t="str">
        <f>IF(AND(ISNUMBER($I285),OR($K285="Milestone",$K285="Deadline"),$I285&gt;=BV$4,$I285&lt;BV$4+7),IF($K285="Deadline","◇","◆"),"")</f>
        <v/>
      </c>
      <c r="BW285" s="14" t="str">
        <f>IF(AND(ISNUMBER($I285),OR($K285="Milestone",$K285="Deadline"),$I285&gt;=BW$4,$I285&lt;BW$4+7),IF($K285="Deadline","◇","◆"),"")</f>
        <v/>
      </c>
      <c r="BX285" s="14" t="str">
        <f>IF(AND(ISNUMBER($I285),OR($K285="Milestone",$K285="Deadline"),$I285&gt;=BX$4,$I285&lt;BX$4+7),IF($K285="Deadline","◇","◆"),"")</f>
        <v/>
      </c>
      <c r="BY285" s="14" t="str">
        <f>IF(AND(ISNUMBER($I285),OR($K285="Milestone",$K285="Deadline"),$I285&gt;=BY$4,$I285&lt;BY$4+7),IF($K285="Deadline","◇","◆"),"")</f>
        <v/>
      </c>
      <c r="BZ285" s="14" t="str">
        <f>IF(AND(ISNUMBER($I285),OR($K285="Milestone",$K285="Deadline"),$I285&gt;=BZ$4,$I285&lt;BZ$4+7),IF($K285="Deadline","◇","◆"),"")</f>
        <v/>
      </c>
      <c r="CA285" s="14" t="str">
        <f>IF(AND(ISNUMBER($I285),OR($K285="Milestone",$K285="Deadline"),$I285&gt;=CA$4,$I285&lt;CA$4+7),IF($K285="Deadline","◇","◆"),"")</f>
        <v/>
      </c>
      <c r="CB285" s="14" t="str">
        <f>IF(AND(ISNUMBER($I285),OR($K285="Milestone",$K285="Deadline"),$I285&gt;=CB$4,$I285&lt;CB$4+7),IF($K285="Deadline","◇","◆"),"")</f>
        <v/>
      </c>
      <c r="CC285" s="14" t="str">
        <f>IF(AND(ISNUMBER($I285),OR($K285="Milestone",$K285="Deadline"),$I285&gt;=CC$4,$I285&lt;CC$4+7),IF($K285="Deadline","◇","◆"),"")</f>
        <v/>
      </c>
      <c r="CD285" s="14" t="str">
        <f>IF(AND(ISNUMBER($I285),OR($K285="Milestone",$K285="Deadline"),$I285&gt;=CD$4,$I285&lt;CD$4+7),IF($K285="Deadline","◇","◆"),"")</f>
        <v/>
      </c>
      <c r="CE285" s="14" t="str">
        <f>IF(AND(ISNUMBER($I285),OR($K285="Milestone",$K285="Deadline"),$I285&gt;=CE$4,$I285&lt;CE$4+7),IF($K285="Deadline","◇","◆"),"")</f>
        <v/>
      </c>
      <c r="CF285" s="14" t="str">
        <f>IF(AND(ISNUMBER($I285),OR($K285="Milestone",$K285="Deadline"),$I285&gt;=CF$4,$I285&lt;CF$4+7),IF($K285="Deadline","◇","◆"),"")</f>
        <v/>
      </c>
      <c r="CG285" s="14" t="str">
        <f>IF(AND(ISNUMBER($I285),OR($K285="Milestone",$K285="Deadline"),$I285&gt;=CG$4,$I285&lt;CG$4+7),IF($K285="Deadline","◇","◆"),"")</f>
        <v/>
      </c>
      <c r="CH285" s="14" t="str">
        <f>IF(AND(ISNUMBER($I285),OR($K285="Milestone",$K285="Deadline"),$I285&gt;=CH$4,$I285&lt;CH$4+7),IF($K285="Deadline","◇","◆"),"")</f>
        <v/>
      </c>
      <c r="CI285" s="14" t="str">
        <f>IF(AND(ISNUMBER($I285),OR($K285="Milestone",$K285="Deadline"),$I285&gt;=CI$4,$I285&lt;CI$4+7),IF($K285="Deadline","◇","◆"),"")</f>
        <v/>
      </c>
      <c r="CJ285" s="14" t="str">
        <f>IF(AND(ISNUMBER($I285),OR($K285="Milestone",$K285="Deadline"),$I285&gt;=CJ$4,$I285&lt;CJ$4+7),IF($K285="Deadline","◇","◆"),"")</f>
        <v/>
      </c>
      <c r="CK285" s="14" t="str">
        <f>IF(AND(ISNUMBER($I285),OR($K285="Milestone",$K285="Deadline"),$I285&gt;=CK$4,$I285&lt;CK$4+7),IF($K285="Deadline","◇","◆"),"")</f>
        <v/>
      </c>
      <c r="CL285" s="14" t="str">
        <f>IF(AND(ISNUMBER($I285),OR($K285="Milestone",$K285="Deadline"),$I285&gt;=CL$4,$I285&lt;CL$4+7),IF($K285="Deadline","◇","◆"),"")</f>
        <v/>
      </c>
      <c r="CM285" s="14" t="str">
        <f>IF(AND(ISNUMBER($I285),OR($K285="Milestone",$K285="Deadline"),$I285&gt;=CM$4,$I285&lt;CM$4+7),IF($K285="Deadline","◇","◆"),"")</f>
        <v/>
      </c>
    </row>
    <row r="286" spans="1:91" hidden="1">
      <c r="A286" s="19" t="s">
        <v>553</v>
      </c>
      <c r="B286" s="19" t="s">
        <v>549</v>
      </c>
      <c r="C286" s="19" t="s">
        <v>63</v>
      </c>
      <c r="D286" s="19"/>
      <c r="E286" s="19"/>
      <c r="F286" s="19" t="s">
        <v>550</v>
      </c>
      <c r="G286" s="19" t="s">
        <v>554</v>
      </c>
      <c r="H286" s="19">
        <v>21</v>
      </c>
      <c r="I286" s="23">
        <f>MAX($C$2,J285+1)</f>
        <v>46386</v>
      </c>
      <c r="J286" s="21">
        <f>IF(AND(ISNUMBER(I286),ISNUMBER(H286)),I286+H286-1,"")</f>
        <v>46406</v>
      </c>
      <c r="K286" s="19" t="s">
        <v>27</v>
      </c>
      <c r="L286" s="19" t="s">
        <v>353</v>
      </c>
      <c r="M286" s="22"/>
      <c r="N286" s="19"/>
      <c r="O286" s="22">
        <f>IF(AND(ISNUMBER(I286),ISNUMBER(J286)),J286-I286+1,"")</f>
        <v>21</v>
      </c>
      <c r="P286" s="13"/>
      <c r="Q286" s="13"/>
      <c r="R286" s="13"/>
      <c r="S286" s="13"/>
      <c r="T286" s="13"/>
      <c r="U286" s="13" t="s">
        <v>140</v>
      </c>
      <c r="V286" s="13"/>
      <c r="W286" s="13"/>
      <c r="X286" s="13" t="s">
        <v>140</v>
      </c>
      <c r="Y286" s="13"/>
      <c r="Z286" s="13"/>
      <c r="AA286" s="13"/>
      <c r="AB286" s="13"/>
      <c r="AC286" s="13"/>
      <c r="AD286" s="13"/>
      <c r="AE286" s="13"/>
      <c r="AF286" s="13"/>
      <c r="AG286" s="13"/>
      <c r="AH286" s="13"/>
      <c r="AI286" s="13"/>
      <c r="AJ286" s="13"/>
      <c r="AK286" s="13"/>
      <c r="AL286" s="13"/>
      <c r="AM286" s="13"/>
      <c r="AN286" s="13"/>
      <c r="AO286" s="14" t="str">
        <f>IF(AND(ISNUMBER($I286),OR($K286="Milestone",$K286="Deadline"),$I286&gt;=AO$4,$I286&lt;AO$4+7),IF($K286="Deadline","◇","◆"),"")</f>
        <v/>
      </c>
      <c r="AP286" s="14" t="str">
        <f>IF(AND(ISNUMBER($I286),OR($K286="Milestone",$K286="Deadline"),$I286&gt;=AP$4,$I286&lt;AP$4+7),IF($K286="Deadline","◇","◆"),"")</f>
        <v/>
      </c>
      <c r="AQ286" s="14" t="str">
        <f>IF(AND(ISNUMBER($I286),OR($K286="Milestone",$K286="Deadline"),$I286&gt;=AQ$4,$I286&lt;AQ$4+7),IF($K286="Deadline","◇","◆"),"")</f>
        <v/>
      </c>
      <c r="AR286" s="14" t="str">
        <f>IF(AND(ISNUMBER($I286),OR($K286="Milestone",$K286="Deadline"),$I286&gt;=AR$4,$I286&lt;AR$4+7),IF($K286="Deadline","◇","◆"),"")</f>
        <v/>
      </c>
      <c r="AS286" s="14" t="str">
        <f>IF(AND(ISNUMBER($I286),OR($K286="Milestone",$K286="Deadline"),$I286&gt;=AS$4,$I286&lt;AS$4+7),IF($K286="Deadline","◇","◆"),"")</f>
        <v/>
      </c>
      <c r="AT286" s="14" t="str">
        <f>IF(AND(ISNUMBER($I286),OR($K286="Milestone",$K286="Deadline"),$I286&gt;=AT$4,$I286&lt;AT$4+7),IF($K286="Deadline","◇","◆"),"")</f>
        <v/>
      </c>
      <c r="AU286" s="14" t="str">
        <f>IF(AND(ISNUMBER($I286),OR($K286="Milestone",$K286="Deadline"),$I286&gt;=AU$4,$I286&lt;AU$4+7),IF($K286="Deadline","◇","◆"),"")</f>
        <v/>
      </c>
      <c r="AV286" s="14" t="str">
        <f>IF(AND(ISNUMBER($I286),OR($K286="Milestone",$K286="Deadline"),$I286&gt;=AV$4,$I286&lt;AV$4+7),IF($K286="Deadline","◇","◆"),"")</f>
        <v/>
      </c>
      <c r="AW286" s="14" t="str">
        <f>IF(AND(ISNUMBER($I286),OR($K286="Milestone",$K286="Deadline"),$I286&gt;=AW$4,$I286&lt;AW$4+7),IF($K286="Deadline","◇","◆"),"")</f>
        <v/>
      </c>
      <c r="AX286" s="14" t="str">
        <f>IF(AND(ISNUMBER($I286),OR($K286="Milestone",$K286="Deadline"),$I286&gt;=AX$4,$I286&lt;AX$4+7),IF($K286="Deadline","◇","◆"),"")</f>
        <v/>
      </c>
      <c r="AY286" s="14" t="str">
        <f>IF(AND(ISNUMBER($I286),OR($K286="Milestone",$K286="Deadline"),$I286&gt;=AY$4,$I286&lt;AY$4+7),IF($K286="Deadline","◇","◆"),"")</f>
        <v/>
      </c>
      <c r="AZ286" s="14" t="str">
        <f>IF(AND(ISNUMBER($I286),OR($K286="Milestone",$K286="Deadline"),$I286&gt;=AZ$4,$I286&lt;AZ$4+7),IF($K286="Deadline","◇","◆"),"")</f>
        <v/>
      </c>
      <c r="BA286" s="14" t="str">
        <f>IF(AND(ISNUMBER($I286),OR($K286="Milestone",$K286="Deadline"),$I286&gt;=BA$4,$I286&lt;BA$4+7),IF($K286="Deadline","◇","◆"),"")</f>
        <v/>
      </c>
      <c r="BB286" s="14" t="str">
        <f>IF(AND(ISNUMBER($I286),OR($K286="Milestone",$K286="Deadline"),$I286&gt;=BB$4,$I286&lt;BB$4+7),IF($K286="Deadline","◇","◆"),"")</f>
        <v/>
      </c>
      <c r="BC286" s="14" t="str">
        <f>IF(AND(ISNUMBER($I286),OR($K286="Milestone",$K286="Deadline"),$I286&gt;=BC$4,$I286&lt;BC$4+7),IF($K286="Deadline","◇","◆"),"")</f>
        <v/>
      </c>
      <c r="BD286" s="14" t="str">
        <f>IF(AND(ISNUMBER($I286),OR($K286="Milestone",$K286="Deadline"),$I286&gt;=BD$4,$I286&lt;BD$4+7),IF($K286="Deadline","◇","◆"),"")</f>
        <v/>
      </c>
      <c r="BE286" s="14" t="str">
        <f>IF(AND(ISNUMBER($I286),OR($K286="Milestone",$K286="Deadline"),$I286&gt;=BE$4,$I286&lt;BE$4+7),IF($K286="Deadline","◇","◆"),"")</f>
        <v/>
      </c>
      <c r="BF286" s="14" t="str">
        <f>IF(AND(ISNUMBER($I286),OR($K286="Milestone",$K286="Deadline"),$I286&gt;=BF$4,$I286&lt;BF$4+7),IF($K286="Deadline","◇","◆"),"")</f>
        <v/>
      </c>
      <c r="BG286" s="14" t="str">
        <f>IF(AND(ISNUMBER($I286),OR($K286="Milestone",$K286="Deadline"),$I286&gt;=BG$4,$I286&lt;BG$4+7),IF($K286="Deadline","◇","◆"),"")</f>
        <v/>
      </c>
      <c r="BH286" s="14" t="str">
        <f>IF(AND(ISNUMBER($I286),OR($K286="Milestone",$K286="Deadline"),$I286&gt;=BH$4,$I286&lt;BH$4+7),IF($K286="Deadline","◇","◆"),"")</f>
        <v/>
      </c>
      <c r="BI286" s="14" t="str">
        <f>IF(AND(ISNUMBER($I286),OR($K286="Milestone",$K286="Deadline"),$I286&gt;=BI$4,$I286&lt;BI$4+7),IF($K286="Deadline","◇","◆"),"")</f>
        <v/>
      </c>
      <c r="BJ286" s="14" t="str">
        <f>IF(AND(ISNUMBER($I286),OR($K286="Milestone",$K286="Deadline"),$I286&gt;=BJ$4,$I286&lt;BJ$4+7),IF($K286="Deadline","◇","◆"),"")</f>
        <v/>
      </c>
      <c r="BK286" s="14" t="str">
        <f>IF(AND(ISNUMBER($I286),OR($K286="Milestone",$K286="Deadline"),$I286&gt;=BK$4,$I286&lt;BK$4+7),IF($K286="Deadline","◇","◆"),"")</f>
        <v/>
      </c>
      <c r="BL286" s="14" t="str">
        <f>IF(AND(ISNUMBER($I286),OR($K286="Milestone",$K286="Deadline"),$I286&gt;=BL$4,$I286&lt;BL$4+7),IF($K286="Deadline","◇","◆"),"")</f>
        <v/>
      </c>
      <c r="BM286" s="14" t="str">
        <f>IF(AND(ISNUMBER($I286),OR($K286="Milestone",$K286="Deadline"),$I286&gt;=BM$4,$I286&lt;BM$4+7),IF($K286="Deadline","◇","◆"),"")</f>
        <v/>
      </c>
      <c r="BN286" s="14" t="str">
        <f>IF(AND(ISNUMBER($I286),OR($K286="Milestone",$K286="Deadline"),$I286&gt;=BN$4,$I286&lt;BN$4+7),IF($K286="Deadline","◇","◆"),"")</f>
        <v/>
      </c>
      <c r="BO286" s="14" t="str">
        <f>IF(AND(ISNUMBER($I286),OR($K286="Milestone",$K286="Deadline"),$I286&gt;=BO$4,$I286&lt;BO$4+7),IF($K286="Deadline","◇","◆"),"")</f>
        <v/>
      </c>
      <c r="BP286" s="14" t="str">
        <f>IF(AND(ISNUMBER($I286),OR($K286="Milestone",$K286="Deadline"),$I286&gt;=BP$4,$I286&lt;BP$4+7),IF($K286="Deadline","◇","◆"),"")</f>
        <v/>
      </c>
      <c r="BQ286" s="14" t="str">
        <f>IF(AND(ISNUMBER($I286),OR($K286="Milestone",$K286="Deadline"),$I286&gt;=BQ$4,$I286&lt;BQ$4+7),IF($K286="Deadline","◇","◆"),"")</f>
        <v/>
      </c>
      <c r="BR286" s="14" t="str">
        <f>IF(AND(ISNUMBER($I286),OR($K286="Milestone",$K286="Deadline"),$I286&gt;=BR$4,$I286&lt;BR$4+7),IF($K286="Deadline","◇","◆"),"")</f>
        <v/>
      </c>
      <c r="BS286" s="14" t="str">
        <f>IF(AND(ISNUMBER($I286),OR($K286="Milestone",$K286="Deadline"),$I286&gt;=BS$4,$I286&lt;BS$4+7),IF($K286="Deadline","◇","◆"),"")</f>
        <v/>
      </c>
      <c r="BT286" s="14" t="str">
        <f>IF(AND(ISNUMBER($I286),OR($K286="Milestone",$K286="Deadline"),$I286&gt;=BT$4,$I286&lt;BT$4+7),IF($K286="Deadline","◇","◆"),"")</f>
        <v/>
      </c>
      <c r="BU286" s="14" t="str">
        <f>IF(AND(ISNUMBER($I286),OR($K286="Milestone",$K286="Deadline"),$I286&gt;=BU$4,$I286&lt;BU$4+7),IF($K286="Deadline","◇","◆"),"")</f>
        <v/>
      </c>
      <c r="BV286" s="14" t="str">
        <f>IF(AND(ISNUMBER($I286),OR($K286="Milestone",$K286="Deadline"),$I286&gt;=BV$4,$I286&lt;BV$4+7),IF($K286="Deadline","◇","◆"),"")</f>
        <v/>
      </c>
      <c r="BW286" s="14" t="str">
        <f>IF(AND(ISNUMBER($I286),OR($K286="Milestone",$K286="Deadline"),$I286&gt;=BW$4,$I286&lt;BW$4+7),IF($K286="Deadline","◇","◆"),"")</f>
        <v/>
      </c>
      <c r="BX286" s="14" t="str">
        <f>IF(AND(ISNUMBER($I286),OR($K286="Milestone",$K286="Deadline"),$I286&gt;=BX$4,$I286&lt;BX$4+7),IF($K286="Deadline","◇","◆"),"")</f>
        <v/>
      </c>
      <c r="BY286" s="14" t="str">
        <f>IF(AND(ISNUMBER($I286),OR($K286="Milestone",$K286="Deadline"),$I286&gt;=BY$4,$I286&lt;BY$4+7),IF($K286="Deadline","◇","◆"),"")</f>
        <v/>
      </c>
      <c r="BZ286" s="14" t="str">
        <f>IF(AND(ISNUMBER($I286),OR($K286="Milestone",$K286="Deadline"),$I286&gt;=BZ$4,$I286&lt;BZ$4+7),IF($K286="Deadline","◇","◆"),"")</f>
        <v/>
      </c>
      <c r="CA286" s="14" t="str">
        <f>IF(AND(ISNUMBER($I286),OR($K286="Milestone",$K286="Deadline"),$I286&gt;=CA$4,$I286&lt;CA$4+7),IF($K286="Deadline","◇","◆"),"")</f>
        <v/>
      </c>
      <c r="CB286" s="14" t="str">
        <f>IF(AND(ISNUMBER($I286),OR($K286="Milestone",$K286="Deadline"),$I286&gt;=CB$4,$I286&lt;CB$4+7),IF($K286="Deadline","◇","◆"),"")</f>
        <v/>
      </c>
      <c r="CC286" s="14" t="str">
        <f>IF(AND(ISNUMBER($I286),OR($K286="Milestone",$K286="Deadline"),$I286&gt;=CC$4,$I286&lt;CC$4+7),IF($K286="Deadline","◇","◆"),"")</f>
        <v/>
      </c>
      <c r="CD286" s="14" t="str">
        <f>IF(AND(ISNUMBER($I286),OR($K286="Milestone",$K286="Deadline"),$I286&gt;=CD$4,$I286&lt;CD$4+7),IF($K286="Deadline","◇","◆"),"")</f>
        <v/>
      </c>
      <c r="CE286" s="14" t="str">
        <f>IF(AND(ISNUMBER($I286),OR($K286="Milestone",$K286="Deadline"),$I286&gt;=CE$4,$I286&lt;CE$4+7),IF($K286="Deadline","◇","◆"),"")</f>
        <v/>
      </c>
      <c r="CF286" s="14" t="str">
        <f>IF(AND(ISNUMBER($I286),OR($K286="Milestone",$K286="Deadline"),$I286&gt;=CF$4,$I286&lt;CF$4+7),IF($K286="Deadline","◇","◆"),"")</f>
        <v/>
      </c>
      <c r="CG286" s="14" t="str">
        <f>IF(AND(ISNUMBER($I286),OR($K286="Milestone",$K286="Deadline"),$I286&gt;=CG$4,$I286&lt;CG$4+7),IF($K286="Deadline","◇","◆"),"")</f>
        <v/>
      </c>
      <c r="CH286" s="14" t="str">
        <f>IF(AND(ISNUMBER($I286),OR($K286="Milestone",$K286="Deadline"),$I286&gt;=CH$4,$I286&lt;CH$4+7),IF($K286="Deadline","◇","◆"),"")</f>
        <v/>
      </c>
      <c r="CI286" s="14" t="str">
        <f>IF(AND(ISNUMBER($I286),OR($K286="Milestone",$K286="Deadline"),$I286&gt;=CI$4,$I286&lt;CI$4+7),IF($K286="Deadline","◇","◆"),"")</f>
        <v/>
      </c>
      <c r="CJ286" s="14" t="str">
        <f>IF(AND(ISNUMBER($I286),OR($K286="Milestone",$K286="Deadline"),$I286&gt;=CJ$4,$I286&lt;CJ$4+7),IF($K286="Deadline","◇","◆"),"")</f>
        <v/>
      </c>
      <c r="CK286" s="14" t="str">
        <f>IF(AND(ISNUMBER($I286),OR($K286="Milestone",$K286="Deadline"),$I286&gt;=CK$4,$I286&lt;CK$4+7),IF($K286="Deadline","◇","◆"),"")</f>
        <v/>
      </c>
      <c r="CL286" s="14" t="str">
        <f>IF(AND(ISNUMBER($I286),OR($K286="Milestone",$K286="Deadline"),$I286&gt;=CL$4,$I286&lt;CL$4+7),IF($K286="Deadline","◇","◆"),"")</f>
        <v/>
      </c>
      <c r="CM286" s="14" t="str">
        <f>IF(AND(ISNUMBER($I286),OR($K286="Milestone",$K286="Deadline"),$I286&gt;=CM$4,$I286&lt;CM$4+7),IF($K286="Deadline","◇","◆"),"")</f>
        <v/>
      </c>
    </row>
    <row r="287" spans="1:91" hidden="1">
      <c r="A287" s="19" t="s">
        <v>273</v>
      </c>
      <c r="B287" s="19" t="s">
        <v>549</v>
      </c>
      <c r="C287" s="19" t="s">
        <v>63</v>
      </c>
      <c r="D287" s="19"/>
      <c r="E287" s="19"/>
      <c r="F287" s="19" t="s">
        <v>555</v>
      </c>
      <c r="G287" s="19" t="s">
        <v>556</v>
      </c>
      <c r="H287" s="19">
        <v>7</v>
      </c>
      <c r="I287" s="23">
        <f>MAX($C$2,J285+1,J84+1)</f>
        <v>46396</v>
      </c>
      <c r="J287" s="21">
        <f>IF(AND(ISNUMBER(I287),ISNUMBER(H287)),I287+H287-1,"")</f>
        <v>46402</v>
      </c>
      <c r="K287" s="19" t="s">
        <v>27</v>
      </c>
      <c r="L287" s="19" t="s">
        <v>353</v>
      </c>
      <c r="M287" s="22" t="s">
        <v>254</v>
      </c>
      <c r="N287" s="19"/>
      <c r="O287" s="22">
        <f>IF(AND(ISNUMBER(I287),ISNUMBER(J287)),J287-I287+1,"")</f>
        <v>7</v>
      </c>
      <c r="P287" s="13"/>
      <c r="Q287" s="13"/>
      <c r="R287" s="13"/>
      <c r="S287" s="13"/>
      <c r="T287" s="13"/>
      <c r="U287" s="13" t="s">
        <v>140</v>
      </c>
      <c r="V287" s="13" t="s">
        <v>140</v>
      </c>
      <c r="W287" s="13"/>
      <c r="X287" s="13" t="s">
        <v>140</v>
      </c>
      <c r="Y287" s="13"/>
      <c r="Z287" s="13"/>
      <c r="AA287" s="13"/>
      <c r="AB287" s="13"/>
      <c r="AC287" s="13"/>
      <c r="AD287" s="13" t="s">
        <v>140</v>
      </c>
      <c r="AE287" s="13"/>
      <c r="AF287" s="13"/>
      <c r="AG287" s="13"/>
      <c r="AH287" s="13"/>
      <c r="AI287" s="13"/>
      <c r="AJ287" s="13"/>
      <c r="AK287" s="13"/>
      <c r="AL287" s="13"/>
      <c r="AM287" s="13"/>
      <c r="AN287" s="13"/>
      <c r="AO287" s="14" t="str">
        <f>IF(AND(ISNUMBER($I287),OR($K287="Milestone",$K287="Deadline"),$I287&gt;=AO$4,$I287&lt;AO$4+7),IF($K287="Deadline","◇","◆"),"")</f>
        <v/>
      </c>
      <c r="AP287" s="14" t="str">
        <f>IF(AND(ISNUMBER($I287),OR($K287="Milestone",$K287="Deadline"),$I287&gt;=AP$4,$I287&lt;AP$4+7),IF($K287="Deadline","◇","◆"),"")</f>
        <v/>
      </c>
      <c r="AQ287" s="14" t="str">
        <f>IF(AND(ISNUMBER($I287),OR($K287="Milestone",$K287="Deadline"),$I287&gt;=AQ$4,$I287&lt;AQ$4+7),IF($K287="Deadline","◇","◆"),"")</f>
        <v/>
      </c>
      <c r="AR287" s="14" t="str">
        <f>IF(AND(ISNUMBER($I287),OR($K287="Milestone",$K287="Deadline"),$I287&gt;=AR$4,$I287&lt;AR$4+7),IF($K287="Deadline","◇","◆"),"")</f>
        <v/>
      </c>
      <c r="AS287" s="14" t="str">
        <f>IF(AND(ISNUMBER($I287),OR($K287="Milestone",$K287="Deadline"),$I287&gt;=AS$4,$I287&lt;AS$4+7),IF($K287="Deadline","◇","◆"),"")</f>
        <v/>
      </c>
      <c r="AT287" s="14" t="str">
        <f>IF(AND(ISNUMBER($I287),OR($K287="Milestone",$K287="Deadline"),$I287&gt;=AT$4,$I287&lt;AT$4+7),IF($K287="Deadline","◇","◆"),"")</f>
        <v/>
      </c>
      <c r="AU287" s="14" t="str">
        <f>IF(AND(ISNUMBER($I287),OR($K287="Milestone",$K287="Deadline"),$I287&gt;=AU$4,$I287&lt;AU$4+7),IF($K287="Deadline","◇","◆"),"")</f>
        <v/>
      </c>
      <c r="AV287" s="14" t="str">
        <f>IF(AND(ISNUMBER($I287),OR($K287="Milestone",$K287="Deadline"),$I287&gt;=AV$4,$I287&lt;AV$4+7),IF($K287="Deadline","◇","◆"),"")</f>
        <v/>
      </c>
      <c r="AW287" s="14" t="str">
        <f>IF(AND(ISNUMBER($I287),OR($K287="Milestone",$K287="Deadline"),$I287&gt;=AW$4,$I287&lt;AW$4+7),IF($K287="Deadline","◇","◆"),"")</f>
        <v/>
      </c>
      <c r="AX287" s="14" t="str">
        <f>IF(AND(ISNUMBER($I287),OR($K287="Milestone",$K287="Deadline"),$I287&gt;=AX$4,$I287&lt;AX$4+7),IF($K287="Deadline","◇","◆"),"")</f>
        <v/>
      </c>
      <c r="AY287" s="14" t="str">
        <f>IF(AND(ISNUMBER($I287),OR($K287="Milestone",$K287="Deadline"),$I287&gt;=AY$4,$I287&lt;AY$4+7),IF($K287="Deadline","◇","◆"),"")</f>
        <v/>
      </c>
      <c r="AZ287" s="14" t="str">
        <f>IF(AND(ISNUMBER($I287),OR($K287="Milestone",$K287="Deadline"),$I287&gt;=AZ$4,$I287&lt;AZ$4+7),IF($K287="Deadline","◇","◆"),"")</f>
        <v/>
      </c>
      <c r="BA287" s="14" t="str">
        <f>IF(AND(ISNUMBER($I287),OR($K287="Milestone",$K287="Deadline"),$I287&gt;=BA$4,$I287&lt;BA$4+7),IF($K287="Deadline","◇","◆"),"")</f>
        <v/>
      </c>
      <c r="BB287" s="14" t="str">
        <f>IF(AND(ISNUMBER($I287),OR($K287="Milestone",$K287="Deadline"),$I287&gt;=BB$4,$I287&lt;BB$4+7),IF($K287="Deadline","◇","◆"),"")</f>
        <v/>
      </c>
      <c r="BC287" s="14" t="str">
        <f>IF(AND(ISNUMBER($I287),OR($K287="Milestone",$K287="Deadline"),$I287&gt;=BC$4,$I287&lt;BC$4+7),IF($K287="Deadline","◇","◆"),"")</f>
        <v/>
      </c>
      <c r="BD287" s="14" t="str">
        <f>IF(AND(ISNUMBER($I287),OR($K287="Milestone",$K287="Deadline"),$I287&gt;=BD$4,$I287&lt;BD$4+7),IF($K287="Deadline","◇","◆"),"")</f>
        <v/>
      </c>
      <c r="BE287" s="14" t="str">
        <f>IF(AND(ISNUMBER($I287),OR($K287="Milestone",$K287="Deadline"),$I287&gt;=BE$4,$I287&lt;BE$4+7),IF($K287="Deadline","◇","◆"),"")</f>
        <v/>
      </c>
      <c r="BF287" s="14" t="str">
        <f>IF(AND(ISNUMBER($I287),OR($K287="Milestone",$K287="Deadline"),$I287&gt;=BF$4,$I287&lt;BF$4+7),IF($K287="Deadline","◇","◆"),"")</f>
        <v/>
      </c>
      <c r="BG287" s="14" t="str">
        <f>IF(AND(ISNUMBER($I287),OR($K287="Milestone",$K287="Deadline"),$I287&gt;=BG$4,$I287&lt;BG$4+7),IF($K287="Deadline","◇","◆"),"")</f>
        <v/>
      </c>
      <c r="BH287" s="14" t="str">
        <f>IF(AND(ISNUMBER($I287),OR($K287="Milestone",$K287="Deadline"),$I287&gt;=BH$4,$I287&lt;BH$4+7),IF($K287="Deadline","◇","◆"),"")</f>
        <v/>
      </c>
      <c r="BI287" s="14" t="str">
        <f>IF(AND(ISNUMBER($I287),OR($K287="Milestone",$K287="Deadline"),$I287&gt;=BI$4,$I287&lt;BI$4+7),IF($K287="Deadline","◇","◆"),"")</f>
        <v/>
      </c>
      <c r="BJ287" s="14" t="str">
        <f>IF(AND(ISNUMBER($I287),OR($K287="Milestone",$K287="Deadline"),$I287&gt;=BJ$4,$I287&lt;BJ$4+7),IF($K287="Deadline","◇","◆"),"")</f>
        <v/>
      </c>
      <c r="BK287" s="14" t="str">
        <f>IF(AND(ISNUMBER($I287),OR($K287="Milestone",$K287="Deadline"),$I287&gt;=BK$4,$I287&lt;BK$4+7),IF($K287="Deadline","◇","◆"),"")</f>
        <v/>
      </c>
      <c r="BL287" s="14" t="str">
        <f>IF(AND(ISNUMBER($I287),OR($K287="Milestone",$K287="Deadline"),$I287&gt;=BL$4,$I287&lt;BL$4+7),IF($K287="Deadline","◇","◆"),"")</f>
        <v/>
      </c>
      <c r="BM287" s="14" t="str">
        <f>IF(AND(ISNUMBER($I287),OR($K287="Milestone",$K287="Deadline"),$I287&gt;=BM$4,$I287&lt;BM$4+7),IF($K287="Deadline","◇","◆"),"")</f>
        <v/>
      </c>
      <c r="BN287" s="14" t="str">
        <f>IF(AND(ISNUMBER($I287),OR($K287="Milestone",$K287="Deadline"),$I287&gt;=BN$4,$I287&lt;BN$4+7),IF($K287="Deadline","◇","◆"),"")</f>
        <v/>
      </c>
      <c r="BO287" s="14" t="str">
        <f>IF(AND(ISNUMBER($I287),OR($K287="Milestone",$K287="Deadline"),$I287&gt;=BO$4,$I287&lt;BO$4+7),IF($K287="Deadline","◇","◆"),"")</f>
        <v/>
      </c>
      <c r="BP287" s="14" t="str">
        <f>IF(AND(ISNUMBER($I287),OR($K287="Milestone",$K287="Deadline"),$I287&gt;=BP$4,$I287&lt;BP$4+7),IF($K287="Deadline","◇","◆"),"")</f>
        <v/>
      </c>
      <c r="BQ287" s="14" t="str">
        <f>IF(AND(ISNUMBER($I287),OR($K287="Milestone",$K287="Deadline"),$I287&gt;=BQ$4,$I287&lt;BQ$4+7),IF($K287="Deadline","◇","◆"),"")</f>
        <v/>
      </c>
      <c r="BR287" s="14" t="str">
        <f>IF(AND(ISNUMBER($I287),OR($K287="Milestone",$K287="Deadline"),$I287&gt;=BR$4,$I287&lt;BR$4+7),IF($K287="Deadline","◇","◆"),"")</f>
        <v/>
      </c>
      <c r="BS287" s="14" t="str">
        <f>IF(AND(ISNUMBER($I287),OR($K287="Milestone",$K287="Deadline"),$I287&gt;=BS$4,$I287&lt;BS$4+7),IF($K287="Deadline","◇","◆"),"")</f>
        <v/>
      </c>
      <c r="BT287" s="14" t="str">
        <f>IF(AND(ISNUMBER($I287),OR($K287="Milestone",$K287="Deadline"),$I287&gt;=BT$4,$I287&lt;BT$4+7),IF($K287="Deadline","◇","◆"),"")</f>
        <v/>
      </c>
      <c r="BU287" s="14" t="str">
        <f>IF(AND(ISNUMBER($I287),OR($K287="Milestone",$K287="Deadline"),$I287&gt;=BU$4,$I287&lt;BU$4+7),IF($K287="Deadline","◇","◆"),"")</f>
        <v/>
      </c>
      <c r="BV287" s="14" t="str">
        <f>IF(AND(ISNUMBER($I287),OR($K287="Milestone",$K287="Deadline"),$I287&gt;=BV$4,$I287&lt;BV$4+7),IF($K287="Deadline","◇","◆"),"")</f>
        <v/>
      </c>
      <c r="BW287" s="14" t="str">
        <f>IF(AND(ISNUMBER($I287),OR($K287="Milestone",$K287="Deadline"),$I287&gt;=BW$4,$I287&lt;BW$4+7),IF($K287="Deadline","◇","◆"),"")</f>
        <v/>
      </c>
      <c r="BX287" s="14" t="str">
        <f>IF(AND(ISNUMBER($I287),OR($K287="Milestone",$K287="Deadline"),$I287&gt;=BX$4,$I287&lt;BX$4+7),IF($K287="Deadline","◇","◆"),"")</f>
        <v/>
      </c>
      <c r="BY287" s="14" t="str">
        <f>IF(AND(ISNUMBER($I287),OR($K287="Milestone",$K287="Deadline"),$I287&gt;=BY$4,$I287&lt;BY$4+7),IF($K287="Deadline","◇","◆"),"")</f>
        <v/>
      </c>
      <c r="BZ287" s="14" t="str">
        <f>IF(AND(ISNUMBER($I287),OR($K287="Milestone",$K287="Deadline"),$I287&gt;=BZ$4,$I287&lt;BZ$4+7),IF($K287="Deadline","◇","◆"),"")</f>
        <v/>
      </c>
      <c r="CA287" s="14" t="str">
        <f>IF(AND(ISNUMBER($I287),OR($K287="Milestone",$K287="Deadline"),$I287&gt;=CA$4,$I287&lt;CA$4+7),IF($K287="Deadline","◇","◆"),"")</f>
        <v/>
      </c>
      <c r="CB287" s="14" t="str">
        <f>IF(AND(ISNUMBER($I287),OR($K287="Milestone",$K287="Deadline"),$I287&gt;=CB$4,$I287&lt;CB$4+7),IF($K287="Deadline","◇","◆"),"")</f>
        <v/>
      </c>
      <c r="CC287" s="14" t="str">
        <f>IF(AND(ISNUMBER($I287),OR($K287="Milestone",$K287="Deadline"),$I287&gt;=CC$4,$I287&lt;CC$4+7),IF($K287="Deadline","◇","◆"),"")</f>
        <v/>
      </c>
      <c r="CD287" s="14" t="str">
        <f>IF(AND(ISNUMBER($I287),OR($K287="Milestone",$K287="Deadline"),$I287&gt;=CD$4,$I287&lt;CD$4+7),IF($K287="Deadline","◇","◆"),"")</f>
        <v/>
      </c>
      <c r="CE287" s="14" t="str">
        <f>IF(AND(ISNUMBER($I287),OR($K287="Milestone",$K287="Deadline"),$I287&gt;=CE$4,$I287&lt;CE$4+7),IF($K287="Deadline","◇","◆"),"")</f>
        <v/>
      </c>
      <c r="CF287" s="14" t="str">
        <f>IF(AND(ISNUMBER($I287),OR($K287="Milestone",$K287="Deadline"),$I287&gt;=CF$4,$I287&lt;CF$4+7),IF($K287="Deadline","◇","◆"),"")</f>
        <v/>
      </c>
      <c r="CG287" s="14" t="str">
        <f>IF(AND(ISNUMBER($I287),OR($K287="Milestone",$K287="Deadline"),$I287&gt;=CG$4,$I287&lt;CG$4+7),IF($K287="Deadline","◇","◆"),"")</f>
        <v/>
      </c>
      <c r="CH287" s="14" t="str">
        <f>IF(AND(ISNUMBER($I287),OR($K287="Milestone",$K287="Deadline"),$I287&gt;=CH$4,$I287&lt;CH$4+7),IF($K287="Deadline","◇","◆"),"")</f>
        <v/>
      </c>
      <c r="CI287" s="14" t="str">
        <f>IF(AND(ISNUMBER($I287),OR($K287="Milestone",$K287="Deadline"),$I287&gt;=CI$4,$I287&lt;CI$4+7),IF($K287="Deadline","◇","◆"),"")</f>
        <v/>
      </c>
      <c r="CJ287" s="14" t="str">
        <f>IF(AND(ISNUMBER($I287),OR($K287="Milestone",$K287="Deadline"),$I287&gt;=CJ$4,$I287&lt;CJ$4+7),IF($K287="Deadline","◇","◆"),"")</f>
        <v/>
      </c>
      <c r="CK287" s="14" t="str">
        <f>IF(AND(ISNUMBER($I287),OR($K287="Milestone",$K287="Deadline"),$I287&gt;=CK$4,$I287&lt;CK$4+7),IF($K287="Deadline","◇","◆"),"")</f>
        <v/>
      </c>
      <c r="CL287" s="14" t="str">
        <f>IF(AND(ISNUMBER($I287),OR($K287="Milestone",$K287="Deadline"),$I287&gt;=CL$4,$I287&lt;CL$4+7),IF($K287="Deadline","◇","◆"),"")</f>
        <v/>
      </c>
      <c r="CM287" s="14" t="str">
        <f>IF(AND(ISNUMBER($I287),OR($K287="Milestone",$K287="Deadline"),$I287&gt;=CM$4,$I287&lt;CM$4+7),IF($K287="Deadline","◇","◆"),"")</f>
        <v/>
      </c>
    </row>
    <row r="288" spans="1:91" hidden="1">
      <c r="A288" s="19" t="s">
        <v>407</v>
      </c>
      <c r="B288" s="19" t="s">
        <v>549</v>
      </c>
      <c r="C288" s="19" t="s">
        <v>63</v>
      </c>
      <c r="D288" s="19"/>
      <c r="E288" s="19"/>
      <c r="F288" s="19" t="s">
        <v>555</v>
      </c>
      <c r="G288" s="19" t="s">
        <v>557</v>
      </c>
      <c r="H288" s="19">
        <v>14</v>
      </c>
      <c r="I288" s="23">
        <f>MAX($C$2,J285+1,J118+1)</f>
        <v>46389</v>
      </c>
      <c r="J288" s="21">
        <f>IF(AND(ISNUMBER(I288),ISNUMBER(H288)),I288+H288-1,"")</f>
        <v>46402</v>
      </c>
      <c r="K288" s="19" t="s">
        <v>27</v>
      </c>
      <c r="L288" s="19" t="s">
        <v>353</v>
      </c>
      <c r="M288" s="22" t="s">
        <v>322</v>
      </c>
      <c r="N288" s="19"/>
      <c r="O288" s="22">
        <f>IF(AND(ISNUMBER(I288),ISNUMBER(J288)),J288-I288+1,"")</f>
        <v>14</v>
      </c>
      <c r="P288" s="13"/>
      <c r="Q288" s="13"/>
      <c r="R288" s="13"/>
      <c r="S288" s="13"/>
      <c r="T288" s="13"/>
      <c r="U288" s="13"/>
      <c r="V288" s="13"/>
      <c r="W288" s="13" t="s">
        <v>140</v>
      </c>
      <c r="X288" s="13"/>
      <c r="Y288" s="13"/>
      <c r="Z288" s="13"/>
      <c r="AA288" s="13"/>
      <c r="AB288" s="13"/>
      <c r="AC288" s="13" t="s">
        <v>140</v>
      </c>
      <c r="AD288" s="13"/>
      <c r="AE288" s="13"/>
      <c r="AF288" s="13"/>
      <c r="AG288" s="13"/>
      <c r="AH288" s="13"/>
      <c r="AI288" s="13"/>
      <c r="AJ288" s="13"/>
      <c r="AK288" s="13"/>
      <c r="AL288" s="13"/>
      <c r="AM288" s="13"/>
      <c r="AN288" s="13"/>
      <c r="AO288" s="14" t="str">
        <f>IF(AND(ISNUMBER($I288),OR($K288="Milestone",$K288="Deadline"),$I288&gt;=AO$4,$I288&lt;AO$4+7),IF($K288="Deadline","◇","◆"),"")</f>
        <v/>
      </c>
      <c r="AP288" s="14" t="str">
        <f>IF(AND(ISNUMBER($I288),OR($K288="Milestone",$K288="Deadline"),$I288&gt;=AP$4,$I288&lt;AP$4+7),IF($K288="Deadline","◇","◆"),"")</f>
        <v/>
      </c>
      <c r="AQ288" s="14" t="str">
        <f>IF(AND(ISNUMBER($I288),OR($K288="Milestone",$K288="Deadline"),$I288&gt;=AQ$4,$I288&lt;AQ$4+7),IF($K288="Deadline","◇","◆"),"")</f>
        <v/>
      </c>
      <c r="AR288" s="14" t="str">
        <f>IF(AND(ISNUMBER($I288),OR($K288="Milestone",$K288="Deadline"),$I288&gt;=AR$4,$I288&lt;AR$4+7),IF($K288="Deadline","◇","◆"),"")</f>
        <v/>
      </c>
      <c r="AS288" s="14" t="str">
        <f>IF(AND(ISNUMBER($I288),OR($K288="Milestone",$K288="Deadline"),$I288&gt;=AS$4,$I288&lt;AS$4+7),IF($K288="Deadline","◇","◆"),"")</f>
        <v/>
      </c>
      <c r="AT288" s="14" t="str">
        <f>IF(AND(ISNUMBER($I288),OR($K288="Milestone",$K288="Deadline"),$I288&gt;=AT$4,$I288&lt;AT$4+7),IF($K288="Deadline","◇","◆"),"")</f>
        <v/>
      </c>
      <c r="AU288" s="14" t="str">
        <f>IF(AND(ISNUMBER($I288),OR($K288="Milestone",$K288="Deadline"),$I288&gt;=AU$4,$I288&lt;AU$4+7),IF($K288="Deadline","◇","◆"),"")</f>
        <v/>
      </c>
      <c r="AV288" s="14" t="str">
        <f>IF(AND(ISNUMBER($I288),OR($K288="Milestone",$K288="Deadline"),$I288&gt;=AV$4,$I288&lt;AV$4+7),IF($K288="Deadline","◇","◆"),"")</f>
        <v/>
      </c>
      <c r="AW288" s="14" t="str">
        <f>IF(AND(ISNUMBER($I288),OR($K288="Milestone",$K288="Deadline"),$I288&gt;=AW$4,$I288&lt;AW$4+7),IF($K288="Deadline","◇","◆"),"")</f>
        <v/>
      </c>
      <c r="AX288" s="14" t="str">
        <f>IF(AND(ISNUMBER($I288),OR($K288="Milestone",$K288="Deadline"),$I288&gt;=AX$4,$I288&lt;AX$4+7),IF($K288="Deadline","◇","◆"),"")</f>
        <v/>
      </c>
      <c r="AY288" s="14" t="str">
        <f>IF(AND(ISNUMBER($I288),OR($K288="Milestone",$K288="Deadline"),$I288&gt;=AY$4,$I288&lt;AY$4+7),IF($K288="Deadline","◇","◆"),"")</f>
        <v/>
      </c>
      <c r="AZ288" s="14" t="str">
        <f>IF(AND(ISNUMBER($I288),OR($K288="Milestone",$K288="Deadline"),$I288&gt;=AZ$4,$I288&lt;AZ$4+7),IF($K288="Deadline","◇","◆"),"")</f>
        <v/>
      </c>
      <c r="BA288" s="14" t="str">
        <f>IF(AND(ISNUMBER($I288),OR($K288="Milestone",$K288="Deadline"),$I288&gt;=BA$4,$I288&lt;BA$4+7),IF($K288="Deadline","◇","◆"),"")</f>
        <v/>
      </c>
      <c r="BB288" s="14" t="str">
        <f>IF(AND(ISNUMBER($I288),OR($K288="Milestone",$K288="Deadline"),$I288&gt;=BB$4,$I288&lt;BB$4+7),IF($K288="Deadline","◇","◆"),"")</f>
        <v/>
      </c>
      <c r="BC288" s="14" t="str">
        <f>IF(AND(ISNUMBER($I288),OR($K288="Milestone",$K288="Deadline"),$I288&gt;=BC$4,$I288&lt;BC$4+7),IF($K288="Deadline","◇","◆"),"")</f>
        <v/>
      </c>
      <c r="BD288" s="14" t="str">
        <f>IF(AND(ISNUMBER($I288),OR($K288="Milestone",$K288="Deadline"),$I288&gt;=BD$4,$I288&lt;BD$4+7),IF($K288="Deadline","◇","◆"),"")</f>
        <v/>
      </c>
      <c r="BE288" s="14" t="str">
        <f>IF(AND(ISNUMBER($I288),OR($K288="Milestone",$K288="Deadline"),$I288&gt;=BE$4,$I288&lt;BE$4+7),IF($K288="Deadline","◇","◆"),"")</f>
        <v/>
      </c>
      <c r="BF288" s="14" t="str">
        <f>IF(AND(ISNUMBER($I288),OR($K288="Milestone",$K288="Deadline"),$I288&gt;=BF$4,$I288&lt;BF$4+7),IF($K288="Deadline","◇","◆"),"")</f>
        <v/>
      </c>
      <c r="BG288" s="14" t="str">
        <f>IF(AND(ISNUMBER($I288),OR($K288="Milestone",$K288="Deadline"),$I288&gt;=BG$4,$I288&lt;BG$4+7),IF($K288="Deadline","◇","◆"),"")</f>
        <v/>
      </c>
      <c r="BH288" s="14" t="str">
        <f>IF(AND(ISNUMBER($I288),OR($K288="Milestone",$K288="Deadline"),$I288&gt;=BH$4,$I288&lt;BH$4+7),IF($K288="Deadline","◇","◆"),"")</f>
        <v/>
      </c>
      <c r="BI288" s="14" t="str">
        <f>IF(AND(ISNUMBER($I288),OR($K288="Milestone",$K288="Deadline"),$I288&gt;=BI$4,$I288&lt;BI$4+7),IF($K288="Deadline","◇","◆"),"")</f>
        <v/>
      </c>
      <c r="BJ288" s="14" t="str">
        <f>IF(AND(ISNUMBER($I288),OR($K288="Milestone",$K288="Deadline"),$I288&gt;=BJ$4,$I288&lt;BJ$4+7),IF($K288="Deadline","◇","◆"),"")</f>
        <v/>
      </c>
      <c r="BK288" s="14" t="str">
        <f>IF(AND(ISNUMBER($I288),OR($K288="Milestone",$K288="Deadline"),$I288&gt;=BK$4,$I288&lt;BK$4+7),IF($K288="Deadline","◇","◆"),"")</f>
        <v/>
      </c>
      <c r="BL288" s="14" t="str">
        <f>IF(AND(ISNUMBER($I288),OR($K288="Milestone",$K288="Deadline"),$I288&gt;=BL$4,$I288&lt;BL$4+7),IF($K288="Deadline","◇","◆"),"")</f>
        <v/>
      </c>
      <c r="BM288" s="14" t="str">
        <f>IF(AND(ISNUMBER($I288),OR($K288="Milestone",$K288="Deadline"),$I288&gt;=BM$4,$I288&lt;BM$4+7),IF($K288="Deadline","◇","◆"),"")</f>
        <v/>
      </c>
      <c r="BN288" s="14" t="str">
        <f>IF(AND(ISNUMBER($I288),OR($K288="Milestone",$K288="Deadline"),$I288&gt;=BN$4,$I288&lt;BN$4+7),IF($K288="Deadline","◇","◆"),"")</f>
        <v/>
      </c>
      <c r="BO288" s="14" t="str">
        <f>IF(AND(ISNUMBER($I288),OR($K288="Milestone",$K288="Deadline"),$I288&gt;=BO$4,$I288&lt;BO$4+7),IF($K288="Deadline","◇","◆"),"")</f>
        <v/>
      </c>
      <c r="BP288" s="14" t="str">
        <f>IF(AND(ISNUMBER($I288),OR($K288="Milestone",$K288="Deadline"),$I288&gt;=BP$4,$I288&lt;BP$4+7),IF($K288="Deadline","◇","◆"),"")</f>
        <v/>
      </c>
      <c r="BQ288" s="14" t="str">
        <f>IF(AND(ISNUMBER($I288),OR($K288="Milestone",$K288="Deadline"),$I288&gt;=BQ$4,$I288&lt;BQ$4+7),IF($K288="Deadline","◇","◆"),"")</f>
        <v/>
      </c>
      <c r="BR288" s="14" t="str">
        <f>IF(AND(ISNUMBER($I288),OR($K288="Milestone",$K288="Deadline"),$I288&gt;=BR$4,$I288&lt;BR$4+7),IF($K288="Deadline","◇","◆"),"")</f>
        <v/>
      </c>
      <c r="BS288" s="14" t="str">
        <f>IF(AND(ISNUMBER($I288),OR($K288="Milestone",$K288="Deadline"),$I288&gt;=BS$4,$I288&lt;BS$4+7),IF($K288="Deadline","◇","◆"),"")</f>
        <v/>
      </c>
      <c r="BT288" s="14" t="str">
        <f>IF(AND(ISNUMBER($I288),OR($K288="Milestone",$K288="Deadline"),$I288&gt;=BT$4,$I288&lt;BT$4+7),IF($K288="Deadline","◇","◆"),"")</f>
        <v/>
      </c>
      <c r="BU288" s="14" t="str">
        <f>IF(AND(ISNUMBER($I288),OR($K288="Milestone",$K288="Deadline"),$I288&gt;=BU$4,$I288&lt;BU$4+7),IF($K288="Deadline","◇","◆"),"")</f>
        <v/>
      </c>
      <c r="BV288" s="14" t="str">
        <f>IF(AND(ISNUMBER($I288),OR($K288="Milestone",$K288="Deadline"),$I288&gt;=BV$4,$I288&lt;BV$4+7),IF($K288="Deadline","◇","◆"),"")</f>
        <v/>
      </c>
      <c r="BW288" s="14" t="str">
        <f>IF(AND(ISNUMBER($I288),OR($K288="Milestone",$K288="Deadline"),$I288&gt;=BW$4,$I288&lt;BW$4+7),IF($K288="Deadline","◇","◆"),"")</f>
        <v/>
      </c>
      <c r="BX288" s="14" t="str">
        <f>IF(AND(ISNUMBER($I288),OR($K288="Milestone",$K288="Deadline"),$I288&gt;=BX$4,$I288&lt;BX$4+7),IF($K288="Deadline","◇","◆"),"")</f>
        <v/>
      </c>
      <c r="BY288" s="14" t="str">
        <f>IF(AND(ISNUMBER($I288),OR($K288="Milestone",$K288="Deadline"),$I288&gt;=BY$4,$I288&lt;BY$4+7),IF($K288="Deadline","◇","◆"),"")</f>
        <v/>
      </c>
      <c r="BZ288" s="14" t="str">
        <f>IF(AND(ISNUMBER($I288),OR($K288="Milestone",$K288="Deadline"),$I288&gt;=BZ$4,$I288&lt;BZ$4+7),IF($K288="Deadline","◇","◆"),"")</f>
        <v/>
      </c>
      <c r="CA288" s="14" t="str">
        <f>IF(AND(ISNUMBER($I288),OR($K288="Milestone",$K288="Deadline"),$I288&gt;=CA$4,$I288&lt;CA$4+7),IF($K288="Deadline","◇","◆"),"")</f>
        <v/>
      </c>
      <c r="CB288" s="14" t="str">
        <f>IF(AND(ISNUMBER($I288),OR($K288="Milestone",$K288="Deadline"),$I288&gt;=CB$4,$I288&lt;CB$4+7),IF($K288="Deadline","◇","◆"),"")</f>
        <v/>
      </c>
      <c r="CC288" s="14" t="str">
        <f>IF(AND(ISNUMBER($I288),OR($K288="Milestone",$K288="Deadline"),$I288&gt;=CC$4,$I288&lt;CC$4+7),IF($K288="Deadline","◇","◆"),"")</f>
        <v/>
      </c>
      <c r="CD288" s="14" t="str">
        <f>IF(AND(ISNUMBER($I288),OR($K288="Milestone",$K288="Deadline"),$I288&gt;=CD$4,$I288&lt;CD$4+7),IF($K288="Deadline","◇","◆"),"")</f>
        <v/>
      </c>
      <c r="CE288" s="14" t="str">
        <f>IF(AND(ISNUMBER($I288),OR($K288="Milestone",$K288="Deadline"),$I288&gt;=CE$4,$I288&lt;CE$4+7),IF($K288="Deadline","◇","◆"),"")</f>
        <v/>
      </c>
      <c r="CF288" s="14" t="str">
        <f>IF(AND(ISNUMBER($I288),OR($K288="Milestone",$K288="Deadline"),$I288&gt;=CF$4,$I288&lt;CF$4+7),IF($K288="Deadline","◇","◆"),"")</f>
        <v/>
      </c>
      <c r="CG288" s="14" t="str">
        <f>IF(AND(ISNUMBER($I288),OR($K288="Milestone",$K288="Deadline"),$I288&gt;=CG$4,$I288&lt;CG$4+7),IF($K288="Deadline","◇","◆"),"")</f>
        <v/>
      </c>
      <c r="CH288" s="14" t="str">
        <f>IF(AND(ISNUMBER($I288),OR($K288="Milestone",$K288="Deadline"),$I288&gt;=CH$4,$I288&lt;CH$4+7),IF($K288="Deadline","◇","◆"),"")</f>
        <v/>
      </c>
      <c r="CI288" s="14" t="str">
        <f>IF(AND(ISNUMBER($I288),OR($K288="Milestone",$K288="Deadline"),$I288&gt;=CI$4,$I288&lt;CI$4+7),IF($K288="Deadline","◇","◆"),"")</f>
        <v/>
      </c>
      <c r="CJ288" s="14" t="str">
        <f>IF(AND(ISNUMBER($I288),OR($K288="Milestone",$K288="Deadline"),$I288&gt;=CJ$4,$I288&lt;CJ$4+7),IF($K288="Deadline","◇","◆"),"")</f>
        <v/>
      </c>
      <c r="CK288" s="14" t="str">
        <f>IF(AND(ISNUMBER($I288),OR($K288="Milestone",$K288="Deadline"),$I288&gt;=CK$4,$I288&lt;CK$4+7),IF($K288="Deadline","◇","◆"),"")</f>
        <v/>
      </c>
      <c r="CL288" s="14" t="str">
        <f>IF(AND(ISNUMBER($I288),OR($K288="Milestone",$K288="Deadline"),$I288&gt;=CL$4,$I288&lt;CL$4+7),IF($K288="Deadline","◇","◆"),"")</f>
        <v/>
      </c>
      <c r="CM288" s="14" t="str">
        <f>IF(AND(ISNUMBER($I288),OR($K288="Milestone",$K288="Deadline"),$I288&gt;=CM$4,$I288&lt;CM$4+7),IF($K288="Deadline","◇","◆"),"")</f>
        <v/>
      </c>
    </row>
    <row r="289" spans="1:91" hidden="1">
      <c r="A289" s="19" t="s">
        <v>240</v>
      </c>
      <c r="B289" s="19" t="s">
        <v>549</v>
      </c>
      <c r="C289" s="19" t="s">
        <v>63</v>
      </c>
      <c r="D289" s="19"/>
      <c r="E289" s="19"/>
      <c r="F289" s="19" t="s">
        <v>555</v>
      </c>
      <c r="G289" s="19" t="s">
        <v>558</v>
      </c>
      <c r="H289" s="19">
        <v>3</v>
      </c>
      <c r="I289" s="23">
        <f>MAX($C$2,J285+1,J285+1)</f>
        <v>46386</v>
      </c>
      <c r="J289" s="21">
        <f>IF(AND(ISNUMBER(I289),ISNUMBER(H289)),I289+H289-1,"")</f>
        <v>46388</v>
      </c>
      <c r="K289" s="19" t="s">
        <v>27</v>
      </c>
      <c r="L289" s="19" t="s">
        <v>353</v>
      </c>
      <c r="M289" s="22" t="s">
        <v>353</v>
      </c>
      <c r="N289" s="19"/>
      <c r="O289" s="22">
        <f>IF(AND(ISNUMBER(I289),ISNUMBER(J289)),J289-I289+1,"")</f>
        <v>3</v>
      </c>
      <c r="P289" s="13"/>
      <c r="Q289" s="13"/>
      <c r="R289" s="13"/>
      <c r="S289" s="13"/>
      <c r="T289" s="13"/>
      <c r="U289" s="13"/>
      <c r="V289" s="13"/>
      <c r="W289" s="13" t="s">
        <v>140</v>
      </c>
      <c r="X289" s="13"/>
      <c r="Y289" s="13"/>
      <c r="Z289" s="13"/>
      <c r="AA289" s="13" t="s">
        <v>140</v>
      </c>
      <c r="AB289" s="13"/>
      <c r="AC289" s="13"/>
      <c r="AD289" s="13"/>
      <c r="AE289" s="13"/>
      <c r="AF289" s="13"/>
      <c r="AG289" s="13"/>
      <c r="AH289" s="13"/>
      <c r="AI289" s="13"/>
      <c r="AJ289" s="13"/>
      <c r="AK289" s="13"/>
      <c r="AL289" s="13"/>
      <c r="AM289" s="13"/>
      <c r="AN289" s="13"/>
      <c r="AO289" s="14" t="str">
        <f>IF(AND(ISNUMBER($I289),OR($K289="Milestone",$K289="Deadline"),$I289&gt;=AO$4,$I289&lt;AO$4+7),IF($K289="Deadline","◇","◆"),"")</f>
        <v/>
      </c>
      <c r="AP289" s="14" t="str">
        <f>IF(AND(ISNUMBER($I289),OR($K289="Milestone",$K289="Deadline"),$I289&gt;=AP$4,$I289&lt;AP$4+7),IF($K289="Deadline","◇","◆"),"")</f>
        <v/>
      </c>
      <c r="AQ289" s="14" t="str">
        <f>IF(AND(ISNUMBER($I289),OR($K289="Milestone",$K289="Deadline"),$I289&gt;=AQ$4,$I289&lt;AQ$4+7),IF($K289="Deadline","◇","◆"),"")</f>
        <v/>
      </c>
      <c r="AR289" s="14" t="str">
        <f>IF(AND(ISNUMBER($I289),OR($K289="Milestone",$K289="Deadline"),$I289&gt;=AR$4,$I289&lt;AR$4+7),IF($K289="Deadline","◇","◆"),"")</f>
        <v/>
      </c>
      <c r="AS289" s="14" t="str">
        <f>IF(AND(ISNUMBER($I289),OR($K289="Milestone",$K289="Deadline"),$I289&gt;=AS$4,$I289&lt;AS$4+7),IF($K289="Deadline","◇","◆"),"")</f>
        <v/>
      </c>
      <c r="AT289" s="14" t="str">
        <f>IF(AND(ISNUMBER($I289),OR($K289="Milestone",$K289="Deadline"),$I289&gt;=AT$4,$I289&lt;AT$4+7),IF($K289="Deadline","◇","◆"),"")</f>
        <v/>
      </c>
      <c r="AU289" s="14" t="str">
        <f>IF(AND(ISNUMBER($I289),OR($K289="Milestone",$K289="Deadline"),$I289&gt;=AU$4,$I289&lt;AU$4+7),IF($K289="Deadline","◇","◆"),"")</f>
        <v/>
      </c>
      <c r="AV289" s="14" t="str">
        <f>IF(AND(ISNUMBER($I289),OR($K289="Milestone",$K289="Deadline"),$I289&gt;=AV$4,$I289&lt;AV$4+7),IF($K289="Deadline","◇","◆"),"")</f>
        <v/>
      </c>
      <c r="AW289" s="14" t="str">
        <f>IF(AND(ISNUMBER($I289),OR($K289="Milestone",$K289="Deadline"),$I289&gt;=AW$4,$I289&lt;AW$4+7),IF($K289="Deadline","◇","◆"),"")</f>
        <v/>
      </c>
      <c r="AX289" s="14" t="str">
        <f>IF(AND(ISNUMBER($I289),OR($K289="Milestone",$K289="Deadline"),$I289&gt;=AX$4,$I289&lt;AX$4+7),IF($K289="Deadline","◇","◆"),"")</f>
        <v/>
      </c>
      <c r="AY289" s="14" t="str">
        <f>IF(AND(ISNUMBER($I289),OR($K289="Milestone",$K289="Deadline"),$I289&gt;=AY$4,$I289&lt;AY$4+7),IF($K289="Deadline","◇","◆"),"")</f>
        <v/>
      </c>
      <c r="AZ289" s="14" t="str">
        <f>IF(AND(ISNUMBER($I289),OR($K289="Milestone",$K289="Deadline"),$I289&gt;=AZ$4,$I289&lt;AZ$4+7),IF($K289="Deadline","◇","◆"),"")</f>
        <v/>
      </c>
      <c r="BA289" s="14" t="str">
        <f>IF(AND(ISNUMBER($I289),OR($K289="Milestone",$K289="Deadline"),$I289&gt;=BA$4,$I289&lt;BA$4+7),IF($K289="Deadline","◇","◆"),"")</f>
        <v/>
      </c>
      <c r="BB289" s="14" t="str">
        <f>IF(AND(ISNUMBER($I289),OR($K289="Milestone",$K289="Deadline"),$I289&gt;=BB$4,$I289&lt;BB$4+7),IF($K289="Deadline","◇","◆"),"")</f>
        <v/>
      </c>
      <c r="BC289" s="14" t="str">
        <f>IF(AND(ISNUMBER($I289),OR($K289="Milestone",$K289="Deadline"),$I289&gt;=BC$4,$I289&lt;BC$4+7),IF($K289="Deadline","◇","◆"),"")</f>
        <v/>
      </c>
      <c r="BD289" s="14" t="str">
        <f>IF(AND(ISNUMBER($I289),OR($K289="Milestone",$K289="Deadline"),$I289&gt;=BD$4,$I289&lt;BD$4+7),IF($K289="Deadline","◇","◆"),"")</f>
        <v/>
      </c>
      <c r="BE289" s="14" t="str">
        <f>IF(AND(ISNUMBER($I289),OR($K289="Milestone",$K289="Deadline"),$I289&gt;=BE$4,$I289&lt;BE$4+7),IF($K289="Deadline","◇","◆"),"")</f>
        <v/>
      </c>
      <c r="BF289" s="14" t="str">
        <f>IF(AND(ISNUMBER($I289),OR($K289="Milestone",$K289="Deadline"),$I289&gt;=BF$4,$I289&lt;BF$4+7),IF($K289="Deadline","◇","◆"),"")</f>
        <v/>
      </c>
      <c r="BG289" s="14" t="str">
        <f>IF(AND(ISNUMBER($I289),OR($K289="Milestone",$K289="Deadline"),$I289&gt;=BG$4,$I289&lt;BG$4+7),IF($K289="Deadline","◇","◆"),"")</f>
        <v/>
      </c>
      <c r="BH289" s="14" t="str">
        <f>IF(AND(ISNUMBER($I289),OR($K289="Milestone",$K289="Deadline"),$I289&gt;=BH$4,$I289&lt;BH$4+7),IF($K289="Deadline","◇","◆"),"")</f>
        <v/>
      </c>
      <c r="BI289" s="14" t="str">
        <f>IF(AND(ISNUMBER($I289),OR($K289="Milestone",$K289="Deadline"),$I289&gt;=BI$4,$I289&lt;BI$4+7),IF($K289="Deadline","◇","◆"),"")</f>
        <v/>
      </c>
      <c r="BJ289" s="14" t="str">
        <f>IF(AND(ISNUMBER($I289),OR($K289="Milestone",$K289="Deadline"),$I289&gt;=BJ$4,$I289&lt;BJ$4+7),IF($K289="Deadline","◇","◆"),"")</f>
        <v/>
      </c>
      <c r="BK289" s="14" t="str">
        <f>IF(AND(ISNUMBER($I289),OR($K289="Milestone",$K289="Deadline"),$I289&gt;=BK$4,$I289&lt;BK$4+7),IF($K289="Deadline","◇","◆"),"")</f>
        <v/>
      </c>
      <c r="BL289" s="14" t="str">
        <f>IF(AND(ISNUMBER($I289),OR($K289="Milestone",$K289="Deadline"),$I289&gt;=BL$4,$I289&lt;BL$4+7),IF($K289="Deadline","◇","◆"),"")</f>
        <v/>
      </c>
      <c r="BM289" s="14" t="str">
        <f>IF(AND(ISNUMBER($I289),OR($K289="Milestone",$K289="Deadline"),$I289&gt;=BM$4,$I289&lt;BM$4+7),IF($K289="Deadline","◇","◆"),"")</f>
        <v/>
      </c>
      <c r="BN289" s="14" t="str">
        <f>IF(AND(ISNUMBER($I289),OR($K289="Milestone",$K289="Deadline"),$I289&gt;=BN$4,$I289&lt;BN$4+7),IF($K289="Deadline","◇","◆"),"")</f>
        <v/>
      </c>
      <c r="BO289" s="14" t="str">
        <f>IF(AND(ISNUMBER($I289),OR($K289="Milestone",$K289="Deadline"),$I289&gt;=BO$4,$I289&lt;BO$4+7),IF($K289="Deadline","◇","◆"),"")</f>
        <v/>
      </c>
      <c r="BP289" s="14" t="str">
        <f>IF(AND(ISNUMBER($I289),OR($K289="Milestone",$K289="Deadline"),$I289&gt;=BP$4,$I289&lt;BP$4+7),IF($K289="Deadline","◇","◆"),"")</f>
        <v/>
      </c>
      <c r="BQ289" s="14" t="str">
        <f>IF(AND(ISNUMBER($I289),OR($K289="Milestone",$K289="Deadline"),$I289&gt;=BQ$4,$I289&lt;BQ$4+7),IF($K289="Deadline","◇","◆"),"")</f>
        <v/>
      </c>
      <c r="BR289" s="14" t="str">
        <f>IF(AND(ISNUMBER($I289),OR($K289="Milestone",$K289="Deadline"),$I289&gt;=BR$4,$I289&lt;BR$4+7),IF($K289="Deadline","◇","◆"),"")</f>
        <v/>
      </c>
      <c r="BS289" s="14" t="str">
        <f>IF(AND(ISNUMBER($I289),OR($K289="Milestone",$K289="Deadline"),$I289&gt;=BS$4,$I289&lt;BS$4+7),IF($K289="Deadline","◇","◆"),"")</f>
        <v/>
      </c>
      <c r="BT289" s="14" t="str">
        <f>IF(AND(ISNUMBER($I289),OR($K289="Milestone",$K289="Deadline"),$I289&gt;=BT$4,$I289&lt;BT$4+7),IF($K289="Deadline","◇","◆"),"")</f>
        <v/>
      </c>
      <c r="BU289" s="14" t="str">
        <f>IF(AND(ISNUMBER($I289),OR($K289="Milestone",$K289="Deadline"),$I289&gt;=BU$4,$I289&lt;BU$4+7),IF($K289="Deadline","◇","◆"),"")</f>
        <v/>
      </c>
      <c r="BV289" s="14" t="str">
        <f>IF(AND(ISNUMBER($I289),OR($K289="Milestone",$K289="Deadline"),$I289&gt;=BV$4,$I289&lt;BV$4+7),IF($K289="Deadline","◇","◆"),"")</f>
        <v/>
      </c>
      <c r="BW289" s="14" t="str">
        <f>IF(AND(ISNUMBER($I289),OR($K289="Milestone",$K289="Deadline"),$I289&gt;=BW$4,$I289&lt;BW$4+7),IF($K289="Deadline","◇","◆"),"")</f>
        <v/>
      </c>
      <c r="BX289" s="14" t="str">
        <f>IF(AND(ISNUMBER($I289),OR($K289="Milestone",$K289="Deadline"),$I289&gt;=BX$4,$I289&lt;BX$4+7),IF($K289="Deadline","◇","◆"),"")</f>
        <v/>
      </c>
      <c r="BY289" s="14" t="str">
        <f>IF(AND(ISNUMBER($I289),OR($K289="Milestone",$K289="Deadline"),$I289&gt;=BY$4,$I289&lt;BY$4+7),IF($K289="Deadline","◇","◆"),"")</f>
        <v/>
      </c>
      <c r="BZ289" s="14" t="str">
        <f>IF(AND(ISNUMBER($I289),OR($K289="Milestone",$K289="Deadline"),$I289&gt;=BZ$4,$I289&lt;BZ$4+7),IF($K289="Deadline","◇","◆"),"")</f>
        <v/>
      </c>
      <c r="CA289" s="14" t="str">
        <f>IF(AND(ISNUMBER($I289),OR($K289="Milestone",$K289="Deadline"),$I289&gt;=CA$4,$I289&lt;CA$4+7),IF($K289="Deadline","◇","◆"),"")</f>
        <v/>
      </c>
      <c r="CB289" s="14" t="str">
        <f>IF(AND(ISNUMBER($I289),OR($K289="Milestone",$K289="Deadline"),$I289&gt;=CB$4,$I289&lt;CB$4+7),IF($K289="Deadline","◇","◆"),"")</f>
        <v/>
      </c>
      <c r="CC289" s="14" t="str">
        <f>IF(AND(ISNUMBER($I289),OR($K289="Milestone",$K289="Deadline"),$I289&gt;=CC$4,$I289&lt;CC$4+7),IF($K289="Deadline","◇","◆"),"")</f>
        <v/>
      </c>
      <c r="CD289" s="14" t="str">
        <f>IF(AND(ISNUMBER($I289),OR($K289="Milestone",$K289="Deadline"),$I289&gt;=CD$4,$I289&lt;CD$4+7),IF($K289="Deadline","◇","◆"),"")</f>
        <v/>
      </c>
      <c r="CE289" s="14" t="str">
        <f>IF(AND(ISNUMBER($I289),OR($K289="Milestone",$K289="Deadline"),$I289&gt;=CE$4,$I289&lt;CE$4+7),IF($K289="Deadline","◇","◆"),"")</f>
        <v/>
      </c>
      <c r="CF289" s="14" t="str">
        <f>IF(AND(ISNUMBER($I289),OR($K289="Milestone",$K289="Deadline"),$I289&gt;=CF$4,$I289&lt;CF$4+7),IF($K289="Deadline","◇","◆"),"")</f>
        <v/>
      </c>
      <c r="CG289" s="14" t="str">
        <f>IF(AND(ISNUMBER($I289),OR($K289="Milestone",$K289="Deadline"),$I289&gt;=CG$4,$I289&lt;CG$4+7),IF($K289="Deadline","◇","◆"),"")</f>
        <v/>
      </c>
      <c r="CH289" s="14" t="str">
        <f>IF(AND(ISNUMBER($I289),OR($K289="Milestone",$K289="Deadline"),$I289&gt;=CH$4,$I289&lt;CH$4+7),IF($K289="Deadline","◇","◆"),"")</f>
        <v/>
      </c>
      <c r="CI289" s="14" t="str">
        <f>IF(AND(ISNUMBER($I289),OR($K289="Milestone",$K289="Deadline"),$I289&gt;=CI$4,$I289&lt;CI$4+7),IF($K289="Deadline","◇","◆"),"")</f>
        <v/>
      </c>
      <c r="CJ289" s="14" t="str">
        <f>IF(AND(ISNUMBER($I289),OR($K289="Milestone",$K289="Deadline"),$I289&gt;=CJ$4,$I289&lt;CJ$4+7),IF($K289="Deadline","◇","◆"),"")</f>
        <v/>
      </c>
      <c r="CK289" s="14" t="str">
        <f>IF(AND(ISNUMBER($I289),OR($K289="Milestone",$K289="Deadline"),$I289&gt;=CK$4,$I289&lt;CK$4+7),IF($K289="Deadline","◇","◆"),"")</f>
        <v/>
      </c>
      <c r="CL289" s="14" t="str">
        <f>IF(AND(ISNUMBER($I289),OR($K289="Milestone",$K289="Deadline"),$I289&gt;=CL$4,$I289&lt;CL$4+7),IF($K289="Deadline","◇","◆"),"")</f>
        <v/>
      </c>
      <c r="CM289" s="14" t="str">
        <f>IF(AND(ISNUMBER($I289),OR($K289="Milestone",$K289="Deadline"),$I289&gt;=CM$4,$I289&lt;CM$4+7),IF($K289="Deadline","◇","◆"),"")</f>
        <v/>
      </c>
    </row>
    <row r="290" spans="1:91" hidden="1">
      <c r="A290" s="19" t="s">
        <v>518</v>
      </c>
      <c r="B290" s="19" t="s">
        <v>549</v>
      </c>
      <c r="C290" s="19" t="s">
        <v>63</v>
      </c>
      <c r="D290" s="19"/>
      <c r="E290" s="19"/>
      <c r="F290" s="19" t="s">
        <v>555</v>
      </c>
      <c r="G290" s="19" t="s">
        <v>559</v>
      </c>
      <c r="H290" s="19">
        <v>7</v>
      </c>
      <c r="I290" s="23">
        <f>MAX($C$2,J288+1,J85+1)</f>
        <v>46410</v>
      </c>
      <c r="J290" s="21">
        <f>IF(AND(ISNUMBER(I290),ISNUMBER(H290)),I290+H290-1,"")</f>
        <v>46416</v>
      </c>
      <c r="K290" s="19" t="s">
        <v>27</v>
      </c>
      <c r="L290" s="19" t="s">
        <v>407</v>
      </c>
      <c r="M290" s="22" t="s">
        <v>257</v>
      </c>
      <c r="N290" s="19"/>
      <c r="O290" s="22">
        <f>IF(AND(ISNUMBER(I290),ISNUMBER(J290)),J290-I290+1,"")</f>
        <v>7</v>
      </c>
      <c r="P290" s="13"/>
      <c r="Q290" s="13"/>
      <c r="R290" s="13"/>
      <c r="S290" s="13"/>
      <c r="T290" s="13"/>
      <c r="U290" s="13"/>
      <c r="V290" s="13"/>
      <c r="W290" s="13" t="s">
        <v>140</v>
      </c>
      <c r="X290" s="13"/>
      <c r="Y290" s="13" t="s">
        <v>140</v>
      </c>
      <c r="Z290" s="13"/>
      <c r="AA290" s="13"/>
      <c r="AB290" s="13"/>
      <c r="AC290" s="13"/>
      <c r="AD290" s="13"/>
      <c r="AE290" s="13"/>
      <c r="AF290" s="13"/>
      <c r="AG290" s="13"/>
      <c r="AH290" s="13"/>
      <c r="AI290" s="13"/>
      <c r="AJ290" s="13"/>
      <c r="AK290" s="13"/>
      <c r="AL290" s="13"/>
      <c r="AM290" s="13"/>
      <c r="AN290" s="13"/>
      <c r="AO290" s="14" t="str">
        <f>IF(AND(ISNUMBER($I290),OR($K290="Milestone",$K290="Deadline"),$I290&gt;=AO$4,$I290&lt;AO$4+7),IF($K290="Deadline","◇","◆"),"")</f>
        <v/>
      </c>
      <c r="AP290" s="14" t="str">
        <f>IF(AND(ISNUMBER($I290),OR($K290="Milestone",$K290="Deadline"),$I290&gt;=AP$4,$I290&lt;AP$4+7),IF($K290="Deadline","◇","◆"),"")</f>
        <v/>
      </c>
      <c r="AQ290" s="14" t="str">
        <f>IF(AND(ISNUMBER($I290),OR($K290="Milestone",$K290="Deadline"),$I290&gt;=AQ$4,$I290&lt;AQ$4+7),IF($K290="Deadline","◇","◆"),"")</f>
        <v/>
      </c>
      <c r="AR290" s="14" t="str">
        <f>IF(AND(ISNUMBER($I290),OR($K290="Milestone",$K290="Deadline"),$I290&gt;=AR$4,$I290&lt;AR$4+7),IF($K290="Deadline","◇","◆"),"")</f>
        <v/>
      </c>
      <c r="AS290" s="14" t="str">
        <f>IF(AND(ISNUMBER($I290),OR($K290="Milestone",$K290="Deadline"),$I290&gt;=AS$4,$I290&lt;AS$4+7),IF($K290="Deadline","◇","◆"),"")</f>
        <v/>
      </c>
      <c r="AT290" s="14" t="str">
        <f>IF(AND(ISNUMBER($I290),OR($K290="Milestone",$K290="Deadline"),$I290&gt;=AT$4,$I290&lt;AT$4+7),IF($K290="Deadline","◇","◆"),"")</f>
        <v/>
      </c>
      <c r="AU290" s="14" t="str">
        <f>IF(AND(ISNUMBER($I290),OR($K290="Milestone",$K290="Deadline"),$I290&gt;=AU$4,$I290&lt;AU$4+7),IF($K290="Deadline","◇","◆"),"")</f>
        <v/>
      </c>
      <c r="AV290" s="14" t="str">
        <f>IF(AND(ISNUMBER($I290),OR($K290="Milestone",$K290="Deadline"),$I290&gt;=AV$4,$I290&lt;AV$4+7),IF($K290="Deadline","◇","◆"),"")</f>
        <v/>
      </c>
      <c r="AW290" s="14" t="str">
        <f>IF(AND(ISNUMBER($I290),OR($K290="Milestone",$K290="Deadline"),$I290&gt;=AW$4,$I290&lt;AW$4+7),IF($K290="Deadline","◇","◆"),"")</f>
        <v/>
      </c>
      <c r="AX290" s="14" t="str">
        <f>IF(AND(ISNUMBER($I290),OR($K290="Milestone",$K290="Deadline"),$I290&gt;=AX$4,$I290&lt;AX$4+7),IF($K290="Deadline","◇","◆"),"")</f>
        <v/>
      </c>
      <c r="AY290" s="14" t="str">
        <f>IF(AND(ISNUMBER($I290),OR($K290="Milestone",$K290="Deadline"),$I290&gt;=AY$4,$I290&lt;AY$4+7),IF($K290="Deadline","◇","◆"),"")</f>
        <v/>
      </c>
      <c r="AZ290" s="14" t="str">
        <f>IF(AND(ISNUMBER($I290),OR($K290="Milestone",$K290="Deadline"),$I290&gt;=AZ$4,$I290&lt;AZ$4+7),IF($K290="Deadline","◇","◆"),"")</f>
        <v/>
      </c>
      <c r="BA290" s="14" t="str">
        <f>IF(AND(ISNUMBER($I290),OR($K290="Milestone",$K290="Deadline"),$I290&gt;=BA$4,$I290&lt;BA$4+7),IF($K290="Deadline","◇","◆"),"")</f>
        <v/>
      </c>
      <c r="BB290" s="14" t="str">
        <f>IF(AND(ISNUMBER($I290),OR($K290="Milestone",$K290="Deadline"),$I290&gt;=BB$4,$I290&lt;BB$4+7),IF($K290="Deadline","◇","◆"),"")</f>
        <v/>
      </c>
      <c r="BC290" s="14" t="str">
        <f>IF(AND(ISNUMBER($I290),OR($K290="Milestone",$K290="Deadline"),$I290&gt;=BC$4,$I290&lt;BC$4+7),IF($K290="Deadline","◇","◆"),"")</f>
        <v/>
      </c>
      <c r="BD290" s="14" t="str">
        <f>IF(AND(ISNUMBER($I290),OR($K290="Milestone",$K290="Deadline"),$I290&gt;=BD$4,$I290&lt;BD$4+7),IF($K290="Deadline","◇","◆"),"")</f>
        <v/>
      </c>
      <c r="BE290" s="14" t="str">
        <f>IF(AND(ISNUMBER($I290),OR($K290="Milestone",$K290="Deadline"),$I290&gt;=BE$4,$I290&lt;BE$4+7),IF($K290="Deadline","◇","◆"),"")</f>
        <v/>
      </c>
      <c r="BF290" s="14" t="str">
        <f>IF(AND(ISNUMBER($I290),OR($K290="Milestone",$K290="Deadline"),$I290&gt;=BF$4,$I290&lt;BF$4+7),IF($K290="Deadline","◇","◆"),"")</f>
        <v/>
      </c>
      <c r="BG290" s="14" t="str">
        <f>IF(AND(ISNUMBER($I290),OR($K290="Milestone",$K290="Deadline"),$I290&gt;=BG$4,$I290&lt;BG$4+7),IF($K290="Deadline","◇","◆"),"")</f>
        <v/>
      </c>
      <c r="BH290" s="14" t="str">
        <f>IF(AND(ISNUMBER($I290),OR($K290="Milestone",$K290="Deadline"),$I290&gt;=BH$4,$I290&lt;BH$4+7),IF($K290="Deadline","◇","◆"),"")</f>
        <v/>
      </c>
      <c r="BI290" s="14" t="str">
        <f>IF(AND(ISNUMBER($I290),OR($K290="Milestone",$K290="Deadline"),$I290&gt;=BI$4,$I290&lt;BI$4+7),IF($K290="Deadline","◇","◆"),"")</f>
        <v/>
      </c>
      <c r="BJ290" s="14" t="str">
        <f>IF(AND(ISNUMBER($I290),OR($K290="Milestone",$K290="Deadline"),$I290&gt;=BJ$4,$I290&lt;BJ$4+7),IF($K290="Deadline","◇","◆"),"")</f>
        <v/>
      </c>
      <c r="BK290" s="14" t="str">
        <f>IF(AND(ISNUMBER($I290),OR($K290="Milestone",$K290="Deadline"),$I290&gt;=BK$4,$I290&lt;BK$4+7),IF($K290="Deadline","◇","◆"),"")</f>
        <v/>
      </c>
      <c r="BL290" s="14" t="str">
        <f>IF(AND(ISNUMBER($I290),OR($K290="Milestone",$K290="Deadline"),$I290&gt;=BL$4,$I290&lt;BL$4+7),IF($K290="Deadline","◇","◆"),"")</f>
        <v/>
      </c>
      <c r="BM290" s="14" t="str">
        <f>IF(AND(ISNUMBER($I290),OR($K290="Milestone",$K290="Deadline"),$I290&gt;=BM$4,$I290&lt;BM$4+7),IF($K290="Deadline","◇","◆"),"")</f>
        <v/>
      </c>
      <c r="BN290" s="14" t="str">
        <f>IF(AND(ISNUMBER($I290),OR($K290="Milestone",$K290="Deadline"),$I290&gt;=BN$4,$I290&lt;BN$4+7),IF($K290="Deadline","◇","◆"),"")</f>
        <v/>
      </c>
      <c r="BO290" s="14" t="str">
        <f>IF(AND(ISNUMBER($I290),OR($K290="Milestone",$K290="Deadline"),$I290&gt;=BO$4,$I290&lt;BO$4+7),IF($K290="Deadline","◇","◆"),"")</f>
        <v/>
      </c>
      <c r="BP290" s="14" t="str">
        <f>IF(AND(ISNUMBER($I290),OR($K290="Milestone",$K290="Deadline"),$I290&gt;=BP$4,$I290&lt;BP$4+7),IF($K290="Deadline","◇","◆"),"")</f>
        <v/>
      </c>
      <c r="BQ290" s="14" t="str">
        <f>IF(AND(ISNUMBER($I290),OR($K290="Milestone",$K290="Deadline"),$I290&gt;=BQ$4,$I290&lt;BQ$4+7),IF($K290="Deadline","◇","◆"),"")</f>
        <v/>
      </c>
      <c r="BR290" s="14" t="str">
        <f>IF(AND(ISNUMBER($I290),OR($K290="Milestone",$K290="Deadline"),$I290&gt;=BR$4,$I290&lt;BR$4+7),IF($K290="Deadline","◇","◆"),"")</f>
        <v/>
      </c>
      <c r="BS290" s="14" t="str">
        <f>IF(AND(ISNUMBER($I290),OR($K290="Milestone",$K290="Deadline"),$I290&gt;=BS$4,$I290&lt;BS$4+7),IF($K290="Deadline","◇","◆"),"")</f>
        <v/>
      </c>
      <c r="BT290" s="14" t="str">
        <f>IF(AND(ISNUMBER($I290),OR($K290="Milestone",$K290="Deadline"),$I290&gt;=BT$4,$I290&lt;BT$4+7),IF($K290="Deadline","◇","◆"),"")</f>
        <v/>
      </c>
      <c r="BU290" s="14" t="str">
        <f>IF(AND(ISNUMBER($I290),OR($K290="Milestone",$K290="Deadline"),$I290&gt;=BU$4,$I290&lt;BU$4+7),IF($K290="Deadline","◇","◆"),"")</f>
        <v/>
      </c>
      <c r="BV290" s="14" t="str">
        <f>IF(AND(ISNUMBER($I290),OR($K290="Milestone",$K290="Deadline"),$I290&gt;=BV$4,$I290&lt;BV$4+7),IF($K290="Deadline","◇","◆"),"")</f>
        <v/>
      </c>
      <c r="BW290" s="14" t="str">
        <f>IF(AND(ISNUMBER($I290),OR($K290="Milestone",$K290="Deadline"),$I290&gt;=BW$4,$I290&lt;BW$4+7),IF($K290="Deadline","◇","◆"),"")</f>
        <v/>
      </c>
      <c r="BX290" s="14" t="str">
        <f>IF(AND(ISNUMBER($I290),OR($K290="Milestone",$K290="Deadline"),$I290&gt;=BX$4,$I290&lt;BX$4+7),IF($K290="Deadline","◇","◆"),"")</f>
        <v/>
      </c>
      <c r="BY290" s="14" t="str">
        <f>IF(AND(ISNUMBER($I290),OR($K290="Milestone",$K290="Deadline"),$I290&gt;=BY$4,$I290&lt;BY$4+7),IF($K290="Deadline","◇","◆"),"")</f>
        <v/>
      </c>
      <c r="BZ290" s="14" t="str">
        <f>IF(AND(ISNUMBER($I290),OR($K290="Milestone",$K290="Deadline"),$I290&gt;=BZ$4,$I290&lt;BZ$4+7),IF($K290="Deadline","◇","◆"),"")</f>
        <v/>
      </c>
      <c r="CA290" s="14" t="str">
        <f>IF(AND(ISNUMBER($I290),OR($K290="Milestone",$K290="Deadline"),$I290&gt;=CA$4,$I290&lt;CA$4+7),IF($K290="Deadline","◇","◆"),"")</f>
        <v/>
      </c>
      <c r="CB290" s="14" t="str">
        <f>IF(AND(ISNUMBER($I290),OR($K290="Milestone",$K290="Deadline"),$I290&gt;=CB$4,$I290&lt;CB$4+7),IF($K290="Deadline","◇","◆"),"")</f>
        <v/>
      </c>
      <c r="CC290" s="14" t="str">
        <f>IF(AND(ISNUMBER($I290),OR($K290="Milestone",$K290="Deadline"),$I290&gt;=CC$4,$I290&lt;CC$4+7),IF($K290="Deadline","◇","◆"),"")</f>
        <v/>
      </c>
      <c r="CD290" s="14" t="str">
        <f>IF(AND(ISNUMBER($I290),OR($K290="Milestone",$K290="Deadline"),$I290&gt;=CD$4,$I290&lt;CD$4+7),IF($K290="Deadline","◇","◆"),"")</f>
        <v/>
      </c>
      <c r="CE290" s="14" t="str">
        <f>IF(AND(ISNUMBER($I290),OR($K290="Milestone",$K290="Deadline"),$I290&gt;=CE$4,$I290&lt;CE$4+7),IF($K290="Deadline","◇","◆"),"")</f>
        <v/>
      </c>
      <c r="CF290" s="14" t="str">
        <f>IF(AND(ISNUMBER($I290),OR($K290="Milestone",$K290="Deadline"),$I290&gt;=CF$4,$I290&lt;CF$4+7),IF($K290="Deadline","◇","◆"),"")</f>
        <v/>
      </c>
      <c r="CG290" s="14" t="str">
        <f>IF(AND(ISNUMBER($I290),OR($K290="Milestone",$K290="Deadline"),$I290&gt;=CG$4,$I290&lt;CG$4+7),IF($K290="Deadline","◇","◆"),"")</f>
        <v/>
      </c>
      <c r="CH290" s="14" t="str">
        <f>IF(AND(ISNUMBER($I290),OR($K290="Milestone",$K290="Deadline"),$I290&gt;=CH$4,$I290&lt;CH$4+7),IF($K290="Deadline","◇","◆"),"")</f>
        <v/>
      </c>
      <c r="CI290" s="14" t="str">
        <f>IF(AND(ISNUMBER($I290),OR($K290="Milestone",$K290="Deadline"),$I290&gt;=CI$4,$I290&lt;CI$4+7),IF($K290="Deadline","◇","◆"),"")</f>
        <v/>
      </c>
      <c r="CJ290" s="14" t="str">
        <f>IF(AND(ISNUMBER($I290),OR($K290="Milestone",$K290="Deadline"),$I290&gt;=CJ$4,$I290&lt;CJ$4+7),IF($K290="Deadline","◇","◆"),"")</f>
        <v/>
      </c>
      <c r="CK290" s="14" t="str">
        <f>IF(AND(ISNUMBER($I290),OR($K290="Milestone",$K290="Deadline"),$I290&gt;=CK$4,$I290&lt;CK$4+7),IF($K290="Deadline","◇","◆"),"")</f>
        <v/>
      </c>
      <c r="CL290" s="14" t="str">
        <f>IF(AND(ISNUMBER($I290),OR($K290="Milestone",$K290="Deadline"),$I290&gt;=CL$4,$I290&lt;CL$4+7),IF($K290="Deadline","◇","◆"),"")</f>
        <v/>
      </c>
      <c r="CM290" s="14" t="str">
        <f>IF(AND(ISNUMBER($I290),OR($K290="Milestone",$K290="Deadline"),$I290&gt;=CM$4,$I290&lt;CM$4+7),IF($K290="Deadline","◇","◆"),"")</f>
        <v/>
      </c>
    </row>
    <row r="291" spans="1:91" hidden="1">
      <c r="A291" s="19" t="s">
        <v>560</v>
      </c>
      <c r="B291" s="19" t="s">
        <v>549</v>
      </c>
      <c r="C291" s="19" t="s">
        <v>63</v>
      </c>
      <c r="D291" s="19"/>
      <c r="E291" s="19"/>
      <c r="F291" s="19" t="s">
        <v>555</v>
      </c>
      <c r="G291" s="19" t="s">
        <v>561</v>
      </c>
      <c r="H291" s="19">
        <v>3</v>
      </c>
      <c r="I291" s="23">
        <f>MAX($C$2,J289+1,J91+1)</f>
        <v>46412</v>
      </c>
      <c r="J291" s="21">
        <f>IF(AND(ISNUMBER(I291),ISNUMBER(H291)),I291+H291-1,"")</f>
        <v>46414</v>
      </c>
      <c r="K291" s="19" t="s">
        <v>27</v>
      </c>
      <c r="L291" s="19" t="s">
        <v>240</v>
      </c>
      <c r="M291" s="22" t="s">
        <v>270</v>
      </c>
      <c r="N291" s="19"/>
      <c r="O291" s="22">
        <f>IF(AND(ISNUMBER(I291),ISNUMBER(J291)),J291-I291+1,"")</f>
        <v>3</v>
      </c>
      <c r="P291" s="13"/>
      <c r="Q291" s="13"/>
      <c r="R291" s="13"/>
      <c r="S291" s="13"/>
      <c r="T291" s="13"/>
      <c r="U291" s="13"/>
      <c r="V291" s="13"/>
      <c r="W291" s="13" t="s">
        <v>140</v>
      </c>
      <c r="X291" s="13"/>
      <c r="Y291" s="13"/>
      <c r="Z291" s="13"/>
      <c r="AA291" s="13"/>
      <c r="AB291" s="13"/>
      <c r="AC291" s="13"/>
      <c r="AD291" s="13" t="s">
        <v>140</v>
      </c>
      <c r="AE291" s="13"/>
      <c r="AF291" s="13"/>
      <c r="AG291" s="13"/>
      <c r="AH291" s="13"/>
      <c r="AI291" s="13"/>
      <c r="AJ291" s="13"/>
      <c r="AK291" s="13"/>
      <c r="AL291" s="13"/>
      <c r="AM291" s="13"/>
      <c r="AN291" s="13"/>
      <c r="AO291" s="14" t="str">
        <f>IF(AND(ISNUMBER($I291),OR($K291="Milestone",$K291="Deadline"),$I291&gt;=AO$4,$I291&lt;AO$4+7),IF($K291="Deadline","◇","◆"),"")</f>
        <v/>
      </c>
      <c r="AP291" s="14" t="str">
        <f>IF(AND(ISNUMBER($I291),OR($K291="Milestone",$K291="Deadline"),$I291&gt;=AP$4,$I291&lt;AP$4+7),IF($K291="Deadline","◇","◆"),"")</f>
        <v/>
      </c>
      <c r="AQ291" s="14" t="str">
        <f>IF(AND(ISNUMBER($I291),OR($K291="Milestone",$K291="Deadline"),$I291&gt;=AQ$4,$I291&lt;AQ$4+7),IF($K291="Deadline","◇","◆"),"")</f>
        <v/>
      </c>
      <c r="AR291" s="14" t="str">
        <f>IF(AND(ISNUMBER($I291),OR($K291="Milestone",$K291="Deadline"),$I291&gt;=AR$4,$I291&lt;AR$4+7),IF($K291="Deadline","◇","◆"),"")</f>
        <v/>
      </c>
      <c r="AS291" s="14" t="str">
        <f>IF(AND(ISNUMBER($I291),OR($K291="Milestone",$K291="Deadline"),$I291&gt;=AS$4,$I291&lt;AS$4+7),IF($K291="Deadline","◇","◆"),"")</f>
        <v/>
      </c>
      <c r="AT291" s="14" t="str">
        <f>IF(AND(ISNUMBER($I291),OR($K291="Milestone",$K291="Deadline"),$I291&gt;=AT$4,$I291&lt;AT$4+7),IF($K291="Deadline","◇","◆"),"")</f>
        <v/>
      </c>
      <c r="AU291" s="14" t="str">
        <f>IF(AND(ISNUMBER($I291),OR($K291="Milestone",$K291="Deadline"),$I291&gt;=AU$4,$I291&lt;AU$4+7),IF($K291="Deadline","◇","◆"),"")</f>
        <v/>
      </c>
      <c r="AV291" s="14" t="str">
        <f>IF(AND(ISNUMBER($I291),OR($K291="Milestone",$K291="Deadline"),$I291&gt;=AV$4,$I291&lt;AV$4+7),IF($K291="Deadline","◇","◆"),"")</f>
        <v/>
      </c>
      <c r="AW291" s="14" t="str">
        <f>IF(AND(ISNUMBER($I291),OR($K291="Milestone",$K291="Deadline"),$I291&gt;=AW$4,$I291&lt;AW$4+7),IF($K291="Deadline","◇","◆"),"")</f>
        <v/>
      </c>
      <c r="AX291" s="14" t="str">
        <f>IF(AND(ISNUMBER($I291),OR($K291="Milestone",$K291="Deadline"),$I291&gt;=AX$4,$I291&lt;AX$4+7),IF($K291="Deadline","◇","◆"),"")</f>
        <v/>
      </c>
      <c r="AY291" s="14" t="str">
        <f>IF(AND(ISNUMBER($I291),OR($K291="Milestone",$K291="Deadline"),$I291&gt;=AY$4,$I291&lt;AY$4+7),IF($K291="Deadline","◇","◆"),"")</f>
        <v/>
      </c>
      <c r="AZ291" s="14" t="str">
        <f>IF(AND(ISNUMBER($I291),OR($K291="Milestone",$K291="Deadline"),$I291&gt;=AZ$4,$I291&lt;AZ$4+7),IF($K291="Deadline","◇","◆"),"")</f>
        <v/>
      </c>
      <c r="BA291" s="14" t="str">
        <f>IF(AND(ISNUMBER($I291),OR($K291="Milestone",$K291="Deadline"),$I291&gt;=BA$4,$I291&lt;BA$4+7),IF($K291="Deadline","◇","◆"),"")</f>
        <v/>
      </c>
      <c r="BB291" s="14" t="str">
        <f>IF(AND(ISNUMBER($I291),OR($K291="Milestone",$K291="Deadline"),$I291&gt;=BB$4,$I291&lt;BB$4+7),IF($K291="Deadline","◇","◆"),"")</f>
        <v/>
      </c>
      <c r="BC291" s="14" t="str">
        <f>IF(AND(ISNUMBER($I291),OR($K291="Milestone",$K291="Deadline"),$I291&gt;=BC$4,$I291&lt;BC$4+7),IF($K291="Deadline","◇","◆"),"")</f>
        <v/>
      </c>
      <c r="BD291" s="14" t="str">
        <f>IF(AND(ISNUMBER($I291),OR($K291="Milestone",$K291="Deadline"),$I291&gt;=BD$4,$I291&lt;BD$4+7),IF($K291="Deadline","◇","◆"),"")</f>
        <v/>
      </c>
      <c r="BE291" s="14" t="str">
        <f>IF(AND(ISNUMBER($I291),OR($K291="Milestone",$K291="Deadline"),$I291&gt;=BE$4,$I291&lt;BE$4+7),IF($K291="Deadline","◇","◆"),"")</f>
        <v/>
      </c>
      <c r="BF291" s="14" t="str">
        <f>IF(AND(ISNUMBER($I291),OR($K291="Milestone",$K291="Deadline"),$I291&gt;=BF$4,$I291&lt;BF$4+7),IF($K291="Deadline","◇","◆"),"")</f>
        <v/>
      </c>
      <c r="BG291" s="14" t="str">
        <f>IF(AND(ISNUMBER($I291),OR($K291="Milestone",$K291="Deadline"),$I291&gt;=BG$4,$I291&lt;BG$4+7),IF($K291="Deadline","◇","◆"),"")</f>
        <v/>
      </c>
      <c r="BH291" s="14" t="str">
        <f>IF(AND(ISNUMBER($I291),OR($K291="Milestone",$K291="Deadline"),$I291&gt;=BH$4,$I291&lt;BH$4+7),IF($K291="Deadline","◇","◆"),"")</f>
        <v/>
      </c>
      <c r="BI291" s="14" t="str">
        <f>IF(AND(ISNUMBER($I291),OR($K291="Milestone",$K291="Deadline"),$I291&gt;=BI$4,$I291&lt;BI$4+7),IF($K291="Deadline","◇","◆"),"")</f>
        <v/>
      </c>
      <c r="BJ291" s="14" t="str">
        <f>IF(AND(ISNUMBER($I291),OR($K291="Milestone",$K291="Deadline"),$I291&gt;=BJ$4,$I291&lt;BJ$4+7),IF($K291="Deadline","◇","◆"),"")</f>
        <v/>
      </c>
      <c r="BK291" s="14" t="str">
        <f>IF(AND(ISNUMBER($I291),OR($K291="Milestone",$K291="Deadline"),$I291&gt;=BK$4,$I291&lt;BK$4+7),IF($K291="Deadline","◇","◆"),"")</f>
        <v/>
      </c>
      <c r="BL291" s="14" t="str">
        <f>IF(AND(ISNUMBER($I291),OR($K291="Milestone",$K291="Deadline"),$I291&gt;=BL$4,$I291&lt;BL$4+7),IF($K291="Deadline","◇","◆"),"")</f>
        <v/>
      </c>
      <c r="BM291" s="14" t="str">
        <f>IF(AND(ISNUMBER($I291),OR($K291="Milestone",$K291="Deadline"),$I291&gt;=BM$4,$I291&lt;BM$4+7),IF($K291="Deadline","◇","◆"),"")</f>
        <v/>
      </c>
      <c r="BN291" s="14" t="str">
        <f>IF(AND(ISNUMBER($I291),OR($K291="Milestone",$K291="Deadline"),$I291&gt;=BN$4,$I291&lt;BN$4+7),IF($K291="Deadline","◇","◆"),"")</f>
        <v/>
      </c>
      <c r="BO291" s="14" t="str">
        <f>IF(AND(ISNUMBER($I291),OR($K291="Milestone",$K291="Deadline"),$I291&gt;=BO$4,$I291&lt;BO$4+7),IF($K291="Deadline","◇","◆"),"")</f>
        <v/>
      </c>
      <c r="BP291" s="14" t="str">
        <f>IF(AND(ISNUMBER($I291),OR($K291="Milestone",$K291="Deadline"),$I291&gt;=BP$4,$I291&lt;BP$4+7),IF($K291="Deadline","◇","◆"),"")</f>
        <v/>
      </c>
      <c r="BQ291" s="14" t="str">
        <f>IF(AND(ISNUMBER($I291),OR($K291="Milestone",$K291="Deadline"),$I291&gt;=BQ$4,$I291&lt;BQ$4+7),IF($K291="Deadline","◇","◆"),"")</f>
        <v/>
      </c>
      <c r="BR291" s="14" t="str">
        <f>IF(AND(ISNUMBER($I291),OR($K291="Milestone",$K291="Deadline"),$I291&gt;=BR$4,$I291&lt;BR$4+7),IF($K291="Deadline","◇","◆"),"")</f>
        <v/>
      </c>
      <c r="BS291" s="14" t="str">
        <f>IF(AND(ISNUMBER($I291),OR($K291="Milestone",$K291="Deadline"),$I291&gt;=BS$4,$I291&lt;BS$4+7),IF($K291="Deadline","◇","◆"),"")</f>
        <v/>
      </c>
      <c r="BT291" s="14" t="str">
        <f>IF(AND(ISNUMBER($I291),OR($K291="Milestone",$K291="Deadline"),$I291&gt;=BT$4,$I291&lt;BT$4+7),IF($K291="Deadline","◇","◆"),"")</f>
        <v/>
      </c>
      <c r="BU291" s="14" t="str">
        <f>IF(AND(ISNUMBER($I291),OR($K291="Milestone",$K291="Deadline"),$I291&gt;=BU$4,$I291&lt;BU$4+7),IF($K291="Deadline","◇","◆"),"")</f>
        <v/>
      </c>
      <c r="BV291" s="14" t="str">
        <f>IF(AND(ISNUMBER($I291),OR($K291="Milestone",$K291="Deadline"),$I291&gt;=BV$4,$I291&lt;BV$4+7),IF($K291="Deadline","◇","◆"),"")</f>
        <v/>
      </c>
      <c r="BW291" s="14" t="str">
        <f>IF(AND(ISNUMBER($I291),OR($K291="Milestone",$K291="Deadline"),$I291&gt;=BW$4,$I291&lt;BW$4+7),IF($K291="Deadline","◇","◆"),"")</f>
        <v/>
      </c>
      <c r="BX291" s="14" t="str">
        <f>IF(AND(ISNUMBER($I291),OR($K291="Milestone",$K291="Deadline"),$I291&gt;=BX$4,$I291&lt;BX$4+7),IF($K291="Deadline","◇","◆"),"")</f>
        <v/>
      </c>
      <c r="BY291" s="14" t="str">
        <f>IF(AND(ISNUMBER($I291),OR($K291="Milestone",$K291="Deadline"),$I291&gt;=BY$4,$I291&lt;BY$4+7),IF($K291="Deadline","◇","◆"),"")</f>
        <v/>
      </c>
      <c r="BZ291" s="14" t="str">
        <f>IF(AND(ISNUMBER($I291),OR($K291="Milestone",$K291="Deadline"),$I291&gt;=BZ$4,$I291&lt;BZ$4+7),IF($K291="Deadline","◇","◆"),"")</f>
        <v/>
      </c>
      <c r="CA291" s="14" t="str">
        <f>IF(AND(ISNUMBER($I291),OR($K291="Milestone",$K291="Deadline"),$I291&gt;=CA$4,$I291&lt;CA$4+7),IF($K291="Deadline","◇","◆"),"")</f>
        <v/>
      </c>
      <c r="CB291" s="14" t="str">
        <f>IF(AND(ISNUMBER($I291),OR($K291="Milestone",$K291="Deadline"),$I291&gt;=CB$4,$I291&lt;CB$4+7),IF($K291="Deadline","◇","◆"),"")</f>
        <v/>
      </c>
      <c r="CC291" s="14" t="str">
        <f>IF(AND(ISNUMBER($I291),OR($K291="Milestone",$K291="Deadline"),$I291&gt;=CC$4,$I291&lt;CC$4+7),IF($K291="Deadline","◇","◆"),"")</f>
        <v/>
      </c>
      <c r="CD291" s="14" t="str">
        <f>IF(AND(ISNUMBER($I291),OR($K291="Milestone",$K291="Deadline"),$I291&gt;=CD$4,$I291&lt;CD$4+7),IF($K291="Deadline","◇","◆"),"")</f>
        <v/>
      </c>
      <c r="CE291" s="14" t="str">
        <f>IF(AND(ISNUMBER($I291),OR($K291="Milestone",$K291="Deadline"),$I291&gt;=CE$4,$I291&lt;CE$4+7),IF($K291="Deadline","◇","◆"),"")</f>
        <v/>
      </c>
      <c r="CF291" s="14" t="str">
        <f>IF(AND(ISNUMBER($I291),OR($K291="Milestone",$K291="Deadline"),$I291&gt;=CF$4,$I291&lt;CF$4+7),IF($K291="Deadline","◇","◆"),"")</f>
        <v/>
      </c>
      <c r="CG291" s="14" t="str">
        <f>IF(AND(ISNUMBER($I291),OR($K291="Milestone",$K291="Deadline"),$I291&gt;=CG$4,$I291&lt;CG$4+7),IF($K291="Deadline","◇","◆"),"")</f>
        <v/>
      </c>
      <c r="CH291" s="14" t="str">
        <f>IF(AND(ISNUMBER($I291),OR($K291="Milestone",$K291="Deadline"),$I291&gt;=CH$4,$I291&lt;CH$4+7),IF($K291="Deadline","◇","◆"),"")</f>
        <v/>
      </c>
      <c r="CI291" s="14" t="str">
        <f>IF(AND(ISNUMBER($I291),OR($K291="Milestone",$K291="Deadline"),$I291&gt;=CI$4,$I291&lt;CI$4+7),IF($K291="Deadline","◇","◆"),"")</f>
        <v/>
      </c>
      <c r="CJ291" s="14" t="str">
        <f>IF(AND(ISNUMBER($I291),OR($K291="Milestone",$K291="Deadline"),$I291&gt;=CJ$4,$I291&lt;CJ$4+7),IF($K291="Deadline","◇","◆"),"")</f>
        <v/>
      </c>
      <c r="CK291" s="14" t="str">
        <f>IF(AND(ISNUMBER($I291),OR($K291="Milestone",$K291="Deadline"),$I291&gt;=CK$4,$I291&lt;CK$4+7),IF($K291="Deadline","◇","◆"),"")</f>
        <v/>
      </c>
      <c r="CL291" s="14" t="str">
        <f>IF(AND(ISNUMBER($I291),OR($K291="Milestone",$K291="Deadline"),$I291&gt;=CL$4,$I291&lt;CL$4+7),IF($K291="Deadline","◇","◆"),"")</f>
        <v/>
      </c>
      <c r="CM291" s="14" t="str">
        <f>IF(AND(ISNUMBER($I291),OR($K291="Milestone",$K291="Deadline"),$I291&gt;=CM$4,$I291&lt;CM$4+7),IF($K291="Deadline","◇","◆"),"")</f>
        <v/>
      </c>
    </row>
    <row r="292" spans="1:91" hidden="1">
      <c r="A292" s="19" t="s">
        <v>562</v>
      </c>
      <c r="B292" s="19" t="s">
        <v>549</v>
      </c>
      <c r="C292" s="19" t="s">
        <v>63</v>
      </c>
      <c r="D292" s="19"/>
      <c r="E292" s="19"/>
      <c r="F292" s="19" t="s">
        <v>555</v>
      </c>
      <c r="G292" s="19" t="s">
        <v>563</v>
      </c>
      <c r="H292" s="19">
        <v>14</v>
      </c>
      <c r="I292" s="23">
        <f>MAX($C$2,J290+1,J151+1)</f>
        <v>46417</v>
      </c>
      <c r="J292" s="21">
        <f>IF(AND(ISNUMBER(I292),ISNUMBER(H292)),I292+H292-1,"")</f>
        <v>46430</v>
      </c>
      <c r="K292" s="19" t="s">
        <v>27</v>
      </c>
      <c r="L292" s="19" t="s">
        <v>518</v>
      </c>
      <c r="M292" s="22" t="s">
        <v>375</v>
      </c>
      <c r="N292" s="19"/>
      <c r="O292" s="22">
        <f>IF(AND(ISNUMBER(I292),ISNUMBER(J292)),J292-I292+1,"")</f>
        <v>14</v>
      </c>
      <c r="P292" s="13"/>
      <c r="Q292" s="13"/>
      <c r="R292" s="13"/>
      <c r="S292" s="13"/>
      <c r="T292" s="13"/>
      <c r="U292" s="13" t="s">
        <v>140</v>
      </c>
      <c r="V292" s="13" t="s">
        <v>140</v>
      </c>
      <c r="W292" s="13"/>
      <c r="X292" s="13"/>
      <c r="Y292" s="13"/>
      <c r="Z292" s="13"/>
      <c r="AA292" s="13"/>
      <c r="AB292" s="13" t="s">
        <v>140</v>
      </c>
      <c r="AC292" s="13"/>
      <c r="AD292" s="13"/>
      <c r="AE292" s="13"/>
      <c r="AF292" s="13"/>
      <c r="AG292" s="13"/>
      <c r="AH292" s="13"/>
      <c r="AI292" s="13"/>
      <c r="AJ292" s="13"/>
      <c r="AK292" s="13"/>
      <c r="AL292" s="13"/>
      <c r="AM292" s="13"/>
      <c r="AN292" s="13"/>
      <c r="AO292" s="14" t="str">
        <f>IF(AND(ISNUMBER($I292),OR($K292="Milestone",$K292="Deadline"),$I292&gt;=AO$4,$I292&lt;AO$4+7),IF($K292="Deadline","◇","◆"),"")</f>
        <v/>
      </c>
      <c r="AP292" s="14" t="str">
        <f>IF(AND(ISNUMBER($I292),OR($K292="Milestone",$K292="Deadline"),$I292&gt;=AP$4,$I292&lt;AP$4+7),IF($K292="Deadline","◇","◆"),"")</f>
        <v/>
      </c>
      <c r="AQ292" s="14" t="str">
        <f>IF(AND(ISNUMBER($I292),OR($K292="Milestone",$K292="Deadline"),$I292&gt;=AQ$4,$I292&lt;AQ$4+7),IF($K292="Deadline","◇","◆"),"")</f>
        <v/>
      </c>
      <c r="AR292" s="14" t="str">
        <f>IF(AND(ISNUMBER($I292),OR($K292="Milestone",$K292="Deadline"),$I292&gt;=AR$4,$I292&lt;AR$4+7),IF($K292="Deadline","◇","◆"),"")</f>
        <v/>
      </c>
      <c r="AS292" s="14" t="str">
        <f>IF(AND(ISNUMBER($I292),OR($K292="Milestone",$K292="Deadline"),$I292&gt;=AS$4,$I292&lt;AS$4+7),IF($K292="Deadline","◇","◆"),"")</f>
        <v/>
      </c>
      <c r="AT292" s="14" t="str">
        <f>IF(AND(ISNUMBER($I292),OR($K292="Milestone",$K292="Deadline"),$I292&gt;=AT$4,$I292&lt;AT$4+7),IF($K292="Deadline","◇","◆"),"")</f>
        <v/>
      </c>
      <c r="AU292" s="14" t="str">
        <f>IF(AND(ISNUMBER($I292),OR($K292="Milestone",$K292="Deadline"),$I292&gt;=AU$4,$I292&lt;AU$4+7),IF($K292="Deadline","◇","◆"),"")</f>
        <v/>
      </c>
      <c r="AV292" s="14" t="str">
        <f>IF(AND(ISNUMBER($I292),OR($K292="Milestone",$K292="Deadline"),$I292&gt;=AV$4,$I292&lt;AV$4+7),IF($K292="Deadline","◇","◆"),"")</f>
        <v/>
      </c>
      <c r="AW292" s="14" t="str">
        <f>IF(AND(ISNUMBER($I292),OR($K292="Milestone",$K292="Deadline"),$I292&gt;=AW$4,$I292&lt;AW$4+7),IF($K292="Deadline","◇","◆"),"")</f>
        <v/>
      </c>
      <c r="AX292" s="14" t="str">
        <f>IF(AND(ISNUMBER($I292),OR($K292="Milestone",$K292="Deadline"),$I292&gt;=AX$4,$I292&lt;AX$4+7),IF($K292="Deadline","◇","◆"),"")</f>
        <v/>
      </c>
      <c r="AY292" s="14" t="str">
        <f>IF(AND(ISNUMBER($I292),OR($K292="Milestone",$K292="Deadline"),$I292&gt;=AY$4,$I292&lt;AY$4+7),IF($K292="Deadline","◇","◆"),"")</f>
        <v/>
      </c>
      <c r="AZ292" s="14" t="str">
        <f>IF(AND(ISNUMBER($I292),OR($K292="Milestone",$K292="Deadline"),$I292&gt;=AZ$4,$I292&lt;AZ$4+7),IF($K292="Deadline","◇","◆"),"")</f>
        <v/>
      </c>
      <c r="BA292" s="14" t="str">
        <f>IF(AND(ISNUMBER($I292),OR($K292="Milestone",$K292="Deadline"),$I292&gt;=BA$4,$I292&lt;BA$4+7),IF($K292="Deadline","◇","◆"),"")</f>
        <v/>
      </c>
      <c r="BB292" s="14" t="str">
        <f>IF(AND(ISNUMBER($I292),OR($K292="Milestone",$K292="Deadline"),$I292&gt;=BB$4,$I292&lt;BB$4+7),IF($K292="Deadline","◇","◆"),"")</f>
        <v/>
      </c>
      <c r="BC292" s="14" t="str">
        <f>IF(AND(ISNUMBER($I292),OR($K292="Milestone",$K292="Deadline"),$I292&gt;=BC$4,$I292&lt;BC$4+7),IF($K292="Deadline","◇","◆"),"")</f>
        <v/>
      </c>
      <c r="BD292" s="14" t="str">
        <f>IF(AND(ISNUMBER($I292),OR($K292="Milestone",$K292="Deadline"),$I292&gt;=BD$4,$I292&lt;BD$4+7),IF($K292="Deadline","◇","◆"),"")</f>
        <v/>
      </c>
      <c r="BE292" s="14" t="str">
        <f>IF(AND(ISNUMBER($I292),OR($K292="Milestone",$K292="Deadline"),$I292&gt;=BE$4,$I292&lt;BE$4+7),IF($K292="Deadline","◇","◆"),"")</f>
        <v/>
      </c>
      <c r="BF292" s="14" t="str">
        <f>IF(AND(ISNUMBER($I292),OR($K292="Milestone",$K292="Deadline"),$I292&gt;=BF$4,$I292&lt;BF$4+7),IF($K292="Deadline","◇","◆"),"")</f>
        <v/>
      </c>
      <c r="BG292" s="14" t="str">
        <f>IF(AND(ISNUMBER($I292),OR($K292="Milestone",$K292="Deadline"),$I292&gt;=BG$4,$I292&lt;BG$4+7),IF($K292="Deadline","◇","◆"),"")</f>
        <v/>
      </c>
      <c r="BH292" s="14" t="str">
        <f>IF(AND(ISNUMBER($I292),OR($K292="Milestone",$K292="Deadline"),$I292&gt;=BH$4,$I292&lt;BH$4+7),IF($K292="Deadline","◇","◆"),"")</f>
        <v/>
      </c>
      <c r="BI292" s="14" t="str">
        <f>IF(AND(ISNUMBER($I292),OR($K292="Milestone",$K292="Deadline"),$I292&gt;=BI$4,$I292&lt;BI$4+7),IF($K292="Deadline","◇","◆"),"")</f>
        <v/>
      </c>
      <c r="BJ292" s="14" t="str">
        <f>IF(AND(ISNUMBER($I292),OR($K292="Milestone",$K292="Deadline"),$I292&gt;=BJ$4,$I292&lt;BJ$4+7),IF($K292="Deadline","◇","◆"),"")</f>
        <v/>
      </c>
      <c r="BK292" s="14" t="str">
        <f>IF(AND(ISNUMBER($I292),OR($K292="Milestone",$K292="Deadline"),$I292&gt;=BK$4,$I292&lt;BK$4+7),IF($K292="Deadline","◇","◆"),"")</f>
        <v/>
      </c>
      <c r="BL292" s="14" t="str">
        <f>IF(AND(ISNUMBER($I292),OR($K292="Milestone",$K292="Deadline"),$I292&gt;=BL$4,$I292&lt;BL$4+7),IF($K292="Deadline","◇","◆"),"")</f>
        <v/>
      </c>
      <c r="BM292" s="14" t="str">
        <f>IF(AND(ISNUMBER($I292),OR($K292="Milestone",$K292="Deadline"),$I292&gt;=BM$4,$I292&lt;BM$4+7),IF($K292="Deadline","◇","◆"),"")</f>
        <v/>
      </c>
      <c r="BN292" s="14" t="str">
        <f>IF(AND(ISNUMBER($I292),OR($K292="Milestone",$K292="Deadline"),$I292&gt;=BN$4,$I292&lt;BN$4+7),IF($K292="Deadline","◇","◆"),"")</f>
        <v/>
      </c>
      <c r="BO292" s="14" t="str">
        <f>IF(AND(ISNUMBER($I292),OR($K292="Milestone",$K292="Deadline"),$I292&gt;=BO$4,$I292&lt;BO$4+7),IF($K292="Deadline","◇","◆"),"")</f>
        <v/>
      </c>
      <c r="BP292" s="14" t="str">
        <f>IF(AND(ISNUMBER($I292),OR($K292="Milestone",$K292="Deadline"),$I292&gt;=BP$4,$I292&lt;BP$4+7),IF($K292="Deadline","◇","◆"),"")</f>
        <v/>
      </c>
      <c r="BQ292" s="14" t="str">
        <f>IF(AND(ISNUMBER($I292),OR($K292="Milestone",$K292="Deadline"),$I292&gt;=BQ$4,$I292&lt;BQ$4+7),IF($K292="Deadline","◇","◆"),"")</f>
        <v/>
      </c>
      <c r="BR292" s="14" t="str">
        <f>IF(AND(ISNUMBER($I292),OR($K292="Milestone",$K292="Deadline"),$I292&gt;=BR$4,$I292&lt;BR$4+7),IF($K292="Deadline","◇","◆"),"")</f>
        <v/>
      </c>
      <c r="BS292" s="14" t="str">
        <f>IF(AND(ISNUMBER($I292),OR($K292="Milestone",$K292="Deadline"),$I292&gt;=BS$4,$I292&lt;BS$4+7),IF($K292="Deadline","◇","◆"),"")</f>
        <v/>
      </c>
      <c r="BT292" s="14" t="str">
        <f>IF(AND(ISNUMBER($I292),OR($K292="Milestone",$K292="Deadline"),$I292&gt;=BT$4,$I292&lt;BT$4+7),IF($K292="Deadline","◇","◆"),"")</f>
        <v/>
      </c>
      <c r="BU292" s="14" t="str">
        <f>IF(AND(ISNUMBER($I292),OR($K292="Milestone",$K292="Deadline"),$I292&gt;=BU$4,$I292&lt;BU$4+7),IF($K292="Deadline","◇","◆"),"")</f>
        <v/>
      </c>
      <c r="BV292" s="14" t="str">
        <f>IF(AND(ISNUMBER($I292),OR($K292="Milestone",$K292="Deadline"),$I292&gt;=BV$4,$I292&lt;BV$4+7),IF($K292="Deadline","◇","◆"),"")</f>
        <v/>
      </c>
      <c r="BW292" s="14" t="str">
        <f>IF(AND(ISNUMBER($I292),OR($K292="Milestone",$K292="Deadline"),$I292&gt;=BW$4,$I292&lt;BW$4+7),IF($K292="Deadline","◇","◆"),"")</f>
        <v/>
      </c>
      <c r="BX292" s="14" t="str">
        <f>IF(AND(ISNUMBER($I292),OR($K292="Milestone",$K292="Deadline"),$I292&gt;=BX$4,$I292&lt;BX$4+7),IF($K292="Deadline","◇","◆"),"")</f>
        <v/>
      </c>
      <c r="BY292" s="14" t="str">
        <f>IF(AND(ISNUMBER($I292),OR($K292="Milestone",$K292="Deadline"),$I292&gt;=BY$4,$I292&lt;BY$4+7),IF($K292="Deadline","◇","◆"),"")</f>
        <v/>
      </c>
      <c r="BZ292" s="14" t="str">
        <f>IF(AND(ISNUMBER($I292),OR($K292="Milestone",$K292="Deadline"),$I292&gt;=BZ$4,$I292&lt;BZ$4+7),IF($K292="Deadline","◇","◆"),"")</f>
        <v/>
      </c>
      <c r="CA292" s="14" t="str">
        <f>IF(AND(ISNUMBER($I292),OR($K292="Milestone",$K292="Deadline"),$I292&gt;=CA$4,$I292&lt;CA$4+7),IF($K292="Deadline","◇","◆"),"")</f>
        <v/>
      </c>
      <c r="CB292" s="14" t="str">
        <f>IF(AND(ISNUMBER($I292),OR($K292="Milestone",$K292="Deadline"),$I292&gt;=CB$4,$I292&lt;CB$4+7),IF($K292="Deadline","◇","◆"),"")</f>
        <v/>
      </c>
      <c r="CC292" s="14" t="str">
        <f>IF(AND(ISNUMBER($I292),OR($K292="Milestone",$K292="Deadline"),$I292&gt;=CC$4,$I292&lt;CC$4+7),IF($K292="Deadline","◇","◆"),"")</f>
        <v/>
      </c>
      <c r="CD292" s="14" t="str">
        <f>IF(AND(ISNUMBER($I292),OR($K292="Milestone",$K292="Deadline"),$I292&gt;=CD$4,$I292&lt;CD$4+7),IF($K292="Deadline","◇","◆"),"")</f>
        <v/>
      </c>
      <c r="CE292" s="14" t="str">
        <f>IF(AND(ISNUMBER($I292),OR($K292="Milestone",$K292="Deadline"),$I292&gt;=CE$4,$I292&lt;CE$4+7),IF($K292="Deadline","◇","◆"),"")</f>
        <v/>
      </c>
      <c r="CF292" s="14" t="str">
        <f>IF(AND(ISNUMBER($I292),OR($K292="Milestone",$K292="Deadline"),$I292&gt;=CF$4,$I292&lt;CF$4+7),IF($K292="Deadline","◇","◆"),"")</f>
        <v/>
      </c>
      <c r="CG292" s="14" t="str">
        <f>IF(AND(ISNUMBER($I292),OR($K292="Milestone",$K292="Deadline"),$I292&gt;=CG$4,$I292&lt;CG$4+7),IF($K292="Deadline","◇","◆"),"")</f>
        <v/>
      </c>
      <c r="CH292" s="14" t="str">
        <f>IF(AND(ISNUMBER($I292),OR($K292="Milestone",$K292="Deadline"),$I292&gt;=CH$4,$I292&lt;CH$4+7),IF($K292="Deadline","◇","◆"),"")</f>
        <v/>
      </c>
      <c r="CI292" s="14" t="str">
        <f>IF(AND(ISNUMBER($I292),OR($K292="Milestone",$K292="Deadline"),$I292&gt;=CI$4,$I292&lt;CI$4+7),IF($K292="Deadline","◇","◆"),"")</f>
        <v/>
      </c>
      <c r="CJ292" s="14" t="str">
        <f>IF(AND(ISNUMBER($I292),OR($K292="Milestone",$K292="Deadline"),$I292&gt;=CJ$4,$I292&lt;CJ$4+7),IF($K292="Deadline","◇","◆"),"")</f>
        <v/>
      </c>
      <c r="CK292" s="14" t="str">
        <f>IF(AND(ISNUMBER($I292),OR($K292="Milestone",$K292="Deadline"),$I292&gt;=CK$4,$I292&lt;CK$4+7),IF($K292="Deadline","◇","◆"),"")</f>
        <v/>
      </c>
      <c r="CL292" s="14" t="str">
        <f>IF(AND(ISNUMBER($I292),OR($K292="Milestone",$K292="Deadline"),$I292&gt;=CL$4,$I292&lt;CL$4+7),IF($K292="Deadline","◇","◆"),"")</f>
        <v/>
      </c>
      <c r="CM292" s="14" t="str">
        <f>IF(AND(ISNUMBER($I292),OR($K292="Milestone",$K292="Deadline"),$I292&gt;=CM$4,$I292&lt;CM$4+7),IF($K292="Deadline","◇","◆"),"")</f>
        <v/>
      </c>
    </row>
    <row r="293" spans="1:91" hidden="1">
      <c r="A293" s="19" t="s">
        <v>541</v>
      </c>
      <c r="B293" s="19" t="s">
        <v>549</v>
      </c>
      <c r="C293" s="19" t="s">
        <v>63</v>
      </c>
      <c r="D293" s="19"/>
      <c r="E293" s="19"/>
      <c r="F293" s="19" t="s">
        <v>564</v>
      </c>
      <c r="G293" s="19" t="s">
        <v>565</v>
      </c>
      <c r="H293" s="19">
        <v>21</v>
      </c>
      <c r="I293" s="23">
        <f>MAX($C$2,J286+1,J119+1)</f>
        <v>46407</v>
      </c>
      <c r="J293" s="21">
        <f>IF(AND(ISNUMBER(I293),ISNUMBER(H293)),I293+H293-1,"")</f>
        <v>46427</v>
      </c>
      <c r="K293" s="19" t="s">
        <v>27</v>
      </c>
      <c r="L293" s="19" t="s">
        <v>553</v>
      </c>
      <c r="M293" s="22" t="s">
        <v>325</v>
      </c>
      <c r="N293" s="19"/>
      <c r="O293" s="22">
        <f>IF(AND(ISNUMBER(I293),ISNUMBER(J293)),J293-I293+1,"")</f>
        <v>21</v>
      </c>
      <c r="P293" s="13"/>
      <c r="Q293" s="13"/>
      <c r="R293" s="13"/>
      <c r="S293" s="13"/>
      <c r="T293" s="13"/>
      <c r="U293" s="13" t="s">
        <v>140</v>
      </c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  <c r="AF293" s="13" t="s">
        <v>140</v>
      </c>
      <c r="AG293" s="13"/>
      <c r="AH293" s="13"/>
      <c r="AI293" s="13"/>
      <c r="AJ293" s="13"/>
      <c r="AK293" s="13"/>
      <c r="AL293" s="13"/>
      <c r="AM293" s="13"/>
      <c r="AN293" s="13"/>
      <c r="AO293" s="14" t="str">
        <f>IF(AND(ISNUMBER($I293),OR($K293="Milestone",$K293="Deadline"),$I293&gt;=AO$4,$I293&lt;AO$4+7),IF($K293="Deadline","◇","◆"),"")</f>
        <v/>
      </c>
      <c r="AP293" s="14" t="str">
        <f>IF(AND(ISNUMBER($I293),OR($K293="Milestone",$K293="Deadline"),$I293&gt;=AP$4,$I293&lt;AP$4+7),IF($K293="Deadline","◇","◆"),"")</f>
        <v/>
      </c>
      <c r="AQ293" s="14" t="str">
        <f>IF(AND(ISNUMBER($I293),OR($K293="Milestone",$K293="Deadline"),$I293&gt;=AQ$4,$I293&lt;AQ$4+7),IF($K293="Deadline","◇","◆"),"")</f>
        <v/>
      </c>
      <c r="AR293" s="14" t="str">
        <f>IF(AND(ISNUMBER($I293),OR($K293="Milestone",$K293="Deadline"),$I293&gt;=AR$4,$I293&lt;AR$4+7),IF($K293="Deadline","◇","◆"),"")</f>
        <v/>
      </c>
      <c r="AS293" s="14" t="str">
        <f>IF(AND(ISNUMBER($I293),OR($K293="Milestone",$K293="Deadline"),$I293&gt;=AS$4,$I293&lt;AS$4+7),IF($K293="Deadline","◇","◆"),"")</f>
        <v/>
      </c>
      <c r="AT293" s="14" t="str">
        <f>IF(AND(ISNUMBER($I293),OR($K293="Milestone",$K293="Deadline"),$I293&gt;=AT$4,$I293&lt;AT$4+7),IF($K293="Deadline","◇","◆"),"")</f>
        <v/>
      </c>
      <c r="AU293" s="14" t="str">
        <f>IF(AND(ISNUMBER($I293),OR($K293="Milestone",$K293="Deadline"),$I293&gt;=AU$4,$I293&lt;AU$4+7),IF($K293="Deadline","◇","◆"),"")</f>
        <v/>
      </c>
      <c r="AV293" s="14" t="str">
        <f>IF(AND(ISNUMBER($I293),OR($K293="Milestone",$K293="Deadline"),$I293&gt;=AV$4,$I293&lt;AV$4+7),IF($K293="Deadline","◇","◆"),"")</f>
        <v/>
      </c>
      <c r="AW293" s="14" t="str">
        <f>IF(AND(ISNUMBER($I293),OR($K293="Milestone",$K293="Deadline"),$I293&gt;=AW$4,$I293&lt;AW$4+7),IF($K293="Deadline","◇","◆"),"")</f>
        <v/>
      </c>
      <c r="AX293" s="14" t="str">
        <f>IF(AND(ISNUMBER($I293),OR($K293="Milestone",$K293="Deadline"),$I293&gt;=AX$4,$I293&lt;AX$4+7),IF($K293="Deadline","◇","◆"),"")</f>
        <v/>
      </c>
      <c r="AY293" s="14" t="str">
        <f>IF(AND(ISNUMBER($I293),OR($K293="Milestone",$K293="Deadline"),$I293&gt;=AY$4,$I293&lt;AY$4+7),IF($K293="Deadline","◇","◆"),"")</f>
        <v/>
      </c>
      <c r="AZ293" s="14" t="str">
        <f>IF(AND(ISNUMBER($I293),OR($K293="Milestone",$K293="Deadline"),$I293&gt;=AZ$4,$I293&lt;AZ$4+7),IF($K293="Deadline","◇","◆"),"")</f>
        <v/>
      </c>
      <c r="BA293" s="14" t="str">
        <f>IF(AND(ISNUMBER($I293),OR($K293="Milestone",$K293="Deadline"),$I293&gt;=BA$4,$I293&lt;BA$4+7),IF($K293="Deadline","◇","◆"),"")</f>
        <v/>
      </c>
      <c r="BB293" s="14" t="str">
        <f>IF(AND(ISNUMBER($I293),OR($K293="Milestone",$K293="Deadline"),$I293&gt;=BB$4,$I293&lt;BB$4+7),IF($K293="Deadline","◇","◆"),"")</f>
        <v/>
      </c>
      <c r="BC293" s="14" t="str">
        <f>IF(AND(ISNUMBER($I293),OR($K293="Milestone",$K293="Deadline"),$I293&gt;=BC$4,$I293&lt;BC$4+7),IF($K293="Deadline","◇","◆"),"")</f>
        <v/>
      </c>
      <c r="BD293" s="14" t="str">
        <f>IF(AND(ISNUMBER($I293),OR($K293="Milestone",$K293="Deadline"),$I293&gt;=BD$4,$I293&lt;BD$4+7),IF($K293="Deadline","◇","◆"),"")</f>
        <v/>
      </c>
      <c r="BE293" s="14" t="str">
        <f>IF(AND(ISNUMBER($I293),OR($K293="Milestone",$K293="Deadline"),$I293&gt;=BE$4,$I293&lt;BE$4+7),IF($K293="Deadline","◇","◆"),"")</f>
        <v/>
      </c>
      <c r="BF293" s="14" t="str">
        <f>IF(AND(ISNUMBER($I293),OR($K293="Milestone",$K293="Deadline"),$I293&gt;=BF$4,$I293&lt;BF$4+7),IF($K293="Deadline","◇","◆"),"")</f>
        <v/>
      </c>
      <c r="BG293" s="14" t="str">
        <f>IF(AND(ISNUMBER($I293),OR($K293="Milestone",$K293="Deadline"),$I293&gt;=BG$4,$I293&lt;BG$4+7),IF($K293="Deadline","◇","◆"),"")</f>
        <v/>
      </c>
      <c r="BH293" s="14" t="str">
        <f>IF(AND(ISNUMBER($I293),OR($K293="Milestone",$K293="Deadline"),$I293&gt;=BH$4,$I293&lt;BH$4+7),IF($K293="Deadline","◇","◆"),"")</f>
        <v/>
      </c>
      <c r="BI293" s="14" t="str">
        <f>IF(AND(ISNUMBER($I293),OR($K293="Milestone",$K293="Deadline"),$I293&gt;=BI$4,$I293&lt;BI$4+7),IF($K293="Deadline","◇","◆"),"")</f>
        <v/>
      </c>
      <c r="BJ293" s="14" t="str">
        <f>IF(AND(ISNUMBER($I293),OR($K293="Milestone",$K293="Deadline"),$I293&gt;=BJ$4,$I293&lt;BJ$4+7),IF($K293="Deadline","◇","◆"),"")</f>
        <v/>
      </c>
      <c r="BK293" s="14" t="str">
        <f>IF(AND(ISNUMBER($I293),OR($K293="Milestone",$K293="Deadline"),$I293&gt;=BK$4,$I293&lt;BK$4+7),IF($K293="Deadline","◇","◆"),"")</f>
        <v/>
      </c>
      <c r="BL293" s="14" t="str">
        <f>IF(AND(ISNUMBER($I293),OR($K293="Milestone",$K293="Deadline"),$I293&gt;=BL$4,$I293&lt;BL$4+7),IF($K293="Deadline","◇","◆"),"")</f>
        <v/>
      </c>
      <c r="BM293" s="14" t="str">
        <f>IF(AND(ISNUMBER($I293),OR($K293="Milestone",$K293="Deadline"),$I293&gt;=BM$4,$I293&lt;BM$4+7),IF($K293="Deadline","◇","◆"),"")</f>
        <v/>
      </c>
      <c r="BN293" s="14" t="str">
        <f>IF(AND(ISNUMBER($I293),OR($K293="Milestone",$K293="Deadline"),$I293&gt;=BN$4,$I293&lt;BN$4+7),IF($K293="Deadline","◇","◆"),"")</f>
        <v/>
      </c>
      <c r="BO293" s="14" t="str">
        <f>IF(AND(ISNUMBER($I293),OR($K293="Milestone",$K293="Deadline"),$I293&gt;=BO$4,$I293&lt;BO$4+7),IF($K293="Deadline","◇","◆"),"")</f>
        <v/>
      </c>
      <c r="BP293" s="14" t="str">
        <f>IF(AND(ISNUMBER($I293),OR($K293="Milestone",$K293="Deadline"),$I293&gt;=BP$4,$I293&lt;BP$4+7),IF($K293="Deadline","◇","◆"),"")</f>
        <v/>
      </c>
      <c r="BQ293" s="14" t="str">
        <f>IF(AND(ISNUMBER($I293),OR($K293="Milestone",$K293="Deadline"),$I293&gt;=BQ$4,$I293&lt;BQ$4+7),IF($K293="Deadline","◇","◆"),"")</f>
        <v/>
      </c>
      <c r="BR293" s="14" t="str">
        <f>IF(AND(ISNUMBER($I293),OR($K293="Milestone",$K293="Deadline"),$I293&gt;=BR$4,$I293&lt;BR$4+7),IF($K293="Deadline","◇","◆"),"")</f>
        <v/>
      </c>
      <c r="BS293" s="14" t="str">
        <f>IF(AND(ISNUMBER($I293),OR($K293="Milestone",$K293="Deadline"),$I293&gt;=BS$4,$I293&lt;BS$4+7),IF($K293="Deadline","◇","◆"),"")</f>
        <v/>
      </c>
      <c r="BT293" s="14" t="str">
        <f>IF(AND(ISNUMBER($I293),OR($K293="Milestone",$K293="Deadline"),$I293&gt;=BT$4,$I293&lt;BT$4+7),IF($K293="Deadline","◇","◆"),"")</f>
        <v/>
      </c>
      <c r="BU293" s="14" t="str">
        <f>IF(AND(ISNUMBER($I293),OR($K293="Milestone",$K293="Deadline"),$I293&gt;=BU$4,$I293&lt;BU$4+7),IF($K293="Deadline","◇","◆"),"")</f>
        <v/>
      </c>
      <c r="BV293" s="14" t="str">
        <f>IF(AND(ISNUMBER($I293),OR($K293="Milestone",$K293="Deadline"),$I293&gt;=BV$4,$I293&lt;BV$4+7),IF($K293="Deadline","◇","◆"),"")</f>
        <v/>
      </c>
      <c r="BW293" s="14" t="str">
        <f>IF(AND(ISNUMBER($I293),OR($K293="Milestone",$K293="Deadline"),$I293&gt;=BW$4,$I293&lt;BW$4+7),IF($K293="Deadline","◇","◆"),"")</f>
        <v/>
      </c>
      <c r="BX293" s="14" t="str">
        <f>IF(AND(ISNUMBER($I293),OR($K293="Milestone",$K293="Deadline"),$I293&gt;=BX$4,$I293&lt;BX$4+7),IF($K293="Deadline","◇","◆"),"")</f>
        <v/>
      </c>
      <c r="BY293" s="14" t="str">
        <f>IF(AND(ISNUMBER($I293),OR($K293="Milestone",$K293="Deadline"),$I293&gt;=BY$4,$I293&lt;BY$4+7),IF($K293="Deadline","◇","◆"),"")</f>
        <v/>
      </c>
      <c r="BZ293" s="14" t="str">
        <f>IF(AND(ISNUMBER($I293),OR($K293="Milestone",$K293="Deadline"),$I293&gt;=BZ$4,$I293&lt;BZ$4+7),IF($K293="Deadline","◇","◆"),"")</f>
        <v/>
      </c>
      <c r="CA293" s="14" t="str">
        <f>IF(AND(ISNUMBER($I293),OR($K293="Milestone",$K293="Deadline"),$I293&gt;=CA$4,$I293&lt;CA$4+7),IF($K293="Deadline","◇","◆"),"")</f>
        <v/>
      </c>
      <c r="CB293" s="14" t="str">
        <f>IF(AND(ISNUMBER($I293),OR($K293="Milestone",$K293="Deadline"),$I293&gt;=CB$4,$I293&lt;CB$4+7),IF($K293="Deadline","◇","◆"),"")</f>
        <v/>
      </c>
      <c r="CC293" s="14" t="str">
        <f>IF(AND(ISNUMBER($I293),OR($K293="Milestone",$K293="Deadline"),$I293&gt;=CC$4,$I293&lt;CC$4+7),IF($K293="Deadline","◇","◆"),"")</f>
        <v/>
      </c>
      <c r="CD293" s="14" t="str">
        <f>IF(AND(ISNUMBER($I293),OR($K293="Milestone",$K293="Deadline"),$I293&gt;=CD$4,$I293&lt;CD$4+7),IF($K293="Deadline","◇","◆"),"")</f>
        <v/>
      </c>
      <c r="CE293" s="14" t="str">
        <f>IF(AND(ISNUMBER($I293),OR($K293="Milestone",$K293="Deadline"),$I293&gt;=CE$4,$I293&lt;CE$4+7),IF($K293="Deadline","◇","◆"),"")</f>
        <v/>
      </c>
      <c r="CF293" s="14" t="str">
        <f>IF(AND(ISNUMBER($I293),OR($K293="Milestone",$K293="Deadline"),$I293&gt;=CF$4,$I293&lt;CF$4+7),IF($K293="Deadline","◇","◆"),"")</f>
        <v/>
      </c>
      <c r="CG293" s="14" t="str">
        <f>IF(AND(ISNUMBER($I293),OR($K293="Milestone",$K293="Deadline"),$I293&gt;=CG$4,$I293&lt;CG$4+7),IF($K293="Deadline","◇","◆"),"")</f>
        <v/>
      </c>
      <c r="CH293" s="14" t="str">
        <f>IF(AND(ISNUMBER($I293),OR($K293="Milestone",$K293="Deadline"),$I293&gt;=CH$4,$I293&lt;CH$4+7),IF($K293="Deadline","◇","◆"),"")</f>
        <v/>
      </c>
      <c r="CI293" s="14" t="str">
        <f>IF(AND(ISNUMBER($I293),OR($K293="Milestone",$K293="Deadline"),$I293&gt;=CI$4,$I293&lt;CI$4+7),IF($K293="Deadline","◇","◆"),"")</f>
        <v/>
      </c>
      <c r="CJ293" s="14" t="str">
        <f>IF(AND(ISNUMBER($I293),OR($K293="Milestone",$K293="Deadline"),$I293&gt;=CJ$4,$I293&lt;CJ$4+7),IF($K293="Deadline","◇","◆"),"")</f>
        <v/>
      </c>
      <c r="CK293" s="14" t="str">
        <f>IF(AND(ISNUMBER($I293),OR($K293="Milestone",$K293="Deadline"),$I293&gt;=CK$4,$I293&lt;CK$4+7),IF($K293="Deadline","◇","◆"),"")</f>
        <v/>
      </c>
      <c r="CL293" s="14" t="str">
        <f>IF(AND(ISNUMBER($I293),OR($K293="Milestone",$K293="Deadline"),$I293&gt;=CL$4,$I293&lt;CL$4+7),IF($K293="Deadline","◇","◆"),"")</f>
        <v/>
      </c>
      <c r="CM293" s="14" t="str">
        <f>IF(AND(ISNUMBER($I293),OR($K293="Milestone",$K293="Deadline"),$I293&gt;=CM$4,$I293&lt;CM$4+7),IF($K293="Deadline","◇","◆"),"")</f>
        <v/>
      </c>
    </row>
    <row r="294" spans="1:91" hidden="1">
      <c r="A294" s="29" t="s">
        <v>228</v>
      </c>
      <c r="B294" s="29" t="s">
        <v>566</v>
      </c>
      <c r="C294" s="29" t="s">
        <v>63</v>
      </c>
      <c r="D294" s="29"/>
      <c r="E294" s="29"/>
      <c r="F294" s="29" t="s">
        <v>567</v>
      </c>
      <c r="G294" s="29" t="s">
        <v>568</v>
      </c>
      <c r="H294" s="29">
        <v>14</v>
      </c>
      <c r="I294" s="30">
        <f>MAX($C$2,J14+1,J285+1,J57+1)</f>
        <v>46399</v>
      </c>
      <c r="J294" s="31">
        <f>IF(AND(ISNUMBER(I294),ISNUMBER(H294)),I294+H294-1,"")</f>
        <v>46412</v>
      </c>
      <c r="K294" s="29" t="s">
        <v>27</v>
      </c>
      <c r="L294" s="29" t="s">
        <v>569</v>
      </c>
      <c r="M294" s="32" t="s">
        <v>205</v>
      </c>
      <c r="N294" s="29" t="s">
        <v>91</v>
      </c>
      <c r="O294" s="32">
        <f>IF(AND(ISNUMBER(I294),ISNUMBER(J294)),J294-I294+1,"")</f>
        <v>14</v>
      </c>
      <c r="P294" s="13" t="s">
        <v>140</v>
      </c>
      <c r="Q294" s="13"/>
      <c r="R294" s="13"/>
      <c r="S294" s="13"/>
      <c r="T294" s="13"/>
      <c r="U294" s="13"/>
      <c r="V294" s="13"/>
      <c r="W294" s="13" t="s">
        <v>140</v>
      </c>
      <c r="X294" s="13"/>
      <c r="Y294" s="13"/>
      <c r="Z294" s="13"/>
      <c r="AA294" s="13"/>
      <c r="AB294" s="13"/>
      <c r="AC294" s="13"/>
      <c r="AD294" s="13"/>
      <c r="AE294" s="13"/>
      <c r="AF294" s="13"/>
      <c r="AG294" s="13"/>
      <c r="AH294" s="13"/>
      <c r="AI294" s="13"/>
      <c r="AJ294" s="13"/>
      <c r="AK294" s="13"/>
      <c r="AL294" s="13"/>
      <c r="AM294" s="13"/>
      <c r="AN294" s="13"/>
      <c r="AO294" s="14" t="str">
        <f>IF(AND(ISNUMBER($I294),OR($K294="Milestone",$K294="Deadline"),$I294&gt;=AO$4,$I294&lt;AO$4+7),IF($K294="Deadline","◇","◆"),"")</f>
        <v/>
      </c>
      <c r="AP294" s="14" t="str">
        <f>IF(AND(ISNUMBER($I294),OR($K294="Milestone",$K294="Deadline"),$I294&gt;=AP$4,$I294&lt;AP$4+7),IF($K294="Deadline","◇","◆"),"")</f>
        <v/>
      </c>
      <c r="AQ294" s="14" t="str">
        <f>IF(AND(ISNUMBER($I294),OR($K294="Milestone",$K294="Deadline"),$I294&gt;=AQ$4,$I294&lt;AQ$4+7),IF($K294="Deadline","◇","◆"),"")</f>
        <v/>
      </c>
      <c r="AR294" s="14" t="str">
        <f>IF(AND(ISNUMBER($I294),OR($K294="Milestone",$K294="Deadline"),$I294&gt;=AR$4,$I294&lt;AR$4+7),IF($K294="Deadline","◇","◆"),"")</f>
        <v/>
      </c>
      <c r="AS294" s="14" t="str">
        <f>IF(AND(ISNUMBER($I294),OR($K294="Milestone",$K294="Deadline"),$I294&gt;=AS$4,$I294&lt;AS$4+7),IF($K294="Deadline","◇","◆"),"")</f>
        <v/>
      </c>
      <c r="AT294" s="14" t="str">
        <f>IF(AND(ISNUMBER($I294),OR($K294="Milestone",$K294="Deadline"),$I294&gt;=AT$4,$I294&lt;AT$4+7),IF($K294="Deadline","◇","◆"),"")</f>
        <v/>
      </c>
      <c r="AU294" s="14" t="str">
        <f>IF(AND(ISNUMBER($I294),OR($K294="Milestone",$K294="Deadline"),$I294&gt;=AU$4,$I294&lt;AU$4+7),IF($K294="Deadline","◇","◆"),"")</f>
        <v/>
      </c>
      <c r="AV294" s="14" t="str">
        <f>IF(AND(ISNUMBER($I294),OR($K294="Milestone",$K294="Deadline"),$I294&gt;=AV$4,$I294&lt;AV$4+7),IF($K294="Deadline","◇","◆"),"")</f>
        <v/>
      </c>
      <c r="AW294" s="14" t="str">
        <f>IF(AND(ISNUMBER($I294),OR($K294="Milestone",$K294="Deadline"),$I294&gt;=AW$4,$I294&lt;AW$4+7),IF($K294="Deadline","◇","◆"),"")</f>
        <v/>
      </c>
      <c r="AX294" s="14" t="str">
        <f>IF(AND(ISNUMBER($I294),OR($K294="Milestone",$K294="Deadline"),$I294&gt;=AX$4,$I294&lt;AX$4+7),IF($K294="Deadline","◇","◆"),"")</f>
        <v/>
      </c>
      <c r="AY294" s="14" t="str">
        <f>IF(AND(ISNUMBER($I294),OR($K294="Milestone",$K294="Deadline"),$I294&gt;=AY$4,$I294&lt;AY$4+7),IF($K294="Deadline","◇","◆"),"")</f>
        <v/>
      </c>
      <c r="AZ294" s="14" t="str">
        <f>IF(AND(ISNUMBER($I294),OR($K294="Milestone",$K294="Deadline"),$I294&gt;=AZ$4,$I294&lt;AZ$4+7),IF($K294="Deadline","◇","◆"),"")</f>
        <v/>
      </c>
      <c r="BA294" s="14" t="str">
        <f>IF(AND(ISNUMBER($I294),OR($K294="Milestone",$K294="Deadline"),$I294&gt;=BA$4,$I294&lt;BA$4+7),IF($K294="Deadline","◇","◆"),"")</f>
        <v/>
      </c>
      <c r="BB294" s="14" t="str">
        <f>IF(AND(ISNUMBER($I294),OR($K294="Milestone",$K294="Deadline"),$I294&gt;=BB$4,$I294&lt;BB$4+7),IF($K294="Deadline","◇","◆"),"")</f>
        <v/>
      </c>
      <c r="BC294" s="14" t="str">
        <f>IF(AND(ISNUMBER($I294),OR($K294="Milestone",$K294="Deadline"),$I294&gt;=BC$4,$I294&lt;BC$4+7),IF($K294="Deadline","◇","◆"),"")</f>
        <v/>
      </c>
      <c r="BD294" s="14" t="str">
        <f>IF(AND(ISNUMBER($I294),OR($K294="Milestone",$K294="Deadline"),$I294&gt;=BD$4,$I294&lt;BD$4+7),IF($K294="Deadline","◇","◆"),"")</f>
        <v/>
      </c>
      <c r="BE294" s="14" t="str">
        <f>IF(AND(ISNUMBER($I294),OR($K294="Milestone",$K294="Deadline"),$I294&gt;=BE$4,$I294&lt;BE$4+7),IF($K294="Deadline","◇","◆"),"")</f>
        <v/>
      </c>
      <c r="BF294" s="14" t="str">
        <f>IF(AND(ISNUMBER($I294),OR($K294="Milestone",$K294="Deadline"),$I294&gt;=BF$4,$I294&lt;BF$4+7),IF($K294="Deadline","◇","◆"),"")</f>
        <v/>
      </c>
      <c r="BG294" s="14" t="str">
        <f>IF(AND(ISNUMBER($I294),OR($K294="Milestone",$K294="Deadline"),$I294&gt;=BG$4,$I294&lt;BG$4+7),IF($K294="Deadline","◇","◆"),"")</f>
        <v/>
      </c>
      <c r="BH294" s="14" t="str">
        <f>IF(AND(ISNUMBER($I294),OR($K294="Milestone",$K294="Deadline"),$I294&gt;=BH$4,$I294&lt;BH$4+7),IF($K294="Deadline","◇","◆"),"")</f>
        <v/>
      </c>
      <c r="BI294" s="14" t="str">
        <f>IF(AND(ISNUMBER($I294),OR($K294="Milestone",$K294="Deadline"),$I294&gt;=BI$4,$I294&lt;BI$4+7),IF($K294="Deadline","◇","◆"),"")</f>
        <v/>
      </c>
      <c r="BJ294" s="14" t="str">
        <f>IF(AND(ISNUMBER($I294),OR($K294="Milestone",$K294="Deadline"),$I294&gt;=BJ$4,$I294&lt;BJ$4+7),IF($K294="Deadline","◇","◆"),"")</f>
        <v/>
      </c>
      <c r="BK294" s="14" t="str">
        <f>IF(AND(ISNUMBER($I294),OR($K294="Milestone",$K294="Deadline"),$I294&gt;=BK$4,$I294&lt;BK$4+7),IF($K294="Deadline","◇","◆"),"")</f>
        <v/>
      </c>
      <c r="BL294" s="14" t="str">
        <f>IF(AND(ISNUMBER($I294),OR($K294="Milestone",$K294="Deadline"),$I294&gt;=BL$4,$I294&lt;BL$4+7),IF($K294="Deadline","◇","◆"),"")</f>
        <v/>
      </c>
      <c r="BM294" s="14" t="str">
        <f>IF(AND(ISNUMBER($I294),OR($K294="Milestone",$K294="Deadline"),$I294&gt;=BM$4,$I294&lt;BM$4+7),IF($K294="Deadline","◇","◆"),"")</f>
        <v/>
      </c>
      <c r="BN294" s="14" t="str">
        <f>IF(AND(ISNUMBER($I294),OR($K294="Milestone",$K294="Deadline"),$I294&gt;=BN$4,$I294&lt;BN$4+7),IF($K294="Deadline","◇","◆"),"")</f>
        <v/>
      </c>
      <c r="BO294" s="14" t="str">
        <f>IF(AND(ISNUMBER($I294),OR($K294="Milestone",$K294="Deadline"),$I294&gt;=BO$4,$I294&lt;BO$4+7),IF($K294="Deadline","◇","◆"),"")</f>
        <v/>
      </c>
      <c r="BP294" s="14" t="str">
        <f>IF(AND(ISNUMBER($I294),OR($K294="Milestone",$K294="Deadline"),$I294&gt;=BP$4,$I294&lt;BP$4+7),IF($K294="Deadline","◇","◆"),"")</f>
        <v/>
      </c>
      <c r="BQ294" s="14" t="str">
        <f>IF(AND(ISNUMBER($I294),OR($K294="Milestone",$K294="Deadline"),$I294&gt;=BQ$4,$I294&lt;BQ$4+7),IF($K294="Deadline","◇","◆"),"")</f>
        <v/>
      </c>
      <c r="BR294" s="14" t="str">
        <f>IF(AND(ISNUMBER($I294),OR($K294="Milestone",$K294="Deadline"),$I294&gt;=BR$4,$I294&lt;BR$4+7),IF($K294="Deadline","◇","◆"),"")</f>
        <v/>
      </c>
      <c r="BS294" s="14" t="str">
        <f>IF(AND(ISNUMBER($I294),OR($K294="Milestone",$K294="Deadline"),$I294&gt;=BS$4,$I294&lt;BS$4+7),IF($K294="Deadline","◇","◆"),"")</f>
        <v/>
      </c>
      <c r="BT294" s="14" t="str">
        <f>IF(AND(ISNUMBER($I294),OR($K294="Milestone",$K294="Deadline"),$I294&gt;=BT$4,$I294&lt;BT$4+7),IF($K294="Deadline","◇","◆"),"")</f>
        <v/>
      </c>
      <c r="BU294" s="14" t="str">
        <f>IF(AND(ISNUMBER($I294),OR($K294="Milestone",$K294="Deadline"),$I294&gt;=BU$4,$I294&lt;BU$4+7),IF($K294="Deadline","◇","◆"),"")</f>
        <v/>
      </c>
      <c r="BV294" s="14" t="str">
        <f>IF(AND(ISNUMBER($I294),OR($K294="Milestone",$K294="Deadline"),$I294&gt;=BV$4,$I294&lt;BV$4+7),IF($K294="Deadline","◇","◆"),"")</f>
        <v/>
      </c>
      <c r="BW294" s="14" t="str">
        <f>IF(AND(ISNUMBER($I294),OR($K294="Milestone",$K294="Deadline"),$I294&gt;=BW$4,$I294&lt;BW$4+7),IF($K294="Deadline","◇","◆"),"")</f>
        <v/>
      </c>
      <c r="BX294" s="14" t="str">
        <f>IF(AND(ISNUMBER($I294),OR($K294="Milestone",$K294="Deadline"),$I294&gt;=BX$4,$I294&lt;BX$4+7),IF($K294="Deadline","◇","◆"),"")</f>
        <v/>
      </c>
      <c r="BY294" s="14" t="str">
        <f>IF(AND(ISNUMBER($I294),OR($K294="Milestone",$K294="Deadline"),$I294&gt;=BY$4,$I294&lt;BY$4+7),IF($K294="Deadline","◇","◆"),"")</f>
        <v/>
      </c>
      <c r="BZ294" s="14" t="str">
        <f>IF(AND(ISNUMBER($I294),OR($K294="Milestone",$K294="Deadline"),$I294&gt;=BZ$4,$I294&lt;BZ$4+7),IF($K294="Deadline","◇","◆"),"")</f>
        <v/>
      </c>
      <c r="CA294" s="14" t="str">
        <f>IF(AND(ISNUMBER($I294),OR($K294="Milestone",$K294="Deadline"),$I294&gt;=CA$4,$I294&lt;CA$4+7),IF($K294="Deadline","◇","◆"),"")</f>
        <v/>
      </c>
      <c r="CB294" s="14" t="str">
        <f>IF(AND(ISNUMBER($I294),OR($K294="Milestone",$K294="Deadline"),$I294&gt;=CB$4,$I294&lt;CB$4+7),IF($K294="Deadline","◇","◆"),"")</f>
        <v/>
      </c>
      <c r="CC294" s="14" t="str">
        <f>IF(AND(ISNUMBER($I294),OR($K294="Milestone",$K294="Deadline"),$I294&gt;=CC$4,$I294&lt;CC$4+7),IF($K294="Deadline","◇","◆"),"")</f>
        <v/>
      </c>
      <c r="CD294" s="14" t="str">
        <f>IF(AND(ISNUMBER($I294),OR($K294="Milestone",$K294="Deadline"),$I294&gt;=CD$4,$I294&lt;CD$4+7),IF($K294="Deadline","◇","◆"),"")</f>
        <v/>
      </c>
      <c r="CE294" s="14" t="str">
        <f>IF(AND(ISNUMBER($I294),OR($K294="Milestone",$K294="Deadline"),$I294&gt;=CE$4,$I294&lt;CE$4+7),IF($K294="Deadline","◇","◆"),"")</f>
        <v/>
      </c>
      <c r="CF294" s="14" t="str">
        <f>IF(AND(ISNUMBER($I294),OR($K294="Milestone",$K294="Deadline"),$I294&gt;=CF$4,$I294&lt;CF$4+7),IF($K294="Deadline","◇","◆"),"")</f>
        <v/>
      </c>
      <c r="CG294" s="14" t="str">
        <f>IF(AND(ISNUMBER($I294),OR($K294="Milestone",$K294="Deadline"),$I294&gt;=CG$4,$I294&lt;CG$4+7),IF($K294="Deadline","◇","◆"),"")</f>
        <v/>
      </c>
      <c r="CH294" s="14" t="str">
        <f>IF(AND(ISNUMBER($I294),OR($K294="Milestone",$K294="Deadline"),$I294&gt;=CH$4,$I294&lt;CH$4+7),IF($K294="Deadline","◇","◆"),"")</f>
        <v/>
      </c>
      <c r="CI294" s="14" t="str">
        <f>IF(AND(ISNUMBER($I294),OR($K294="Milestone",$K294="Deadline"),$I294&gt;=CI$4,$I294&lt;CI$4+7),IF($K294="Deadline","◇","◆"),"")</f>
        <v/>
      </c>
      <c r="CJ294" s="14" t="str">
        <f>IF(AND(ISNUMBER($I294),OR($K294="Milestone",$K294="Deadline"),$I294&gt;=CJ$4,$I294&lt;CJ$4+7),IF($K294="Deadline","◇","◆"),"")</f>
        <v/>
      </c>
      <c r="CK294" s="14" t="str">
        <f>IF(AND(ISNUMBER($I294),OR($K294="Milestone",$K294="Deadline"),$I294&gt;=CK$4,$I294&lt;CK$4+7),IF($K294="Deadline","◇","◆"),"")</f>
        <v/>
      </c>
      <c r="CL294" s="14" t="str">
        <f>IF(AND(ISNUMBER($I294),OR($K294="Milestone",$K294="Deadline"),$I294&gt;=CL$4,$I294&lt;CL$4+7),IF($K294="Deadline","◇","◆"),"")</f>
        <v/>
      </c>
      <c r="CM294" s="14" t="str">
        <f>IF(AND(ISNUMBER($I294),OR($K294="Milestone",$K294="Deadline"),$I294&gt;=CM$4,$I294&lt;CM$4+7),IF($K294="Deadline","◇","◆"),"")</f>
        <v/>
      </c>
    </row>
    <row r="295" spans="1:91" hidden="1">
      <c r="A295" s="29" t="s">
        <v>570</v>
      </c>
      <c r="B295" s="29" t="s">
        <v>566</v>
      </c>
      <c r="C295" s="29" t="s">
        <v>63</v>
      </c>
      <c r="D295" s="29"/>
      <c r="E295" s="29"/>
      <c r="F295" s="29" t="s">
        <v>567</v>
      </c>
      <c r="G295" s="29" t="s">
        <v>571</v>
      </c>
      <c r="H295" s="29">
        <v>14</v>
      </c>
      <c r="I295" s="30">
        <f>MAX($C$2,J14+1,J35+1,J74+1)</f>
        <v>46397</v>
      </c>
      <c r="J295" s="31">
        <f>IF(AND(ISNUMBER(I295),ISNUMBER(H295)),I295+H295-1,"")</f>
        <v>46410</v>
      </c>
      <c r="K295" s="29" t="s">
        <v>27</v>
      </c>
      <c r="L295" s="29" t="s">
        <v>572</v>
      </c>
      <c r="M295" s="32"/>
      <c r="N295" s="29" t="s">
        <v>91</v>
      </c>
      <c r="O295" s="32">
        <f>IF(AND(ISNUMBER(I295),ISNUMBER(J295)),J295-I295+1,"")</f>
        <v>14</v>
      </c>
      <c r="P295" s="13"/>
      <c r="Q295" s="13"/>
      <c r="R295" s="13"/>
      <c r="S295" s="13"/>
      <c r="T295" s="13"/>
      <c r="U295" s="13"/>
      <c r="V295" s="13"/>
      <c r="W295" s="13" t="s">
        <v>140</v>
      </c>
      <c r="X295" s="13"/>
      <c r="Y295" s="13"/>
      <c r="Z295" s="13"/>
      <c r="AA295" s="13"/>
      <c r="AB295" s="13"/>
      <c r="AC295" s="13"/>
      <c r="AD295" s="13"/>
      <c r="AE295" s="13"/>
      <c r="AF295" s="13"/>
      <c r="AG295" s="13"/>
      <c r="AH295" s="13"/>
      <c r="AI295" s="13"/>
      <c r="AJ295" s="13"/>
      <c r="AK295" s="13"/>
      <c r="AL295" s="13"/>
      <c r="AM295" s="13"/>
      <c r="AN295" s="13"/>
      <c r="AO295" s="14" t="str">
        <f>IF(AND(ISNUMBER($I295),OR($K295="Milestone",$K295="Deadline"),$I295&gt;=AO$4,$I295&lt;AO$4+7),IF($K295="Deadline","◇","◆"),"")</f>
        <v/>
      </c>
      <c r="AP295" s="14" t="str">
        <f>IF(AND(ISNUMBER($I295),OR($K295="Milestone",$K295="Deadline"),$I295&gt;=AP$4,$I295&lt;AP$4+7),IF($K295="Deadline","◇","◆"),"")</f>
        <v/>
      </c>
      <c r="AQ295" s="14" t="str">
        <f>IF(AND(ISNUMBER($I295),OR($K295="Milestone",$K295="Deadline"),$I295&gt;=AQ$4,$I295&lt;AQ$4+7),IF($K295="Deadline","◇","◆"),"")</f>
        <v/>
      </c>
      <c r="AR295" s="14" t="str">
        <f>IF(AND(ISNUMBER($I295),OR($K295="Milestone",$K295="Deadline"),$I295&gt;=AR$4,$I295&lt;AR$4+7),IF($K295="Deadline","◇","◆"),"")</f>
        <v/>
      </c>
      <c r="AS295" s="14" t="str">
        <f>IF(AND(ISNUMBER($I295),OR($K295="Milestone",$K295="Deadline"),$I295&gt;=AS$4,$I295&lt;AS$4+7),IF($K295="Deadline","◇","◆"),"")</f>
        <v/>
      </c>
      <c r="AT295" s="14" t="str">
        <f>IF(AND(ISNUMBER($I295),OR($K295="Milestone",$K295="Deadline"),$I295&gt;=AT$4,$I295&lt;AT$4+7),IF($K295="Deadline","◇","◆"),"")</f>
        <v/>
      </c>
      <c r="AU295" s="14" t="str">
        <f>IF(AND(ISNUMBER($I295),OR($K295="Milestone",$K295="Deadline"),$I295&gt;=AU$4,$I295&lt;AU$4+7),IF($K295="Deadline","◇","◆"),"")</f>
        <v/>
      </c>
      <c r="AV295" s="14" t="str">
        <f>IF(AND(ISNUMBER($I295),OR($K295="Milestone",$K295="Deadline"),$I295&gt;=AV$4,$I295&lt;AV$4+7),IF($K295="Deadline","◇","◆"),"")</f>
        <v/>
      </c>
      <c r="AW295" s="14" t="str">
        <f>IF(AND(ISNUMBER($I295),OR($K295="Milestone",$K295="Deadline"),$I295&gt;=AW$4,$I295&lt;AW$4+7),IF($K295="Deadline","◇","◆"),"")</f>
        <v/>
      </c>
      <c r="AX295" s="14" t="str">
        <f>IF(AND(ISNUMBER($I295),OR($K295="Milestone",$K295="Deadline"),$I295&gt;=AX$4,$I295&lt;AX$4+7),IF($K295="Deadline","◇","◆"),"")</f>
        <v/>
      </c>
      <c r="AY295" s="14" t="str">
        <f>IF(AND(ISNUMBER($I295),OR($K295="Milestone",$K295="Deadline"),$I295&gt;=AY$4,$I295&lt;AY$4+7),IF($K295="Deadline","◇","◆"),"")</f>
        <v/>
      </c>
      <c r="AZ295" s="14" t="str">
        <f>IF(AND(ISNUMBER($I295),OR($K295="Milestone",$K295="Deadline"),$I295&gt;=AZ$4,$I295&lt;AZ$4+7),IF($K295="Deadline","◇","◆"),"")</f>
        <v/>
      </c>
      <c r="BA295" s="14" t="str">
        <f>IF(AND(ISNUMBER($I295),OR($K295="Milestone",$K295="Deadline"),$I295&gt;=BA$4,$I295&lt;BA$4+7),IF($K295="Deadline","◇","◆"),"")</f>
        <v/>
      </c>
      <c r="BB295" s="14" t="str">
        <f>IF(AND(ISNUMBER($I295),OR($K295="Milestone",$K295="Deadline"),$I295&gt;=BB$4,$I295&lt;BB$4+7),IF($K295="Deadline","◇","◆"),"")</f>
        <v/>
      </c>
      <c r="BC295" s="14" t="str">
        <f>IF(AND(ISNUMBER($I295),OR($K295="Milestone",$K295="Deadline"),$I295&gt;=BC$4,$I295&lt;BC$4+7),IF($K295="Deadline","◇","◆"),"")</f>
        <v/>
      </c>
      <c r="BD295" s="14" t="str">
        <f>IF(AND(ISNUMBER($I295),OR($K295="Milestone",$K295="Deadline"),$I295&gt;=BD$4,$I295&lt;BD$4+7),IF($K295="Deadline","◇","◆"),"")</f>
        <v/>
      </c>
      <c r="BE295" s="14" t="str">
        <f>IF(AND(ISNUMBER($I295),OR($K295="Milestone",$K295="Deadline"),$I295&gt;=BE$4,$I295&lt;BE$4+7),IF($K295="Deadline","◇","◆"),"")</f>
        <v/>
      </c>
      <c r="BF295" s="14" t="str">
        <f>IF(AND(ISNUMBER($I295),OR($K295="Milestone",$K295="Deadline"),$I295&gt;=BF$4,$I295&lt;BF$4+7),IF($K295="Deadline","◇","◆"),"")</f>
        <v/>
      </c>
      <c r="BG295" s="14" t="str">
        <f>IF(AND(ISNUMBER($I295),OR($K295="Milestone",$K295="Deadline"),$I295&gt;=BG$4,$I295&lt;BG$4+7),IF($K295="Deadline","◇","◆"),"")</f>
        <v/>
      </c>
      <c r="BH295" s="14" t="str">
        <f>IF(AND(ISNUMBER($I295),OR($K295="Milestone",$K295="Deadline"),$I295&gt;=BH$4,$I295&lt;BH$4+7),IF($K295="Deadline","◇","◆"),"")</f>
        <v/>
      </c>
      <c r="BI295" s="14" t="str">
        <f>IF(AND(ISNUMBER($I295),OR($K295="Milestone",$K295="Deadline"),$I295&gt;=BI$4,$I295&lt;BI$4+7),IF($K295="Deadline","◇","◆"),"")</f>
        <v/>
      </c>
      <c r="BJ295" s="14" t="str">
        <f>IF(AND(ISNUMBER($I295),OR($K295="Milestone",$K295="Deadline"),$I295&gt;=BJ$4,$I295&lt;BJ$4+7),IF($K295="Deadline","◇","◆"),"")</f>
        <v/>
      </c>
      <c r="BK295" s="14" t="str">
        <f>IF(AND(ISNUMBER($I295),OR($K295="Milestone",$K295="Deadline"),$I295&gt;=BK$4,$I295&lt;BK$4+7),IF($K295="Deadline","◇","◆"),"")</f>
        <v/>
      </c>
      <c r="BL295" s="14" t="str">
        <f>IF(AND(ISNUMBER($I295),OR($K295="Milestone",$K295="Deadline"),$I295&gt;=BL$4,$I295&lt;BL$4+7),IF($K295="Deadline","◇","◆"),"")</f>
        <v/>
      </c>
      <c r="BM295" s="14" t="str">
        <f>IF(AND(ISNUMBER($I295),OR($K295="Milestone",$K295="Deadline"),$I295&gt;=BM$4,$I295&lt;BM$4+7),IF($K295="Deadline","◇","◆"),"")</f>
        <v/>
      </c>
      <c r="BN295" s="14" t="str">
        <f>IF(AND(ISNUMBER($I295),OR($K295="Milestone",$K295="Deadline"),$I295&gt;=BN$4,$I295&lt;BN$4+7),IF($K295="Deadline","◇","◆"),"")</f>
        <v/>
      </c>
      <c r="BO295" s="14" t="str">
        <f>IF(AND(ISNUMBER($I295),OR($K295="Milestone",$K295="Deadline"),$I295&gt;=BO$4,$I295&lt;BO$4+7),IF($K295="Deadline","◇","◆"),"")</f>
        <v/>
      </c>
      <c r="BP295" s="14" t="str">
        <f>IF(AND(ISNUMBER($I295),OR($K295="Milestone",$K295="Deadline"),$I295&gt;=BP$4,$I295&lt;BP$4+7),IF($K295="Deadline","◇","◆"),"")</f>
        <v/>
      </c>
      <c r="BQ295" s="14" t="str">
        <f>IF(AND(ISNUMBER($I295),OR($K295="Milestone",$K295="Deadline"),$I295&gt;=BQ$4,$I295&lt;BQ$4+7),IF($K295="Deadline","◇","◆"),"")</f>
        <v/>
      </c>
      <c r="BR295" s="14" t="str">
        <f>IF(AND(ISNUMBER($I295),OR($K295="Milestone",$K295="Deadline"),$I295&gt;=BR$4,$I295&lt;BR$4+7),IF($K295="Deadline","◇","◆"),"")</f>
        <v/>
      </c>
      <c r="BS295" s="14" t="str">
        <f>IF(AND(ISNUMBER($I295),OR($K295="Milestone",$K295="Deadline"),$I295&gt;=BS$4,$I295&lt;BS$4+7),IF($K295="Deadline","◇","◆"),"")</f>
        <v/>
      </c>
      <c r="BT295" s="14" t="str">
        <f>IF(AND(ISNUMBER($I295),OR($K295="Milestone",$K295="Deadline"),$I295&gt;=BT$4,$I295&lt;BT$4+7),IF($K295="Deadline","◇","◆"),"")</f>
        <v/>
      </c>
      <c r="BU295" s="14" t="str">
        <f>IF(AND(ISNUMBER($I295),OR($K295="Milestone",$K295="Deadline"),$I295&gt;=BU$4,$I295&lt;BU$4+7),IF($K295="Deadline","◇","◆"),"")</f>
        <v/>
      </c>
      <c r="BV295" s="14" t="str">
        <f>IF(AND(ISNUMBER($I295),OR($K295="Milestone",$K295="Deadline"),$I295&gt;=BV$4,$I295&lt;BV$4+7),IF($K295="Deadline","◇","◆"),"")</f>
        <v/>
      </c>
      <c r="BW295" s="14" t="str">
        <f>IF(AND(ISNUMBER($I295),OR($K295="Milestone",$K295="Deadline"),$I295&gt;=BW$4,$I295&lt;BW$4+7),IF($K295="Deadline","◇","◆"),"")</f>
        <v/>
      </c>
      <c r="BX295" s="14" t="str">
        <f>IF(AND(ISNUMBER($I295),OR($K295="Milestone",$K295="Deadline"),$I295&gt;=BX$4,$I295&lt;BX$4+7),IF($K295="Deadline","◇","◆"),"")</f>
        <v/>
      </c>
      <c r="BY295" s="14" t="str">
        <f>IF(AND(ISNUMBER($I295),OR($K295="Milestone",$K295="Deadline"),$I295&gt;=BY$4,$I295&lt;BY$4+7),IF($K295="Deadline","◇","◆"),"")</f>
        <v/>
      </c>
      <c r="BZ295" s="14" t="str">
        <f>IF(AND(ISNUMBER($I295),OR($K295="Milestone",$K295="Deadline"),$I295&gt;=BZ$4,$I295&lt;BZ$4+7),IF($K295="Deadline","◇","◆"),"")</f>
        <v/>
      </c>
      <c r="CA295" s="14" t="str">
        <f>IF(AND(ISNUMBER($I295),OR($K295="Milestone",$K295="Deadline"),$I295&gt;=CA$4,$I295&lt;CA$4+7),IF($K295="Deadline","◇","◆"),"")</f>
        <v/>
      </c>
      <c r="CB295" s="14" t="str">
        <f>IF(AND(ISNUMBER($I295),OR($K295="Milestone",$K295="Deadline"),$I295&gt;=CB$4,$I295&lt;CB$4+7),IF($K295="Deadline","◇","◆"),"")</f>
        <v/>
      </c>
      <c r="CC295" s="14" t="str">
        <f>IF(AND(ISNUMBER($I295),OR($K295="Milestone",$K295="Deadline"),$I295&gt;=CC$4,$I295&lt;CC$4+7),IF($K295="Deadline","◇","◆"),"")</f>
        <v/>
      </c>
      <c r="CD295" s="14" t="str">
        <f>IF(AND(ISNUMBER($I295),OR($K295="Milestone",$K295="Deadline"),$I295&gt;=CD$4,$I295&lt;CD$4+7),IF($K295="Deadline","◇","◆"),"")</f>
        <v/>
      </c>
      <c r="CE295" s="14" t="str">
        <f>IF(AND(ISNUMBER($I295),OR($K295="Milestone",$K295="Deadline"),$I295&gt;=CE$4,$I295&lt;CE$4+7),IF($K295="Deadline","◇","◆"),"")</f>
        <v/>
      </c>
      <c r="CF295" s="14" t="str">
        <f>IF(AND(ISNUMBER($I295),OR($K295="Milestone",$K295="Deadline"),$I295&gt;=CF$4,$I295&lt;CF$4+7),IF($K295="Deadline","◇","◆"),"")</f>
        <v/>
      </c>
      <c r="CG295" s="14" t="str">
        <f>IF(AND(ISNUMBER($I295),OR($K295="Milestone",$K295="Deadline"),$I295&gt;=CG$4,$I295&lt;CG$4+7),IF($K295="Deadline","◇","◆"),"")</f>
        <v/>
      </c>
      <c r="CH295" s="14" t="str">
        <f>IF(AND(ISNUMBER($I295),OR($K295="Milestone",$K295="Deadline"),$I295&gt;=CH$4,$I295&lt;CH$4+7),IF($K295="Deadline","◇","◆"),"")</f>
        <v/>
      </c>
      <c r="CI295" s="14" t="str">
        <f>IF(AND(ISNUMBER($I295),OR($K295="Milestone",$K295="Deadline"),$I295&gt;=CI$4,$I295&lt;CI$4+7),IF($K295="Deadline","◇","◆"),"")</f>
        <v/>
      </c>
      <c r="CJ295" s="14" t="str">
        <f>IF(AND(ISNUMBER($I295),OR($K295="Milestone",$K295="Deadline"),$I295&gt;=CJ$4,$I295&lt;CJ$4+7),IF($K295="Deadline","◇","◆"),"")</f>
        <v/>
      </c>
      <c r="CK295" s="14" t="str">
        <f>IF(AND(ISNUMBER($I295),OR($K295="Milestone",$K295="Deadline"),$I295&gt;=CK$4,$I295&lt;CK$4+7),IF($K295="Deadline","◇","◆"),"")</f>
        <v/>
      </c>
      <c r="CL295" s="14" t="str">
        <f>IF(AND(ISNUMBER($I295),OR($K295="Milestone",$K295="Deadline"),$I295&gt;=CL$4,$I295&lt;CL$4+7),IF($K295="Deadline","◇","◆"),"")</f>
        <v/>
      </c>
      <c r="CM295" s="14" t="str">
        <f>IF(AND(ISNUMBER($I295),OR($K295="Milestone",$K295="Deadline"),$I295&gt;=CM$4,$I295&lt;CM$4+7),IF($K295="Deadline","◇","◆"),"")</f>
        <v/>
      </c>
    </row>
    <row r="296" spans="1:91" hidden="1">
      <c r="A296" s="9" t="s">
        <v>573</v>
      </c>
      <c r="B296" s="9" t="s">
        <v>574</v>
      </c>
      <c r="C296" s="9" t="s">
        <v>117</v>
      </c>
      <c r="D296" s="9"/>
      <c r="E296" s="9"/>
      <c r="F296" s="9"/>
      <c r="G296" s="9" t="s">
        <v>575</v>
      </c>
      <c r="H296" s="9">
        <v>60</v>
      </c>
      <c r="I296" s="51">
        <f>MAX(DATE(2027,3,8),J33+1,J34+1,J35+1,J36+1,J37+1,J38+1,J39+1,J40+1,J41+1,J42+1,J43+1,J44+1,J45+1,J46+1,J47+1,J48+1,J49+1,J50+1,J52+1,J53+1,J54+1,J55+1,J56+1,J57+1,J58+1,J59+1,J60+1,J61+1,J67+1,J68+1,J69+1,J70+1,J71+1,J72+1,J73+1,J74+1,J76+1,J77+1,J78+1,J79+1,J80+1,J81+1,J82+1,J83+1,J84+1,J85+1,J91+1,J92+1,J94+1,J95+1,J96+1,J97+1,J98+1,J99+1,J100+1,J101+1,J117+1,J118+1,J119+1,J120+1,J122+1,J123+1,J124+1,J125+1,J126+1,J127+1,J128+1,J129+1,J285+1,J286+1,J287+1,J288+1,J289+1,J290+1,J291+1,J292+1,J293+1,J294+1,J295+1,J121+1,J247+1,J163+1)</f>
        <v>46454</v>
      </c>
      <c r="J296" s="11">
        <f>IF(AND(ISNUMBER(I296),ISNUMBER(H296)),I296+H296-1,"")</f>
        <v>46513</v>
      </c>
      <c r="K296" s="9" t="s">
        <v>27</v>
      </c>
      <c r="L296" s="9" t="s">
        <v>576</v>
      </c>
      <c r="M296" s="12" t="s">
        <v>577</v>
      </c>
      <c r="N296" s="9"/>
      <c r="O296" s="12">
        <f>IF(AND(ISNUMBER(I296),ISNUMBER(J296)),J296-I296+1,"")</f>
        <v>60</v>
      </c>
      <c r="P296" s="13"/>
      <c r="Q296" s="13"/>
      <c r="R296" s="13"/>
      <c r="S296" s="13"/>
      <c r="T296" s="13"/>
      <c r="U296" s="13" t="s">
        <v>140</v>
      </c>
      <c r="V296" s="13" t="s">
        <v>140</v>
      </c>
      <c r="W296" s="13" t="s">
        <v>140</v>
      </c>
      <c r="X296" s="13"/>
      <c r="Y296" s="13" t="s">
        <v>140</v>
      </c>
      <c r="Z296" s="13" t="s">
        <v>140</v>
      </c>
      <c r="AA296" s="13" t="s">
        <v>140</v>
      </c>
      <c r="AB296" s="13"/>
      <c r="AC296" s="13"/>
      <c r="AD296" s="13"/>
      <c r="AE296" s="13"/>
      <c r="AF296" s="13"/>
      <c r="AG296" s="13"/>
      <c r="AH296" s="13"/>
      <c r="AI296" s="13"/>
      <c r="AJ296" s="13" t="s">
        <v>140</v>
      </c>
      <c r="AK296" s="13" t="s">
        <v>140</v>
      </c>
      <c r="AL296" s="13" t="s">
        <v>140</v>
      </c>
      <c r="AM296" s="13"/>
      <c r="AN296" s="13"/>
      <c r="AO296" s="14" t="str">
        <f>IF(AND(ISNUMBER($I296),OR($K296="Milestone",$K296="Deadline"),$I296&gt;=AO$4,$I296&lt;AO$4+7),IF($K296="Deadline","◇","◆"),"")</f>
        <v/>
      </c>
      <c r="AP296" s="14" t="str">
        <f>IF(AND(ISNUMBER($I296),OR($K296="Milestone",$K296="Deadline"),$I296&gt;=AP$4,$I296&lt;AP$4+7),IF($K296="Deadline","◇","◆"),"")</f>
        <v/>
      </c>
      <c r="AQ296" s="14" t="str">
        <f>IF(AND(ISNUMBER($I296),OR($K296="Milestone",$K296="Deadline"),$I296&gt;=AQ$4,$I296&lt;AQ$4+7),IF($K296="Deadline","◇","◆"),"")</f>
        <v/>
      </c>
      <c r="AR296" s="14" t="str">
        <f>IF(AND(ISNUMBER($I296),OR($K296="Milestone",$K296="Deadline"),$I296&gt;=AR$4,$I296&lt;AR$4+7),IF($K296="Deadline","◇","◆"),"")</f>
        <v/>
      </c>
      <c r="AS296" s="14" t="str">
        <f>IF(AND(ISNUMBER($I296),OR($K296="Milestone",$K296="Deadline"),$I296&gt;=AS$4,$I296&lt;AS$4+7),IF($K296="Deadline","◇","◆"),"")</f>
        <v/>
      </c>
      <c r="AT296" s="14" t="str">
        <f>IF(AND(ISNUMBER($I296),OR($K296="Milestone",$K296="Deadline"),$I296&gt;=AT$4,$I296&lt;AT$4+7),IF($K296="Deadline","◇","◆"),"")</f>
        <v/>
      </c>
      <c r="AU296" s="14" t="str">
        <f>IF(AND(ISNUMBER($I296),OR($K296="Milestone",$K296="Deadline"),$I296&gt;=AU$4,$I296&lt;AU$4+7),IF($K296="Deadline","◇","◆"),"")</f>
        <v/>
      </c>
      <c r="AV296" s="14" t="str">
        <f>IF(AND(ISNUMBER($I296),OR($K296="Milestone",$K296="Deadline"),$I296&gt;=AV$4,$I296&lt;AV$4+7),IF($K296="Deadline","◇","◆"),"")</f>
        <v/>
      </c>
      <c r="AW296" s="14" t="str">
        <f>IF(AND(ISNUMBER($I296),OR($K296="Milestone",$K296="Deadline"),$I296&gt;=AW$4,$I296&lt;AW$4+7),IF($K296="Deadline","◇","◆"),"")</f>
        <v/>
      </c>
      <c r="AX296" s="14" t="str">
        <f>IF(AND(ISNUMBER($I296),OR($K296="Milestone",$K296="Deadline"),$I296&gt;=AX$4,$I296&lt;AX$4+7),IF($K296="Deadline","◇","◆"),"")</f>
        <v/>
      </c>
      <c r="AY296" s="14" t="str">
        <f>IF(AND(ISNUMBER($I296),OR($K296="Milestone",$K296="Deadline"),$I296&gt;=AY$4,$I296&lt;AY$4+7),IF($K296="Deadline","◇","◆"),"")</f>
        <v/>
      </c>
      <c r="AZ296" s="14" t="str">
        <f>IF(AND(ISNUMBER($I296),OR($K296="Milestone",$K296="Deadline"),$I296&gt;=AZ$4,$I296&lt;AZ$4+7),IF($K296="Deadline","◇","◆"),"")</f>
        <v/>
      </c>
      <c r="BA296" s="14" t="str">
        <f>IF(AND(ISNUMBER($I296),OR($K296="Milestone",$K296="Deadline"),$I296&gt;=BA$4,$I296&lt;BA$4+7),IF($K296="Deadline","◇","◆"),"")</f>
        <v/>
      </c>
      <c r="BB296" s="14" t="str">
        <f>IF(AND(ISNUMBER($I296),OR($K296="Milestone",$K296="Deadline"),$I296&gt;=BB$4,$I296&lt;BB$4+7),IF($K296="Deadline","◇","◆"),"")</f>
        <v/>
      </c>
      <c r="BC296" s="14" t="str">
        <f>IF(AND(ISNUMBER($I296),OR($K296="Milestone",$K296="Deadline"),$I296&gt;=BC$4,$I296&lt;BC$4+7),IF($K296="Deadline","◇","◆"),"")</f>
        <v/>
      </c>
      <c r="BD296" s="14" t="str">
        <f>IF(AND(ISNUMBER($I296),OR($K296="Milestone",$K296="Deadline"),$I296&gt;=BD$4,$I296&lt;BD$4+7),IF($K296="Deadline","◇","◆"),"")</f>
        <v/>
      </c>
      <c r="BE296" s="14" t="str">
        <f>IF(AND(ISNUMBER($I296),OR($K296="Milestone",$K296="Deadline"),$I296&gt;=BE$4,$I296&lt;BE$4+7),IF($K296="Deadline","◇","◆"),"")</f>
        <v/>
      </c>
      <c r="BF296" s="14" t="str">
        <f>IF(AND(ISNUMBER($I296),OR($K296="Milestone",$K296="Deadline"),$I296&gt;=BF$4,$I296&lt;BF$4+7),IF($K296="Deadline","◇","◆"),"")</f>
        <v/>
      </c>
      <c r="BG296" s="14" t="str">
        <f>IF(AND(ISNUMBER($I296),OR($K296="Milestone",$K296="Deadline"),$I296&gt;=BG$4,$I296&lt;BG$4+7),IF($K296="Deadline","◇","◆"),"")</f>
        <v/>
      </c>
      <c r="BH296" s="14" t="str">
        <f>IF(AND(ISNUMBER($I296),OR($K296="Milestone",$K296="Deadline"),$I296&gt;=BH$4,$I296&lt;BH$4+7),IF($K296="Deadline","◇","◆"),"")</f>
        <v/>
      </c>
      <c r="BI296" s="14" t="str">
        <f>IF(AND(ISNUMBER($I296),OR($K296="Milestone",$K296="Deadline"),$I296&gt;=BI$4,$I296&lt;BI$4+7),IF($K296="Deadline","◇","◆"),"")</f>
        <v/>
      </c>
      <c r="BJ296" s="14" t="str">
        <f>IF(AND(ISNUMBER($I296),OR($K296="Milestone",$K296="Deadline"),$I296&gt;=BJ$4,$I296&lt;BJ$4+7),IF($K296="Deadline","◇","◆"),"")</f>
        <v/>
      </c>
      <c r="BK296" s="14" t="str">
        <f>IF(AND(ISNUMBER($I296),OR($K296="Milestone",$K296="Deadline"),$I296&gt;=BK$4,$I296&lt;BK$4+7),IF($K296="Deadline","◇","◆"),"")</f>
        <v/>
      </c>
      <c r="BL296" s="14" t="str">
        <f>IF(AND(ISNUMBER($I296),OR($K296="Milestone",$K296="Deadline"),$I296&gt;=BL$4,$I296&lt;BL$4+7),IF($K296="Deadline","◇","◆"),"")</f>
        <v/>
      </c>
      <c r="BM296" s="14" t="str">
        <f>IF(AND(ISNUMBER($I296),OR($K296="Milestone",$K296="Deadline"),$I296&gt;=BM$4,$I296&lt;BM$4+7),IF($K296="Deadline","◇","◆"),"")</f>
        <v/>
      </c>
      <c r="BN296" s="14" t="str">
        <f>IF(AND(ISNUMBER($I296),OR($K296="Milestone",$K296="Deadline"),$I296&gt;=BN$4,$I296&lt;BN$4+7),IF($K296="Deadline","◇","◆"),"")</f>
        <v/>
      </c>
      <c r="BO296" s="14" t="str">
        <f>IF(AND(ISNUMBER($I296),OR($K296="Milestone",$K296="Deadline"),$I296&gt;=BO$4,$I296&lt;BO$4+7),IF($K296="Deadline","◇","◆"),"")</f>
        <v/>
      </c>
      <c r="BP296" s="14" t="str">
        <f>IF(AND(ISNUMBER($I296),OR($K296="Milestone",$K296="Deadline"),$I296&gt;=BP$4,$I296&lt;BP$4+7),IF($K296="Deadline","◇","◆"),"")</f>
        <v/>
      </c>
      <c r="BQ296" s="14" t="str">
        <f>IF(AND(ISNUMBER($I296),OR($K296="Milestone",$K296="Deadline"),$I296&gt;=BQ$4,$I296&lt;BQ$4+7),IF($K296="Deadline","◇","◆"),"")</f>
        <v/>
      </c>
      <c r="BR296" s="14" t="str">
        <f>IF(AND(ISNUMBER($I296),OR($K296="Milestone",$K296="Deadline"),$I296&gt;=BR$4,$I296&lt;BR$4+7),IF($K296="Deadline","◇","◆"),"")</f>
        <v/>
      </c>
      <c r="BS296" s="14" t="str">
        <f>IF(AND(ISNUMBER($I296),OR($K296="Milestone",$K296="Deadline"),$I296&gt;=BS$4,$I296&lt;BS$4+7),IF($K296="Deadline","◇","◆"),"")</f>
        <v/>
      </c>
      <c r="BT296" s="14" t="str">
        <f>IF(AND(ISNUMBER($I296),OR($K296="Milestone",$K296="Deadline"),$I296&gt;=BT$4,$I296&lt;BT$4+7),IF($K296="Deadline","◇","◆"),"")</f>
        <v/>
      </c>
      <c r="BU296" s="14" t="str">
        <f>IF(AND(ISNUMBER($I296),OR($K296="Milestone",$K296="Deadline"),$I296&gt;=BU$4,$I296&lt;BU$4+7),IF($K296="Deadline","◇","◆"),"")</f>
        <v/>
      </c>
      <c r="BV296" s="14" t="str">
        <f>IF(AND(ISNUMBER($I296),OR($K296="Milestone",$K296="Deadline"),$I296&gt;=BV$4,$I296&lt;BV$4+7),IF($K296="Deadline","◇","◆"),"")</f>
        <v/>
      </c>
      <c r="BW296" s="14" t="str">
        <f>IF(AND(ISNUMBER($I296),OR($K296="Milestone",$K296="Deadline"),$I296&gt;=BW$4,$I296&lt;BW$4+7),IF($K296="Deadline","◇","◆"),"")</f>
        <v/>
      </c>
      <c r="BX296" s="14" t="str">
        <f>IF(AND(ISNUMBER($I296),OR($K296="Milestone",$K296="Deadline"),$I296&gt;=BX$4,$I296&lt;BX$4+7),IF($K296="Deadline","◇","◆"),"")</f>
        <v/>
      </c>
      <c r="BY296" s="14" t="str">
        <f>IF(AND(ISNUMBER($I296),OR($K296="Milestone",$K296="Deadline"),$I296&gt;=BY$4,$I296&lt;BY$4+7),IF($K296="Deadline","◇","◆"),"")</f>
        <v/>
      </c>
      <c r="BZ296" s="14" t="str">
        <f>IF(AND(ISNUMBER($I296),OR($K296="Milestone",$K296="Deadline"),$I296&gt;=BZ$4,$I296&lt;BZ$4+7),IF($K296="Deadline","◇","◆"),"")</f>
        <v/>
      </c>
      <c r="CA296" s="14" t="str">
        <f>IF(AND(ISNUMBER($I296),OR($K296="Milestone",$K296="Deadline"),$I296&gt;=CA$4,$I296&lt;CA$4+7),IF($K296="Deadline","◇","◆"),"")</f>
        <v/>
      </c>
      <c r="CB296" s="14" t="str">
        <f>IF(AND(ISNUMBER($I296),OR($K296="Milestone",$K296="Deadline"),$I296&gt;=CB$4,$I296&lt;CB$4+7),IF($K296="Deadline","◇","◆"),"")</f>
        <v/>
      </c>
      <c r="CC296" s="14" t="str">
        <f>IF(AND(ISNUMBER($I296),OR($K296="Milestone",$K296="Deadline"),$I296&gt;=CC$4,$I296&lt;CC$4+7),IF($K296="Deadline","◇","◆"),"")</f>
        <v/>
      </c>
      <c r="CD296" s="14" t="str">
        <f>IF(AND(ISNUMBER($I296),OR($K296="Milestone",$K296="Deadline"),$I296&gt;=CD$4,$I296&lt;CD$4+7),IF($K296="Deadline","◇","◆"),"")</f>
        <v/>
      </c>
      <c r="CE296" s="14" t="str">
        <f>IF(AND(ISNUMBER($I296),OR($K296="Milestone",$K296="Deadline"),$I296&gt;=CE$4,$I296&lt;CE$4+7),IF($K296="Deadline","◇","◆"),"")</f>
        <v/>
      </c>
      <c r="CF296" s="14" t="str">
        <f>IF(AND(ISNUMBER($I296),OR($K296="Milestone",$K296="Deadline"),$I296&gt;=CF$4,$I296&lt;CF$4+7),IF($K296="Deadline","◇","◆"),"")</f>
        <v/>
      </c>
      <c r="CG296" s="14" t="str">
        <f>IF(AND(ISNUMBER($I296),OR($K296="Milestone",$K296="Deadline"),$I296&gt;=CG$4,$I296&lt;CG$4+7),IF($K296="Deadline","◇","◆"),"")</f>
        <v/>
      </c>
      <c r="CH296" s="14" t="str">
        <f>IF(AND(ISNUMBER($I296),OR($K296="Milestone",$K296="Deadline"),$I296&gt;=CH$4,$I296&lt;CH$4+7),IF($K296="Deadline","◇","◆"),"")</f>
        <v/>
      </c>
      <c r="CI296" s="14" t="str">
        <f>IF(AND(ISNUMBER($I296),OR($K296="Milestone",$K296="Deadline"),$I296&gt;=CI$4,$I296&lt;CI$4+7),IF($K296="Deadline","◇","◆"),"")</f>
        <v/>
      </c>
      <c r="CJ296" s="14" t="str">
        <f>IF(AND(ISNUMBER($I296),OR($K296="Milestone",$K296="Deadline"),$I296&gt;=CJ$4,$I296&lt;CJ$4+7),IF($K296="Deadline","◇","◆"),"")</f>
        <v/>
      </c>
      <c r="CK296" s="14" t="str">
        <f>IF(AND(ISNUMBER($I296),OR($K296="Milestone",$K296="Deadline"),$I296&gt;=CK$4,$I296&lt;CK$4+7),IF($K296="Deadline","◇","◆"),"")</f>
        <v/>
      </c>
      <c r="CL296" s="14" t="str">
        <f>IF(AND(ISNUMBER($I296),OR($K296="Milestone",$K296="Deadline"),$I296&gt;=CL$4,$I296&lt;CL$4+7),IF($K296="Deadline","◇","◆"),"")</f>
        <v/>
      </c>
      <c r="CM296" s="14" t="str">
        <f>IF(AND(ISNUMBER($I296),OR($K296="Milestone",$K296="Deadline"),$I296&gt;=CM$4,$I296&lt;CM$4+7),IF($K296="Deadline","◇","◆"),"")</f>
        <v/>
      </c>
    </row>
    <row r="297" spans="1:91" hidden="1">
      <c r="A297" s="15" t="s">
        <v>578</v>
      </c>
      <c r="B297" s="15" t="s">
        <v>579</v>
      </c>
      <c r="C297" s="15" t="s">
        <v>63</v>
      </c>
      <c r="D297" s="15"/>
      <c r="E297" s="15"/>
      <c r="F297" s="15"/>
      <c r="G297" s="15" t="s">
        <v>580</v>
      </c>
      <c r="H297" s="15">
        <v>31</v>
      </c>
      <c r="I297" s="16">
        <v>46388</v>
      </c>
      <c r="J297" s="17">
        <f>IF(AND(ISNUMBER(I297),ISNUMBER(H297)),I297+H297-1,"")</f>
        <v>46418</v>
      </c>
      <c r="K297" s="15" t="s">
        <v>27</v>
      </c>
      <c r="L297" s="15" t="s">
        <v>581</v>
      </c>
      <c r="M297" s="18"/>
      <c r="N297" s="15" t="s">
        <v>582</v>
      </c>
      <c r="O297" s="18">
        <f>IF(AND(ISNUMBER(I297),ISNUMBER(J297)),J297-I297+1,"")</f>
        <v>31</v>
      </c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  <c r="AG297" s="13"/>
      <c r="AH297" s="13"/>
      <c r="AI297" s="13"/>
      <c r="AJ297" s="13"/>
      <c r="AK297" s="13"/>
      <c r="AL297" s="13"/>
      <c r="AM297" s="13"/>
      <c r="AN297" s="13"/>
      <c r="AO297" s="14" t="str">
        <f>IF(AND(ISNUMBER($I297),OR($K297="Milestone",$K297="Deadline"),$I297&gt;=AO$4,$I297&lt;AO$4+7),IF($K297="Deadline","◇","◆"),"")</f>
        <v/>
      </c>
      <c r="AP297" s="14" t="str">
        <f>IF(AND(ISNUMBER($I297),OR($K297="Milestone",$K297="Deadline"),$I297&gt;=AP$4,$I297&lt;AP$4+7),IF($K297="Deadline","◇","◆"),"")</f>
        <v/>
      </c>
      <c r="AQ297" s="14" t="str">
        <f>IF(AND(ISNUMBER($I297),OR($K297="Milestone",$K297="Deadline"),$I297&gt;=AQ$4,$I297&lt;AQ$4+7),IF($K297="Deadline","◇","◆"),"")</f>
        <v/>
      </c>
      <c r="AR297" s="14" t="str">
        <f>IF(AND(ISNUMBER($I297),OR($K297="Milestone",$K297="Deadline"),$I297&gt;=AR$4,$I297&lt;AR$4+7),IF($K297="Deadline","◇","◆"),"")</f>
        <v/>
      </c>
      <c r="AS297" s="14" t="str">
        <f>IF(AND(ISNUMBER($I297),OR($K297="Milestone",$K297="Deadline"),$I297&gt;=AS$4,$I297&lt;AS$4+7),IF($K297="Deadline","◇","◆"),"")</f>
        <v/>
      </c>
      <c r="AT297" s="14" t="str">
        <f>IF(AND(ISNUMBER($I297),OR($K297="Milestone",$K297="Deadline"),$I297&gt;=AT$4,$I297&lt;AT$4+7),IF($K297="Deadline","◇","◆"),"")</f>
        <v/>
      </c>
      <c r="AU297" s="14" t="str">
        <f>IF(AND(ISNUMBER($I297),OR($K297="Milestone",$K297="Deadline"),$I297&gt;=AU$4,$I297&lt;AU$4+7),IF($K297="Deadline","◇","◆"),"")</f>
        <v/>
      </c>
      <c r="AV297" s="14" t="str">
        <f>IF(AND(ISNUMBER($I297),OR($K297="Milestone",$K297="Deadline"),$I297&gt;=AV$4,$I297&lt;AV$4+7),IF($K297="Deadline","◇","◆"),"")</f>
        <v/>
      </c>
      <c r="AW297" s="14" t="str">
        <f>IF(AND(ISNUMBER($I297),OR($K297="Milestone",$K297="Deadline"),$I297&gt;=AW$4,$I297&lt;AW$4+7),IF($K297="Deadline","◇","◆"),"")</f>
        <v/>
      </c>
      <c r="AX297" s="14" t="str">
        <f>IF(AND(ISNUMBER($I297),OR($K297="Milestone",$K297="Deadline"),$I297&gt;=AX$4,$I297&lt;AX$4+7),IF($K297="Deadline","◇","◆"),"")</f>
        <v/>
      </c>
      <c r="AY297" s="14" t="str">
        <f>IF(AND(ISNUMBER($I297),OR($K297="Milestone",$K297="Deadline"),$I297&gt;=AY$4,$I297&lt;AY$4+7),IF($K297="Deadline","◇","◆"),"")</f>
        <v/>
      </c>
      <c r="AZ297" s="14" t="str">
        <f>IF(AND(ISNUMBER($I297),OR($K297="Milestone",$K297="Deadline"),$I297&gt;=AZ$4,$I297&lt;AZ$4+7),IF($K297="Deadline","◇","◆"),"")</f>
        <v/>
      </c>
      <c r="BA297" s="14" t="str">
        <f>IF(AND(ISNUMBER($I297),OR($K297="Milestone",$K297="Deadline"),$I297&gt;=BA$4,$I297&lt;BA$4+7),IF($K297="Deadline","◇","◆"),"")</f>
        <v/>
      </c>
      <c r="BB297" s="14" t="str">
        <f>IF(AND(ISNUMBER($I297),OR($K297="Milestone",$K297="Deadline"),$I297&gt;=BB$4,$I297&lt;BB$4+7),IF($K297="Deadline","◇","◆"),"")</f>
        <v/>
      </c>
      <c r="BC297" s="14" t="str">
        <f>IF(AND(ISNUMBER($I297),OR($K297="Milestone",$K297="Deadline"),$I297&gt;=BC$4,$I297&lt;BC$4+7),IF($K297="Deadline","◇","◆"),"")</f>
        <v/>
      </c>
      <c r="BD297" s="14" t="str">
        <f>IF(AND(ISNUMBER($I297),OR($K297="Milestone",$K297="Deadline"),$I297&gt;=BD$4,$I297&lt;BD$4+7),IF($K297="Deadline","◇","◆"),"")</f>
        <v/>
      </c>
      <c r="BE297" s="14" t="str">
        <f>IF(AND(ISNUMBER($I297),OR($K297="Milestone",$K297="Deadline"),$I297&gt;=BE$4,$I297&lt;BE$4+7),IF($K297="Deadline","◇","◆"),"")</f>
        <v/>
      </c>
      <c r="BF297" s="14" t="str">
        <f>IF(AND(ISNUMBER($I297),OR($K297="Milestone",$K297="Deadline"),$I297&gt;=BF$4,$I297&lt;BF$4+7),IF($K297="Deadline","◇","◆"),"")</f>
        <v/>
      </c>
      <c r="BG297" s="14" t="str">
        <f>IF(AND(ISNUMBER($I297),OR($K297="Milestone",$K297="Deadline"),$I297&gt;=BG$4,$I297&lt;BG$4+7),IF($K297="Deadline","◇","◆"),"")</f>
        <v/>
      </c>
      <c r="BH297" s="14" t="str">
        <f>IF(AND(ISNUMBER($I297),OR($K297="Milestone",$K297="Deadline"),$I297&gt;=BH$4,$I297&lt;BH$4+7),IF($K297="Deadline","◇","◆"),"")</f>
        <v/>
      </c>
      <c r="BI297" s="14" t="str">
        <f>IF(AND(ISNUMBER($I297),OR($K297="Milestone",$K297="Deadline"),$I297&gt;=BI$4,$I297&lt;BI$4+7),IF($K297="Deadline","◇","◆"),"")</f>
        <v/>
      </c>
      <c r="BJ297" s="14" t="str">
        <f>IF(AND(ISNUMBER($I297),OR($K297="Milestone",$K297="Deadline"),$I297&gt;=BJ$4,$I297&lt;BJ$4+7),IF($K297="Deadline","◇","◆"),"")</f>
        <v/>
      </c>
      <c r="BK297" s="14" t="str">
        <f>IF(AND(ISNUMBER($I297),OR($K297="Milestone",$K297="Deadline"),$I297&gt;=BK$4,$I297&lt;BK$4+7),IF($K297="Deadline","◇","◆"),"")</f>
        <v/>
      </c>
      <c r="BL297" s="14" t="str">
        <f>IF(AND(ISNUMBER($I297),OR($K297="Milestone",$K297="Deadline"),$I297&gt;=BL$4,$I297&lt;BL$4+7),IF($K297="Deadline","◇","◆"),"")</f>
        <v/>
      </c>
      <c r="BM297" s="14" t="str">
        <f>IF(AND(ISNUMBER($I297),OR($K297="Milestone",$K297="Deadline"),$I297&gt;=BM$4,$I297&lt;BM$4+7),IF($K297="Deadline","◇","◆"),"")</f>
        <v/>
      </c>
      <c r="BN297" s="14" t="str">
        <f>IF(AND(ISNUMBER($I297),OR($K297="Milestone",$K297="Deadline"),$I297&gt;=BN$4,$I297&lt;BN$4+7),IF($K297="Deadline","◇","◆"),"")</f>
        <v/>
      </c>
      <c r="BO297" s="14" t="str">
        <f>IF(AND(ISNUMBER($I297),OR($K297="Milestone",$K297="Deadline"),$I297&gt;=BO$4,$I297&lt;BO$4+7),IF($K297="Deadline","◇","◆"),"")</f>
        <v/>
      </c>
      <c r="BP297" s="14" t="str">
        <f>IF(AND(ISNUMBER($I297),OR($K297="Milestone",$K297="Deadline"),$I297&gt;=BP$4,$I297&lt;BP$4+7),IF($K297="Deadline","◇","◆"),"")</f>
        <v/>
      </c>
      <c r="BQ297" s="14" t="str">
        <f>IF(AND(ISNUMBER($I297),OR($K297="Milestone",$K297="Deadline"),$I297&gt;=BQ$4,$I297&lt;BQ$4+7),IF($K297="Deadline","◇","◆"),"")</f>
        <v/>
      </c>
      <c r="BR297" s="14" t="str">
        <f>IF(AND(ISNUMBER($I297),OR($K297="Milestone",$K297="Deadline"),$I297&gt;=BR$4,$I297&lt;BR$4+7),IF($K297="Deadline","◇","◆"),"")</f>
        <v/>
      </c>
      <c r="BS297" s="14" t="str">
        <f>IF(AND(ISNUMBER($I297),OR($K297="Milestone",$K297="Deadline"),$I297&gt;=BS$4,$I297&lt;BS$4+7),IF($K297="Deadline","◇","◆"),"")</f>
        <v/>
      </c>
      <c r="BT297" s="14" t="str">
        <f>IF(AND(ISNUMBER($I297),OR($K297="Milestone",$K297="Deadline"),$I297&gt;=BT$4,$I297&lt;BT$4+7),IF($K297="Deadline","◇","◆"),"")</f>
        <v/>
      </c>
      <c r="BU297" s="14" t="str">
        <f>IF(AND(ISNUMBER($I297),OR($K297="Milestone",$K297="Deadline"),$I297&gt;=BU$4,$I297&lt;BU$4+7),IF($K297="Deadline","◇","◆"),"")</f>
        <v/>
      </c>
      <c r="BV297" s="14" t="str">
        <f>IF(AND(ISNUMBER($I297),OR($K297="Milestone",$K297="Deadline"),$I297&gt;=BV$4,$I297&lt;BV$4+7),IF($K297="Deadline","◇","◆"),"")</f>
        <v/>
      </c>
      <c r="BW297" s="14" t="str">
        <f>IF(AND(ISNUMBER($I297),OR($K297="Milestone",$K297="Deadline"),$I297&gt;=BW$4,$I297&lt;BW$4+7),IF($K297="Deadline","◇","◆"),"")</f>
        <v/>
      </c>
      <c r="BX297" s="14" t="str">
        <f>IF(AND(ISNUMBER($I297),OR($K297="Milestone",$K297="Deadline"),$I297&gt;=BX$4,$I297&lt;BX$4+7),IF($K297="Deadline","◇","◆"),"")</f>
        <v/>
      </c>
      <c r="BY297" s="14" t="str">
        <f>IF(AND(ISNUMBER($I297),OR($K297="Milestone",$K297="Deadline"),$I297&gt;=BY$4,$I297&lt;BY$4+7),IF($K297="Deadline","◇","◆"),"")</f>
        <v/>
      </c>
      <c r="BZ297" s="14" t="str">
        <f>IF(AND(ISNUMBER($I297),OR($K297="Milestone",$K297="Deadline"),$I297&gt;=BZ$4,$I297&lt;BZ$4+7),IF($K297="Deadline","◇","◆"),"")</f>
        <v/>
      </c>
      <c r="CA297" s="14" t="str">
        <f>IF(AND(ISNUMBER($I297),OR($K297="Milestone",$K297="Deadline"),$I297&gt;=CA$4,$I297&lt;CA$4+7),IF($K297="Deadline","◇","◆"),"")</f>
        <v/>
      </c>
      <c r="CB297" s="14" t="str">
        <f>IF(AND(ISNUMBER($I297),OR($K297="Milestone",$K297="Deadline"),$I297&gt;=CB$4,$I297&lt;CB$4+7),IF($K297="Deadline","◇","◆"),"")</f>
        <v/>
      </c>
      <c r="CC297" s="14" t="str">
        <f>IF(AND(ISNUMBER($I297),OR($K297="Milestone",$K297="Deadline"),$I297&gt;=CC$4,$I297&lt;CC$4+7),IF($K297="Deadline","◇","◆"),"")</f>
        <v/>
      </c>
      <c r="CD297" s="14" t="str">
        <f>IF(AND(ISNUMBER($I297),OR($K297="Milestone",$K297="Deadline"),$I297&gt;=CD$4,$I297&lt;CD$4+7),IF($K297="Deadline","◇","◆"),"")</f>
        <v/>
      </c>
      <c r="CE297" s="14" t="str">
        <f>IF(AND(ISNUMBER($I297),OR($K297="Milestone",$K297="Deadline"),$I297&gt;=CE$4,$I297&lt;CE$4+7),IF($K297="Deadline","◇","◆"),"")</f>
        <v/>
      </c>
      <c r="CF297" s="14" t="str">
        <f>IF(AND(ISNUMBER($I297),OR($K297="Milestone",$K297="Deadline"),$I297&gt;=CF$4,$I297&lt;CF$4+7),IF($K297="Deadline","◇","◆"),"")</f>
        <v/>
      </c>
      <c r="CG297" s="14" t="str">
        <f>IF(AND(ISNUMBER($I297),OR($K297="Milestone",$K297="Deadline"),$I297&gt;=CG$4,$I297&lt;CG$4+7),IF($K297="Deadline","◇","◆"),"")</f>
        <v/>
      </c>
      <c r="CH297" s="14" t="str">
        <f>IF(AND(ISNUMBER($I297),OR($K297="Milestone",$K297="Deadline"),$I297&gt;=CH$4,$I297&lt;CH$4+7),IF($K297="Deadline","◇","◆"),"")</f>
        <v/>
      </c>
      <c r="CI297" s="14" t="str">
        <f>IF(AND(ISNUMBER($I297),OR($K297="Milestone",$K297="Deadline"),$I297&gt;=CI$4,$I297&lt;CI$4+7),IF($K297="Deadline","◇","◆"),"")</f>
        <v/>
      </c>
      <c r="CJ297" s="14" t="str">
        <f>IF(AND(ISNUMBER($I297),OR($K297="Milestone",$K297="Deadline"),$I297&gt;=CJ$4,$I297&lt;CJ$4+7),IF($K297="Deadline","◇","◆"),"")</f>
        <v/>
      </c>
      <c r="CK297" s="14" t="str">
        <f>IF(AND(ISNUMBER($I297),OR($K297="Milestone",$K297="Deadline"),$I297&gt;=CK$4,$I297&lt;CK$4+7),IF($K297="Deadline","◇","◆"),"")</f>
        <v/>
      </c>
      <c r="CL297" s="14" t="str">
        <f>IF(AND(ISNUMBER($I297),OR($K297="Milestone",$K297="Deadline"),$I297&gt;=CL$4,$I297&lt;CL$4+7),IF($K297="Deadline","◇","◆"),"")</f>
        <v/>
      </c>
      <c r="CM297" s="14" t="str">
        <f>IF(AND(ISNUMBER($I297),OR($K297="Milestone",$K297="Deadline"),$I297&gt;=CM$4,$I297&lt;CM$4+7),IF($K297="Deadline","◇","◆"),"")</f>
        <v/>
      </c>
    </row>
    <row r="298" spans="1:91" hidden="1">
      <c r="A298" s="15" t="s">
        <v>583</v>
      </c>
      <c r="B298" s="15" t="s">
        <v>579</v>
      </c>
      <c r="C298" s="15" t="s">
        <v>117</v>
      </c>
      <c r="D298" s="15"/>
      <c r="E298" s="15"/>
      <c r="F298" s="15"/>
      <c r="G298" s="15" t="s">
        <v>584</v>
      </c>
      <c r="H298" s="15">
        <v>59</v>
      </c>
      <c r="I298" s="16">
        <v>46419</v>
      </c>
      <c r="J298" s="17">
        <f>IF(AND(ISNUMBER(I298),ISNUMBER(H298)),I298+H298-1,"")</f>
        <v>46477</v>
      </c>
      <c r="K298" s="15" t="s">
        <v>27</v>
      </c>
      <c r="L298" s="15" t="s">
        <v>578</v>
      </c>
      <c r="M298" s="18"/>
      <c r="N298" s="15" t="s">
        <v>585</v>
      </c>
      <c r="O298" s="18">
        <f>IF(AND(ISNUMBER(I298),ISNUMBER(J298)),J298-I298+1,"")</f>
        <v>59</v>
      </c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  <c r="AG298" s="13"/>
      <c r="AH298" s="13"/>
      <c r="AI298" s="13"/>
      <c r="AJ298" s="13"/>
      <c r="AK298" s="13"/>
      <c r="AL298" s="13"/>
      <c r="AM298" s="13"/>
      <c r="AN298" s="13"/>
      <c r="AO298" s="14" t="str">
        <f>IF(AND(ISNUMBER($I298),OR($K298="Milestone",$K298="Deadline"),$I298&gt;=AO$4,$I298&lt;AO$4+7),IF($K298="Deadline","◇","◆"),"")</f>
        <v/>
      </c>
      <c r="AP298" s="14" t="str">
        <f>IF(AND(ISNUMBER($I298),OR($K298="Milestone",$K298="Deadline"),$I298&gt;=AP$4,$I298&lt;AP$4+7),IF($K298="Deadline","◇","◆"),"")</f>
        <v/>
      </c>
      <c r="AQ298" s="14" t="str">
        <f>IF(AND(ISNUMBER($I298),OR($K298="Milestone",$K298="Deadline"),$I298&gt;=AQ$4,$I298&lt;AQ$4+7),IF($K298="Deadline","◇","◆"),"")</f>
        <v/>
      </c>
      <c r="AR298" s="14" t="str">
        <f>IF(AND(ISNUMBER($I298),OR($K298="Milestone",$K298="Deadline"),$I298&gt;=AR$4,$I298&lt;AR$4+7),IF($K298="Deadline","◇","◆"),"")</f>
        <v/>
      </c>
      <c r="AS298" s="14" t="str">
        <f>IF(AND(ISNUMBER($I298),OR($K298="Milestone",$K298="Deadline"),$I298&gt;=AS$4,$I298&lt;AS$4+7),IF($K298="Deadline","◇","◆"),"")</f>
        <v/>
      </c>
      <c r="AT298" s="14" t="str">
        <f>IF(AND(ISNUMBER($I298),OR($K298="Milestone",$K298="Deadline"),$I298&gt;=AT$4,$I298&lt;AT$4+7),IF($K298="Deadline","◇","◆"),"")</f>
        <v/>
      </c>
      <c r="AU298" s="14" t="str">
        <f>IF(AND(ISNUMBER($I298),OR($K298="Milestone",$K298="Deadline"),$I298&gt;=AU$4,$I298&lt;AU$4+7),IF($K298="Deadline","◇","◆"),"")</f>
        <v/>
      </c>
      <c r="AV298" s="14" t="str">
        <f>IF(AND(ISNUMBER($I298),OR($K298="Milestone",$K298="Deadline"),$I298&gt;=AV$4,$I298&lt;AV$4+7),IF($K298="Deadline","◇","◆"),"")</f>
        <v/>
      </c>
      <c r="AW298" s="14" t="str">
        <f>IF(AND(ISNUMBER($I298),OR($K298="Milestone",$K298="Deadline"),$I298&gt;=AW$4,$I298&lt;AW$4+7),IF($K298="Deadline","◇","◆"),"")</f>
        <v/>
      </c>
      <c r="AX298" s="14" t="str">
        <f>IF(AND(ISNUMBER($I298),OR($K298="Milestone",$K298="Deadline"),$I298&gt;=AX$4,$I298&lt;AX$4+7),IF($K298="Deadline","◇","◆"),"")</f>
        <v/>
      </c>
      <c r="AY298" s="14" t="str">
        <f>IF(AND(ISNUMBER($I298),OR($K298="Milestone",$K298="Deadline"),$I298&gt;=AY$4,$I298&lt;AY$4+7),IF($K298="Deadline","◇","◆"),"")</f>
        <v/>
      </c>
      <c r="AZ298" s="14" t="str">
        <f>IF(AND(ISNUMBER($I298),OR($K298="Milestone",$K298="Deadline"),$I298&gt;=AZ$4,$I298&lt;AZ$4+7),IF($K298="Deadline","◇","◆"),"")</f>
        <v/>
      </c>
      <c r="BA298" s="14" t="str">
        <f>IF(AND(ISNUMBER($I298),OR($K298="Milestone",$K298="Deadline"),$I298&gt;=BA$4,$I298&lt;BA$4+7),IF($K298="Deadline","◇","◆"),"")</f>
        <v/>
      </c>
      <c r="BB298" s="14" t="str">
        <f>IF(AND(ISNUMBER($I298),OR($K298="Milestone",$K298="Deadline"),$I298&gt;=BB$4,$I298&lt;BB$4+7),IF($K298="Deadline","◇","◆"),"")</f>
        <v/>
      </c>
      <c r="BC298" s="14" t="str">
        <f>IF(AND(ISNUMBER($I298),OR($K298="Milestone",$K298="Deadline"),$I298&gt;=BC$4,$I298&lt;BC$4+7),IF($K298="Deadline","◇","◆"),"")</f>
        <v/>
      </c>
      <c r="BD298" s="14" t="str">
        <f>IF(AND(ISNUMBER($I298),OR($K298="Milestone",$K298="Deadline"),$I298&gt;=BD$4,$I298&lt;BD$4+7),IF($K298="Deadline","◇","◆"),"")</f>
        <v/>
      </c>
      <c r="BE298" s="14" t="str">
        <f>IF(AND(ISNUMBER($I298),OR($K298="Milestone",$K298="Deadline"),$I298&gt;=BE$4,$I298&lt;BE$4+7),IF($K298="Deadline","◇","◆"),"")</f>
        <v/>
      </c>
      <c r="BF298" s="14" t="str">
        <f>IF(AND(ISNUMBER($I298),OR($K298="Milestone",$K298="Deadline"),$I298&gt;=BF$4,$I298&lt;BF$4+7),IF($K298="Deadline","◇","◆"),"")</f>
        <v/>
      </c>
      <c r="BG298" s="14" t="str">
        <f>IF(AND(ISNUMBER($I298),OR($K298="Milestone",$K298="Deadline"),$I298&gt;=BG$4,$I298&lt;BG$4+7),IF($K298="Deadline","◇","◆"),"")</f>
        <v/>
      </c>
      <c r="BH298" s="14" t="str">
        <f>IF(AND(ISNUMBER($I298),OR($K298="Milestone",$K298="Deadline"),$I298&gt;=BH$4,$I298&lt;BH$4+7),IF($K298="Deadline","◇","◆"),"")</f>
        <v/>
      </c>
      <c r="BI298" s="14" t="str">
        <f>IF(AND(ISNUMBER($I298),OR($K298="Milestone",$K298="Deadline"),$I298&gt;=BI$4,$I298&lt;BI$4+7),IF($K298="Deadline","◇","◆"),"")</f>
        <v/>
      </c>
      <c r="BJ298" s="14" t="str">
        <f>IF(AND(ISNUMBER($I298),OR($K298="Milestone",$K298="Deadline"),$I298&gt;=BJ$4,$I298&lt;BJ$4+7),IF($K298="Deadline","◇","◆"),"")</f>
        <v/>
      </c>
      <c r="BK298" s="14" t="str">
        <f>IF(AND(ISNUMBER($I298),OR($K298="Milestone",$K298="Deadline"),$I298&gt;=BK$4,$I298&lt;BK$4+7),IF($K298="Deadline","◇","◆"),"")</f>
        <v/>
      </c>
      <c r="BL298" s="14" t="str">
        <f>IF(AND(ISNUMBER($I298),OR($K298="Milestone",$K298="Deadline"),$I298&gt;=BL$4,$I298&lt;BL$4+7),IF($K298="Deadline","◇","◆"),"")</f>
        <v/>
      </c>
      <c r="BM298" s="14" t="str">
        <f>IF(AND(ISNUMBER($I298),OR($K298="Milestone",$K298="Deadline"),$I298&gt;=BM$4,$I298&lt;BM$4+7),IF($K298="Deadline","◇","◆"),"")</f>
        <v/>
      </c>
      <c r="BN298" s="14" t="str">
        <f>IF(AND(ISNUMBER($I298),OR($K298="Milestone",$K298="Deadline"),$I298&gt;=BN$4,$I298&lt;BN$4+7),IF($K298="Deadline","◇","◆"),"")</f>
        <v/>
      </c>
      <c r="BO298" s="14" t="str">
        <f>IF(AND(ISNUMBER($I298),OR($K298="Milestone",$K298="Deadline"),$I298&gt;=BO$4,$I298&lt;BO$4+7),IF($K298="Deadline","◇","◆"),"")</f>
        <v/>
      </c>
      <c r="BP298" s="14" t="str">
        <f>IF(AND(ISNUMBER($I298),OR($K298="Milestone",$K298="Deadline"),$I298&gt;=BP$4,$I298&lt;BP$4+7),IF($K298="Deadline","◇","◆"),"")</f>
        <v/>
      </c>
      <c r="BQ298" s="14" t="str">
        <f>IF(AND(ISNUMBER($I298),OR($K298="Milestone",$K298="Deadline"),$I298&gt;=BQ$4,$I298&lt;BQ$4+7),IF($K298="Deadline","◇","◆"),"")</f>
        <v/>
      </c>
      <c r="BR298" s="14" t="str">
        <f>IF(AND(ISNUMBER($I298),OR($K298="Milestone",$K298="Deadline"),$I298&gt;=BR$4,$I298&lt;BR$4+7),IF($K298="Deadline","◇","◆"),"")</f>
        <v/>
      </c>
      <c r="BS298" s="14" t="str">
        <f>IF(AND(ISNUMBER($I298),OR($K298="Milestone",$K298="Deadline"),$I298&gt;=BS$4,$I298&lt;BS$4+7),IF($K298="Deadline","◇","◆"),"")</f>
        <v/>
      </c>
      <c r="BT298" s="14" t="str">
        <f>IF(AND(ISNUMBER($I298),OR($K298="Milestone",$K298="Deadline"),$I298&gt;=BT$4,$I298&lt;BT$4+7),IF($K298="Deadline","◇","◆"),"")</f>
        <v/>
      </c>
      <c r="BU298" s="14" t="str">
        <f>IF(AND(ISNUMBER($I298),OR($K298="Milestone",$K298="Deadline"),$I298&gt;=BU$4,$I298&lt;BU$4+7),IF($K298="Deadline","◇","◆"),"")</f>
        <v/>
      </c>
      <c r="BV298" s="14" t="str">
        <f>IF(AND(ISNUMBER($I298),OR($K298="Milestone",$K298="Deadline"),$I298&gt;=BV$4,$I298&lt;BV$4+7),IF($K298="Deadline","◇","◆"),"")</f>
        <v/>
      </c>
      <c r="BW298" s="14" t="str">
        <f>IF(AND(ISNUMBER($I298),OR($K298="Milestone",$K298="Deadline"),$I298&gt;=BW$4,$I298&lt;BW$4+7),IF($K298="Deadline","◇","◆"),"")</f>
        <v/>
      </c>
      <c r="BX298" s="14" t="str">
        <f>IF(AND(ISNUMBER($I298),OR($K298="Milestone",$K298="Deadline"),$I298&gt;=BX$4,$I298&lt;BX$4+7),IF($K298="Deadline","◇","◆"),"")</f>
        <v/>
      </c>
      <c r="BY298" s="14" t="str">
        <f>IF(AND(ISNUMBER($I298),OR($K298="Milestone",$K298="Deadline"),$I298&gt;=BY$4,$I298&lt;BY$4+7),IF($K298="Deadline","◇","◆"),"")</f>
        <v/>
      </c>
      <c r="BZ298" s="14" t="str">
        <f>IF(AND(ISNUMBER($I298),OR($K298="Milestone",$K298="Deadline"),$I298&gt;=BZ$4,$I298&lt;BZ$4+7),IF($K298="Deadline","◇","◆"),"")</f>
        <v/>
      </c>
      <c r="CA298" s="14" t="str">
        <f>IF(AND(ISNUMBER($I298),OR($K298="Milestone",$K298="Deadline"),$I298&gt;=CA$4,$I298&lt;CA$4+7),IF($K298="Deadline","◇","◆"),"")</f>
        <v/>
      </c>
      <c r="CB298" s="14" t="str">
        <f>IF(AND(ISNUMBER($I298),OR($K298="Milestone",$K298="Deadline"),$I298&gt;=CB$4,$I298&lt;CB$4+7),IF($K298="Deadline","◇","◆"),"")</f>
        <v/>
      </c>
      <c r="CC298" s="14" t="str">
        <f>IF(AND(ISNUMBER($I298),OR($K298="Milestone",$K298="Deadline"),$I298&gt;=CC$4,$I298&lt;CC$4+7),IF($K298="Deadline","◇","◆"),"")</f>
        <v/>
      </c>
      <c r="CD298" s="14" t="str">
        <f>IF(AND(ISNUMBER($I298),OR($K298="Milestone",$K298="Deadline"),$I298&gt;=CD$4,$I298&lt;CD$4+7),IF($K298="Deadline","◇","◆"),"")</f>
        <v/>
      </c>
      <c r="CE298" s="14" t="str">
        <f>IF(AND(ISNUMBER($I298),OR($K298="Milestone",$K298="Deadline"),$I298&gt;=CE$4,$I298&lt;CE$4+7),IF($K298="Deadline","◇","◆"),"")</f>
        <v/>
      </c>
      <c r="CF298" s="14" t="str">
        <f>IF(AND(ISNUMBER($I298),OR($K298="Milestone",$K298="Deadline"),$I298&gt;=CF$4,$I298&lt;CF$4+7),IF($K298="Deadline","◇","◆"),"")</f>
        <v/>
      </c>
      <c r="CG298" s="14" t="str">
        <f>IF(AND(ISNUMBER($I298),OR($K298="Milestone",$K298="Deadline"),$I298&gt;=CG$4,$I298&lt;CG$4+7),IF($K298="Deadline","◇","◆"),"")</f>
        <v/>
      </c>
      <c r="CH298" s="14" t="str">
        <f>IF(AND(ISNUMBER($I298),OR($K298="Milestone",$K298="Deadline"),$I298&gt;=CH$4,$I298&lt;CH$4+7),IF($K298="Deadline","◇","◆"),"")</f>
        <v/>
      </c>
      <c r="CI298" s="14" t="str">
        <f>IF(AND(ISNUMBER($I298),OR($K298="Milestone",$K298="Deadline"),$I298&gt;=CI$4,$I298&lt;CI$4+7),IF($K298="Deadline","◇","◆"),"")</f>
        <v/>
      </c>
      <c r="CJ298" s="14" t="str">
        <f>IF(AND(ISNUMBER($I298),OR($K298="Milestone",$K298="Deadline"),$I298&gt;=CJ$4,$I298&lt;CJ$4+7),IF($K298="Deadline","◇","◆"),"")</f>
        <v/>
      </c>
      <c r="CK298" s="14" t="str">
        <f>IF(AND(ISNUMBER($I298),OR($K298="Milestone",$K298="Deadline"),$I298&gt;=CK$4,$I298&lt;CK$4+7),IF($K298="Deadline","◇","◆"),"")</f>
        <v/>
      </c>
      <c r="CL298" s="14" t="str">
        <f>IF(AND(ISNUMBER($I298),OR($K298="Milestone",$K298="Deadline"),$I298&gt;=CL$4,$I298&lt;CL$4+7),IF($K298="Deadline","◇","◆"),"")</f>
        <v/>
      </c>
      <c r="CM298" s="14" t="str">
        <f>IF(AND(ISNUMBER($I298),OR($K298="Milestone",$K298="Deadline"),$I298&gt;=CM$4,$I298&lt;CM$4+7),IF($K298="Deadline","◇","◆"),"")</f>
        <v/>
      </c>
    </row>
    <row r="299" spans="1:91" hidden="1">
      <c r="A299" s="15" t="s">
        <v>586</v>
      </c>
      <c r="B299" s="15" t="s">
        <v>579</v>
      </c>
      <c r="C299" s="15" t="s">
        <v>117</v>
      </c>
      <c r="D299" s="15"/>
      <c r="E299" s="15"/>
      <c r="F299" s="15"/>
      <c r="G299" s="15" t="s">
        <v>587</v>
      </c>
      <c r="H299" s="15">
        <v>31</v>
      </c>
      <c r="I299" s="16">
        <v>46447</v>
      </c>
      <c r="J299" s="17">
        <f>IF(AND(ISNUMBER(I299),ISNUMBER(H299)),I299+H299-1,"")</f>
        <v>46477</v>
      </c>
      <c r="K299" s="15" t="s">
        <v>27</v>
      </c>
      <c r="L299" s="15" t="s">
        <v>588</v>
      </c>
      <c r="M299" s="18"/>
      <c r="N299" s="15" t="s">
        <v>589</v>
      </c>
      <c r="O299" s="18">
        <f>IF(AND(ISNUMBER(I299),ISNUMBER(J299)),J299-I299+1,"")</f>
        <v>31</v>
      </c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  <c r="AG299" s="13"/>
      <c r="AH299" s="13"/>
      <c r="AI299" s="13"/>
      <c r="AJ299" s="13"/>
      <c r="AK299" s="13"/>
      <c r="AL299" s="13"/>
      <c r="AM299" s="13"/>
      <c r="AN299" s="13"/>
      <c r="AO299" s="14" t="str">
        <f>IF(AND(ISNUMBER($I299),OR($K299="Milestone",$K299="Deadline"),$I299&gt;=AO$4,$I299&lt;AO$4+7),IF($K299="Deadline","◇","◆"),"")</f>
        <v/>
      </c>
      <c r="AP299" s="14" t="str">
        <f>IF(AND(ISNUMBER($I299),OR($K299="Milestone",$K299="Deadline"),$I299&gt;=AP$4,$I299&lt;AP$4+7),IF($K299="Deadline","◇","◆"),"")</f>
        <v/>
      </c>
      <c r="AQ299" s="14" t="str">
        <f>IF(AND(ISNUMBER($I299),OR($K299="Milestone",$K299="Deadline"),$I299&gt;=AQ$4,$I299&lt;AQ$4+7),IF($K299="Deadline","◇","◆"),"")</f>
        <v/>
      </c>
      <c r="AR299" s="14" t="str">
        <f>IF(AND(ISNUMBER($I299),OR($K299="Milestone",$K299="Deadline"),$I299&gt;=AR$4,$I299&lt;AR$4+7),IF($K299="Deadline","◇","◆"),"")</f>
        <v/>
      </c>
      <c r="AS299" s="14" t="str">
        <f>IF(AND(ISNUMBER($I299),OR($K299="Milestone",$K299="Deadline"),$I299&gt;=AS$4,$I299&lt;AS$4+7),IF($K299="Deadline","◇","◆"),"")</f>
        <v/>
      </c>
      <c r="AT299" s="14" t="str">
        <f>IF(AND(ISNUMBER($I299),OR($K299="Milestone",$K299="Deadline"),$I299&gt;=AT$4,$I299&lt;AT$4+7),IF($K299="Deadline","◇","◆"),"")</f>
        <v/>
      </c>
      <c r="AU299" s="14" t="str">
        <f>IF(AND(ISNUMBER($I299),OR($K299="Milestone",$K299="Deadline"),$I299&gt;=AU$4,$I299&lt;AU$4+7),IF($K299="Deadline","◇","◆"),"")</f>
        <v/>
      </c>
      <c r="AV299" s="14" t="str">
        <f>IF(AND(ISNUMBER($I299),OR($K299="Milestone",$K299="Deadline"),$I299&gt;=AV$4,$I299&lt;AV$4+7),IF($K299="Deadline","◇","◆"),"")</f>
        <v/>
      </c>
      <c r="AW299" s="14" t="str">
        <f>IF(AND(ISNUMBER($I299),OR($K299="Milestone",$K299="Deadline"),$I299&gt;=AW$4,$I299&lt;AW$4+7),IF($K299="Deadline","◇","◆"),"")</f>
        <v/>
      </c>
      <c r="AX299" s="14" t="str">
        <f>IF(AND(ISNUMBER($I299),OR($K299="Milestone",$K299="Deadline"),$I299&gt;=AX$4,$I299&lt;AX$4+7),IF($K299="Deadline","◇","◆"),"")</f>
        <v/>
      </c>
      <c r="AY299" s="14" t="str">
        <f>IF(AND(ISNUMBER($I299),OR($K299="Milestone",$K299="Deadline"),$I299&gt;=AY$4,$I299&lt;AY$4+7),IF($K299="Deadline","◇","◆"),"")</f>
        <v/>
      </c>
      <c r="AZ299" s="14" t="str">
        <f>IF(AND(ISNUMBER($I299),OR($K299="Milestone",$K299="Deadline"),$I299&gt;=AZ$4,$I299&lt;AZ$4+7),IF($K299="Deadline","◇","◆"),"")</f>
        <v/>
      </c>
      <c r="BA299" s="14" t="str">
        <f>IF(AND(ISNUMBER($I299),OR($K299="Milestone",$K299="Deadline"),$I299&gt;=BA$4,$I299&lt;BA$4+7),IF($K299="Deadline","◇","◆"),"")</f>
        <v/>
      </c>
      <c r="BB299" s="14" t="str">
        <f>IF(AND(ISNUMBER($I299),OR($K299="Milestone",$K299="Deadline"),$I299&gt;=BB$4,$I299&lt;BB$4+7),IF($K299="Deadline","◇","◆"),"")</f>
        <v/>
      </c>
      <c r="BC299" s="14" t="str">
        <f>IF(AND(ISNUMBER($I299),OR($K299="Milestone",$K299="Deadline"),$I299&gt;=BC$4,$I299&lt;BC$4+7),IF($K299="Deadline","◇","◆"),"")</f>
        <v/>
      </c>
      <c r="BD299" s="14" t="str">
        <f>IF(AND(ISNUMBER($I299),OR($K299="Milestone",$K299="Deadline"),$I299&gt;=BD$4,$I299&lt;BD$4+7),IF($K299="Deadline","◇","◆"),"")</f>
        <v/>
      </c>
      <c r="BE299" s="14" t="str">
        <f>IF(AND(ISNUMBER($I299),OR($K299="Milestone",$K299="Deadline"),$I299&gt;=BE$4,$I299&lt;BE$4+7),IF($K299="Deadline","◇","◆"),"")</f>
        <v/>
      </c>
      <c r="BF299" s="14" t="str">
        <f>IF(AND(ISNUMBER($I299),OR($K299="Milestone",$K299="Deadline"),$I299&gt;=BF$4,$I299&lt;BF$4+7),IF($K299="Deadline","◇","◆"),"")</f>
        <v/>
      </c>
      <c r="BG299" s="14" t="str">
        <f>IF(AND(ISNUMBER($I299),OR($K299="Milestone",$K299="Deadline"),$I299&gt;=BG$4,$I299&lt;BG$4+7),IF($K299="Deadline","◇","◆"),"")</f>
        <v/>
      </c>
      <c r="BH299" s="14" t="str">
        <f>IF(AND(ISNUMBER($I299),OR($K299="Milestone",$K299="Deadline"),$I299&gt;=BH$4,$I299&lt;BH$4+7),IF($K299="Deadline","◇","◆"),"")</f>
        <v/>
      </c>
      <c r="BI299" s="14" t="str">
        <f>IF(AND(ISNUMBER($I299),OR($K299="Milestone",$K299="Deadline"),$I299&gt;=BI$4,$I299&lt;BI$4+7),IF($K299="Deadline","◇","◆"),"")</f>
        <v/>
      </c>
      <c r="BJ299" s="14" t="str">
        <f>IF(AND(ISNUMBER($I299),OR($K299="Milestone",$K299="Deadline"),$I299&gt;=BJ$4,$I299&lt;BJ$4+7),IF($K299="Deadline","◇","◆"),"")</f>
        <v/>
      </c>
      <c r="BK299" s="14" t="str">
        <f>IF(AND(ISNUMBER($I299),OR($K299="Milestone",$K299="Deadline"),$I299&gt;=BK$4,$I299&lt;BK$4+7),IF($K299="Deadline","◇","◆"),"")</f>
        <v/>
      </c>
      <c r="BL299" s="14" t="str">
        <f>IF(AND(ISNUMBER($I299),OR($K299="Milestone",$K299="Deadline"),$I299&gt;=BL$4,$I299&lt;BL$4+7),IF($K299="Deadline","◇","◆"),"")</f>
        <v/>
      </c>
      <c r="BM299" s="14" t="str">
        <f>IF(AND(ISNUMBER($I299),OR($K299="Milestone",$K299="Deadline"),$I299&gt;=BM$4,$I299&lt;BM$4+7),IF($K299="Deadline","◇","◆"),"")</f>
        <v/>
      </c>
      <c r="BN299" s="14" t="str">
        <f>IF(AND(ISNUMBER($I299),OR($K299="Milestone",$K299="Deadline"),$I299&gt;=BN$4,$I299&lt;BN$4+7),IF($K299="Deadline","◇","◆"),"")</f>
        <v/>
      </c>
      <c r="BO299" s="14" t="str">
        <f>IF(AND(ISNUMBER($I299),OR($K299="Milestone",$K299="Deadline"),$I299&gt;=BO$4,$I299&lt;BO$4+7),IF($K299="Deadline","◇","◆"),"")</f>
        <v/>
      </c>
      <c r="BP299" s="14" t="str">
        <f>IF(AND(ISNUMBER($I299),OR($K299="Milestone",$K299="Deadline"),$I299&gt;=BP$4,$I299&lt;BP$4+7),IF($K299="Deadline","◇","◆"),"")</f>
        <v/>
      </c>
      <c r="BQ299" s="14" t="str">
        <f>IF(AND(ISNUMBER($I299),OR($K299="Milestone",$K299="Deadline"),$I299&gt;=BQ$4,$I299&lt;BQ$4+7),IF($K299="Deadline","◇","◆"),"")</f>
        <v/>
      </c>
      <c r="BR299" s="14" t="str">
        <f>IF(AND(ISNUMBER($I299),OR($K299="Milestone",$K299="Deadline"),$I299&gt;=BR$4,$I299&lt;BR$4+7),IF($K299="Deadline","◇","◆"),"")</f>
        <v/>
      </c>
      <c r="BS299" s="14" t="str">
        <f>IF(AND(ISNUMBER($I299),OR($K299="Milestone",$K299="Deadline"),$I299&gt;=BS$4,$I299&lt;BS$4+7),IF($K299="Deadline","◇","◆"),"")</f>
        <v/>
      </c>
      <c r="BT299" s="14" t="str">
        <f>IF(AND(ISNUMBER($I299),OR($K299="Milestone",$K299="Deadline"),$I299&gt;=BT$4,$I299&lt;BT$4+7),IF($K299="Deadline","◇","◆"),"")</f>
        <v/>
      </c>
      <c r="BU299" s="14" t="str">
        <f>IF(AND(ISNUMBER($I299),OR($K299="Milestone",$K299="Deadline"),$I299&gt;=BU$4,$I299&lt;BU$4+7),IF($K299="Deadline","◇","◆"),"")</f>
        <v/>
      </c>
      <c r="BV299" s="14" t="str">
        <f>IF(AND(ISNUMBER($I299),OR($K299="Milestone",$K299="Deadline"),$I299&gt;=BV$4,$I299&lt;BV$4+7),IF($K299="Deadline","◇","◆"),"")</f>
        <v/>
      </c>
      <c r="BW299" s="14" t="str">
        <f>IF(AND(ISNUMBER($I299),OR($K299="Milestone",$K299="Deadline"),$I299&gt;=BW$4,$I299&lt;BW$4+7),IF($K299="Deadline","◇","◆"),"")</f>
        <v/>
      </c>
      <c r="BX299" s="14" t="str">
        <f>IF(AND(ISNUMBER($I299),OR($K299="Milestone",$K299="Deadline"),$I299&gt;=BX$4,$I299&lt;BX$4+7),IF($K299="Deadline","◇","◆"),"")</f>
        <v/>
      </c>
      <c r="BY299" s="14" t="str">
        <f>IF(AND(ISNUMBER($I299),OR($K299="Milestone",$K299="Deadline"),$I299&gt;=BY$4,$I299&lt;BY$4+7),IF($K299="Deadline","◇","◆"),"")</f>
        <v/>
      </c>
      <c r="BZ299" s="14" t="str">
        <f>IF(AND(ISNUMBER($I299),OR($K299="Milestone",$K299="Deadline"),$I299&gt;=BZ$4,$I299&lt;BZ$4+7),IF($K299="Deadline","◇","◆"),"")</f>
        <v/>
      </c>
      <c r="CA299" s="14" t="str">
        <f>IF(AND(ISNUMBER($I299),OR($K299="Milestone",$K299="Deadline"),$I299&gt;=CA$4,$I299&lt;CA$4+7),IF($K299="Deadline","◇","◆"),"")</f>
        <v/>
      </c>
      <c r="CB299" s="14" t="str">
        <f>IF(AND(ISNUMBER($I299),OR($K299="Milestone",$K299="Deadline"),$I299&gt;=CB$4,$I299&lt;CB$4+7),IF($K299="Deadline","◇","◆"),"")</f>
        <v/>
      </c>
      <c r="CC299" s="14" t="str">
        <f>IF(AND(ISNUMBER($I299),OR($K299="Milestone",$K299="Deadline"),$I299&gt;=CC$4,$I299&lt;CC$4+7),IF($K299="Deadline","◇","◆"),"")</f>
        <v/>
      </c>
      <c r="CD299" s="14" t="str">
        <f>IF(AND(ISNUMBER($I299),OR($K299="Milestone",$K299="Deadline"),$I299&gt;=CD$4,$I299&lt;CD$4+7),IF($K299="Deadline","◇","◆"),"")</f>
        <v/>
      </c>
      <c r="CE299" s="14" t="str">
        <f>IF(AND(ISNUMBER($I299),OR($K299="Milestone",$K299="Deadline"),$I299&gt;=CE$4,$I299&lt;CE$4+7),IF($K299="Deadline","◇","◆"),"")</f>
        <v/>
      </c>
      <c r="CF299" s="14" t="str">
        <f>IF(AND(ISNUMBER($I299),OR($K299="Milestone",$K299="Deadline"),$I299&gt;=CF$4,$I299&lt;CF$4+7),IF($K299="Deadline","◇","◆"),"")</f>
        <v/>
      </c>
      <c r="CG299" s="14" t="str">
        <f>IF(AND(ISNUMBER($I299),OR($K299="Milestone",$K299="Deadline"),$I299&gt;=CG$4,$I299&lt;CG$4+7),IF($K299="Deadline","◇","◆"),"")</f>
        <v/>
      </c>
      <c r="CH299" s="14" t="str">
        <f>IF(AND(ISNUMBER($I299),OR($K299="Milestone",$K299="Deadline"),$I299&gt;=CH$4,$I299&lt;CH$4+7),IF($K299="Deadline","◇","◆"),"")</f>
        <v/>
      </c>
      <c r="CI299" s="14" t="str">
        <f>IF(AND(ISNUMBER($I299),OR($K299="Milestone",$K299="Deadline"),$I299&gt;=CI$4,$I299&lt;CI$4+7),IF($K299="Deadline","◇","◆"),"")</f>
        <v/>
      </c>
      <c r="CJ299" s="14" t="str">
        <f>IF(AND(ISNUMBER($I299),OR($K299="Milestone",$K299="Deadline"),$I299&gt;=CJ$4,$I299&lt;CJ$4+7),IF($K299="Deadline","◇","◆"),"")</f>
        <v/>
      </c>
      <c r="CK299" s="14" t="str">
        <f>IF(AND(ISNUMBER($I299),OR($K299="Milestone",$K299="Deadline"),$I299&gt;=CK$4,$I299&lt;CK$4+7),IF($K299="Deadline","◇","◆"),"")</f>
        <v/>
      </c>
      <c r="CL299" s="14" t="str">
        <f>IF(AND(ISNUMBER($I299),OR($K299="Milestone",$K299="Deadline"),$I299&gt;=CL$4,$I299&lt;CL$4+7),IF($K299="Deadline","◇","◆"),"")</f>
        <v/>
      </c>
      <c r="CM299" s="14" t="str">
        <f>IF(AND(ISNUMBER($I299),OR($K299="Milestone",$K299="Deadline"),$I299&gt;=CM$4,$I299&lt;CM$4+7),IF($K299="Deadline","◇","◆"),"")</f>
        <v/>
      </c>
    </row>
    <row r="300" spans="1:91" hidden="1">
      <c r="A300" s="15" t="s">
        <v>590</v>
      </c>
      <c r="B300" s="15" t="s">
        <v>579</v>
      </c>
      <c r="C300" s="15" t="s">
        <v>117</v>
      </c>
      <c r="D300" s="15"/>
      <c r="E300" s="15"/>
      <c r="F300" s="15"/>
      <c r="G300" s="15" t="s">
        <v>591</v>
      </c>
      <c r="H300" s="15">
        <v>30</v>
      </c>
      <c r="I300" s="16">
        <v>46478</v>
      </c>
      <c r="J300" s="17">
        <f>IF(AND(ISNUMBER(I300),ISNUMBER(H300)),I300+H300-1,"")</f>
        <v>46507</v>
      </c>
      <c r="K300" s="15" t="s">
        <v>27</v>
      </c>
      <c r="L300" s="15" t="s">
        <v>583</v>
      </c>
      <c r="M300" s="18"/>
      <c r="N300" s="15" t="s">
        <v>592</v>
      </c>
      <c r="O300" s="18">
        <f>IF(AND(ISNUMBER(I300),ISNUMBER(J300)),J300-I300+1,"")</f>
        <v>30</v>
      </c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  <c r="AG300" s="13"/>
      <c r="AH300" s="13"/>
      <c r="AI300" s="13"/>
      <c r="AJ300" s="13"/>
      <c r="AK300" s="13"/>
      <c r="AL300" s="13"/>
      <c r="AM300" s="13"/>
      <c r="AN300" s="13"/>
      <c r="AO300" s="14" t="str">
        <f>IF(AND(ISNUMBER($I300),OR($K300="Milestone",$K300="Deadline"),$I300&gt;=AO$4,$I300&lt;AO$4+7),IF($K300="Deadline","◇","◆"),"")</f>
        <v/>
      </c>
      <c r="AP300" s="14" t="str">
        <f>IF(AND(ISNUMBER($I300),OR($K300="Milestone",$K300="Deadline"),$I300&gt;=AP$4,$I300&lt;AP$4+7),IF($K300="Deadline","◇","◆"),"")</f>
        <v/>
      </c>
      <c r="AQ300" s="14" t="str">
        <f>IF(AND(ISNUMBER($I300),OR($K300="Milestone",$K300="Deadline"),$I300&gt;=AQ$4,$I300&lt;AQ$4+7),IF($K300="Deadline","◇","◆"),"")</f>
        <v/>
      </c>
      <c r="AR300" s="14" t="str">
        <f>IF(AND(ISNUMBER($I300),OR($K300="Milestone",$K300="Deadline"),$I300&gt;=AR$4,$I300&lt;AR$4+7),IF($K300="Deadline","◇","◆"),"")</f>
        <v/>
      </c>
      <c r="AS300" s="14" t="str">
        <f>IF(AND(ISNUMBER($I300),OR($K300="Milestone",$K300="Deadline"),$I300&gt;=AS$4,$I300&lt;AS$4+7),IF($K300="Deadline","◇","◆"),"")</f>
        <v/>
      </c>
      <c r="AT300" s="14" t="str">
        <f>IF(AND(ISNUMBER($I300),OR($K300="Milestone",$K300="Deadline"),$I300&gt;=AT$4,$I300&lt;AT$4+7),IF($K300="Deadline","◇","◆"),"")</f>
        <v/>
      </c>
      <c r="AU300" s="14" t="str">
        <f>IF(AND(ISNUMBER($I300),OR($K300="Milestone",$K300="Deadline"),$I300&gt;=AU$4,$I300&lt;AU$4+7),IF($K300="Deadline","◇","◆"),"")</f>
        <v/>
      </c>
      <c r="AV300" s="14" t="str">
        <f>IF(AND(ISNUMBER($I300),OR($K300="Milestone",$K300="Deadline"),$I300&gt;=AV$4,$I300&lt;AV$4+7),IF($K300="Deadline","◇","◆"),"")</f>
        <v/>
      </c>
      <c r="AW300" s="14" t="str">
        <f>IF(AND(ISNUMBER($I300),OR($K300="Milestone",$K300="Deadline"),$I300&gt;=AW$4,$I300&lt;AW$4+7),IF($K300="Deadline","◇","◆"),"")</f>
        <v/>
      </c>
      <c r="AX300" s="14" t="str">
        <f>IF(AND(ISNUMBER($I300),OR($K300="Milestone",$K300="Deadline"),$I300&gt;=AX$4,$I300&lt;AX$4+7),IF($K300="Deadline","◇","◆"),"")</f>
        <v/>
      </c>
      <c r="AY300" s="14" t="str">
        <f>IF(AND(ISNUMBER($I300),OR($K300="Milestone",$K300="Deadline"),$I300&gt;=AY$4,$I300&lt;AY$4+7),IF($K300="Deadline","◇","◆"),"")</f>
        <v/>
      </c>
      <c r="AZ300" s="14" t="str">
        <f>IF(AND(ISNUMBER($I300),OR($K300="Milestone",$K300="Deadline"),$I300&gt;=AZ$4,$I300&lt;AZ$4+7),IF($K300="Deadline","◇","◆"),"")</f>
        <v/>
      </c>
      <c r="BA300" s="14" t="str">
        <f>IF(AND(ISNUMBER($I300),OR($K300="Milestone",$K300="Deadline"),$I300&gt;=BA$4,$I300&lt;BA$4+7),IF($K300="Deadline","◇","◆"),"")</f>
        <v/>
      </c>
      <c r="BB300" s="14" t="str">
        <f>IF(AND(ISNUMBER($I300),OR($K300="Milestone",$K300="Deadline"),$I300&gt;=BB$4,$I300&lt;BB$4+7),IF($K300="Deadline","◇","◆"),"")</f>
        <v/>
      </c>
      <c r="BC300" s="14" t="str">
        <f>IF(AND(ISNUMBER($I300),OR($K300="Milestone",$K300="Deadline"),$I300&gt;=BC$4,$I300&lt;BC$4+7),IF($K300="Deadline","◇","◆"),"")</f>
        <v/>
      </c>
      <c r="BD300" s="14" t="str">
        <f>IF(AND(ISNUMBER($I300),OR($K300="Milestone",$K300="Deadline"),$I300&gt;=BD$4,$I300&lt;BD$4+7),IF($K300="Deadline","◇","◆"),"")</f>
        <v/>
      </c>
      <c r="BE300" s="14" t="str">
        <f>IF(AND(ISNUMBER($I300),OR($K300="Milestone",$K300="Deadline"),$I300&gt;=BE$4,$I300&lt;BE$4+7),IF($K300="Deadline","◇","◆"),"")</f>
        <v/>
      </c>
      <c r="BF300" s="14" t="str">
        <f>IF(AND(ISNUMBER($I300),OR($K300="Milestone",$K300="Deadline"),$I300&gt;=BF$4,$I300&lt;BF$4+7),IF($K300="Deadline","◇","◆"),"")</f>
        <v/>
      </c>
      <c r="BG300" s="14" t="str">
        <f>IF(AND(ISNUMBER($I300),OR($K300="Milestone",$K300="Deadline"),$I300&gt;=BG$4,$I300&lt;BG$4+7),IF($K300="Deadline","◇","◆"),"")</f>
        <v/>
      </c>
      <c r="BH300" s="14" t="str">
        <f>IF(AND(ISNUMBER($I300),OR($K300="Milestone",$K300="Deadline"),$I300&gt;=BH$4,$I300&lt;BH$4+7),IF($K300="Deadline","◇","◆"),"")</f>
        <v/>
      </c>
      <c r="BI300" s="14" t="str">
        <f>IF(AND(ISNUMBER($I300),OR($K300="Milestone",$K300="Deadline"),$I300&gt;=BI$4,$I300&lt;BI$4+7),IF($K300="Deadline","◇","◆"),"")</f>
        <v/>
      </c>
      <c r="BJ300" s="14" t="str">
        <f>IF(AND(ISNUMBER($I300),OR($K300="Milestone",$K300="Deadline"),$I300&gt;=BJ$4,$I300&lt;BJ$4+7),IF($K300="Deadline","◇","◆"),"")</f>
        <v/>
      </c>
      <c r="BK300" s="14" t="str">
        <f>IF(AND(ISNUMBER($I300),OR($K300="Milestone",$K300="Deadline"),$I300&gt;=BK$4,$I300&lt;BK$4+7),IF($K300="Deadline","◇","◆"),"")</f>
        <v/>
      </c>
      <c r="BL300" s="14" t="str">
        <f>IF(AND(ISNUMBER($I300),OR($K300="Milestone",$K300="Deadline"),$I300&gt;=BL$4,$I300&lt;BL$4+7),IF($K300="Deadline","◇","◆"),"")</f>
        <v/>
      </c>
      <c r="BM300" s="14" t="str">
        <f>IF(AND(ISNUMBER($I300),OR($K300="Milestone",$K300="Deadline"),$I300&gt;=BM$4,$I300&lt;BM$4+7),IF($K300="Deadline","◇","◆"),"")</f>
        <v/>
      </c>
      <c r="BN300" s="14" t="str">
        <f>IF(AND(ISNUMBER($I300),OR($K300="Milestone",$K300="Deadline"),$I300&gt;=BN$4,$I300&lt;BN$4+7),IF($K300="Deadline","◇","◆"),"")</f>
        <v/>
      </c>
      <c r="BO300" s="14" t="str">
        <f>IF(AND(ISNUMBER($I300),OR($K300="Milestone",$K300="Deadline"),$I300&gt;=BO$4,$I300&lt;BO$4+7),IF($K300="Deadline","◇","◆"),"")</f>
        <v/>
      </c>
      <c r="BP300" s="14" t="str">
        <f>IF(AND(ISNUMBER($I300),OR($K300="Milestone",$K300="Deadline"),$I300&gt;=BP$4,$I300&lt;BP$4+7),IF($K300="Deadline","◇","◆"),"")</f>
        <v/>
      </c>
      <c r="BQ300" s="14" t="str">
        <f>IF(AND(ISNUMBER($I300),OR($K300="Milestone",$K300="Deadline"),$I300&gt;=BQ$4,$I300&lt;BQ$4+7),IF($K300="Deadline","◇","◆"),"")</f>
        <v/>
      </c>
      <c r="BR300" s="14" t="str">
        <f>IF(AND(ISNUMBER($I300),OR($K300="Milestone",$K300="Deadline"),$I300&gt;=BR$4,$I300&lt;BR$4+7),IF($K300="Deadline","◇","◆"),"")</f>
        <v/>
      </c>
      <c r="BS300" s="14" t="str">
        <f>IF(AND(ISNUMBER($I300),OR($K300="Milestone",$K300="Deadline"),$I300&gt;=BS$4,$I300&lt;BS$4+7),IF($K300="Deadline","◇","◆"),"")</f>
        <v/>
      </c>
      <c r="BT300" s="14" t="str">
        <f>IF(AND(ISNUMBER($I300),OR($K300="Milestone",$K300="Deadline"),$I300&gt;=BT$4,$I300&lt;BT$4+7),IF($K300="Deadline","◇","◆"),"")</f>
        <v/>
      </c>
      <c r="BU300" s="14" t="str">
        <f>IF(AND(ISNUMBER($I300),OR($K300="Milestone",$K300="Deadline"),$I300&gt;=BU$4,$I300&lt;BU$4+7),IF($K300="Deadline","◇","◆"),"")</f>
        <v/>
      </c>
      <c r="BV300" s="14" t="str">
        <f>IF(AND(ISNUMBER($I300),OR($K300="Milestone",$K300="Deadline"),$I300&gt;=BV$4,$I300&lt;BV$4+7),IF($K300="Deadline","◇","◆"),"")</f>
        <v/>
      </c>
      <c r="BW300" s="14" t="str">
        <f>IF(AND(ISNUMBER($I300),OR($K300="Milestone",$K300="Deadline"),$I300&gt;=BW$4,$I300&lt;BW$4+7),IF($K300="Deadline","◇","◆"),"")</f>
        <v/>
      </c>
      <c r="BX300" s="14" t="str">
        <f>IF(AND(ISNUMBER($I300),OR($K300="Milestone",$K300="Deadline"),$I300&gt;=BX$4,$I300&lt;BX$4+7),IF($K300="Deadline","◇","◆"),"")</f>
        <v/>
      </c>
      <c r="BY300" s="14" t="str">
        <f>IF(AND(ISNUMBER($I300),OR($K300="Milestone",$K300="Deadline"),$I300&gt;=BY$4,$I300&lt;BY$4+7),IF($K300="Deadline","◇","◆"),"")</f>
        <v/>
      </c>
      <c r="BZ300" s="14" t="str">
        <f>IF(AND(ISNUMBER($I300),OR($K300="Milestone",$K300="Deadline"),$I300&gt;=BZ$4,$I300&lt;BZ$4+7),IF($K300="Deadline","◇","◆"),"")</f>
        <v/>
      </c>
      <c r="CA300" s="14" t="str">
        <f>IF(AND(ISNUMBER($I300),OR($K300="Milestone",$K300="Deadline"),$I300&gt;=CA$4,$I300&lt;CA$4+7),IF($K300="Deadline","◇","◆"),"")</f>
        <v/>
      </c>
      <c r="CB300" s="14" t="str">
        <f>IF(AND(ISNUMBER($I300),OR($K300="Milestone",$K300="Deadline"),$I300&gt;=CB$4,$I300&lt;CB$4+7),IF($K300="Deadline","◇","◆"),"")</f>
        <v/>
      </c>
      <c r="CC300" s="14" t="str">
        <f>IF(AND(ISNUMBER($I300),OR($K300="Milestone",$K300="Deadline"),$I300&gt;=CC$4,$I300&lt;CC$4+7),IF($K300="Deadline","◇","◆"),"")</f>
        <v/>
      </c>
      <c r="CD300" s="14" t="str">
        <f>IF(AND(ISNUMBER($I300),OR($K300="Milestone",$K300="Deadline"),$I300&gt;=CD$4,$I300&lt;CD$4+7),IF($K300="Deadline","◇","◆"),"")</f>
        <v/>
      </c>
      <c r="CE300" s="14" t="str">
        <f>IF(AND(ISNUMBER($I300),OR($K300="Milestone",$K300="Deadline"),$I300&gt;=CE$4,$I300&lt;CE$4+7),IF($K300="Deadline","◇","◆"),"")</f>
        <v/>
      </c>
      <c r="CF300" s="14" t="str">
        <f>IF(AND(ISNUMBER($I300),OR($K300="Milestone",$K300="Deadline"),$I300&gt;=CF$4,$I300&lt;CF$4+7),IF($K300="Deadline","◇","◆"),"")</f>
        <v/>
      </c>
      <c r="CG300" s="14" t="str">
        <f>IF(AND(ISNUMBER($I300),OR($K300="Milestone",$K300="Deadline"),$I300&gt;=CG$4,$I300&lt;CG$4+7),IF($K300="Deadline","◇","◆"),"")</f>
        <v/>
      </c>
      <c r="CH300" s="14" t="str">
        <f>IF(AND(ISNUMBER($I300),OR($K300="Milestone",$K300="Deadline"),$I300&gt;=CH$4,$I300&lt;CH$4+7),IF($K300="Deadline","◇","◆"),"")</f>
        <v/>
      </c>
      <c r="CI300" s="14" t="str">
        <f>IF(AND(ISNUMBER($I300),OR($K300="Milestone",$K300="Deadline"),$I300&gt;=CI$4,$I300&lt;CI$4+7),IF($K300="Deadline","◇","◆"),"")</f>
        <v/>
      </c>
      <c r="CJ300" s="14" t="str">
        <f>IF(AND(ISNUMBER($I300),OR($K300="Milestone",$K300="Deadline"),$I300&gt;=CJ$4,$I300&lt;CJ$4+7),IF($K300="Deadline","◇","◆"),"")</f>
        <v/>
      </c>
      <c r="CK300" s="14" t="str">
        <f>IF(AND(ISNUMBER($I300),OR($K300="Milestone",$K300="Deadline"),$I300&gt;=CK$4,$I300&lt;CK$4+7),IF($K300="Deadline","◇","◆"),"")</f>
        <v/>
      </c>
      <c r="CL300" s="14" t="str">
        <f>IF(AND(ISNUMBER($I300),OR($K300="Milestone",$K300="Deadline"),$I300&gt;=CL$4,$I300&lt;CL$4+7),IF($K300="Deadline","◇","◆"),"")</f>
        <v/>
      </c>
      <c r="CM300" s="14" t="str">
        <f>IF(AND(ISNUMBER($I300),OR($K300="Milestone",$K300="Deadline"),$I300&gt;=CM$4,$I300&lt;CM$4+7),IF($K300="Deadline","◇","◆"),"")</f>
        <v/>
      </c>
    </row>
    <row r="301" spans="1:91" hidden="1">
      <c r="A301" s="15" t="s">
        <v>593</v>
      </c>
      <c r="B301" s="15" t="s">
        <v>579</v>
      </c>
      <c r="C301" s="15" t="s">
        <v>117</v>
      </c>
      <c r="D301" s="15"/>
      <c r="E301" s="15"/>
      <c r="F301" s="15"/>
      <c r="G301" s="15" t="s">
        <v>594</v>
      </c>
      <c r="H301" s="15">
        <v>61</v>
      </c>
      <c r="I301" s="16">
        <v>46508</v>
      </c>
      <c r="J301" s="17">
        <f>IF(AND(ISNUMBER(I301),ISNUMBER(H301)),I301+H301-1,"")</f>
        <v>46568</v>
      </c>
      <c r="K301" s="15" t="s">
        <v>27</v>
      </c>
      <c r="L301" s="15" t="s">
        <v>590</v>
      </c>
      <c r="M301" s="18"/>
      <c r="N301" s="15" t="s">
        <v>595</v>
      </c>
      <c r="O301" s="18">
        <f>IF(AND(ISNUMBER(I301),ISNUMBER(J301)),J301-I301+1,"")</f>
        <v>61</v>
      </c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  <c r="AG301" s="13"/>
      <c r="AH301" s="13"/>
      <c r="AI301" s="13"/>
      <c r="AJ301" s="13"/>
      <c r="AK301" s="13"/>
      <c r="AL301" s="13"/>
      <c r="AM301" s="13"/>
      <c r="AN301" s="13"/>
      <c r="AO301" s="14" t="str">
        <f>IF(AND(ISNUMBER($I301),OR($K301="Milestone",$K301="Deadline"),$I301&gt;=AO$4,$I301&lt;AO$4+7),IF($K301="Deadline","◇","◆"),"")</f>
        <v/>
      </c>
      <c r="AP301" s="14" t="str">
        <f>IF(AND(ISNUMBER($I301),OR($K301="Milestone",$K301="Deadline"),$I301&gt;=AP$4,$I301&lt;AP$4+7),IF($K301="Deadline","◇","◆"),"")</f>
        <v/>
      </c>
      <c r="AQ301" s="14" t="str">
        <f>IF(AND(ISNUMBER($I301),OR($K301="Milestone",$K301="Deadline"),$I301&gt;=AQ$4,$I301&lt;AQ$4+7),IF($K301="Deadline","◇","◆"),"")</f>
        <v/>
      </c>
      <c r="AR301" s="14" t="str">
        <f>IF(AND(ISNUMBER($I301),OR($K301="Milestone",$K301="Deadline"),$I301&gt;=AR$4,$I301&lt;AR$4+7),IF($K301="Deadline","◇","◆"),"")</f>
        <v/>
      </c>
      <c r="AS301" s="14" t="str">
        <f>IF(AND(ISNUMBER($I301),OR($K301="Milestone",$K301="Deadline"),$I301&gt;=AS$4,$I301&lt;AS$4+7),IF($K301="Deadline","◇","◆"),"")</f>
        <v/>
      </c>
      <c r="AT301" s="14" t="str">
        <f>IF(AND(ISNUMBER($I301),OR($K301="Milestone",$K301="Deadline"),$I301&gt;=AT$4,$I301&lt;AT$4+7),IF($K301="Deadline","◇","◆"),"")</f>
        <v/>
      </c>
      <c r="AU301" s="14" t="str">
        <f>IF(AND(ISNUMBER($I301),OR($K301="Milestone",$K301="Deadline"),$I301&gt;=AU$4,$I301&lt;AU$4+7),IF($K301="Deadline","◇","◆"),"")</f>
        <v/>
      </c>
      <c r="AV301" s="14" t="str">
        <f>IF(AND(ISNUMBER($I301),OR($K301="Milestone",$K301="Deadline"),$I301&gt;=AV$4,$I301&lt;AV$4+7),IF($K301="Deadline","◇","◆"),"")</f>
        <v/>
      </c>
      <c r="AW301" s="14" t="str">
        <f>IF(AND(ISNUMBER($I301),OR($K301="Milestone",$K301="Deadline"),$I301&gt;=AW$4,$I301&lt;AW$4+7),IF($K301="Deadline","◇","◆"),"")</f>
        <v/>
      </c>
      <c r="AX301" s="14" t="str">
        <f>IF(AND(ISNUMBER($I301),OR($K301="Milestone",$K301="Deadline"),$I301&gt;=AX$4,$I301&lt;AX$4+7),IF($K301="Deadline","◇","◆"),"")</f>
        <v/>
      </c>
      <c r="AY301" s="14" t="str">
        <f>IF(AND(ISNUMBER($I301),OR($K301="Milestone",$K301="Deadline"),$I301&gt;=AY$4,$I301&lt;AY$4+7),IF($K301="Deadline","◇","◆"),"")</f>
        <v/>
      </c>
      <c r="AZ301" s="14" t="str">
        <f>IF(AND(ISNUMBER($I301),OR($K301="Milestone",$K301="Deadline"),$I301&gt;=AZ$4,$I301&lt;AZ$4+7),IF($K301="Deadline","◇","◆"),"")</f>
        <v/>
      </c>
      <c r="BA301" s="14" t="str">
        <f>IF(AND(ISNUMBER($I301),OR($K301="Milestone",$K301="Deadline"),$I301&gt;=BA$4,$I301&lt;BA$4+7),IF($K301="Deadline","◇","◆"),"")</f>
        <v/>
      </c>
      <c r="BB301" s="14" t="str">
        <f>IF(AND(ISNUMBER($I301),OR($K301="Milestone",$K301="Deadline"),$I301&gt;=BB$4,$I301&lt;BB$4+7),IF($K301="Deadline","◇","◆"),"")</f>
        <v/>
      </c>
      <c r="BC301" s="14" t="str">
        <f>IF(AND(ISNUMBER($I301),OR($K301="Milestone",$K301="Deadline"),$I301&gt;=BC$4,$I301&lt;BC$4+7),IF($K301="Deadline","◇","◆"),"")</f>
        <v/>
      </c>
      <c r="BD301" s="14" t="str">
        <f>IF(AND(ISNUMBER($I301),OR($K301="Milestone",$K301="Deadline"),$I301&gt;=BD$4,$I301&lt;BD$4+7),IF($K301="Deadline","◇","◆"),"")</f>
        <v/>
      </c>
      <c r="BE301" s="14" t="str">
        <f>IF(AND(ISNUMBER($I301),OR($K301="Milestone",$K301="Deadline"),$I301&gt;=BE$4,$I301&lt;BE$4+7),IF($K301="Deadline","◇","◆"),"")</f>
        <v/>
      </c>
      <c r="BF301" s="14" t="str">
        <f>IF(AND(ISNUMBER($I301),OR($K301="Milestone",$K301="Deadline"),$I301&gt;=BF$4,$I301&lt;BF$4+7),IF($K301="Deadline","◇","◆"),"")</f>
        <v/>
      </c>
      <c r="BG301" s="14" t="str">
        <f>IF(AND(ISNUMBER($I301),OR($K301="Milestone",$K301="Deadline"),$I301&gt;=BG$4,$I301&lt;BG$4+7),IF($K301="Deadline","◇","◆"),"")</f>
        <v/>
      </c>
      <c r="BH301" s="14" t="str">
        <f>IF(AND(ISNUMBER($I301),OR($K301="Milestone",$K301="Deadline"),$I301&gt;=BH$4,$I301&lt;BH$4+7),IF($K301="Deadline","◇","◆"),"")</f>
        <v/>
      </c>
      <c r="BI301" s="14" t="str">
        <f>IF(AND(ISNUMBER($I301),OR($K301="Milestone",$K301="Deadline"),$I301&gt;=BI$4,$I301&lt;BI$4+7),IF($K301="Deadline","◇","◆"),"")</f>
        <v/>
      </c>
      <c r="BJ301" s="14" t="str">
        <f>IF(AND(ISNUMBER($I301),OR($K301="Milestone",$K301="Deadline"),$I301&gt;=BJ$4,$I301&lt;BJ$4+7),IF($K301="Deadline","◇","◆"),"")</f>
        <v/>
      </c>
      <c r="BK301" s="14" t="str">
        <f>IF(AND(ISNUMBER($I301),OR($K301="Milestone",$K301="Deadline"),$I301&gt;=BK$4,$I301&lt;BK$4+7),IF($K301="Deadline","◇","◆"),"")</f>
        <v/>
      </c>
      <c r="BL301" s="14" t="str">
        <f>IF(AND(ISNUMBER($I301),OR($K301="Milestone",$K301="Deadline"),$I301&gt;=BL$4,$I301&lt;BL$4+7),IF($K301="Deadline","◇","◆"),"")</f>
        <v/>
      </c>
      <c r="BM301" s="14" t="str">
        <f>IF(AND(ISNUMBER($I301),OR($K301="Milestone",$K301="Deadline"),$I301&gt;=BM$4,$I301&lt;BM$4+7),IF($K301="Deadline","◇","◆"),"")</f>
        <v/>
      </c>
      <c r="BN301" s="14" t="str">
        <f>IF(AND(ISNUMBER($I301),OR($K301="Milestone",$K301="Deadline"),$I301&gt;=BN$4,$I301&lt;BN$4+7),IF($K301="Deadline","◇","◆"),"")</f>
        <v/>
      </c>
      <c r="BO301" s="14" t="str">
        <f>IF(AND(ISNUMBER($I301),OR($K301="Milestone",$K301="Deadline"),$I301&gt;=BO$4,$I301&lt;BO$4+7),IF($K301="Deadline","◇","◆"),"")</f>
        <v/>
      </c>
      <c r="BP301" s="14" t="str">
        <f>IF(AND(ISNUMBER($I301),OR($K301="Milestone",$K301="Deadline"),$I301&gt;=BP$4,$I301&lt;BP$4+7),IF($K301="Deadline","◇","◆"),"")</f>
        <v/>
      </c>
      <c r="BQ301" s="14" t="str">
        <f>IF(AND(ISNUMBER($I301),OR($K301="Milestone",$K301="Deadline"),$I301&gt;=BQ$4,$I301&lt;BQ$4+7),IF($K301="Deadline","◇","◆"),"")</f>
        <v/>
      </c>
      <c r="BR301" s="14" t="str">
        <f>IF(AND(ISNUMBER($I301),OR($K301="Milestone",$K301="Deadline"),$I301&gt;=BR$4,$I301&lt;BR$4+7),IF($K301="Deadline","◇","◆"),"")</f>
        <v/>
      </c>
      <c r="BS301" s="14" t="str">
        <f>IF(AND(ISNUMBER($I301),OR($K301="Milestone",$K301="Deadline"),$I301&gt;=BS$4,$I301&lt;BS$4+7),IF($K301="Deadline","◇","◆"),"")</f>
        <v/>
      </c>
      <c r="BT301" s="14" t="str">
        <f>IF(AND(ISNUMBER($I301),OR($K301="Milestone",$K301="Deadline"),$I301&gt;=BT$4,$I301&lt;BT$4+7),IF($K301="Deadline","◇","◆"),"")</f>
        <v/>
      </c>
      <c r="BU301" s="14" t="str">
        <f>IF(AND(ISNUMBER($I301),OR($K301="Milestone",$K301="Deadline"),$I301&gt;=BU$4,$I301&lt;BU$4+7),IF($K301="Deadline","◇","◆"),"")</f>
        <v/>
      </c>
      <c r="BV301" s="14" t="str">
        <f>IF(AND(ISNUMBER($I301),OR($K301="Milestone",$K301="Deadline"),$I301&gt;=BV$4,$I301&lt;BV$4+7),IF($K301="Deadline","◇","◆"),"")</f>
        <v/>
      </c>
      <c r="BW301" s="14" t="str">
        <f>IF(AND(ISNUMBER($I301),OR($K301="Milestone",$K301="Deadline"),$I301&gt;=BW$4,$I301&lt;BW$4+7),IF($K301="Deadline","◇","◆"),"")</f>
        <v/>
      </c>
      <c r="BX301" s="14" t="str">
        <f>IF(AND(ISNUMBER($I301),OR($K301="Milestone",$K301="Deadline"),$I301&gt;=BX$4,$I301&lt;BX$4+7),IF($K301="Deadline","◇","◆"),"")</f>
        <v/>
      </c>
      <c r="BY301" s="14" t="str">
        <f>IF(AND(ISNUMBER($I301),OR($K301="Milestone",$K301="Deadline"),$I301&gt;=BY$4,$I301&lt;BY$4+7),IF($K301="Deadline","◇","◆"),"")</f>
        <v/>
      </c>
      <c r="BZ301" s="14" t="str">
        <f>IF(AND(ISNUMBER($I301),OR($K301="Milestone",$K301="Deadline"),$I301&gt;=BZ$4,$I301&lt;BZ$4+7),IF($K301="Deadline","◇","◆"),"")</f>
        <v/>
      </c>
      <c r="CA301" s="14" t="str">
        <f>IF(AND(ISNUMBER($I301),OR($K301="Milestone",$K301="Deadline"),$I301&gt;=CA$4,$I301&lt;CA$4+7),IF($K301="Deadline","◇","◆"),"")</f>
        <v/>
      </c>
      <c r="CB301" s="14" t="str">
        <f>IF(AND(ISNUMBER($I301),OR($K301="Milestone",$K301="Deadline"),$I301&gt;=CB$4,$I301&lt;CB$4+7),IF($K301="Deadline","◇","◆"),"")</f>
        <v/>
      </c>
      <c r="CC301" s="14" t="str">
        <f>IF(AND(ISNUMBER($I301),OR($K301="Milestone",$K301="Deadline"),$I301&gt;=CC$4,$I301&lt;CC$4+7),IF($K301="Deadline","◇","◆"),"")</f>
        <v/>
      </c>
      <c r="CD301" s="14" t="str">
        <f>IF(AND(ISNUMBER($I301),OR($K301="Milestone",$K301="Deadline"),$I301&gt;=CD$4,$I301&lt;CD$4+7),IF($K301="Deadline","◇","◆"),"")</f>
        <v/>
      </c>
      <c r="CE301" s="14" t="str">
        <f>IF(AND(ISNUMBER($I301),OR($K301="Milestone",$K301="Deadline"),$I301&gt;=CE$4,$I301&lt;CE$4+7),IF($K301="Deadline","◇","◆"),"")</f>
        <v/>
      </c>
      <c r="CF301" s="14" t="str">
        <f>IF(AND(ISNUMBER($I301),OR($K301="Milestone",$K301="Deadline"),$I301&gt;=CF$4,$I301&lt;CF$4+7),IF($K301="Deadline","◇","◆"),"")</f>
        <v/>
      </c>
      <c r="CG301" s="14" t="str">
        <f>IF(AND(ISNUMBER($I301),OR($K301="Milestone",$K301="Deadline"),$I301&gt;=CG$4,$I301&lt;CG$4+7),IF($K301="Deadline","◇","◆"),"")</f>
        <v/>
      </c>
      <c r="CH301" s="14" t="str">
        <f>IF(AND(ISNUMBER($I301),OR($K301="Milestone",$K301="Deadline"),$I301&gt;=CH$4,$I301&lt;CH$4+7),IF($K301="Deadline","◇","◆"),"")</f>
        <v/>
      </c>
      <c r="CI301" s="14" t="str">
        <f>IF(AND(ISNUMBER($I301),OR($K301="Milestone",$K301="Deadline"),$I301&gt;=CI$4,$I301&lt;CI$4+7),IF($K301="Deadline","◇","◆"),"")</f>
        <v/>
      </c>
      <c r="CJ301" s="14" t="str">
        <f>IF(AND(ISNUMBER($I301),OR($K301="Milestone",$K301="Deadline"),$I301&gt;=CJ$4,$I301&lt;CJ$4+7),IF($K301="Deadline","◇","◆"),"")</f>
        <v/>
      </c>
      <c r="CK301" s="14" t="str">
        <f>IF(AND(ISNUMBER($I301),OR($K301="Milestone",$K301="Deadline"),$I301&gt;=CK$4,$I301&lt;CK$4+7),IF($K301="Deadline","◇","◆"),"")</f>
        <v/>
      </c>
      <c r="CL301" s="14" t="str">
        <f>IF(AND(ISNUMBER($I301),OR($K301="Milestone",$K301="Deadline"),$I301&gt;=CL$4,$I301&lt;CL$4+7),IF($K301="Deadline","◇","◆"),"")</f>
        <v/>
      </c>
      <c r="CM301" s="14" t="str">
        <f>IF(AND(ISNUMBER($I301),OR($K301="Milestone",$K301="Deadline"),$I301&gt;=CM$4,$I301&lt;CM$4+7),IF($K301="Deadline","◇","◆"),"")</f>
        <v/>
      </c>
    </row>
    <row r="302" spans="1:91" hidden="1">
      <c r="A302" s="15" t="s">
        <v>596</v>
      </c>
      <c r="B302" s="15" t="s">
        <v>579</v>
      </c>
      <c r="C302" s="15" t="s">
        <v>117</v>
      </c>
      <c r="D302" s="15"/>
      <c r="E302" s="15"/>
      <c r="F302" s="15"/>
      <c r="G302" s="15" t="s">
        <v>597</v>
      </c>
      <c r="H302" s="15">
        <v>31</v>
      </c>
      <c r="I302" s="16">
        <v>46569</v>
      </c>
      <c r="J302" s="17">
        <f>IF(AND(ISNUMBER(I302),ISNUMBER(H302)),I302+H302-1,"")</f>
        <v>46599</v>
      </c>
      <c r="K302" s="15" t="s">
        <v>27</v>
      </c>
      <c r="L302" s="15" t="s">
        <v>593</v>
      </c>
      <c r="M302" s="18"/>
      <c r="N302" s="15" t="s">
        <v>592</v>
      </c>
      <c r="O302" s="18">
        <f>IF(AND(ISNUMBER(I302),ISNUMBER(J302)),J302-I302+1,"")</f>
        <v>31</v>
      </c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  <c r="AG302" s="13"/>
      <c r="AH302" s="13"/>
      <c r="AI302" s="13"/>
      <c r="AJ302" s="13"/>
      <c r="AK302" s="13"/>
      <c r="AL302" s="13"/>
      <c r="AM302" s="13"/>
      <c r="AN302" s="13"/>
      <c r="AO302" s="14" t="str">
        <f>IF(AND(ISNUMBER($I302),OR($K302="Milestone",$K302="Deadline"),$I302&gt;=AO$4,$I302&lt;AO$4+7),IF($K302="Deadline","◇","◆"),"")</f>
        <v/>
      </c>
      <c r="AP302" s="14" t="str">
        <f>IF(AND(ISNUMBER($I302),OR($K302="Milestone",$K302="Deadline"),$I302&gt;=AP$4,$I302&lt;AP$4+7),IF($K302="Deadline","◇","◆"),"")</f>
        <v/>
      </c>
      <c r="AQ302" s="14" t="str">
        <f>IF(AND(ISNUMBER($I302),OR($K302="Milestone",$K302="Deadline"),$I302&gt;=AQ$4,$I302&lt;AQ$4+7),IF($K302="Deadline","◇","◆"),"")</f>
        <v/>
      </c>
      <c r="AR302" s="14" t="str">
        <f>IF(AND(ISNUMBER($I302),OR($K302="Milestone",$K302="Deadline"),$I302&gt;=AR$4,$I302&lt;AR$4+7),IF($K302="Deadline","◇","◆"),"")</f>
        <v/>
      </c>
      <c r="AS302" s="14" t="str">
        <f>IF(AND(ISNUMBER($I302),OR($K302="Milestone",$K302="Deadline"),$I302&gt;=AS$4,$I302&lt;AS$4+7),IF($K302="Deadline","◇","◆"),"")</f>
        <v/>
      </c>
      <c r="AT302" s="14" t="str">
        <f>IF(AND(ISNUMBER($I302),OR($K302="Milestone",$K302="Deadline"),$I302&gt;=AT$4,$I302&lt;AT$4+7),IF($K302="Deadline","◇","◆"),"")</f>
        <v/>
      </c>
      <c r="AU302" s="14" t="str">
        <f>IF(AND(ISNUMBER($I302),OR($K302="Milestone",$K302="Deadline"),$I302&gt;=AU$4,$I302&lt;AU$4+7),IF($K302="Deadline","◇","◆"),"")</f>
        <v/>
      </c>
      <c r="AV302" s="14" t="str">
        <f>IF(AND(ISNUMBER($I302),OR($K302="Milestone",$K302="Deadline"),$I302&gt;=AV$4,$I302&lt;AV$4+7),IF($K302="Deadline","◇","◆"),"")</f>
        <v/>
      </c>
      <c r="AW302" s="14" t="str">
        <f>IF(AND(ISNUMBER($I302),OR($K302="Milestone",$K302="Deadline"),$I302&gt;=AW$4,$I302&lt;AW$4+7),IF($K302="Deadline","◇","◆"),"")</f>
        <v/>
      </c>
      <c r="AX302" s="14" t="str">
        <f>IF(AND(ISNUMBER($I302),OR($K302="Milestone",$K302="Deadline"),$I302&gt;=AX$4,$I302&lt;AX$4+7),IF($K302="Deadline","◇","◆"),"")</f>
        <v/>
      </c>
      <c r="AY302" s="14" t="str">
        <f>IF(AND(ISNUMBER($I302),OR($K302="Milestone",$K302="Deadline"),$I302&gt;=AY$4,$I302&lt;AY$4+7),IF($K302="Deadline","◇","◆"),"")</f>
        <v/>
      </c>
      <c r="AZ302" s="14" t="str">
        <f>IF(AND(ISNUMBER($I302),OR($K302="Milestone",$K302="Deadline"),$I302&gt;=AZ$4,$I302&lt;AZ$4+7),IF($K302="Deadline","◇","◆"),"")</f>
        <v/>
      </c>
      <c r="BA302" s="14" t="str">
        <f>IF(AND(ISNUMBER($I302),OR($K302="Milestone",$K302="Deadline"),$I302&gt;=BA$4,$I302&lt;BA$4+7),IF($K302="Deadline","◇","◆"),"")</f>
        <v/>
      </c>
      <c r="BB302" s="14" t="str">
        <f>IF(AND(ISNUMBER($I302),OR($K302="Milestone",$K302="Deadline"),$I302&gt;=BB$4,$I302&lt;BB$4+7),IF($K302="Deadline","◇","◆"),"")</f>
        <v/>
      </c>
      <c r="BC302" s="14" t="str">
        <f>IF(AND(ISNUMBER($I302),OR($K302="Milestone",$K302="Deadline"),$I302&gt;=BC$4,$I302&lt;BC$4+7),IF($K302="Deadline","◇","◆"),"")</f>
        <v/>
      </c>
      <c r="BD302" s="14" t="str">
        <f>IF(AND(ISNUMBER($I302),OR($K302="Milestone",$K302="Deadline"),$I302&gt;=BD$4,$I302&lt;BD$4+7),IF($K302="Deadline","◇","◆"),"")</f>
        <v/>
      </c>
      <c r="BE302" s="14" t="str">
        <f>IF(AND(ISNUMBER($I302),OR($K302="Milestone",$K302="Deadline"),$I302&gt;=BE$4,$I302&lt;BE$4+7),IF($K302="Deadline","◇","◆"),"")</f>
        <v/>
      </c>
      <c r="BF302" s="14" t="str">
        <f>IF(AND(ISNUMBER($I302),OR($K302="Milestone",$K302="Deadline"),$I302&gt;=BF$4,$I302&lt;BF$4+7),IF($K302="Deadline","◇","◆"),"")</f>
        <v/>
      </c>
      <c r="BG302" s="14" t="str">
        <f>IF(AND(ISNUMBER($I302),OR($K302="Milestone",$K302="Deadline"),$I302&gt;=BG$4,$I302&lt;BG$4+7),IF($K302="Deadline","◇","◆"),"")</f>
        <v/>
      </c>
      <c r="BH302" s="14" t="str">
        <f>IF(AND(ISNUMBER($I302),OR($K302="Milestone",$K302="Deadline"),$I302&gt;=BH$4,$I302&lt;BH$4+7),IF($K302="Deadline","◇","◆"),"")</f>
        <v/>
      </c>
      <c r="BI302" s="14" t="str">
        <f>IF(AND(ISNUMBER($I302),OR($K302="Milestone",$K302="Deadline"),$I302&gt;=BI$4,$I302&lt;BI$4+7),IF($K302="Deadline","◇","◆"),"")</f>
        <v/>
      </c>
      <c r="BJ302" s="14" t="str">
        <f>IF(AND(ISNUMBER($I302),OR($K302="Milestone",$K302="Deadline"),$I302&gt;=BJ$4,$I302&lt;BJ$4+7),IF($K302="Deadline","◇","◆"),"")</f>
        <v/>
      </c>
      <c r="BK302" s="14" t="str">
        <f>IF(AND(ISNUMBER($I302),OR($K302="Milestone",$K302="Deadline"),$I302&gt;=BK$4,$I302&lt;BK$4+7),IF($K302="Deadline","◇","◆"),"")</f>
        <v/>
      </c>
      <c r="BL302" s="14" t="str">
        <f>IF(AND(ISNUMBER($I302),OR($K302="Milestone",$K302="Deadline"),$I302&gt;=BL$4,$I302&lt;BL$4+7),IF($K302="Deadline","◇","◆"),"")</f>
        <v/>
      </c>
      <c r="BM302" s="14" t="str">
        <f>IF(AND(ISNUMBER($I302),OR($K302="Milestone",$K302="Deadline"),$I302&gt;=BM$4,$I302&lt;BM$4+7),IF($K302="Deadline","◇","◆"),"")</f>
        <v/>
      </c>
      <c r="BN302" s="14" t="str">
        <f>IF(AND(ISNUMBER($I302),OR($K302="Milestone",$K302="Deadline"),$I302&gt;=BN$4,$I302&lt;BN$4+7),IF($K302="Deadline","◇","◆"),"")</f>
        <v/>
      </c>
      <c r="BO302" s="14" t="str">
        <f>IF(AND(ISNUMBER($I302),OR($K302="Milestone",$K302="Deadline"),$I302&gt;=BO$4,$I302&lt;BO$4+7),IF($K302="Deadline","◇","◆"),"")</f>
        <v/>
      </c>
      <c r="BP302" s="14" t="str">
        <f>IF(AND(ISNUMBER($I302),OR($K302="Milestone",$K302="Deadline"),$I302&gt;=BP$4,$I302&lt;BP$4+7),IF($K302="Deadline","◇","◆"),"")</f>
        <v/>
      </c>
      <c r="BQ302" s="14" t="str">
        <f>IF(AND(ISNUMBER($I302),OR($K302="Milestone",$K302="Deadline"),$I302&gt;=BQ$4,$I302&lt;BQ$4+7),IF($K302="Deadline","◇","◆"),"")</f>
        <v/>
      </c>
      <c r="BR302" s="14" t="str">
        <f>IF(AND(ISNUMBER($I302),OR($K302="Milestone",$K302="Deadline"),$I302&gt;=BR$4,$I302&lt;BR$4+7),IF($K302="Deadline","◇","◆"),"")</f>
        <v/>
      </c>
      <c r="BS302" s="14" t="str">
        <f>IF(AND(ISNUMBER($I302),OR($K302="Milestone",$K302="Deadline"),$I302&gt;=BS$4,$I302&lt;BS$4+7),IF($K302="Deadline","◇","◆"),"")</f>
        <v/>
      </c>
      <c r="BT302" s="14" t="str">
        <f>IF(AND(ISNUMBER($I302),OR($K302="Milestone",$K302="Deadline"),$I302&gt;=BT$4,$I302&lt;BT$4+7),IF($K302="Deadline","◇","◆"),"")</f>
        <v/>
      </c>
      <c r="BU302" s="14" t="str">
        <f>IF(AND(ISNUMBER($I302),OR($K302="Milestone",$K302="Deadline"),$I302&gt;=BU$4,$I302&lt;BU$4+7),IF($K302="Deadline","◇","◆"),"")</f>
        <v/>
      </c>
      <c r="BV302" s="14" t="str">
        <f>IF(AND(ISNUMBER($I302),OR($K302="Milestone",$K302="Deadline"),$I302&gt;=BV$4,$I302&lt;BV$4+7),IF($K302="Deadline","◇","◆"),"")</f>
        <v/>
      </c>
      <c r="BW302" s="14" t="str">
        <f>IF(AND(ISNUMBER($I302),OR($K302="Milestone",$K302="Deadline"),$I302&gt;=BW$4,$I302&lt;BW$4+7),IF($K302="Deadline","◇","◆"),"")</f>
        <v/>
      </c>
      <c r="BX302" s="14" t="str">
        <f>IF(AND(ISNUMBER($I302),OR($K302="Milestone",$K302="Deadline"),$I302&gt;=BX$4,$I302&lt;BX$4+7),IF($K302="Deadline","◇","◆"),"")</f>
        <v/>
      </c>
      <c r="BY302" s="14" t="str">
        <f>IF(AND(ISNUMBER($I302),OR($K302="Milestone",$K302="Deadline"),$I302&gt;=BY$4,$I302&lt;BY$4+7),IF($K302="Deadline","◇","◆"),"")</f>
        <v/>
      </c>
      <c r="BZ302" s="14" t="str">
        <f>IF(AND(ISNUMBER($I302),OR($K302="Milestone",$K302="Deadline"),$I302&gt;=BZ$4,$I302&lt;BZ$4+7),IF($K302="Deadline","◇","◆"),"")</f>
        <v/>
      </c>
      <c r="CA302" s="14" t="str">
        <f>IF(AND(ISNUMBER($I302),OR($K302="Milestone",$K302="Deadline"),$I302&gt;=CA$4,$I302&lt;CA$4+7),IF($K302="Deadline","◇","◆"),"")</f>
        <v/>
      </c>
      <c r="CB302" s="14" t="str">
        <f>IF(AND(ISNUMBER($I302),OR($K302="Milestone",$K302="Deadline"),$I302&gt;=CB$4,$I302&lt;CB$4+7),IF($K302="Deadline","◇","◆"),"")</f>
        <v/>
      </c>
      <c r="CC302" s="14" t="str">
        <f>IF(AND(ISNUMBER($I302),OR($K302="Milestone",$K302="Deadline"),$I302&gt;=CC$4,$I302&lt;CC$4+7),IF($K302="Deadline","◇","◆"),"")</f>
        <v/>
      </c>
      <c r="CD302" s="14" t="str">
        <f>IF(AND(ISNUMBER($I302),OR($K302="Milestone",$K302="Deadline"),$I302&gt;=CD$4,$I302&lt;CD$4+7),IF($K302="Deadline","◇","◆"),"")</f>
        <v/>
      </c>
      <c r="CE302" s="14" t="str">
        <f>IF(AND(ISNUMBER($I302),OR($K302="Milestone",$K302="Deadline"),$I302&gt;=CE$4,$I302&lt;CE$4+7),IF($K302="Deadline","◇","◆"),"")</f>
        <v/>
      </c>
      <c r="CF302" s="14" t="str">
        <f>IF(AND(ISNUMBER($I302),OR($K302="Milestone",$K302="Deadline"),$I302&gt;=CF$4,$I302&lt;CF$4+7),IF($K302="Deadline","◇","◆"),"")</f>
        <v/>
      </c>
      <c r="CG302" s="14" t="str">
        <f>IF(AND(ISNUMBER($I302),OR($K302="Milestone",$K302="Deadline"),$I302&gt;=CG$4,$I302&lt;CG$4+7),IF($K302="Deadline","◇","◆"),"")</f>
        <v/>
      </c>
      <c r="CH302" s="14" t="str">
        <f>IF(AND(ISNUMBER($I302),OR($K302="Milestone",$K302="Deadline"),$I302&gt;=CH$4,$I302&lt;CH$4+7),IF($K302="Deadline","◇","◆"),"")</f>
        <v/>
      </c>
      <c r="CI302" s="14" t="str">
        <f>IF(AND(ISNUMBER($I302),OR($K302="Milestone",$K302="Deadline"),$I302&gt;=CI$4,$I302&lt;CI$4+7),IF($K302="Deadline","◇","◆"),"")</f>
        <v/>
      </c>
      <c r="CJ302" s="14" t="str">
        <f>IF(AND(ISNUMBER($I302),OR($K302="Milestone",$K302="Deadline"),$I302&gt;=CJ$4,$I302&lt;CJ$4+7),IF($K302="Deadline","◇","◆"),"")</f>
        <v/>
      </c>
      <c r="CK302" s="14" t="str">
        <f>IF(AND(ISNUMBER($I302),OR($K302="Milestone",$K302="Deadline"),$I302&gt;=CK$4,$I302&lt;CK$4+7),IF($K302="Deadline","◇","◆"),"")</f>
        <v/>
      </c>
      <c r="CL302" s="14" t="str">
        <f>IF(AND(ISNUMBER($I302),OR($K302="Milestone",$K302="Deadline"),$I302&gt;=CL$4,$I302&lt;CL$4+7),IF($K302="Deadline","◇","◆"),"")</f>
        <v/>
      </c>
      <c r="CM302" s="14" t="str">
        <f>IF(AND(ISNUMBER($I302),OR($K302="Milestone",$K302="Deadline"),$I302&gt;=CM$4,$I302&lt;CM$4+7),IF($K302="Deadline","◇","◆"),"")</f>
        <v/>
      </c>
    </row>
    <row r="303" spans="1:91" hidden="1">
      <c r="A303" s="15" t="s">
        <v>598</v>
      </c>
      <c r="B303" s="15" t="s">
        <v>579</v>
      </c>
      <c r="C303" s="15" t="s">
        <v>117</v>
      </c>
      <c r="D303" s="15"/>
      <c r="E303" s="15"/>
      <c r="F303" s="15"/>
      <c r="G303" s="15" t="s">
        <v>599</v>
      </c>
      <c r="H303" s="15">
        <v>31</v>
      </c>
      <c r="I303" s="16">
        <v>46600</v>
      </c>
      <c r="J303" s="17">
        <f>IF(AND(ISNUMBER(I303),ISNUMBER(H303)),I303+H303-1,"")</f>
        <v>46630</v>
      </c>
      <c r="K303" s="15" t="s">
        <v>27</v>
      </c>
      <c r="L303" s="15" t="s">
        <v>596</v>
      </c>
      <c r="M303" s="18"/>
      <c r="N303" s="15" t="s">
        <v>600</v>
      </c>
      <c r="O303" s="18">
        <f>IF(AND(ISNUMBER(I303),ISNUMBER(J303)),J303-I303+1,"")</f>
        <v>31</v>
      </c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  <c r="AG303" s="13"/>
      <c r="AH303" s="13"/>
      <c r="AI303" s="13"/>
      <c r="AJ303" s="13"/>
      <c r="AK303" s="13"/>
      <c r="AL303" s="13"/>
      <c r="AM303" s="13"/>
      <c r="AN303" s="13"/>
      <c r="AO303" s="14" t="str">
        <f>IF(AND(ISNUMBER($I303),OR($K303="Milestone",$K303="Deadline"),$I303&gt;=AO$4,$I303&lt;AO$4+7),IF($K303="Deadline","◇","◆"),"")</f>
        <v/>
      </c>
      <c r="AP303" s="14" t="str">
        <f>IF(AND(ISNUMBER($I303),OR($K303="Milestone",$K303="Deadline"),$I303&gt;=AP$4,$I303&lt;AP$4+7),IF($K303="Deadline","◇","◆"),"")</f>
        <v/>
      </c>
      <c r="AQ303" s="14" t="str">
        <f>IF(AND(ISNUMBER($I303),OR($K303="Milestone",$K303="Deadline"),$I303&gt;=AQ$4,$I303&lt;AQ$4+7),IF($K303="Deadline","◇","◆"),"")</f>
        <v/>
      </c>
      <c r="AR303" s="14" t="str">
        <f>IF(AND(ISNUMBER($I303),OR($K303="Milestone",$K303="Deadline"),$I303&gt;=AR$4,$I303&lt;AR$4+7),IF($K303="Deadline","◇","◆"),"")</f>
        <v/>
      </c>
      <c r="AS303" s="14" t="str">
        <f>IF(AND(ISNUMBER($I303),OR($K303="Milestone",$K303="Deadline"),$I303&gt;=AS$4,$I303&lt;AS$4+7),IF($K303="Deadline","◇","◆"),"")</f>
        <v/>
      </c>
      <c r="AT303" s="14" t="str">
        <f>IF(AND(ISNUMBER($I303),OR($K303="Milestone",$K303="Deadline"),$I303&gt;=AT$4,$I303&lt;AT$4+7),IF($K303="Deadline","◇","◆"),"")</f>
        <v/>
      </c>
      <c r="AU303" s="14" t="str">
        <f>IF(AND(ISNUMBER($I303),OR($K303="Milestone",$K303="Deadline"),$I303&gt;=AU$4,$I303&lt;AU$4+7),IF($K303="Deadline","◇","◆"),"")</f>
        <v/>
      </c>
      <c r="AV303" s="14" t="str">
        <f>IF(AND(ISNUMBER($I303),OR($K303="Milestone",$K303="Deadline"),$I303&gt;=AV$4,$I303&lt;AV$4+7),IF($K303="Deadline","◇","◆"),"")</f>
        <v/>
      </c>
      <c r="AW303" s="14" t="str">
        <f>IF(AND(ISNUMBER($I303),OR($K303="Milestone",$K303="Deadline"),$I303&gt;=AW$4,$I303&lt;AW$4+7),IF($K303="Deadline","◇","◆"),"")</f>
        <v/>
      </c>
      <c r="AX303" s="14" t="str">
        <f>IF(AND(ISNUMBER($I303),OR($K303="Milestone",$K303="Deadline"),$I303&gt;=AX$4,$I303&lt;AX$4+7),IF($K303="Deadline","◇","◆"),"")</f>
        <v/>
      </c>
      <c r="AY303" s="14" t="str">
        <f>IF(AND(ISNUMBER($I303),OR($K303="Milestone",$K303="Deadline"),$I303&gt;=AY$4,$I303&lt;AY$4+7),IF($K303="Deadline","◇","◆"),"")</f>
        <v/>
      </c>
      <c r="AZ303" s="14" t="str">
        <f>IF(AND(ISNUMBER($I303),OR($K303="Milestone",$K303="Deadline"),$I303&gt;=AZ$4,$I303&lt;AZ$4+7),IF($K303="Deadline","◇","◆"),"")</f>
        <v/>
      </c>
      <c r="BA303" s="14" t="str">
        <f>IF(AND(ISNUMBER($I303),OR($K303="Milestone",$K303="Deadline"),$I303&gt;=BA$4,$I303&lt;BA$4+7),IF($K303="Deadline","◇","◆"),"")</f>
        <v/>
      </c>
      <c r="BB303" s="14" t="str">
        <f>IF(AND(ISNUMBER($I303),OR($K303="Milestone",$K303="Deadline"),$I303&gt;=BB$4,$I303&lt;BB$4+7),IF($K303="Deadline","◇","◆"),"")</f>
        <v/>
      </c>
      <c r="BC303" s="14" t="str">
        <f>IF(AND(ISNUMBER($I303),OR($K303="Milestone",$K303="Deadline"),$I303&gt;=BC$4,$I303&lt;BC$4+7),IF($K303="Deadline","◇","◆"),"")</f>
        <v/>
      </c>
      <c r="BD303" s="14" t="str">
        <f>IF(AND(ISNUMBER($I303),OR($K303="Milestone",$K303="Deadline"),$I303&gt;=BD$4,$I303&lt;BD$4+7),IF($K303="Deadline","◇","◆"),"")</f>
        <v/>
      </c>
      <c r="BE303" s="14" t="str">
        <f>IF(AND(ISNUMBER($I303),OR($K303="Milestone",$K303="Deadline"),$I303&gt;=BE$4,$I303&lt;BE$4+7),IF($K303="Deadline","◇","◆"),"")</f>
        <v/>
      </c>
      <c r="BF303" s="14" t="str">
        <f>IF(AND(ISNUMBER($I303),OR($K303="Milestone",$K303="Deadline"),$I303&gt;=BF$4,$I303&lt;BF$4+7),IF($K303="Deadline","◇","◆"),"")</f>
        <v/>
      </c>
      <c r="BG303" s="14" t="str">
        <f>IF(AND(ISNUMBER($I303),OR($K303="Milestone",$K303="Deadline"),$I303&gt;=BG$4,$I303&lt;BG$4+7),IF($K303="Deadline","◇","◆"),"")</f>
        <v/>
      </c>
      <c r="BH303" s="14" t="str">
        <f>IF(AND(ISNUMBER($I303),OR($K303="Milestone",$K303="Deadline"),$I303&gt;=BH$4,$I303&lt;BH$4+7),IF($K303="Deadline","◇","◆"),"")</f>
        <v/>
      </c>
      <c r="BI303" s="14" t="str">
        <f>IF(AND(ISNUMBER($I303),OR($K303="Milestone",$K303="Deadline"),$I303&gt;=BI$4,$I303&lt;BI$4+7),IF($K303="Deadline","◇","◆"),"")</f>
        <v/>
      </c>
      <c r="BJ303" s="14" t="str">
        <f>IF(AND(ISNUMBER($I303),OR($K303="Milestone",$K303="Deadline"),$I303&gt;=BJ$4,$I303&lt;BJ$4+7),IF($K303="Deadline","◇","◆"),"")</f>
        <v/>
      </c>
      <c r="BK303" s="14" t="str">
        <f>IF(AND(ISNUMBER($I303),OR($K303="Milestone",$K303="Deadline"),$I303&gt;=BK$4,$I303&lt;BK$4+7),IF($K303="Deadline","◇","◆"),"")</f>
        <v/>
      </c>
      <c r="BL303" s="14" t="str">
        <f>IF(AND(ISNUMBER($I303),OR($K303="Milestone",$K303="Deadline"),$I303&gt;=BL$4,$I303&lt;BL$4+7),IF($K303="Deadline","◇","◆"),"")</f>
        <v/>
      </c>
      <c r="BM303" s="14" t="str">
        <f>IF(AND(ISNUMBER($I303),OR($K303="Milestone",$K303="Deadline"),$I303&gt;=BM$4,$I303&lt;BM$4+7),IF($K303="Deadline","◇","◆"),"")</f>
        <v/>
      </c>
      <c r="BN303" s="14" t="str">
        <f>IF(AND(ISNUMBER($I303),OR($K303="Milestone",$K303="Deadline"),$I303&gt;=BN$4,$I303&lt;BN$4+7),IF($K303="Deadline","◇","◆"),"")</f>
        <v/>
      </c>
      <c r="BO303" s="14" t="str">
        <f>IF(AND(ISNUMBER($I303),OR($K303="Milestone",$K303="Deadline"),$I303&gt;=BO$4,$I303&lt;BO$4+7),IF($K303="Deadline","◇","◆"),"")</f>
        <v/>
      </c>
      <c r="BP303" s="14" t="str">
        <f>IF(AND(ISNUMBER($I303),OR($K303="Milestone",$K303="Deadline"),$I303&gt;=BP$4,$I303&lt;BP$4+7),IF($K303="Deadline","◇","◆"),"")</f>
        <v/>
      </c>
      <c r="BQ303" s="14" t="str">
        <f>IF(AND(ISNUMBER($I303),OR($K303="Milestone",$K303="Deadline"),$I303&gt;=BQ$4,$I303&lt;BQ$4+7),IF($K303="Deadline","◇","◆"),"")</f>
        <v/>
      </c>
      <c r="BR303" s="14" t="str">
        <f>IF(AND(ISNUMBER($I303),OR($K303="Milestone",$K303="Deadline"),$I303&gt;=BR$4,$I303&lt;BR$4+7),IF($K303="Deadline","◇","◆"),"")</f>
        <v/>
      </c>
      <c r="BS303" s="14" t="str">
        <f>IF(AND(ISNUMBER($I303),OR($K303="Milestone",$K303="Deadline"),$I303&gt;=BS$4,$I303&lt;BS$4+7),IF($K303="Deadline","◇","◆"),"")</f>
        <v/>
      </c>
      <c r="BT303" s="14" t="str">
        <f>IF(AND(ISNUMBER($I303),OR($K303="Milestone",$K303="Deadline"),$I303&gt;=BT$4,$I303&lt;BT$4+7),IF($K303="Deadline","◇","◆"),"")</f>
        <v/>
      </c>
      <c r="BU303" s="14" t="str">
        <f>IF(AND(ISNUMBER($I303),OR($K303="Milestone",$K303="Deadline"),$I303&gt;=BU$4,$I303&lt;BU$4+7),IF($K303="Deadline","◇","◆"),"")</f>
        <v/>
      </c>
      <c r="BV303" s="14" t="str">
        <f>IF(AND(ISNUMBER($I303),OR($K303="Milestone",$K303="Deadline"),$I303&gt;=BV$4,$I303&lt;BV$4+7),IF($K303="Deadline","◇","◆"),"")</f>
        <v/>
      </c>
      <c r="BW303" s="14" t="str">
        <f>IF(AND(ISNUMBER($I303),OR($K303="Milestone",$K303="Deadline"),$I303&gt;=BW$4,$I303&lt;BW$4+7),IF($K303="Deadline","◇","◆"),"")</f>
        <v/>
      </c>
      <c r="BX303" s="14" t="str">
        <f>IF(AND(ISNUMBER($I303),OR($K303="Milestone",$K303="Deadline"),$I303&gt;=BX$4,$I303&lt;BX$4+7),IF($K303="Deadline","◇","◆"),"")</f>
        <v/>
      </c>
      <c r="BY303" s="14" t="str">
        <f>IF(AND(ISNUMBER($I303),OR($K303="Milestone",$K303="Deadline"),$I303&gt;=BY$4,$I303&lt;BY$4+7),IF($K303="Deadline","◇","◆"),"")</f>
        <v/>
      </c>
      <c r="BZ303" s="14" t="str">
        <f>IF(AND(ISNUMBER($I303),OR($K303="Milestone",$K303="Deadline"),$I303&gt;=BZ$4,$I303&lt;BZ$4+7),IF($K303="Deadline","◇","◆"),"")</f>
        <v/>
      </c>
      <c r="CA303" s="14" t="str">
        <f>IF(AND(ISNUMBER($I303),OR($K303="Milestone",$K303="Deadline"),$I303&gt;=CA$4,$I303&lt;CA$4+7),IF($K303="Deadline","◇","◆"),"")</f>
        <v/>
      </c>
      <c r="CB303" s="14" t="str">
        <f>IF(AND(ISNUMBER($I303),OR($K303="Milestone",$K303="Deadline"),$I303&gt;=CB$4,$I303&lt;CB$4+7),IF($K303="Deadline","◇","◆"),"")</f>
        <v/>
      </c>
      <c r="CC303" s="14" t="str">
        <f>IF(AND(ISNUMBER($I303),OR($K303="Milestone",$K303="Deadline"),$I303&gt;=CC$4,$I303&lt;CC$4+7),IF($K303="Deadline","◇","◆"),"")</f>
        <v/>
      </c>
      <c r="CD303" s="14" t="str">
        <f>IF(AND(ISNUMBER($I303),OR($K303="Milestone",$K303="Deadline"),$I303&gt;=CD$4,$I303&lt;CD$4+7),IF($K303="Deadline","◇","◆"),"")</f>
        <v/>
      </c>
      <c r="CE303" s="14" t="str">
        <f>IF(AND(ISNUMBER($I303),OR($K303="Milestone",$K303="Deadline"),$I303&gt;=CE$4,$I303&lt;CE$4+7),IF($K303="Deadline","◇","◆"),"")</f>
        <v/>
      </c>
      <c r="CF303" s="14" t="str">
        <f>IF(AND(ISNUMBER($I303),OR($K303="Milestone",$K303="Deadline"),$I303&gt;=CF$4,$I303&lt;CF$4+7),IF($K303="Deadline","◇","◆"),"")</f>
        <v/>
      </c>
      <c r="CG303" s="14" t="str">
        <f>IF(AND(ISNUMBER($I303),OR($K303="Milestone",$K303="Deadline"),$I303&gt;=CG$4,$I303&lt;CG$4+7),IF($K303="Deadline","◇","◆"),"")</f>
        <v/>
      </c>
      <c r="CH303" s="14" t="str">
        <f>IF(AND(ISNUMBER($I303),OR($K303="Milestone",$K303="Deadline"),$I303&gt;=CH$4,$I303&lt;CH$4+7),IF($K303="Deadline","◇","◆"),"")</f>
        <v/>
      </c>
      <c r="CI303" s="14" t="str">
        <f>IF(AND(ISNUMBER($I303),OR($K303="Milestone",$K303="Deadline"),$I303&gt;=CI$4,$I303&lt;CI$4+7),IF($K303="Deadline","◇","◆"),"")</f>
        <v/>
      </c>
      <c r="CJ303" s="14" t="str">
        <f>IF(AND(ISNUMBER($I303),OR($K303="Milestone",$K303="Deadline"),$I303&gt;=CJ$4,$I303&lt;CJ$4+7),IF($K303="Deadline","◇","◆"),"")</f>
        <v/>
      </c>
      <c r="CK303" s="14" t="str">
        <f>IF(AND(ISNUMBER($I303),OR($K303="Milestone",$K303="Deadline"),$I303&gt;=CK$4,$I303&lt;CK$4+7),IF($K303="Deadline","◇","◆"),"")</f>
        <v/>
      </c>
      <c r="CL303" s="14" t="str">
        <f>IF(AND(ISNUMBER($I303),OR($K303="Milestone",$K303="Deadline"),$I303&gt;=CL$4,$I303&lt;CL$4+7),IF($K303="Deadline","◇","◆"),"")</f>
        <v/>
      </c>
      <c r="CM303" s="14" t="str">
        <f>IF(AND(ISNUMBER($I303),OR($K303="Milestone",$K303="Deadline"),$I303&gt;=CM$4,$I303&lt;CM$4+7),IF($K303="Deadline","◇","◆"),"")</f>
        <v/>
      </c>
    </row>
    <row r="304" spans="1:91" hidden="1">
      <c r="A304" s="15" t="s">
        <v>601</v>
      </c>
      <c r="B304" s="15" t="s">
        <v>579</v>
      </c>
      <c r="C304" s="15" t="s">
        <v>117</v>
      </c>
      <c r="D304" s="15"/>
      <c r="E304" s="15"/>
      <c r="F304" s="15"/>
      <c r="G304" s="15" t="s">
        <v>602</v>
      </c>
      <c r="H304" s="15">
        <v>30</v>
      </c>
      <c r="I304" s="16">
        <v>46631</v>
      </c>
      <c r="J304" s="17">
        <f>IF(AND(ISNUMBER(I304),ISNUMBER(H304)),I304+H304-1,"")</f>
        <v>46660</v>
      </c>
      <c r="K304" s="15" t="s">
        <v>27</v>
      </c>
      <c r="L304" s="15" t="s">
        <v>598</v>
      </c>
      <c r="M304" s="18"/>
      <c r="N304" s="15" t="s">
        <v>603</v>
      </c>
      <c r="O304" s="18">
        <f>IF(AND(ISNUMBER(I304),ISNUMBER(J304)),J304-I304+1,"")</f>
        <v>30</v>
      </c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  <c r="AG304" s="13"/>
      <c r="AH304" s="13"/>
      <c r="AI304" s="13"/>
      <c r="AJ304" s="13"/>
      <c r="AK304" s="13"/>
      <c r="AL304" s="13"/>
      <c r="AM304" s="13"/>
      <c r="AN304" s="13"/>
      <c r="AO304" s="14" t="str">
        <f>IF(AND(ISNUMBER($I304),OR($K304="Milestone",$K304="Deadline"),$I304&gt;=AO$4,$I304&lt;AO$4+7),IF($K304="Deadline","◇","◆"),"")</f>
        <v/>
      </c>
      <c r="AP304" s="14" t="str">
        <f>IF(AND(ISNUMBER($I304),OR($K304="Milestone",$K304="Deadline"),$I304&gt;=AP$4,$I304&lt;AP$4+7),IF($K304="Deadline","◇","◆"),"")</f>
        <v/>
      </c>
      <c r="AQ304" s="14" t="str">
        <f>IF(AND(ISNUMBER($I304),OR($K304="Milestone",$K304="Deadline"),$I304&gt;=AQ$4,$I304&lt;AQ$4+7),IF($K304="Deadline","◇","◆"),"")</f>
        <v/>
      </c>
      <c r="AR304" s="14" t="str">
        <f>IF(AND(ISNUMBER($I304),OR($K304="Milestone",$K304="Deadline"),$I304&gt;=AR$4,$I304&lt;AR$4+7),IF($K304="Deadline","◇","◆"),"")</f>
        <v/>
      </c>
      <c r="AS304" s="14" t="str">
        <f>IF(AND(ISNUMBER($I304),OR($K304="Milestone",$K304="Deadline"),$I304&gt;=AS$4,$I304&lt;AS$4+7),IF($K304="Deadline","◇","◆"),"")</f>
        <v/>
      </c>
      <c r="AT304" s="14" t="str">
        <f>IF(AND(ISNUMBER($I304),OR($K304="Milestone",$K304="Deadline"),$I304&gt;=AT$4,$I304&lt;AT$4+7),IF($K304="Deadline","◇","◆"),"")</f>
        <v/>
      </c>
      <c r="AU304" s="14" t="str">
        <f>IF(AND(ISNUMBER($I304),OR($K304="Milestone",$K304="Deadline"),$I304&gt;=AU$4,$I304&lt;AU$4+7),IF($K304="Deadline","◇","◆"),"")</f>
        <v/>
      </c>
      <c r="AV304" s="14" t="str">
        <f>IF(AND(ISNUMBER($I304),OR($K304="Milestone",$K304="Deadline"),$I304&gt;=AV$4,$I304&lt;AV$4+7),IF($K304="Deadline","◇","◆"),"")</f>
        <v/>
      </c>
      <c r="AW304" s="14" t="str">
        <f>IF(AND(ISNUMBER($I304),OR($K304="Milestone",$K304="Deadline"),$I304&gt;=AW$4,$I304&lt;AW$4+7),IF($K304="Deadline","◇","◆"),"")</f>
        <v/>
      </c>
      <c r="AX304" s="14" t="str">
        <f>IF(AND(ISNUMBER($I304),OR($K304="Milestone",$K304="Deadline"),$I304&gt;=AX$4,$I304&lt;AX$4+7),IF($K304="Deadline","◇","◆"),"")</f>
        <v/>
      </c>
      <c r="AY304" s="14" t="str">
        <f>IF(AND(ISNUMBER($I304),OR($K304="Milestone",$K304="Deadline"),$I304&gt;=AY$4,$I304&lt;AY$4+7),IF($K304="Deadline","◇","◆"),"")</f>
        <v/>
      </c>
      <c r="AZ304" s="14" t="str">
        <f>IF(AND(ISNUMBER($I304),OR($K304="Milestone",$K304="Deadline"),$I304&gt;=AZ$4,$I304&lt;AZ$4+7),IF($K304="Deadline","◇","◆"),"")</f>
        <v/>
      </c>
      <c r="BA304" s="14" t="str">
        <f>IF(AND(ISNUMBER($I304),OR($K304="Milestone",$K304="Deadline"),$I304&gt;=BA$4,$I304&lt;BA$4+7),IF($K304="Deadline","◇","◆"),"")</f>
        <v/>
      </c>
      <c r="BB304" s="14" t="str">
        <f>IF(AND(ISNUMBER($I304),OR($K304="Milestone",$K304="Deadline"),$I304&gt;=BB$4,$I304&lt;BB$4+7),IF($K304="Deadline","◇","◆"),"")</f>
        <v/>
      </c>
      <c r="BC304" s="14" t="str">
        <f>IF(AND(ISNUMBER($I304),OR($K304="Milestone",$K304="Deadline"),$I304&gt;=BC$4,$I304&lt;BC$4+7),IF($K304="Deadline","◇","◆"),"")</f>
        <v/>
      </c>
      <c r="BD304" s="14" t="str">
        <f>IF(AND(ISNUMBER($I304),OR($K304="Milestone",$K304="Deadline"),$I304&gt;=BD$4,$I304&lt;BD$4+7),IF($K304="Deadline","◇","◆"),"")</f>
        <v/>
      </c>
      <c r="BE304" s="14" t="str">
        <f>IF(AND(ISNUMBER($I304),OR($K304="Milestone",$K304="Deadline"),$I304&gt;=BE$4,$I304&lt;BE$4+7),IF($K304="Deadline","◇","◆"),"")</f>
        <v/>
      </c>
      <c r="BF304" s="14" t="str">
        <f>IF(AND(ISNUMBER($I304),OR($K304="Milestone",$K304="Deadline"),$I304&gt;=BF$4,$I304&lt;BF$4+7),IF($K304="Deadline","◇","◆"),"")</f>
        <v/>
      </c>
      <c r="BG304" s="14" t="str">
        <f>IF(AND(ISNUMBER($I304),OR($K304="Milestone",$K304="Deadline"),$I304&gt;=BG$4,$I304&lt;BG$4+7),IF($K304="Deadline","◇","◆"),"")</f>
        <v/>
      </c>
      <c r="BH304" s="14" t="str">
        <f>IF(AND(ISNUMBER($I304),OR($K304="Milestone",$K304="Deadline"),$I304&gt;=BH$4,$I304&lt;BH$4+7),IF($K304="Deadline","◇","◆"),"")</f>
        <v/>
      </c>
      <c r="BI304" s="14" t="str">
        <f>IF(AND(ISNUMBER($I304),OR($K304="Milestone",$K304="Deadline"),$I304&gt;=BI$4,$I304&lt;BI$4+7),IF($K304="Deadline","◇","◆"),"")</f>
        <v/>
      </c>
      <c r="BJ304" s="14" t="str">
        <f>IF(AND(ISNUMBER($I304),OR($K304="Milestone",$K304="Deadline"),$I304&gt;=BJ$4,$I304&lt;BJ$4+7),IF($K304="Deadline","◇","◆"),"")</f>
        <v/>
      </c>
      <c r="BK304" s="14" t="str">
        <f>IF(AND(ISNUMBER($I304),OR($K304="Milestone",$K304="Deadline"),$I304&gt;=BK$4,$I304&lt;BK$4+7),IF($K304="Deadline","◇","◆"),"")</f>
        <v/>
      </c>
      <c r="BL304" s="14" t="str">
        <f>IF(AND(ISNUMBER($I304),OR($K304="Milestone",$K304="Deadline"),$I304&gt;=BL$4,$I304&lt;BL$4+7),IF($K304="Deadline","◇","◆"),"")</f>
        <v/>
      </c>
      <c r="BM304" s="14" t="str">
        <f>IF(AND(ISNUMBER($I304),OR($K304="Milestone",$K304="Deadline"),$I304&gt;=BM$4,$I304&lt;BM$4+7),IF($K304="Deadline","◇","◆"),"")</f>
        <v/>
      </c>
      <c r="BN304" s="14" t="str">
        <f>IF(AND(ISNUMBER($I304),OR($K304="Milestone",$K304="Deadline"),$I304&gt;=BN$4,$I304&lt;BN$4+7),IF($K304="Deadline","◇","◆"),"")</f>
        <v/>
      </c>
      <c r="BO304" s="14" t="str">
        <f>IF(AND(ISNUMBER($I304),OR($K304="Milestone",$K304="Deadline"),$I304&gt;=BO$4,$I304&lt;BO$4+7),IF($K304="Deadline","◇","◆"),"")</f>
        <v/>
      </c>
      <c r="BP304" s="14" t="str">
        <f>IF(AND(ISNUMBER($I304),OR($K304="Milestone",$K304="Deadline"),$I304&gt;=BP$4,$I304&lt;BP$4+7),IF($K304="Deadline","◇","◆"),"")</f>
        <v/>
      </c>
      <c r="BQ304" s="14" t="str">
        <f>IF(AND(ISNUMBER($I304),OR($K304="Milestone",$K304="Deadline"),$I304&gt;=BQ$4,$I304&lt;BQ$4+7),IF($K304="Deadline","◇","◆"),"")</f>
        <v/>
      </c>
      <c r="BR304" s="14" t="str">
        <f>IF(AND(ISNUMBER($I304),OR($K304="Milestone",$K304="Deadline"),$I304&gt;=BR$4,$I304&lt;BR$4+7),IF($K304="Deadline","◇","◆"),"")</f>
        <v/>
      </c>
      <c r="BS304" s="14" t="str">
        <f>IF(AND(ISNUMBER($I304),OR($K304="Milestone",$K304="Deadline"),$I304&gt;=BS$4,$I304&lt;BS$4+7),IF($K304="Deadline","◇","◆"),"")</f>
        <v/>
      </c>
      <c r="BT304" s="14" t="str">
        <f>IF(AND(ISNUMBER($I304),OR($K304="Milestone",$K304="Deadline"),$I304&gt;=BT$4,$I304&lt;BT$4+7),IF($K304="Deadline","◇","◆"),"")</f>
        <v/>
      </c>
      <c r="BU304" s="14" t="str">
        <f>IF(AND(ISNUMBER($I304),OR($K304="Milestone",$K304="Deadline"),$I304&gt;=BU$4,$I304&lt;BU$4+7),IF($K304="Deadline","◇","◆"),"")</f>
        <v/>
      </c>
      <c r="BV304" s="14" t="str">
        <f>IF(AND(ISNUMBER($I304),OR($K304="Milestone",$K304="Deadline"),$I304&gt;=BV$4,$I304&lt;BV$4+7),IF($K304="Deadline","◇","◆"),"")</f>
        <v/>
      </c>
      <c r="BW304" s="14" t="str">
        <f>IF(AND(ISNUMBER($I304),OR($K304="Milestone",$K304="Deadline"),$I304&gt;=BW$4,$I304&lt;BW$4+7),IF($K304="Deadline","◇","◆"),"")</f>
        <v/>
      </c>
      <c r="BX304" s="14" t="str">
        <f>IF(AND(ISNUMBER($I304),OR($K304="Milestone",$K304="Deadline"),$I304&gt;=BX$4,$I304&lt;BX$4+7),IF($K304="Deadline","◇","◆"),"")</f>
        <v/>
      </c>
      <c r="BY304" s="14" t="str">
        <f>IF(AND(ISNUMBER($I304),OR($K304="Milestone",$K304="Deadline"),$I304&gt;=BY$4,$I304&lt;BY$4+7),IF($K304="Deadline","◇","◆"),"")</f>
        <v/>
      </c>
      <c r="BZ304" s="14" t="str">
        <f>IF(AND(ISNUMBER($I304),OR($K304="Milestone",$K304="Deadline"),$I304&gt;=BZ$4,$I304&lt;BZ$4+7),IF($K304="Deadline","◇","◆"),"")</f>
        <v/>
      </c>
      <c r="CA304" s="14" t="str">
        <f>IF(AND(ISNUMBER($I304),OR($K304="Milestone",$K304="Deadline"),$I304&gt;=CA$4,$I304&lt;CA$4+7),IF($K304="Deadline","◇","◆"),"")</f>
        <v/>
      </c>
      <c r="CB304" s="14" t="str">
        <f>IF(AND(ISNUMBER($I304),OR($K304="Milestone",$K304="Deadline"),$I304&gt;=CB$4,$I304&lt;CB$4+7),IF($K304="Deadline","◇","◆"),"")</f>
        <v/>
      </c>
      <c r="CC304" s="14" t="str">
        <f>IF(AND(ISNUMBER($I304),OR($K304="Milestone",$K304="Deadline"),$I304&gt;=CC$4,$I304&lt;CC$4+7),IF($K304="Deadline","◇","◆"),"")</f>
        <v/>
      </c>
      <c r="CD304" s="14" t="str">
        <f>IF(AND(ISNUMBER($I304),OR($K304="Milestone",$K304="Deadline"),$I304&gt;=CD$4,$I304&lt;CD$4+7),IF($K304="Deadline","◇","◆"),"")</f>
        <v/>
      </c>
      <c r="CE304" s="14" t="str">
        <f>IF(AND(ISNUMBER($I304),OR($K304="Milestone",$K304="Deadline"),$I304&gt;=CE$4,$I304&lt;CE$4+7),IF($K304="Deadline","◇","◆"),"")</f>
        <v/>
      </c>
      <c r="CF304" s="14" t="str">
        <f>IF(AND(ISNUMBER($I304),OR($K304="Milestone",$K304="Deadline"),$I304&gt;=CF$4,$I304&lt;CF$4+7),IF($K304="Deadline","◇","◆"),"")</f>
        <v/>
      </c>
      <c r="CG304" s="14" t="str">
        <f>IF(AND(ISNUMBER($I304),OR($K304="Milestone",$K304="Deadline"),$I304&gt;=CG$4,$I304&lt;CG$4+7),IF($K304="Deadline","◇","◆"),"")</f>
        <v/>
      </c>
      <c r="CH304" s="14" t="str">
        <f>IF(AND(ISNUMBER($I304),OR($K304="Milestone",$K304="Deadline"),$I304&gt;=CH$4,$I304&lt;CH$4+7),IF($K304="Deadline","◇","◆"),"")</f>
        <v/>
      </c>
      <c r="CI304" s="14" t="str">
        <f>IF(AND(ISNUMBER($I304),OR($K304="Milestone",$K304="Deadline"),$I304&gt;=CI$4,$I304&lt;CI$4+7),IF($K304="Deadline","◇","◆"),"")</f>
        <v/>
      </c>
      <c r="CJ304" s="14" t="str">
        <f>IF(AND(ISNUMBER($I304),OR($K304="Milestone",$K304="Deadline"),$I304&gt;=CJ$4,$I304&lt;CJ$4+7),IF($K304="Deadline","◇","◆"),"")</f>
        <v/>
      </c>
      <c r="CK304" s="14" t="str">
        <f>IF(AND(ISNUMBER($I304),OR($K304="Milestone",$K304="Deadline"),$I304&gt;=CK$4,$I304&lt;CK$4+7),IF($K304="Deadline","◇","◆"),"")</f>
        <v/>
      </c>
      <c r="CL304" s="14" t="str">
        <f>IF(AND(ISNUMBER($I304),OR($K304="Milestone",$K304="Deadline"),$I304&gt;=CL$4,$I304&lt;CL$4+7),IF($K304="Deadline","◇","◆"),"")</f>
        <v/>
      </c>
      <c r="CM304" s="14" t="str">
        <f>IF(AND(ISNUMBER($I304),OR($K304="Milestone",$K304="Deadline"),$I304&gt;=CM$4,$I304&lt;CM$4+7),IF($K304="Deadline","◇","◆"),"")</f>
        <v/>
      </c>
    </row>
    <row r="305" spans="1:91" hidden="1">
      <c r="A305" s="15" t="s">
        <v>604</v>
      </c>
      <c r="B305" s="15" t="s">
        <v>579</v>
      </c>
      <c r="C305" s="15" t="s">
        <v>117</v>
      </c>
      <c r="D305" s="15"/>
      <c r="E305" s="15"/>
      <c r="F305" s="15"/>
      <c r="G305" s="15" t="s">
        <v>605</v>
      </c>
      <c r="H305" s="15">
        <v>30</v>
      </c>
      <c r="I305" s="16">
        <v>46631</v>
      </c>
      <c r="J305" s="17">
        <f>IF(AND(ISNUMBER(I305),ISNUMBER(H305)),I305+H305-1,"")</f>
        <v>46660</v>
      </c>
      <c r="K305" s="15" t="s">
        <v>27</v>
      </c>
      <c r="L305" s="15" t="s">
        <v>601</v>
      </c>
      <c r="M305" s="18"/>
      <c r="N305" s="15" t="s">
        <v>606</v>
      </c>
      <c r="O305" s="18">
        <f>IF(AND(ISNUMBER(I305),ISNUMBER(J305)),J305-I305+1,"")</f>
        <v>30</v>
      </c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  <c r="AG305" s="13"/>
      <c r="AH305" s="13"/>
      <c r="AI305" s="13"/>
      <c r="AJ305" s="13"/>
      <c r="AK305" s="13"/>
      <c r="AL305" s="13"/>
      <c r="AM305" s="13"/>
      <c r="AN305" s="13"/>
      <c r="AO305" s="14" t="str">
        <f>IF(AND(ISNUMBER($I305),OR($K305="Milestone",$K305="Deadline"),$I305&gt;=AO$4,$I305&lt;AO$4+7),IF($K305="Deadline","◇","◆"),"")</f>
        <v/>
      </c>
      <c r="AP305" s="14" t="str">
        <f>IF(AND(ISNUMBER($I305),OR($K305="Milestone",$K305="Deadline"),$I305&gt;=AP$4,$I305&lt;AP$4+7),IF($K305="Deadline","◇","◆"),"")</f>
        <v/>
      </c>
      <c r="AQ305" s="14" t="str">
        <f>IF(AND(ISNUMBER($I305),OR($K305="Milestone",$K305="Deadline"),$I305&gt;=AQ$4,$I305&lt;AQ$4+7),IF($K305="Deadline","◇","◆"),"")</f>
        <v/>
      </c>
      <c r="AR305" s="14" t="str">
        <f>IF(AND(ISNUMBER($I305),OR($K305="Milestone",$K305="Deadline"),$I305&gt;=AR$4,$I305&lt;AR$4+7),IF($K305="Deadline","◇","◆"),"")</f>
        <v/>
      </c>
      <c r="AS305" s="14" t="str">
        <f>IF(AND(ISNUMBER($I305),OR($K305="Milestone",$K305="Deadline"),$I305&gt;=AS$4,$I305&lt;AS$4+7),IF($K305="Deadline","◇","◆"),"")</f>
        <v/>
      </c>
      <c r="AT305" s="14" t="str">
        <f>IF(AND(ISNUMBER($I305),OR($K305="Milestone",$K305="Deadline"),$I305&gt;=AT$4,$I305&lt;AT$4+7),IF($K305="Deadline","◇","◆"),"")</f>
        <v/>
      </c>
      <c r="AU305" s="14" t="str">
        <f>IF(AND(ISNUMBER($I305),OR($K305="Milestone",$K305="Deadline"),$I305&gt;=AU$4,$I305&lt;AU$4+7),IF($K305="Deadline","◇","◆"),"")</f>
        <v/>
      </c>
      <c r="AV305" s="14" t="str">
        <f>IF(AND(ISNUMBER($I305),OR($K305="Milestone",$K305="Deadline"),$I305&gt;=AV$4,$I305&lt;AV$4+7),IF($K305="Deadline","◇","◆"),"")</f>
        <v/>
      </c>
      <c r="AW305" s="14" t="str">
        <f>IF(AND(ISNUMBER($I305),OR($K305="Milestone",$K305="Deadline"),$I305&gt;=AW$4,$I305&lt;AW$4+7),IF($K305="Deadline","◇","◆"),"")</f>
        <v/>
      </c>
      <c r="AX305" s="14" t="str">
        <f>IF(AND(ISNUMBER($I305),OR($K305="Milestone",$K305="Deadline"),$I305&gt;=AX$4,$I305&lt;AX$4+7),IF($K305="Deadline","◇","◆"),"")</f>
        <v/>
      </c>
      <c r="AY305" s="14" t="str">
        <f>IF(AND(ISNUMBER($I305),OR($K305="Milestone",$K305="Deadline"),$I305&gt;=AY$4,$I305&lt;AY$4+7),IF($K305="Deadline","◇","◆"),"")</f>
        <v/>
      </c>
      <c r="AZ305" s="14" t="str">
        <f>IF(AND(ISNUMBER($I305),OR($K305="Milestone",$K305="Deadline"),$I305&gt;=AZ$4,$I305&lt;AZ$4+7),IF($K305="Deadline","◇","◆"),"")</f>
        <v/>
      </c>
      <c r="BA305" s="14" t="str">
        <f>IF(AND(ISNUMBER($I305),OR($K305="Milestone",$K305="Deadline"),$I305&gt;=BA$4,$I305&lt;BA$4+7),IF($K305="Deadline","◇","◆"),"")</f>
        <v/>
      </c>
      <c r="BB305" s="14" t="str">
        <f>IF(AND(ISNUMBER($I305),OR($K305="Milestone",$K305="Deadline"),$I305&gt;=BB$4,$I305&lt;BB$4+7),IF($K305="Deadline","◇","◆"),"")</f>
        <v/>
      </c>
      <c r="BC305" s="14" t="str">
        <f>IF(AND(ISNUMBER($I305),OR($K305="Milestone",$K305="Deadline"),$I305&gt;=BC$4,$I305&lt;BC$4+7),IF($K305="Deadline","◇","◆"),"")</f>
        <v/>
      </c>
      <c r="BD305" s="14" t="str">
        <f>IF(AND(ISNUMBER($I305),OR($K305="Milestone",$K305="Deadline"),$I305&gt;=BD$4,$I305&lt;BD$4+7),IF($K305="Deadline","◇","◆"),"")</f>
        <v/>
      </c>
      <c r="BE305" s="14" t="str">
        <f>IF(AND(ISNUMBER($I305),OR($K305="Milestone",$K305="Deadline"),$I305&gt;=BE$4,$I305&lt;BE$4+7),IF($K305="Deadline","◇","◆"),"")</f>
        <v/>
      </c>
      <c r="BF305" s="14" t="str">
        <f>IF(AND(ISNUMBER($I305),OR($K305="Milestone",$K305="Deadline"),$I305&gt;=BF$4,$I305&lt;BF$4+7),IF($K305="Deadline","◇","◆"),"")</f>
        <v/>
      </c>
      <c r="BG305" s="14" t="str">
        <f>IF(AND(ISNUMBER($I305),OR($K305="Milestone",$K305="Deadline"),$I305&gt;=BG$4,$I305&lt;BG$4+7),IF($K305="Deadline","◇","◆"),"")</f>
        <v/>
      </c>
      <c r="BH305" s="14" t="str">
        <f>IF(AND(ISNUMBER($I305),OR($K305="Milestone",$K305="Deadline"),$I305&gt;=BH$4,$I305&lt;BH$4+7),IF($K305="Deadline","◇","◆"),"")</f>
        <v/>
      </c>
      <c r="BI305" s="14" t="str">
        <f>IF(AND(ISNUMBER($I305),OR($K305="Milestone",$K305="Deadline"),$I305&gt;=BI$4,$I305&lt;BI$4+7),IF($K305="Deadline","◇","◆"),"")</f>
        <v/>
      </c>
      <c r="BJ305" s="14" t="str">
        <f>IF(AND(ISNUMBER($I305),OR($K305="Milestone",$K305="Deadline"),$I305&gt;=BJ$4,$I305&lt;BJ$4+7),IF($K305="Deadline","◇","◆"),"")</f>
        <v/>
      </c>
      <c r="BK305" s="14" t="str">
        <f>IF(AND(ISNUMBER($I305),OR($K305="Milestone",$K305="Deadline"),$I305&gt;=BK$4,$I305&lt;BK$4+7),IF($K305="Deadline","◇","◆"),"")</f>
        <v/>
      </c>
      <c r="BL305" s="14" t="str">
        <f>IF(AND(ISNUMBER($I305),OR($K305="Milestone",$K305="Deadline"),$I305&gt;=BL$4,$I305&lt;BL$4+7),IF($K305="Deadline","◇","◆"),"")</f>
        <v/>
      </c>
      <c r="BM305" s="14" t="str">
        <f>IF(AND(ISNUMBER($I305),OR($K305="Milestone",$K305="Deadline"),$I305&gt;=BM$4,$I305&lt;BM$4+7),IF($K305="Deadline","◇","◆"),"")</f>
        <v/>
      </c>
      <c r="BN305" s="14" t="str">
        <f>IF(AND(ISNUMBER($I305),OR($K305="Milestone",$K305="Deadline"),$I305&gt;=BN$4,$I305&lt;BN$4+7),IF($K305="Deadline","◇","◆"),"")</f>
        <v/>
      </c>
      <c r="BO305" s="14" t="str">
        <f>IF(AND(ISNUMBER($I305),OR($K305="Milestone",$K305="Deadline"),$I305&gt;=BO$4,$I305&lt;BO$4+7),IF($K305="Deadline","◇","◆"),"")</f>
        <v/>
      </c>
      <c r="BP305" s="14" t="str">
        <f>IF(AND(ISNUMBER($I305),OR($K305="Milestone",$K305="Deadline"),$I305&gt;=BP$4,$I305&lt;BP$4+7),IF($K305="Deadline","◇","◆"),"")</f>
        <v/>
      </c>
      <c r="BQ305" s="14" t="str">
        <f>IF(AND(ISNUMBER($I305),OR($K305="Milestone",$K305="Deadline"),$I305&gt;=BQ$4,$I305&lt;BQ$4+7),IF($K305="Deadline","◇","◆"),"")</f>
        <v/>
      </c>
      <c r="BR305" s="14" t="str">
        <f>IF(AND(ISNUMBER($I305),OR($K305="Milestone",$K305="Deadline"),$I305&gt;=BR$4,$I305&lt;BR$4+7),IF($K305="Deadline","◇","◆"),"")</f>
        <v/>
      </c>
      <c r="BS305" s="14" t="str">
        <f>IF(AND(ISNUMBER($I305),OR($K305="Milestone",$K305="Deadline"),$I305&gt;=BS$4,$I305&lt;BS$4+7),IF($K305="Deadline","◇","◆"),"")</f>
        <v/>
      </c>
      <c r="BT305" s="14" t="str">
        <f>IF(AND(ISNUMBER($I305),OR($K305="Milestone",$K305="Deadline"),$I305&gt;=BT$4,$I305&lt;BT$4+7),IF($K305="Deadline","◇","◆"),"")</f>
        <v/>
      </c>
      <c r="BU305" s="14" t="str">
        <f>IF(AND(ISNUMBER($I305),OR($K305="Milestone",$K305="Deadline"),$I305&gt;=BU$4,$I305&lt;BU$4+7),IF($K305="Deadline","◇","◆"),"")</f>
        <v/>
      </c>
      <c r="BV305" s="14" t="str">
        <f>IF(AND(ISNUMBER($I305),OR($K305="Milestone",$K305="Deadline"),$I305&gt;=BV$4,$I305&lt;BV$4+7),IF($K305="Deadline","◇","◆"),"")</f>
        <v/>
      </c>
      <c r="BW305" s="14" t="str">
        <f>IF(AND(ISNUMBER($I305),OR($K305="Milestone",$K305="Deadline"),$I305&gt;=BW$4,$I305&lt;BW$4+7),IF($K305="Deadline","◇","◆"),"")</f>
        <v/>
      </c>
      <c r="BX305" s="14" t="str">
        <f>IF(AND(ISNUMBER($I305),OR($K305="Milestone",$K305="Deadline"),$I305&gt;=BX$4,$I305&lt;BX$4+7),IF($K305="Deadline","◇","◆"),"")</f>
        <v/>
      </c>
      <c r="BY305" s="14" t="str">
        <f>IF(AND(ISNUMBER($I305),OR($K305="Milestone",$K305="Deadline"),$I305&gt;=BY$4,$I305&lt;BY$4+7),IF($K305="Deadline","◇","◆"),"")</f>
        <v/>
      </c>
      <c r="BZ305" s="14" t="str">
        <f>IF(AND(ISNUMBER($I305),OR($K305="Milestone",$K305="Deadline"),$I305&gt;=BZ$4,$I305&lt;BZ$4+7),IF($K305="Deadline","◇","◆"),"")</f>
        <v/>
      </c>
      <c r="CA305" s="14" t="str">
        <f>IF(AND(ISNUMBER($I305),OR($K305="Milestone",$K305="Deadline"),$I305&gt;=CA$4,$I305&lt;CA$4+7),IF($K305="Deadline","◇","◆"),"")</f>
        <v/>
      </c>
      <c r="CB305" s="14" t="str">
        <f>IF(AND(ISNUMBER($I305),OR($K305="Milestone",$K305="Deadline"),$I305&gt;=CB$4,$I305&lt;CB$4+7),IF($K305="Deadline","◇","◆"),"")</f>
        <v/>
      </c>
      <c r="CC305" s="14" t="str">
        <f>IF(AND(ISNUMBER($I305),OR($K305="Milestone",$K305="Deadline"),$I305&gt;=CC$4,$I305&lt;CC$4+7),IF($K305="Deadline","◇","◆"),"")</f>
        <v/>
      </c>
      <c r="CD305" s="14" t="str">
        <f>IF(AND(ISNUMBER($I305),OR($K305="Milestone",$K305="Deadline"),$I305&gt;=CD$4,$I305&lt;CD$4+7),IF($K305="Deadline","◇","◆"),"")</f>
        <v/>
      </c>
      <c r="CE305" s="14" t="str">
        <f>IF(AND(ISNUMBER($I305),OR($K305="Milestone",$K305="Deadline"),$I305&gt;=CE$4,$I305&lt;CE$4+7),IF($K305="Deadline","◇","◆"),"")</f>
        <v/>
      </c>
      <c r="CF305" s="14" t="str">
        <f>IF(AND(ISNUMBER($I305),OR($K305="Milestone",$K305="Deadline"),$I305&gt;=CF$4,$I305&lt;CF$4+7),IF($K305="Deadline","◇","◆"),"")</f>
        <v/>
      </c>
      <c r="CG305" s="14" t="str">
        <f>IF(AND(ISNUMBER($I305),OR($K305="Milestone",$K305="Deadline"),$I305&gt;=CG$4,$I305&lt;CG$4+7),IF($K305="Deadline","◇","◆"),"")</f>
        <v/>
      </c>
      <c r="CH305" s="14" t="str">
        <f>IF(AND(ISNUMBER($I305),OR($K305="Milestone",$K305="Deadline"),$I305&gt;=CH$4,$I305&lt;CH$4+7),IF($K305="Deadline","◇","◆"),"")</f>
        <v/>
      </c>
      <c r="CI305" s="14" t="str">
        <f>IF(AND(ISNUMBER($I305),OR($K305="Milestone",$K305="Deadline"),$I305&gt;=CI$4,$I305&lt;CI$4+7),IF($K305="Deadline","◇","◆"),"")</f>
        <v/>
      </c>
      <c r="CJ305" s="14" t="str">
        <f>IF(AND(ISNUMBER($I305),OR($K305="Milestone",$K305="Deadline"),$I305&gt;=CJ$4,$I305&lt;CJ$4+7),IF($K305="Deadline","◇","◆"),"")</f>
        <v/>
      </c>
      <c r="CK305" s="14" t="str">
        <f>IF(AND(ISNUMBER($I305),OR($K305="Milestone",$K305="Deadline"),$I305&gt;=CK$4,$I305&lt;CK$4+7),IF($K305="Deadline","◇","◆"),"")</f>
        <v/>
      </c>
      <c r="CL305" s="14" t="str">
        <f>IF(AND(ISNUMBER($I305),OR($K305="Milestone",$K305="Deadline"),$I305&gt;=CL$4,$I305&lt;CL$4+7),IF($K305="Deadline","◇","◆"),"")</f>
        <v/>
      </c>
      <c r="CM305" s="14" t="str">
        <f>IF(AND(ISNUMBER($I305),OR($K305="Milestone",$K305="Deadline"),$I305&gt;=CM$4,$I305&lt;CM$4+7),IF($K305="Deadline","◇","◆"),"")</f>
        <v/>
      </c>
    </row>
    <row r="306" spans="1:91" ht="15" hidden="1" customHeight="1">
      <c r="N306" s="52" t="s">
        <v>607</v>
      </c>
      <c r="P306" s="53">
        <f>COUNTIF(P5:P305,"x")</f>
        <v>22</v>
      </c>
      <c r="Q306" s="53">
        <f>COUNTIF(Q5:Q305,"x")</f>
        <v>19</v>
      </c>
      <c r="R306" s="53">
        <f>COUNTIF(R5:R305,"x")</f>
        <v>9</v>
      </c>
      <c r="S306" s="53">
        <f>COUNTIF(S5:S305,"x")</f>
        <v>20</v>
      </c>
      <c r="T306" s="53"/>
      <c r="U306" s="53">
        <f>COUNTIF(U5:U305,"x")</f>
        <v>38</v>
      </c>
      <c r="V306" s="53">
        <f>COUNTIF(V5:V305,"x")</f>
        <v>49</v>
      </c>
      <c r="W306" s="53">
        <f>COUNTIF(W5:W305,"x")</f>
        <v>50</v>
      </c>
      <c r="X306" s="53">
        <f>COUNTIF(X5:X305,"x")</f>
        <v>11</v>
      </c>
      <c r="Y306" s="53">
        <f>COUNTIF(Y5:Y305,"x")</f>
        <v>12</v>
      </c>
      <c r="Z306" s="53">
        <f>COUNTIF(Z5:Z305,"x")</f>
        <v>13</v>
      </c>
      <c r="AA306" s="53">
        <f>COUNTIF(AA5:AA305,"x")</f>
        <v>12</v>
      </c>
      <c r="AB306" s="53">
        <f>COUNTIF(AB5:AB305,"x")</f>
        <v>14</v>
      </c>
      <c r="AC306" s="53">
        <f>COUNTIF(AC5:AC305,"x")</f>
        <v>17</v>
      </c>
      <c r="AD306" s="53">
        <f>COUNTIF(AD5:AD305,"x")</f>
        <v>16</v>
      </c>
      <c r="AE306" s="53">
        <f>COUNTIF(AE5:AE305,"x")</f>
        <v>13</v>
      </c>
      <c r="AF306" s="53">
        <f>COUNTIF(AF5:AF305,"x")</f>
        <v>13</v>
      </c>
      <c r="AG306" s="53">
        <f>COUNTIF(AG5:AG305,"x")</f>
        <v>9</v>
      </c>
      <c r="AH306" s="53">
        <f>COUNTIF(AH5:AH305,"x")</f>
        <v>13</v>
      </c>
      <c r="AI306" s="53">
        <f>COUNTIF(AI5:AI305,"x")</f>
        <v>16</v>
      </c>
      <c r="AJ306" s="53">
        <f>COUNTIF(AJ5:AJ305,"x")</f>
        <v>1</v>
      </c>
      <c r="AK306" s="53">
        <f>COUNTIF(AK5:AK305,"x")</f>
        <v>9</v>
      </c>
      <c r="AL306" s="53">
        <f>COUNTIF(AL5:AL305,"x")</f>
        <v>12</v>
      </c>
      <c r="AM306" s="53">
        <f>COUNTIF(AM5:AM305,"x")</f>
        <v>0</v>
      </c>
      <c r="AN306" s="53">
        <f>COUNTIF(AN5:AN305,"x")</f>
        <v>0</v>
      </c>
    </row>
    <row r="308" spans="1:91" ht="15" customHeight="1">
      <c r="A308" s="54" t="s">
        <v>608</v>
      </c>
    </row>
    <row r="309" spans="1:91" ht="15" customHeight="1">
      <c r="A309" s="55"/>
      <c r="B309" s="56" t="s">
        <v>198</v>
      </c>
    </row>
    <row r="310" spans="1:91" ht="15" customHeight="1">
      <c r="A310" s="57"/>
      <c r="B310" s="56" t="s">
        <v>173</v>
      </c>
    </row>
    <row r="311" spans="1:91" ht="15" customHeight="1">
      <c r="A311" s="58"/>
      <c r="B311" s="56" t="s">
        <v>201</v>
      </c>
    </row>
    <row r="312" spans="1:91" ht="15" customHeight="1">
      <c r="A312" s="59"/>
      <c r="B312" s="56" t="s">
        <v>609</v>
      </c>
    </row>
    <row r="313" spans="1:91" ht="15" customHeight="1">
      <c r="A313" s="60"/>
      <c r="B313" s="56" t="s">
        <v>184</v>
      </c>
    </row>
    <row r="314" spans="1:91" ht="15" customHeight="1">
      <c r="A314" s="61"/>
      <c r="B314" s="56" t="s">
        <v>610</v>
      </c>
    </row>
    <row r="315" spans="1:91" ht="15" customHeight="1">
      <c r="A315" s="62"/>
      <c r="B315" s="56" t="s">
        <v>579</v>
      </c>
    </row>
    <row r="316" spans="1:91" ht="15" customHeight="1">
      <c r="A316" s="63"/>
      <c r="B316" s="56" t="s">
        <v>611</v>
      </c>
    </row>
    <row r="318" spans="1:91" ht="15" customHeight="1">
      <c r="A318" s="54" t="s">
        <v>612</v>
      </c>
      <c r="B318" s="56" t="s">
        <v>613</v>
      </c>
    </row>
  </sheetData>
  <autoFilter ref="A4:AM306" xr:uid="{00000000-0009-0000-0000-000000000000}">
    <filterColumn colId="6">
      <filters>
        <filter val="Analysis"/>
      </filters>
    </filterColumn>
  </autoFilter>
  <conditionalFormatting sqref="AO5:CM305">
    <cfRule type="expression" dxfId="8" priority="2">
      <formula>AND(AND($K5="Task",ISNUMBER($I5),ISNUMBER($J5),$I5&lt;=AO$4+6,$J5&gt;=AO$4),$G5="Analysis")</formula>
    </cfRule>
    <cfRule type="expression" dxfId="7" priority="3">
      <formula>AND(AND($K5="Task",ISNUMBER($I5),ISNUMBER($J5),$I5&lt;=AO$4+6,$J5&gt;=AO$4),$G5="Mockup")</formula>
    </cfRule>
    <cfRule type="expression" dxfId="6" priority="4">
      <formula>AND(AND($K5="Task",ISNUMBER($I5),ISNUMBER($J5),$I5&lt;=AO$4+6,$J5&gt;=AO$4),$G5="Capture existing code")</formula>
    </cfRule>
    <cfRule type="expression" dxfId="5" priority="5">
      <formula>AND(AND($K5="Task",ISNUMBER($I5),ISNUMBER($J5),$I5&lt;=AO$4+6,$J5&gt;=AO$4),OR($G5="Redesign",$G5="Design"))</formula>
    </cfRule>
    <cfRule type="expression" dxfId="4" priority="6">
      <formula>AND(AND($K5="Task",ISNUMBER($I5),ISNUMBER($J5),$I5&lt;=AO$4+6,$J5&gt;=AO$4),$G5="Manual files load")</formula>
    </cfRule>
    <cfRule type="expression" dxfId="3" priority="7">
      <formula>AND(AND($K5="Task",ISNUMBER($I5),ISNUMBER($J5),$I5&lt;=AO$4+6,$J5&gt;=AO$4),OR(LEFT($G5,9)="Prototype",LEFT($G5,5)="Build"))</formula>
    </cfRule>
    <cfRule type="expression" dxfId="2" priority="8">
      <formula>AND(AND($K5="Task",ISNUMBER($I5),ISNUMBER($J5),$I5&lt;=AO$4+6,$J5&gt;=AO$4),$B5="Unified LA model")</formula>
    </cfRule>
    <cfRule type="expression" dxfId="1" priority="9">
      <formula>AND(AND($K5="Task",ISNUMBER($I5),ISNUMBER($J5),$I5&lt;=AO$4+6,$J5&gt;=AO$4),1)</formula>
    </cfRule>
  </conditionalFormatting>
  <conditionalFormatting sqref="P5:AN305">
    <cfRule type="expression" dxfId="0" priority="10">
      <formula>P5="x"</formula>
    </cfRule>
  </conditionalFormatting>
  <dataValidations count="3">
    <dataValidation type="list" allowBlank="1" sqref="K5:K305" xr:uid="{00000000-0002-0000-0000-000000000000}">
      <formula1>"Task,Milestone,Deadline,To confirm"</formula1>
      <formula2>0</formula2>
    </dataValidation>
    <dataValidation type="list" allowBlank="1" sqref="E5:E305" xr:uid="{00000000-0002-0000-0000-000001000000}">
      <formula1>"Migration,Reverse engineer,Discovery"</formula1>
      <formula2>0</formula2>
    </dataValidation>
    <dataValidation type="list" allowBlank="1" sqref="P5:AN305" xr:uid="{00000000-0002-0000-0000-000002000000}">
      <formula1>"x"</formula1>
      <formula2>0</formula2>
    </dataValidation>
  </dataValidations>
  <pageMargins left="0.75" right="0.75" top="1" bottom="1" header="0.511811023622047" footer="0.511811023622047"/>
  <pageSetup fitToHeight="0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A29"/>
  <sheetViews>
    <sheetView zoomScaleNormal="100" workbookViewId="0">
      <pane xSplit="2" ySplit="4" topLeftCell="C5" activePane="bottomRight" state="frozen"/>
      <selection pane="bottomRight"/>
      <selection pane="bottomLeft" activeCell="A5" sqref="A5"/>
      <selection pane="topRight" activeCell="C1" sqref="C1"/>
    </sheetView>
  </sheetViews>
  <sheetFormatPr defaultColWidth="8.7109375" defaultRowHeight="15"/>
  <cols>
    <col min="1" max="1" width="9" customWidth="1"/>
    <col min="2" max="2" width="32" customWidth="1"/>
    <col min="3" max="53" width="3.5703125" customWidth="1"/>
  </cols>
  <sheetData>
    <row r="1" spans="1:53" ht="17.25" customHeight="1">
      <c r="A1" s="1" t="s">
        <v>614</v>
      </c>
    </row>
    <row r="2" spans="1:53" ht="15" customHeight="1">
      <c r="A2" s="64" t="s">
        <v>615</v>
      </c>
    </row>
    <row r="3" spans="1:53" ht="15" customHeight="1">
      <c r="C3" s="5" t="str">
        <f>Timeline!AO3</f>
        <v>paź yy</v>
      </c>
      <c r="D3" s="5" t="str">
        <f>Timeline!AP3</f>
        <v/>
      </c>
      <c r="E3" s="5" t="str">
        <f>Timeline!AQ3</f>
        <v/>
      </c>
      <c r="F3" s="5" t="str">
        <f>Timeline!AR3</f>
        <v>lis yy</v>
      </c>
      <c r="G3" s="5" t="str">
        <f>Timeline!AS3</f>
        <v/>
      </c>
      <c r="H3" s="5" t="str">
        <f>Timeline!AT3</f>
        <v/>
      </c>
      <c r="I3" s="5" t="str">
        <f>Timeline!AU3</f>
        <v/>
      </c>
      <c r="J3" s="5" t="str">
        <f>Timeline!AV3</f>
        <v/>
      </c>
      <c r="K3" s="5" t="str">
        <f>Timeline!AW3</f>
        <v>gru yy</v>
      </c>
      <c r="L3" s="5" t="str">
        <f>Timeline!AX3</f>
        <v/>
      </c>
      <c r="M3" s="5" t="str">
        <f>Timeline!AY3</f>
        <v/>
      </c>
      <c r="N3" s="5" t="str">
        <f>Timeline!AZ3</f>
        <v/>
      </c>
      <c r="O3" s="5" t="str">
        <f>Timeline!BA3</f>
        <v>sty yy</v>
      </c>
      <c r="P3" s="5" t="str">
        <f>Timeline!BB3</f>
        <v/>
      </c>
      <c r="Q3" s="5" t="str">
        <f>Timeline!BC3</f>
        <v/>
      </c>
      <c r="R3" s="5" t="str">
        <f>Timeline!BD3</f>
        <v/>
      </c>
      <c r="S3" s="5" t="str">
        <f>Timeline!BE3</f>
        <v>lut yy</v>
      </c>
      <c r="T3" s="5" t="str">
        <f>Timeline!BF3</f>
        <v/>
      </c>
      <c r="U3" s="5" t="str">
        <f>Timeline!BG3</f>
        <v/>
      </c>
      <c r="V3" s="5" t="str">
        <f>Timeline!BH3</f>
        <v/>
      </c>
      <c r="W3" s="5" t="str">
        <f>Timeline!BI3</f>
        <v>mar yy</v>
      </c>
      <c r="X3" s="5" t="str">
        <f>Timeline!BJ3</f>
        <v/>
      </c>
      <c r="Y3" s="5" t="str">
        <f>Timeline!BK3</f>
        <v/>
      </c>
      <c r="Z3" s="5" t="str">
        <f>Timeline!BL3</f>
        <v/>
      </c>
      <c r="AA3" s="5" t="str">
        <f>Timeline!BM3</f>
        <v/>
      </c>
      <c r="AB3" s="5" t="str">
        <f>Timeline!BN3</f>
        <v>kwi yy</v>
      </c>
      <c r="AC3" s="5" t="str">
        <f>Timeline!BO3</f>
        <v/>
      </c>
      <c r="AD3" s="5" t="str">
        <f>Timeline!BP3</f>
        <v/>
      </c>
      <c r="AE3" s="5" t="str">
        <f>Timeline!BQ3</f>
        <v/>
      </c>
      <c r="AF3" s="5" t="str">
        <f>Timeline!BR3</f>
        <v>maj yy</v>
      </c>
      <c r="AG3" s="5" t="str">
        <f>Timeline!BS3</f>
        <v/>
      </c>
      <c r="AH3" s="5" t="str">
        <f>Timeline!BT3</f>
        <v/>
      </c>
      <c r="AI3" s="5" t="str">
        <f>Timeline!BU3</f>
        <v/>
      </c>
      <c r="AJ3" s="5" t="str">
        <f>Timeline!BV3</f>
        <v/>
      </c>
      <c r="AK3" s="5" t="str">
        <f>Timeline!BW3</f>
        <v>cze yy</v>
      </c>
      <c r="AL3" s="5" t="str">
        <f>Timeline!BX3</f>
        <v/>
      </c>
      <c r="AM3" s="5" t="str">
        <f>Timeline!BY3</f>
        <v/>
      </c>
      <c r="AN3" s="5" t="str">
        <f>Timeline!BZ3</f>
        <v/>
      </c>
      <c r="AO3" s="5" t="str">
        <f>Timeline!CA3</f>
        <v>lip yy</v>
      </c>
      <c r="AP3" s="5" t="str">
        <f>Timeline!CB3</f>
        <v/>
      </c>
      <c r="AQ3" s="5" t="str">
        <f>Timeline!CC3</f>
        <v/>
      </c>
      <c r="AR3" s="5" t="str">
        <f>Timeline!CD3</f>
        <v/>
      </c>
      <c r="AS3" s="5" t="str">
        <f>Timeline!CE3</f>
        <v>sie yy</v>
      </c>
      <c r="AT3" s="5" t="str">
        <f>Timeline!CF3</f>
        <v/>
      </c>
      <c r="AU3" s="5" t="str">
        <f>Timeline!CG3</f>
        <v/>
      </c>
      <c r="AV3" s="5" t="str">
        <f>Timeline!CH3</f>
        <v/>
      </c>
      <c r="AW3" s="5" t="str">
        <f>Timeline!CI3</f>
        <v/>
      </c>
      <c r="AX3" s="5" t="str">
        <f>Timeline!CJ3</f>
        <v>wrz yy</v>
      </c>
      <c r="AY3" s="5" t="str">
        <f>Timeline!CK3</f>
        <v/>
      </c>
      <c r="AZ3" s="5" t="str">
        <f>Timeline!CL3</f>
        <v/>
      </c>
      <c r="BA3" s="5" t="str">
        <f>Timeline!CM3</f>
        <v/>
      </c>
    </row>
    <row r="4" spans="1:53" ht="15" customHeight="1">
      <c r="A4" s="65" t="s">
        <v>616</v>
      </c>
      <c r="B4" s="65" t="s">
        <v>617</v>
      </c>
      <c r="C4" s="8">
        <f>Timeline!AO4</f>
        <v>46307</v>
      </c>
      <c r="D4" s="8">
        <f>Timeline!AP4</f>
        <v>46314</v>
      </c>
      <c r="E4" s="8">
        <f>Timeline!AQ4</f>
        <v>46321</v>
      </c>
      <c r="F4" s="8">
        <f>Timeline!AR4</f>
        <v>46328</v>
      </c>
      <c r="G4" s="8">
        <f>Timeline!AS4</f>
        <v>46335</v>
      </c>
      <c r="H4" s="8">
        <f>Timeline!AT4</f>
        <v>46342</v>
      </c>
      <c r="I4" s="8">
        <f>Timeline!AU4</f>
        <v>46349</v>
      </c>
      <c r="J4" s="8">
        <f>Timeline!AV4</f>
        <v>46356</v>
      </c>
      <c r="K4" s="8">
        <f>Timeline!AW4</f>
        <v>46363</v>
      </c>
      <c r="L4" s="8">
        <f>Timeline!AX4</f>
        <v>46370</v>
      </c>
      <c r="M4" s="8">
        <f>Timeline!AY4</f>
        <v>46377</v>
      </c>
      <c r="N4" s="8">
        <f>Timeline!AZ4</f>
        <v>46384</v>
      </c>
      <c r="O4" s="8">
        <f>Timeline!BA4</f>
        <v>46391</v>
      </c>
      <c r="P4" s="8">
        <f>Timeline!BB4</f>
        <v>46398</v>
      </c>
      <c r="Q4" s="8">
        <f>Timeline!BC4</f>
        <v>46405</v>
      </c>
      <c r="R4" s="8">
        <f>Timeline!BD4</f>
        <v>46412</v>
      </c>
      <c r="S4" s="8">
        <f>Timeline!BE4</f>
        <v>46419</v>
      </c>
      <c r="T4" s="8">
        <f>Timeline!BF4</f>
        <v>46426</v>
      </c>
      <c r="U4" s="8">
        <f>Timeline!BG4</f>
        <v>46433</v>
      </c>
      <c r="V4" s="8">
        <f>Timeline!BH4</f>
        <v>46440</v>
      </c>
      <c r="W4" s="8">
        <f>Timeline!BI4</f>
        <v>46447</v>
      </c>
      <c r="X4" s="8">
        <f>Timeline!BJ4</f>
        <v>46454</v>
      </c>
      <c r="Y4" s="8">
        <f>Timeline!BK4</f>
        <v>46461</v>
      </c>
      <c r="Z4" s="8">
        <f>Timeline!BL4</f>
        <v>46468</v>
      </c>
      <c r="AA4" s="8">
        <f>Timeline!BM4</f>
        <v>46475</v>
      </c>
      <c r="AB4" s="8">
        <f>Timeline!BN4</f>
        <v>46482</v>
      </c>
      <c r="AC4" s="8">
        <f>Timeline!BO4</f>
        <v>46489</v>
      </c>
      <c r="AD4" s="8">
        <f>Timeline!BP4</f>
        <v>46496</v>
      </c>
      <c r="AE4" s="8">
        <f>Timeline!BQ4</f>
        <v>46503</v>
      </c>
      <c r="AF4" s="8">
        <f>Timeline!BR4</f>
        <v>46510</v>
      </c>
      <c r="AG4" s="8">
        <f>Timeline!BS4</f>
        <v>46517</v>
      </c>
      <c r="AH4" s="8">
        <f>Timeline!BT4</f>
        <v>46524</v>
      </c>
      <c r="AI4" s="8">
        <f>Timeline!BU4</f>
        <v>46531</v>
      </c>
      <c r="AJ4" s="8">
        <f>Timeline!BV4</f>
        <v>46538</v>
      </c>
      <c r="AK4" s="8">
        <f>Timeline!BW4</f>
        <v>46545</v>
      </c>
      <c r="AL4" s="8">
        <f>Timeline!BX4</f>
        <v>46552</v>
      </c>
      <c r="AM4" s="8">
        <f>Timeline!BY4</f>
        <v>46559</v>
      </c>
      <c r="AN4" s="8">
        <f>Timeline!BZ4</f>
        <v>46566</v>
      </c>
      <c r="AO4" s="8">
        <f>Timeline!CA4</f>
        <v>46573</v>
      </c>
      <c r="AP4" s="8">
        <f>Timeline!CB4</f>
        <v>46580</v>
      </c>
      <c r="AQ4" s="8">
        <f>Timeline!CC4</f>
        <v>46587</v>
      </c>
      <c r="AR4" s="8">
        <f>Timeline!CD4</f>
        <v>46594</v>
      </c>
      <c r="AS4" s="8">
        <f>Timeline!CE4</f>
        <v>46601</v>
      </c>
      <c r="AT4" s="8">
        <f>Timeline!CF4</f>
        <v>46608</v>
      </c>
      <c r="AU4" s="8">
        <f>Timeline!CG4</f>
        <v>46615</v>
      </c>
      <c r="AV4" s="8">
        <f>Timeline!CH4</f>
        <v>46622</v>
      </c>
      <c r="AW4" s="8">
        <f>Timeline!CI4</f>
        <v>46629</v>
      </c>
      <c r="AX4" s="8">
        <f>Timeline!CJ4</f>
        <v>46636</v>
      </c>
      <c r="AY4" s="8">
        <f>Timeline!CK4</f>
        <v>46643</v>
      </c>
      <c r="AZ4" s="8">
        <f>Timeline!CL4</f>
        <v>46650</v>
      </c>
      <c r="BA4" s="8">
        <f>Timeline!CM4</f>
        <v>46657</v>
      </c>
    </row>
    <row r="5" spans="1:53" ht="15" customHeight="1">
      <c r="A5" s="66" t="s">
        <v>36</v>
      </c>
      <c r="B5" s="66" t="s">
        <v>4</v>
      </c>
      <c r="C5" s="67">
        <f>MAX(SUMPRODUCT((INDEX(Timeline!$P$5:$AN$305,0,MATCH($A5,Timeline!$P$4:$AN$4,0))="x")*(Timeline!$K$5:$K$305="Task")*ISNUMBER(Timeline!$I$5:$I$305)*ISNUMBER(Timeline!$J$5:$J$305)*(Timeline!$I$5:$I$305&lt;=C$4+0)*(Timeline!$J$5:$J$305&gt;=C$4+0)),SUMPRODUCT((INDEX(Timeline!$P$5:$AN$305,0,MATCH($A5,Timeline!$P$4:$AN$4,0))="x")*(Timeline!$K$5:$K$305="Task")*ISNUMBER(Timeline!$I$5:$I$305)*ISNUMBER(Timeline!$J$5:$J$305)*(Timeline!$I$5:$I$305&lt;=C$4+1)*(Timeline!$J$5:$J$305&gt;=C$4+1)),SUMPRODUCT((INDEX(Timeline!$P$5:$AN$305,0,MATCH($A5,Timeline!$P$4:$AN$4,0))="x")*(Timeline!$K$5:$K$305="Task")*ISNUMBER(Timeline!$I$5:$I$305)*ISNUMBER(Timeline!$J$5:$J$305)*(Timeline!$I$5:$I$305&lt;=C$4+2)*(Timeline!$J$5:$J$305&gt;=C$4+2)),SUMPRODUCT((INDEX(Timeline!$P$5:$AN$305,0,MATCH($A5,Timeline!$P$4:$AN$4,0))="x")*(Timeline!$K$5:$K$305="Task")*ISNUMBER(Timeline!$I$5:$I$305)*ISNUMBER(Timeline!$J$5:$J$305)*(Timeline!$I$5:$I$305&lt;=C$4+3)*(Timeline!$J$5:$J$305&gt;=C$4+3)),SUMPRODUCT((INDEX(Timeline!$P$5:$AN$305,0,MATCH($A5,Timeline!$P$4:$AN$4,0))="x")*(Timeline!$K$5:$K$305="Task")*ISNUMBER(Timeline!$I$5:$I$305)*ISNUMBER(Timeline!$J$5:$J$305)*(Timeline!$I$5:$I$305&lt;=C$4+4)*(Timeline!$J$5:$J$305&gt;=C$4+4)),SUMPRODUCT((INDEX(Timeline!$P$5:$AN$305,0,MATCH($A5,Timeline!$P$4:$AN$4,0))="x")*(Timeline!$K$5:$K$305="Task")*ISNUMBER(Timeline!$I$5:$I$305)*ISNUMBER(Timeline!$J$5:$J$305)*(Timeline!$I$5:$I$305&lt;=C$4+5)*(Timeline!$J$5:$J$305&gt;=C$4+5)),SUMPRODUCT((INDEX(Timeline!$P$5:$AN$305,0,MATCH($A5,Timeline!$P$4:$AN$4,0))="x")*(Timeline!$K$5:$K$305="Task")*ISNUMBER(Timeline!$I$5:$I$305)*ISNUMBER(Timeline!$J$5:$J$305)*(Timeline!$I$5:$I$305&lt;=C$4+6)*(Timeline!$J$5:$J$305&gt;=C$4+6)))</f>
        <v>0</v>
      </c>
      <c r="D5" s="67">
        <f>MAX(SUMPRODUCT((INDEX(Timeline!$P$5:$AN$305,0,MATCH($A5,Timeline!$P$4:$AN$4,0))="x")*(Timeline!$K$5:$K$305="Task")*ISNUMBER(Timeline!$I$5:$I$305)*ISNUMBER(Timeline!$J$5:$J$305)*(Timeline!$I$5:$I$305&lt;=D$4+0)*(Timeline!$J$5:$J$305&gt;=D$4+0)),SUMPRODUCT((INDEX(Timeline!$P$5:$AN$305,0,MATCH($A5,Timeline!$P$4:$AN$4,0))="x")*(Timeline!$K$5:$K$305="Task")*ISNUMBER(Timeline!$I$5:$I$305)*ISNUMBER(Timeline!$J$5:$J$305)*(Timeline!$I$5:$I$305&lt;=D$4+1)*(Timeline!$J$5:$J$305&gt;=D$4+1)),SUMPRODUCT((INDEX(Timeline!$P$5:$AN$305,0,MATCH($A5,Timeline!$P$4:$AN$4,0))="x")*(Timeline!$K$5:$K$305="Task")*ISNUMBER(Timeline!$I$5:$I$305)*ISNUMBER(Timeline!$J$5:$J$305)*(Timeline!$I$5:$I$305&lt;=D$4+2)*(Timeline!$J$5:$J$305&gt;=D$4+2)),SUMPRODUCT((INDEX(Timeline!$P$5:$AN$305,0,MATCH($A5,Timeline!$P$4:$AN$4,0))="x")*(Timeline!$K$5:$K$305="Task")*ISNUMBER(Timeline!$I$5:$I$305)*ISNUMBER(Timeline!$J$5:$J$305)*(Timeline!$I$5:$I$305&lt;=D$4+3)*(Timeline!$J$5:$J$305&gt;=D$4+3)),SUMPRODUCT((INDEX(Timeline!$P$5:$AN$305,0,MATCH($A5,Timeline!$P$4:$AN$4,0))="x")*(Timeline!$K$5:$K$305="Task")*ISNUMBER(Timeline!$I$5:$I$305)*ISNUMBER(Timeline!$J$5:$J$305)*(Timeline!$I$5:$I$305&lt;=D$4+4)*(Timeline!$J$5:$J$305&gt;=D$4+4)),SUMPRODUCT((INDEX(Timeline!$P$5:$AN$305,0,MATCH($A5,Timeline!$P$4:$AN$4,0))="x")*(Timeline!$K$5:$K$305="Task")*ISNUMBER(Timeline!$I$5:$I$305)*ISNUMBER(Timeline!$J$5:$J$305)*(Timeline!$I$5:$I$305&lt;=D$4+5)*(Timeline!$J$5:$J$305&gt;=D$4+5)),SUMPRODUCT((INDEX(Timeline!$P$5:$AN$305,0,MATCH($A5,Timeline!$P$4:$AN$4,0))="x")*(Timeline!$K$5:$K$305="Task")*ISNUMBER(Timeline!$I$5:$I$305)*ISNUMBER(Timeline!$J$5:$J$305)*(Timeline!$I$5:$I$305&lt;=D$4+6)*(Timeline!$J$5:$J$305&gt;=D$4+6)))</f>
        <v>0</v>
      </c>
      <c r="E5" s="67">
        <f>MAX(SUMPRODUCT((INDEX(Timeline!$P$5:$AN$305,0,MATCH($A5,Timeline!$P$4:$AN$4,0))="x")*(Timeline!$K$5:$K$305="Task")*ISNUMBER(Timeline!$I$5:$I$305)*ISNUMBER(Timeline!$J$5:$J$305)*(Timeline!$I$5:$I$305&lt;=E$4+0)*(Timeline!$J$5:$J$305&gt;=E$4+0)),SUMPRODUCT((INDEX(Timeline!$P$5:$AN$305,0,MATCH($A5,Timeline!$P$4:$AN$4,0))="x")*(Timeline!$K$5:$K$305="Task")*ISNUMBER(Timeline!$I$5:$I$305)*ISNUMBER(Timeline!$J$5:$J$305)*(Timeline!$I$5:$I$305&lt;=E$4+1)*(Timeline!$J$5:$J$305&gt;=E$4+1)),SUMPRODUCT((INDEX(Timeline!$P$5:$AN$305,0,MATCH($A5,Timeline!$P$4:$AN$4,0))="x")*(Timeline!$K$5:$K$305="Task")*ISNUMBER(Timeline!$I$5:$I$305)*ISNUMBER(Timeline!$J$5:$J$305)*(Timeline!$I$5:$I$305&lt;=E$4+2)*(Timeline!$J$5:$J$305&gt;=E$4+2)),SUMPRODUCT((INDEX(Timeline!$P$5:$AN$305,0,MATCH($A5,Timeline!$P$4:$AN$4,0))="x")*(Timeline!$K$5:$K$305="Task")*ISNUMBER(Timeline!$I$5:$I$305)*ISNUMBER(Timeline!$J$5:$J$305)*(Timeline!$I$5:$I$305&lt;=E$4+3)*(Timeline!$J$5:$J$305&gt;=E$4+3)),SUMPRODUCT((INDEX(Timeline!$P$5:$AN$305,0,MATCH($A5,Timeline!$P$4:$AN$4,0))="x")*(Timeline!$K$5:$K$305="Task")*ISNUMBER(Timeline!$I$5:$I$305)*ISNUMBER(Timeline!$J$5:$J$305)*(Timeline!$I$5:$I$305&lt;=E$4+4)*(Timeline!$J$5:$J$305&gt;=E$4+4)),SUMPRODUCT((INDEX(Timeline!$P$5:$AN$305,0,MATCH($A5,Timeline!$P$4:$AN$4,0))="x")*(Timeline!$K$5:$K$305="Task")*ISNUMBER(Timeline!$I$5:$I$305)*ISNUMBER(Timeline!$J$5:$J$305)*(Timeline!$I$5:$I$305&lt;=E$4+5)*(Timeline!$J$5:$J$305&gt;=E$4+5)),SUMPRODUCT((INDEX(Timeline!$P$5:$AN$305,0,MATCH($A5,Timeline!$P$4:$AN$4,0))="x")*(Timeline!$K$5:$K$305="Task")*ISNUMBER(Timeline!$I$5:$I$305)*ISNUMBER(Timeline!$J$5:$J$305)*(Timeline!$I$5:$I$305&lt;=E$4+6)*(Timeline!$J$5:$J$305&gt;=E$4+6)))</f>
        <v>0</v>
      </c>
      <c r="F5" s="67">
        <f>MAX(SUMPRODUCT((INDEX(Timeline!$P$5:$AN$305,0,MATCH($A5,Timeline!$P$4:$AN$4,0))="x")*(Timeline!$K$5:$K$305="Task")*ISNUMBER(Timeline!$I$5:$I$305)*ISNUMBER(Timeline!$J$5:$J$305)*(Timeline!$I$5:$I$305&lt;=F$4+0)*(Timeline!$J$5:$J$305&gt;=F$4+0)),SUMPRODUCT((INDEX(Timeline!$P$5:$AN$305,0,MATCH($A5,Timeline!$P$4:$AN$4,0))="x")*(Timeline!$K$5:$K$305="Task")*ISNUMBER(Timeline!$I$5:$I$305)*ISNUMBER(Timeline!$J$5:$J$305)*(Timeline!$I$5:$I$305&lt;=F$4+1)*(Timeline!$J$5:$J$305&gt;=F$4+1)),SUMPRODUCT((INDEX(Timeline!$P$5:$AN$305,0,MATCH($A5,Timeline!$P$4:$AN$4,0))="x")*(Timeline!$K$5:$K$305="Task")*ISNUMBER(Timeline!$I$5:$I$305)*ISNUMBER(Timeline!$J$5:$J$305)*(Timeline!$I$5:$I$305&lt;=F$4+2)*(Timeline!$J$5:$J$305&gt;=F$4+2)),SUMPRODUCT((INDEX(Timeline!$P$5:$AN$305,0,MATCH($A5,Timeline!$P$4:$AN$4,0))="x")*(Timeline!$K$5:$K$305="Task")*ISNUMBER(Timeline!$I$5:$I$305)*ISNUMBER(Timeline!$J$5:$J$305)*(Timeline!$I$5:$I$305&lt;=F$4+3)*(Timeline!$J$5:$J$305&gt;=F$4+3)),SUMPRODUCT((INDEX(Timeline!$P$5:$AN$305,0,MATCH($A5,Timeline!$P$4:$AN$4,0))="x")*(Timeline!$K$5:$K$305="Task")*ISNUMBER(Timeline!$I$5:$I$305)*ISNUMBER(Timeline!$J$5:$J$305)*(Timeline!$I$5:$I$305&lt;=F$4+4)*(Timeline!$J$5:$J$305&gt;=F$4+4)),SUMPRODUCT((INDEX(Timeline!$P$5:$AN$305,0,MATCH($A5,Timeline!$P$4:$AN$4,0))="x")*(Timeline!$K$5:$K$305="Task")*ISNUMBER(Timeline!$I$5:$I$305)*ISNUMBER(Timeline!$J$5:$J$305)*(Timeline!$I$5:$I$305&lt;=F$4+5)*(Timeline!$J$5:$J$305&gt;=F$4+5)),SUMPRODUCT((INDEX(Timeline!$P$5:$AN$305,0,MATCH($A5,Timeline!$P$4:$AN$4,0))="x")*(Timeline!$K$5:$K$305="Task")*ISNUMBER(Timeline!$I$5:$I$305)*ISNUMBER(Timeline!$J$5:$J$305)*(Timeline!$I$5:$I$305&lt;=F$4+6)*(Timeline!$J$5:$J$305&gt;=F$4+6)))</f>
        <v>0</v>
      </c>
      <c r="G5" s="67">
        <f>MAX(SUMPRODUCT((INDEX(Timeline!$P$5:$AN$305,0,MATCH($A5,Timeline!$P$4:$AN$4,0))="x")*(Timeline!$K$5:$K$305="Task")*ISNUMBER(Timeline!$I$5:$I$305)*ISNUMBER(Timeline!$J$5:$J$305)*(Timeline!$I$5:$I$305&lt;=G$4+0)*(Timeline!$J$5:$J$305&gt;=G$4+0)),SUMPRODUCT((INDEX(Timeline!$P$5:$AN$305,0,MATCH($A5,Timeline!$P$4:$AN$4,0))="x")*(Timeline!$K$5:$K$305="Task")*ISNUMBER(Timeline!$I$5:$I$305)*ISNUMBER(Timeline!$J$5:$J$305)*(Timeline!$I$5:$I$305&lt;=G$4+1)*(Timeline!$J$5:$J$305&gt;=G$4+1)),SUMPRODUCT((INDEX(Timeline!$P$5:$AN$305,0,MATCH($A5,Timeline!$P$4:$AN$4,0))="x")*(Timeline!$K$5:$K$305="Task")*ISNUMBER(Timeline!$I$5:$I$305)*ISNUMBER(Timeline!$J$5:$J$305)*(Timeline!$I$5:$I$305&lt;=G$4+2)*(Timeline!$J$5:$J$305&gt;=G$4+2)),SUMPRODUCT((INDEX(Timeline!$P$5:$AN$305,0,MATCH($A5,Timeline!$P$4:$AN$4,0))="x")*(Timeline!$K$5:$K$305="Task")*ISNUMBER(Timeline!$I$5:$I$305)*ISNUMBER(Timeline!$J$5:$J$305)*(Timeline!$I$5:$I$305&lt;=G$4+3)*(Timeline!$J$5:$J$305&gt;=G$4+3)),SUMPRODUCT((INDEX(Timeline!$P$5:$AN$305,0,MATCH($A5,Timeline!$P$4:$AN$4,0))="x")*(Timeline!$K$5:$K$305="Task")*ISNUMBER(Timeline!$I$5:$I$305)*ISNUMBER(Timeline!$J$5:$J$305)*(Timeline!$I$5:$I$305&lt;=G$4+4)*(Timeline!$J$5:$J$305&gt;=G$4+4)),SUMPRODUCT((INDEX(Timeline!$P$5:$AN$305,0,MATCH($A5,Timeline!$P$4:$AN$4,0))="x")*(Timeline!$K$5:$K$305="Task")*ISNUMBER(Timeline!$I$5:$I$305)*ISNUMBER(Timeline!$J$5:$J$305)*(Timeline!$I$5:$I$305&lt;=G$4+5)*(Timeline!$J$5:$J$305&gt;=G$4+5)),SUMPRODUCT((INDEX(Timeline!$P$5:$AN$305,0,MATCH($A5,Timeline!$P$4:$AN$4,0))="x")*(Timeline!$K$5:$K$305="Task")*ISNUMBER(Timeline!$I$5:$I$305)*ISNUMBER(Timeline!$J$5:$J$305)*(Timeline!$I$5:$I$305&lt;=G$4+6)*(Timeline!$J$5:$J$305&gt;=G$4+6)))</f>
        <v>1</v>
      </c>
      <c r="H5" s="67">
        <f>MAX(SUMPRODUCT((INDEX(Timeline!$P$5:$AN$305,0,MATCH($A5,Timeline!$P$4:$AN$4,0))="x")*(Timeline!$K$5:$K$305="Task")*ISNUMBER(Timeline!$I$5:$I$305)*ISNUMBER(Timeline!$J$5:$J$305)*(Timeline!$I$5:$I$305&lt;=H$4+0)*(Timeline!$J$5:$J$305&gt;=H$4+0)),SUMPRODUCT((INDEX(Timeline!$P$5:$AN$305,0,MATCH($A5,Timeline!$P$4:$AN$4,0))="x")*(Timeline!$K$5:$K$305="Task")*ISNUMBER(Timeline!$I$5:$I$305)*ISNUMBER(Timeline!$J$5:$J$305)*(Timeline!$I$5:$I$305&lt;=H$4+1)*(Timeline!$J$5:$J$305&gt;=H$4+1)),SUMPRODUCT((INDEX(Timeline!$P$5:$AN$305,0,MATCH($A5,Timeline!$P$4:$AN$4,0))="x")*(Timeline!$K$5:$K$305="Task")*ISNUMBER(Timeline!$I$5:$I$305)*ISNUMBER(Timeline!$J$5:$J$305)*(Timeline!$I$5:$I$305&lt;=H$4+2)*(Timeline!$J$5:$J$305&gt;=H$4+2)),SUMPRODUCT((INDEX(Timeline!$P$5:$AN$305,0,MATCH($A5,Timeline!$P$4:$AN$4,0))="x")*(Timeline!$K$5:$K$305="Task")*ISNUMBER(Timeline!$I$5:$I$305)*ISNUMBER(Timeline!$J$5:$J$305)*(Timeline!$I$5:$I$305&lt;=H$4+3)*(Timeline!$J$5:$J$305&gt;=H$4+3)),SUMPRODUCT((INDEX(Timeline!$P$5:$AN$305,0,MATCH($A5,Timeline!$P$4:$AN$4,0))="x")*(Timeline!$K$5:$K$305="Task")*ISNUMBER(Timeline!$I$5:$I$305)*ISNUMBER(Timeline!$J$5:$J$305)*(Timeline!$I$5:$I$305&lt;=H$4+4)*(Timeline!$J$5:$J$305&gt;=H$4+4)),SUMPRODUCT((INDEX(Timeline!$P$5:$AN$305,0,MATCH($A5,Timeline!$P$4:$AN$4,0))="x")*(Timeline!$K$5:$K$305="Task")*ISNUMBER(Timeline!$I$5:$I$305)*ISNUMBER(Timeline!$J$5:$J$305)*(Timeline!$I$5:$I$305&lt;=H$4+5)*(Timeline!$J$5:$J$305&gt;=H$4+5)),SUMPRODUCT((INDEX(Timeline!$P$5:$AN$305,0,MATCH($A5,Timeline!$P$4:$AN$4,0))="x")*(Timeline!$K$5:$K$305="Task")*ISNUMBER(Timeline!$I$5:$I$305)*ISNUMBER(Timeline!$J$5:$J$305)*(Timeline!$I$5:$I$305&lt;=H$4+6)*(Timeline!$J$5:$J$305&gt;=H$4+6)))</f>
        <v>1</v>
      </c>
      <c r="I5" s="67">
        <f>MAX(SUMPRODUCT((INDEX(Timeline!$P$5:$AN$305,0,MATCH($A5,Timeline!$P$4:$AN$4,0))="x")*(Timeline!$K$5:$K$305="Task")*ISNUMBER(Timeline!$I$5:$I$305)*ISNUMBER(Timeline!$J$5:$J$305)*(Timeline!$I$5:$I$305&lt;=I$4+0)*(Timeline!$J$5:$J$305&gt;=I$4+0)),SUMPRODUCT((INDEX(Timeline!$P$5:$AN$305,0,MATCH($A5,Timeline!$P$4:$AN$4,0))="x")*(Timeline!$K$5:$K$305="Task")*ISNUMBER(Timeline!$I$5:$I$305)*ISNUMBER(Timeline!$J$5:$J$305)*(Timeline!$I$5:$I$305&lt;=I$4+1)*(Timeline!$J$5:$J$305&gt;=I$4+1)),SUMPRODUCT((INDEX(Timeline!$P$5:$AN$305,0,MATCH($A5,Timeline!$P$4:$AN$4,0))="x")*(Timeline!$K$5:$K$305="Task")*ISNUMBER(Timeline!$I$5:$I$305)*ISNUMBER(Timeline!$J$5:$J$305)*(Timeline!$I$5:$I$305&lt;=I$4+2)*(Timeline!$J$5:$J$305&gt;=I$4+2)),SUMPRODUCT((INDEX(Timeline!$P$5:$AN$305,0,MATCH($A5,Timeline!$P$4:$AN$4,0))="x")*(Timeline!$K$5:$K$305="Task")*ISNUMBER(Timeline!$I$5:$I$305)*ISNUMBER(Timeline!$J$5:$J$305)*(Timeline!$I$5:$I$305&lt;=I$4+3)*(Timeline!$J$5:$J$305&gt;=I$4+3)),SUMPRODUCT((INDEX(Timeline!$P$5:$AN$305,0,MATCH($A5,Timeline!$P$4:$AN$4,0))="x")*(Timeline!$K$5:$K$305="Task")*ISNUMBER(Timeline!$I$5:$I$305)*ISNUMBER(Timeline!$J$5:$J$305)*(Timeline!$I$5:$I$305&lt;=I$4+4)*(Timeline!$J$5:$J$305&gt;=I$4+4)),SUMPRODUCT((INDEX(Timeline!$P$5:$AN$305,0,MATCH($A5,Timeline!$P$4:$AN$4,0))="x")*(Timeline!$K$5:$K$305="Task")*ISNUMBER(Timeline!$I$5:$I$305)*ISNUMBER(Timeline!$J$5:$J$305)*(Timeline!$I$5:$I$305&lt;=I$4+5)*(Timeline!$J$5:$J$305&gt;=I$4+5)),SUMPRODUCT((INDEX(Timeline!$P$5:$AN$305,0,MATCH($A5,Timeline!$P$4:$AN$4,0))="x")*(Timeline!$K$5:$K$305="Task")*ISNUMBER(Timeline!$I$5:$I$305)*ISNUMBER(Timeline!$J$5:$J$305)*(Timeline!$I$5:$I$305&lt;=I$4+6)*(Timeline!$J$5:$J$305&gt;=I$4+6)))</f>
        <v>1</v>
      </c>
      <c r="J5" s="67">
        <f>MAX(SUMPRODUCT((INDEX(Timeline!$P$5:$AN$305,0,MATCH($A5,Timeline!$P$4:$AN$4,0))="x")*(Timeline!$K$5:$K$305="Task")*ISNUMBER(Timeline!$I$5:$I$305)*ISNUMBER(Timeline!$J$5:$J$305)*(Timeline!$I$5:$I$305&lt;=J$4+0)*(Timeline!$J$5:$J$305&gt;=J$4+0)),SUMPRODUCT((INDEX(Timeline!$P$5:$AN$305,0,MATCH($A5,Timeline!$P$4:$AN$4,0))="x")*(Timeline!$K$5:$K$305="Task")*ISNUMBER(Timeline!$I$5:$I$305)*ISNUMBER(Timeline!$J$5:$J$305)*(Timeline!$I$5:$I$305&lt;=J$4+1)*(Timeline!$J$5:$J$305&gt;=J$4+1)),SUMPRODUCT((INDEX(Timeline!$P$5:$AN$305,0,MATCH($A5,Timeline!$P$4:$AN$4,0))="x")*(Timeline!$K$5:$K$305="Task")*ISNUMBER(Timeline!$I$5:$I$305)*ISNUMBER(Timeline!$J$5:$J$305)*(Timeline!$I$5:$I$305&lt;=J$4+2)*(Timeline!$J$5:$J$305&gt;=J$4+2)),SUMPRODUCT((INDEX(Timeline!$P$5:$AN$305,0,MATCH($A5,Timeline!$P$4:$AN$4,0))="x")*(Timeline!$K$5:$K$305="Task")*ISNUMBER(Timeline!$I$5:$I$305)*ISNUMBER(Timeline!$J$5:$J$305)*(Timeline!$I$5:$I$305&lt;=J$4+3)*(Timeline!$J$5:$J$305&gt;=J$4+3)),SUMPRODUCT((INDEX(Timeline!$P$5:$AN$305,0,MATCH($A5,Timeline!$P$4:$AN$4,0))="x")*(Timeline!$K$5:$K$305="Task")*ISNUMBER(Timeline!$I$5:$I$305)*ISNUMBER(Timeline!$J$5:$J$305)*(Timeline!$I$5:$I$305&lt;=J$4+4)*(Timeline!$J$5:$J$305&gt;=J$4+4)),SUMPRODUCT((INDEX(Timeline!$P$5:$AN$305,0,MATCH($A5,Timeline!$P$4:$AN$4,0))="x")*(Timeline!$K$5:$K$305="Task")*ISNUMBER(Timeline!$I$5:$I$305)*ISNUMBER(Timeline!$J$5:$J$305)*(Timeline!$I$5:$I$305&lt;=J$4+5)*(Timeline!$J$5:$J$305&gt;=J$4+5)),SUMPRODUCT((INDEX(Timeline!$P$5:$AN$305,0,MATCH($A5,Timeline!$P$4:$AN$4,0))="x")*(Timeline!$K$5:$K$305="Task")*ISNUMBER(Timeline!$I$5:$I$305)*ISNUMBER(Timeline!$J$5:$J$305)*(Timeline!$I$5:$I$305&lt;=J$4+6)*(Timeline!$J$5:$J$305&gt;=J$4+6)))</f>
        <v>1</v>
      </c>
      <c r="K5" s="67">
        <f>MAX(SUMPRODUCT((INDEX(Timeline!$P$5:$AN$305,0,MATCH($A5,Timeline!$P$4:$AN$4,0))="x")*(Timeline!$K$5:$K$305="Task")*ISNUMBER(Timeline!$I$5:$I$305)*ISNUMBER(Timeline!$J$5:$J$305)*(Timeline!$I$5:$I$305&lt;=K$4+0)*(Timeline!$J$5:$J$305&gt;=K$4+0)),SUMPRODUCT((INDEX(Timeline!$P$5:$AN$305,0,MATCH($A5,Timeline!$P$4:$AN$4,0))="x")*(Timeline!$K$5:$K$305="Task")*ISNUMBER(Timeline!$I$5:$I$305)*ISNUMBER(Timeline!$J$5:$J$305)*(Timeline!$I$5:$I$305&lt;=K$4+1)*(Timeline!$J$5:$J$305&gt;=K$4+1)),SUMPRODUCT((INDEX(Timeline!$P$5:$AN$305,0,MATCH($A5,Timeline!$P$4:$AN$4,0))="x")*(Timeline!$K$5:$K$305="Task")*ISNUMBER(Timeline!$I$5:$I$305)*ISNUMBER(Timeline!$J$5:$J$305)*(Timeline!$I$5:$I$305&lt;=K$4+2)*(Timeline!$J$5:$J$305&gt;=K$4+2)),SUMPRODUCT((INDEX(Timeline!$P$5:$AN$305,0,MATCH($A5,Timeline!$P$4:$AN$4,0))="x")*(Timeline!$K$5:$K$305="Task")*ISNUMBER(Timeline!$I$5:$I$305)*ISNUMBER(Timeline!$J$5:$J$305)*(Timeline!$I$5:$I$305&lt;=K$4+3)*(Timeline!$J$5:$J$305&gt;=K$4+3)),SUMPRODUCT((INDEX(Timeline!$P$5:$AN$305,0,MATCH($A5,Timeline!$P$4:$AN$4,0))="x")*(Timeline!$K$5:$K$305="Task")*ISNUMBER(Timeline!$I$5:$I$305)*ISNUMBER(Timeline!$J$5:$J$305)*(Timeline!$I$5:$I$305&lt;=K$4+4)*(Timeline!$J$5:$J$305&gt;=K$4+4)),SUMPRODUCT((INDEX(Timeline!$P$5:$AN$305,0,MATCH($A5,Timeline!$P$4:$AN$4,0))="x")*(Timeline!$K$5:$K$305="Task")*ISNUMBER(Timeline!$I$5:$I$305)*ISNUMBER(Timeline!$J$5:$J$305)*(Timeline!$I$5:$I$305&lt;=K$4+5)*(Timeline!$J$5:$J$305&gt;=K$4+5)),SUMPRODUCT((INDEX(Timeline!$P$5:$AN$305,0,MATCH($A5,Timeline!$P$4:$AN$4,0))="x")*(Timeline!$K$5:$K$305="Task")*ISNUMBER(Timeline!$I$5:$I$305)*ISNUMBER(Timeline!$J$5:$J$305)*(Timeline!$I$5:$I$305&lt;=K$4+6)*(Timeline!$J$5:$J$305&gt;=K$4+6)))</f>
        <v>1</v>
      </c>
      <c r="L5" s="67">
        <f>MAX(SUMPRODUCT((INDEX(Timeline!$P$5:$AN$305,0,MATCH($A5,Timeline!$P$4:$AN$4,0))="x")*(Timeline!$K$5:$K$305="Task")*ISNUMBER(Timeline!$I$5:$I$305)*ISNUMBER(Timeline!$J$5:$J$305)*(Timeline!$I$5:$I$305&lt;=L$4+0)*(Timeline!$J$5:$J$305&gt;=L$4+0)),SUMPRODUCT((INDEX(Timeline!$P$5:$AN$305,0,MATCH($A5,Timeline!$P$4:$AN$4,0))="x")*(Timeline!$K$5:$K$305="Task")*ISNUMBER(Timeline!$I$5:$I$305)*ISNUMBER(Timeline!$J$5:$J$305)*(Timeline!$I$5:$I$305&lt;=L$4+1)*(Timeline!$J$5:$J$305&gt;=L$4+1)),SUMPRODUCT((INDEX(Timeline!$P$5:$AN$305,0,MATCH($A5,Timeline!$P$4:$AN$4,0))="x")*(Timeline!$K$5:$K$305="Task")*ISNUMBER(Timeline!$I$5:$I$305)*ISNUMBER(Timeline!$J$5:$J$305)*(Timeline!$I$5:$I$305&lt;=L$4+2)*(Timeline!$J$5:$J$305&gt;=L$4+2)),SUMPRODUCT((INDEX(Timeline!$P$5:$AN$305,0,MATCH($A5,Timeline!$P$4:$AN$4,0))="x")*(Timeline!$K$5:$K$305="Task")*ISNUMBER(Timeline!$I$5:$I$305)*ISNUMBER(Timeline!$J$5:$J$305)*(Timeline!$I$5:$I$305&lt;=L$4+3)*(Timeline!$J$5:$J$305&gt;=L$4+3)),SUMPRODUCT((INDEX(Timeline!$P$5:$AN$305,0,MATCH($A5,Timeline!$P$4:$AN$4,0))="x")*(Timeline!$K$5:$K$305="Task")*ISNUMBER(Timeline!$I$5:$I$305)*ISNUMBER(Timeline!$J$5:$J$305)*(Timeline!$I$5:$I$305&lt;=L$4+4)*(Timeline!$J$5:$J$305&gt;=L$4+4)),SUMPRODUCT((INDEX(Timeline!$P$5:$AN$305,0,MATCH($A5,Timeline!$P$4:$AN$4,0))="x")*(Timeline!$K$5:$K$305="Task")*ISNUMBER(Timeline!$I$5:$I$305)*ISNUMBER(Timeline!$J$5:$J$305)*(Timeline!$I$5:$I$305&lt;=L$4+5)*(Timeline!$J$5:$J$305&gt;=L$4+5)),SUMPRODUCT((INDEX(Timeline!$P$5:$AN$305,0,MATCH($A5,Timeline!$P$4:$AN$4,0))="x")*(Timeline!$K$5:$K$305="Task")*ISNUMBER(Timeline!$I$5:$I$305)*ISNUMBER(Timeline!$J$5:$J$305)*(Timeline!$I$5:$I$305&lt;=L$4+6)*(Timeline!$J$5:$J$305&gt;=L$4+6)))</f>
        <v>1</v>
      </c>
      <c r="M5" s="67">
        <f>MAX(SUMPRODUCT((INDEX(Timeline!$P$5:$AN$305,0,MATCH($A5,Timeline!$P$4:$AN$4,0))="x")*(Timeline!$K$5:$K$305="Task")*ISNUMBER(Timeline!$I$5:$I$305)*ISNUMBER(Timeline!$J$5:$J$305)*(Timeline!$I$5:$I$305&lt;=M$4+0)*(Timeline!$J$5:$J$305&gt;=M$4+0)),SUMPRODUCT((INDEX(Timeline!$P$5:$AN$305,0,MATCH($A5,Timeline!$P$4:$AN$4,0))="x")*(Timeline!$K$5:$K$305="Task")*ISNUMBER(Timeline!$I$5:$I$305)*ISNUMBER(Timeline!$J$5:$J$305)*(Timeline!$I$5:$I$305&lt;=M$4+1)*(Timeline!$J$5:$J$305&gt;=M$4+1)),SUMPRODUCT((INDEX(Timeline!$P$5:$AN$305,0,MATCH($A5,Timeline!$P$4:$AN$4,0))="x")*(Timeline!$K$5:$K$305="Task")*ISNUMBER(Timeline!$I$5:$I$305)*ISNUMBER(Timeline!$J$5:$J$305)*(Timeline!$I$5:$I$305&lt;=M$4+2)*(Timeline!$J$5:$J$305&gt;=M$4+2)),SUMPRODUCT((INDEX(Timeline!$P$5:$AN$305,0,MATCH($A5,Timeline!$P$4:$AN$4,0))="x")*(Timeline!$K$5:$K$305="Task")*ISNUMBER(Timeline!$I$5:$I$305)*ISNUMBER(Timeline!$J$5:$J$305)*(Timeline!$I$5:$I$305&lt;=M$4+3)*(Timeline!$J$5:$J$305&gt;=M$4+3)),SUMPRODUCT((INDEX(Timeline!$P$5:$AN$305,0,MATCH($A5,Timeline!$P$4:$AN$4,0))="x")*(Timeline!$K$5:$K$305="Task")*ISNUMBER(Timeline!$I$5:$I$305)*ISNUMBER(Timeline!$J$5:$J$305)*(Timeline!$I$5:$I$305&lt;=M$4+4)*(Timeline!$J$5:$J$305&gt;=M$4+4)),SUMPRODUCT((INDEX(Timeline!$P$5:$AN$305,0,MATCH($A5,Timeline!$P$4:$AN$4,0))="x")*(Timeline!$K$5:$K$305="Task")*ISNUMBER(Timeline!$I$5:$I$305)*ISNUMBER(Timeline!$J$5:$J$305)*(Timeline!$I$5:$I$305&lt;=M$4+5)*(Timeline!$J$5:$J$305&gt;=M$4+5)),SUMPRODUCT((INDEX(Timeline!$P$5:$AN$305,0,MATCH($A5,Timeline!$P$4:$AN$4,0))="x")*(Timeline!$K$5:$K$305="Task")*ISNUMBER(Timeline!$I$5:$I$305)*ISNUMBER(Timeline!$J$5:$J$305)*(Timeline!$I$5:$I$305&lt;=M$4+6)*(Timeline!$J$5:$J$305&gt;=M$4+6)))</f>
        <v>1</v>
      </c>
      <c r="N5" s="67">
        <f>MAX(SUMPRODUCT((INDEX(Timeline!$P$5:$AN$305,0,MATCH($A5,Timeline!$P$4:$AN$4,0))="x")*(Timeline!$K$5:$K$305="Task")*ISNUMBER(Timeline!$I$5:$I$305)*ISNUMBER(Timeline!$J$5:$J$305)*(Timeline!$I$5:$I$305&lt;=N$4+0)*(Timeline!$J$5:$J$305&gt;=N$4+0)),SUMPRODUCT((INDEX(Timeline!$P$5:$AN$305,0,MATCH($A5,Timeline!$P$4:$AN$4,0))="x")*(Timeline!$K$5:$K$305="Task")*ISNUMBER(Timeline!$I$5:$I$305)*ISNUMBER(Timeline!$J$5:$J$305)*(Timeline!$I$5:$I$305&lt;=N$4+1)*(Timeline!$J$5:$J$305&gt;=N$4+1)),SUMPRODUCT((INDEX(Timeline!$P$5:$AN$305,0,MATCH($A5,Timeline!$P$4:$AN$4,0))="x")*(Timeline!$K$5:$K$305="Task")*ISNUMBER(Timeline!$I$5:$I$305)*ISNUMBER(Timeline!$J$5:$J$305)*(Timeline!$I$5:$I$305&lt;=N$4+2)*(Timeline!$J$5:$J$305&gt;=N$4+2)),SUMPRODUCT((INDEX(Timeline!$P$5:$AN$305,0,MATCH($A5,Timeline!$P$4:$AN$4,0))="x")*(Timeline!$K$5:$K$305="Task")*ISNUMBER(Timeline!$I$5:$I$305)*ISNUMBER(Timeline!$J$5:$J$305)*(Timeline!$I$5:$I$305&lt;=N$4+3)*(Timeline!$J$5:$J$305&gt;=N$4+3)),SUMPRODUCT((INDEX(Timeline!$P$5:$AN$305,0,MATCH($A5,Timeline!$P$4:$AN$4,0))="x")*(Timeline!$K$5:$K$305="Task")*ISNUMBER(Timeline!$I$5:$I$305)*ISNUMBER(Timeline!$J$5:$J$305)*(Timeline!$I$5:$I$305&lt;=N$4+4)*(Timeline!$J$5:$J$305&gt;=N$4+4)),SUMPRODUCT((INDEX(Timeline!$P$5:$AN$305,0,MATCH($A5,Timeline!$P$4:$AN$4,0))="x")*(Timeline!$K$5:$K$305="Task")*ISNUMBER(Timeline!$I$5:$I$305)*ISNUMBER(Timeline!$J$5:$J$305)*(Timeline!$I$5:$I$305&lt;=N$4+5)*(Timeline!$J$5:$J$305&gt;=N$4+5)),SUMPRODUCT((INDEX(Timeline!$P$5:$AN$305,0,MATCH($A5,Timeline!$P$4:$AN$4,0))="x")*(Timeline!$K$5:$K$305="Task")*ISNUMBER(Timeline!$I$5:$I$305)*ISNUMBER(Timeline!$J$5:$J$305)*(Timeline!$I$5:$I$305&lt;=N$4+6)*(Timeline!$J$5:$J$305&gt;=N$4+6)))</f>
        <v>1</v>
      </c>
      <c r="O5" s="67">
        <f>MAX(SUMPRODUCT((INDEX(Timeline!$P$5:$AN$305,0,MATCH($A5,Timeline!$P$4:$AN$4,0))="x")*(Timeline!$K$5:$K$305="Task")*ISNUMBER(Timeline!$I$5:$I$305)*ISNUMBER(Timeline!$J$5:$J$305)*(Timeline!$I$5:$I$305&lt;=O$4+0)*(Timeline!$J$5:$J$305&gt;=O$4+0)),SUMPRODUCT((INDEX(Timeline!$P$5:$AN$305,0,MATCH($A5,Timeline!$P$4:$AN$4,0))="x")*(Timeline!$K$5:$K$305="Task")*ISNUMBER(Timeline!$I$5:$I$305)*ISNUMBER(Timeline!$J$5:$J$305)*(Timeline!$I$5:$I$305&lt;=O$4+1)*(Timeline!$J$5:$J$305&gt;=O$4+1)),SUMPRODUCT((INDEX(Timeline!$P$5:$AN$305,0,MATCH($A5,Timeline!$P$4:$AN$4,0))="x")*(Timeline!$K$5:$K$305="Task")*ISNUMBER(Timeline!$I$5:$I$305)*ISNUMBER(Timeline!$J$5:$J$305)*(Timeline!$I$5:$I$305&lt;=O$4+2)*(Timeline!$J$5:$J$305&gt;=O$4+2)),SUMPRODUCT((INDEX(Timeline!$P$5:$AN$305,0,MATCH($A5,Timeline!$P$4:$AN$4,0))="x")*(Timeline!$K$5:$K$305="Task")*ISNUMBER(Timeline!$I$5:$I$305)*ISNUMBER(Timeline!$J$5:$J$305)*(Timeline!$I$5:$I$305&lt;=O$4+3)*(Timeline!$J$5:$J$305&gt;=O$4+3)),SUMPRODUCT((INDEX(Timeline!$P$5:$AN$305,0,MATCH($A5,Timeline!$P$4:$AN$4,0))="x")*(Timeline!$K$5:$K$305="Task")*ISNUMBER(Timeline!$I$5:$I$305)*ISNUMBER(Timeline!$J$5:$J$305)*(Timeline!$I$5:$I$305&lt;=O$4+4)*(Timeline!$J$5:$J$305&gt;=O$4+4)),SUMPRODUCT((INDEX(Timeline!$P$5:$AN$305,0,MATCH($A5,Timeline!$P$4:$AN$4,0))="x")*(Timeline!$K$5:$K$305="Task")*ISNUMBER(Timeline!$I$5:$I$305)*ISNUMBER(Timeline!$J$5:$J$305)*(Timeline!$I$5:$I$305&lt;=O$4+5)*(Timeline!$J$5:$J$305&gt;=O$4+5)),SUMPRODUCT((INDEX(Timeline!$P$5:$AN$305,0,MATCH($A5,Timeline!$P$4:$AN$4,0))="x")*(Timeline!$K$5:$K$305="Task")*ISNUMBER(Timeline!$I$5:$I$305)*ISNUMBER(Timeline!$J$5:$J$305)*(Timeline!$I$5:$I$305&lt;=O$4+6)*(Timeline!$J$5:$J$305&gt;=O$4+6)))</f>
        <v>1</v>
      </c>
      <c r="P5" s="67">
        <f>MAX(SUMPRODUCT((INDEX(Timeline!$P$5:$AN$305,0,MATCH($A5,Timeline!$P$4:$AN$4,0))="x")*(Timeline!$K$5:$K$305="Task")*ISNUMBER(Timeline!$I$5:$I$305)*ISNUMBER(Timeline!$J$5:$J$305)*(Timeline!$I$5:$I$305&lt;=P$4+0)*(Timeline!$J$5:$J$305&gt;=P$4+0)),SUMPRODUCT((INDEX(Timeline!$P$5:$AN$305,0,MATCH($A5,Timeline!$P$4:$AN$4,0))="x")*(Timeline!$K$5:$K$305="Task")*ISNUMBER(Timeline!$I$5:$I$305)*ISNUMBER(Timeline!$J$5:$J$305)*(Timeline!$I$5:$I$305&lt;=P$4+1)*(Timeline!$J$5:$J$305&gt;=P$4+1)),SUMPRODUCT((INDEX(Timeline!$P$5:$AN$305,0,MATCH($A5,Timeline!$P$4:$AN$4,0))="x")*(Timeline!$K$5:$K$305="Task")*ISNUMBER(Timeline!$I$5:$I$305)*ISNUMBER(Timeline!$J$5:$J$305)*(Timeline!$I$5:$I$305&lt;=P$4+2)*(Timeline!$J$5:$J$305&gt;=P$4+2)),SUMPRODUCT((INDEX(Timeline!$P$5:$AN$305,0,MATCH($A5,Timeline!$P$4:$AN$4,0))="x")*(Timeline!$K$5:$K$305="Task")*ISNUMBER(Timeline!$I$5:$I$305)*ISNUMBER(Timeline!$J$5:$J$305)*(Timeline!$I$5:$I$305&lt;=P$4+3)*(Timeline!$J$5:$J$305&gt;=P$4+3)),SUMPRODUCT((INDEX(Timeline!$P$5:$AN$305,0,MATCH($A5,Timeline!$P$4:$AN$4,0))="x")*(Timeline!$K$5:$K$305="Task")*ISNUMBER(Timeline!$I$5:$I$305)*ISNUMBER(Timeline!$J$5:$J$305)*(Timeline!$I$5:$I$305&lt;=P$4+4)*(Timeline!$J$5:$J$305&gt;=P$4+4)),SUMPRODUCT((INDEX(Timeline!$P$5:$AN$305,0,MATCH($A5,Timeline!$P$4:$AN$4,0))="x")*(Timeline!$K$5:$K$305="Task")*ISNUMBER(Timeline!$I$5:$I$305)*ISNUMBER(Timeline!$J$5:$J$305)*(Timeline!$I$5:$I$305&lt;=P$4+5)*(Timeline!$J$5:$J$305&gt;=P$4+5)),SUMPRODUCT((INDEX(Timeline!$P$5:$AN$305,0,MATCH($A5,Timeline!$P$4:$AN$4,0))="x")*(Timeline!$K$5:$K$305="Task")*ISNUMBER(Timeline!$I$5:$I$305)*ISNUMBER(Timeline!$J$5:$J$305)*(Timeline!$I$5:$I$305&lt;=P$4+6)*(Timeline!$J$5:$J$305&gt;=P$4+6)))</f>
        <v>1</v>
      </c>
      <c r="Q5" s="67">
        <f>MAX(SUMPRODUCT((INDEX(Timeline!$P$5:$AN$305,0,MATCH($A5,Timeline!$P$4:$AN$4,0))="x")*(Timeline!$K$5:$K$305="Task")*ISNUMBER(Timeline!$I$5:$I$305)*ISNUMBER(Timeline!$J$5:$J$305)*(Timeline!$I$5:$I$305&lt;=Q$4+0)*(Timeline!$J$5:$J$305&gt;=Q$4+0)),SUMPRODUCT((INDEX(Timeline!$P$5:$AN$305,0,MATCH($A5,Timeline!$P$4:$AN$4,0))="x")*(Timeline!$K$5:$K$305="Task")*ISNUMBER(Timeline!$I$5:$I$305)*ISNUMBER(Timeline!$J$5:$J$305)*(Timeline!$I$5:$I$305&lt;=Q$4+1)*(Timeline!$J$5:$J$305&gt;=Q$4+1)),SUMPRODUCT((INDEX(Timeline!$P$5:$AN$305,0,MATCH($A5,Timeline!$P$4:$AN$4,0))="x")*(Timeline!$K$5:$K$305="Task")*ISNUMBER(Timeline!$I$5:$I$305)*ISNUMBER(Timeline!$J$5:$J$305)*(Timeline!$I$5:$I$305&lt;=Q$4+2)*(Timeline!$J$5:$J$305&gt;=Q$4+2)),SUMPRODUCT((INDEX(Timeline!$P$5:$AN$305,0,MATCH($A5,Timeline!$P$4:$AN$4,0))="x")*(Timeline!$K$5:$K$305="Task")*ISNUMBER(Timeline!$I$5:$I$305)*ISNUMBER(Timeline!$J$5:$J$305)*(Timeline!$I$5:$I$305&lt;=Q$4+3)*(Timeline!$J$5:$J$305&gt;=Q$4+3)),SUMPRODUCT((INDEX(Timeline!$P$5:$AN$305,0,MATCH($A5,Timeline!$P$4:$AN$4,0))="x")*(Timeline!$K$5:$K$305="Task")*ISNUMBER(Timeline!$I$5:$I$305)*ISNUMBER(Timeline!$J$5:$J$305)*(Timeline!$I$5:$I$305&lt;=Q$4+4)*(Timeline!$J$5:$J$305&gt;=Q$4+4)),SUMPRODUCT((INDEX(Timeline!$P$5:$AN$305,0,MATCH($A5,Timeline!$P$4:$AN$4,0))="x")*(Timeline!$K$5:$K$305="Task")*ISNUMBER(Timeline!$I$5:$I$305)*ISNUMBER(Timeline!$J$5:$J$305)*(Timeline!$I$5:$I$305&lt;=Q$4+5)*(Timeline!$J$5:$J$305&gt;=Q$4+5)),SUMPRODUCT((INDEX(Timeline!$P$5:$AN$305,0,MATCH($A5,Timeline!$P$4:$AN$4,0))="x")*(Timeline!$K$5:$K$305="Task")*ISNUMBER(Timeline!$I$5:$I$305)*ISNUMBER(Timeline!$J$5:$J$305)*(Timeline!$I$5:$I$305&lt;=Q$4+6)*(Timeline!$J$5:$J$305&gt;=Q$4+6)))</f>
        <v>1</v>
      </c>
      <c r="R5" s="67">
        <f>MAX(SUMPRODUCT((INDEX(Timeline!$P$5:$AN$305,0,MATCH($A5,Timeline!$P$4:$AN$4,0))="x")*(Timeline!$K$5:$K$305="Task")*ISNUMBER(Timeline!$I$5:$I$305)*ISNUMBER(Timeline!$J$5:$J$305)*(Timeline!$I$5:$I$305&lt;=R$4+0)*(Timeline!$J$5:$J$305&gt;=R$4+0)),SUMPRODUCT((INDEX(Timeline!$P$5:$AN$305,0,MATCH($A5,Timeline!$P$4:$AN$4,0))="x")*(Timeline!$K$5:$K$305="Task")*ISNUMBER(Timeline!$I$5:$I$305)*ISNUMBER(Timeline!$J$5:$J$305)*(Timeline!$I$5:$I$305&lt;=R$4+1)*(Timeline!$J$5:$J$305&gt;=R$4+1)),SUMPRODUCT((INDEX(Timeline!$P$5:$AN$305,0,MATCH($A5,Timeline!$P$4:$AN$4,0))="x")*(Timeline!$K$5:$K$305="Task")*ISNUMBER(Timeline!$I$5:$I$305)*ISNUMBER(Timeline!$J$5:$J$305)*(Timeline!$I$5:$I$305&lt;=R$4+2)*(Timeline!$J$5:$J$305&gt;=R$4+2)),SUMPRODUCT((INDEX(Timeline!$P$5:$AN$305,0,MATCH($A5,Timeline!$P$4:$AN$4,0))="x")*(Timeline!$K$5:$K$305="Task")*ISNUMBER(Timeline!$I$5:$I$305)*ISNUMBER(Timeline!$J$5:$J$305)*(Timeline!$I$5:$I$305&lt;=R$4+3)*(Timeline!$J$5:$J$305&gt;=R$4+3)),SUMPRODUCT((INDEX(Timeline!$P$5:$AN$305,0,MATCH($A5,Timeline!$P$4:$AN$4,0))="x")*(Timeline!$K$5:$K$305="Task")*ISNUMBER(Timeline!$I$5:$I$305)*ISNUMBER(Timeline!$J$5:$J$305)*(Timeline!$I$5:$I$305&lt;=R$4+4)*(Timeline!$J$5:$J$305&gt;=R$4+4)),SUMPRODUCT((INDEX(Timeline!$P$5:$AN$305,0,MATCH($A5,Timeline!$P$4:$AN$4,0))="x")*(Timeline!$K$5:$K$305="Task")*ISNUMBER(Timeline!$I$5:$I$305)*ISNUMBER(Timeline!$J$5:$J$305)*(Timeline!$I$5:$I$305&lt;=R$4+5)*(Timeline!$J$5:$J$305&gt;=R$4+5)),SUMPRODUCT((INDEX(Timeline!$P$5:$AN$305,0,MATCH($A5,Timeline!$P$4:$AN$4,0))="x")*(Timeline!$K$5:$K$305="Task")*ISNUMBER(Timeline!$I$5:$I$305)*ISNUMBER(Timeline!$J$5:$J$305)*(Timeline!$I$5:$I$305&lt;=R$4+6)*(Timeline!$J$5:$J$305&gt;=R$4+6)))</f>
        <v>1</v>
      </c>
      <c r="S5" s="67">
        <f>MAX(SUMPRODUCT((INDEX(Timeline!$P$5:$AN$305,0,MATCH($A5,Timeline!$P$4:$AN$4,0))="x")*(Timeline!$K$5:$K$305="Task")*ISNUMBER(Timeline!$I$5:$I$305)*ISNUMBER(Timeline!$J$5:$J$305)*(Timeline!$I$5:$I$305&lt;=S$4+0)*(Timeline!$J$5:$J$305&gt;=S$4+0)),SUMPRODUCT((INDEX(Timeline!$P$5:$AN$305,0,MATCH($A5,Timeline!$P$4:$AN$4,0))="x")*(Timeline!$K$5:$K$305="Task")*ISNUMBER(Timeline!$I$5:$I$305)*ISNUMBER(Timeline!$J$5:$J$305)*(Timeline!$I$5:$I$305&lt;=S$4+1)*(Timeline!$J$5:$J$305&gt;=S$4+1)),SUMPRODUCT((INDEX(Timeline!$P$5:$AN$305,0,MATCH($A5,Timeline!$P$4:$AN$4,0))="x")*(Timeline!$K$5:$K$305="Task")*ISNUMBER(Timeline!$I$5:$I$305)*ISNUMBER(Timeline!$J$5:$J$305)*(Timeline!$I$5:$I$305&lt;=S$4+2)*(Timeline!$J$5:$J$305&gt;=S$4+2)),SUMPRODUCT((INDEX(Timeline!$P$5:$AN$305,0,MATCH($A5,Timeline!$P$4:$AN$4,0))="x")*(Timeline!$K$5:$K$305="Task")*ISNUMBER(Timeline!$I$5:$I$305)*ISNUMBER(Timeline!$J$5:$J$305)*(Timeline!$I$5:$I$305&lt;=S$4+3)*(Timeline!$J$5:$J$305&gt;=S$4+3)),SUMPRODUCT((INDEX(Timeline!$P$5:$AN$305,0,MATCH($A5,Timeline!$P$4:$AN$4,0))="x")*(Timeline!$K$5:$K$305="Task")*ISNUMBER(Timeline!$I$5:$I$305)*ISNUMBER(Timeline!$J$5:$J$305)*(Timeline!$I$5:$I$305&lt;=S$4+4)*(Timeline!$J$5:$J$305&gt;=S$4+4)),SUMPRODUCT((INDEX(Timeline!$P$5:$AN$305,0,MATCH($A5,Timeline!$P$4:$AN$4,0))="x")*(Timeline!$K$5:$K$305="Task")*ISNUMBER(Timeline!$I$5:$I$305)*ISNUMBER(Timeline!$J$5:$J$305)*(Timeline!$I$5:$I$305&lt;=S$4+5)*(Timeline!$J$5:$J$305&gt;=S$4+5)),SUMPRODUCT((INDEX(Timeline!$P$5:$AN$305,0,MATCH($A5,Timeline!$P$4:$AN$4,0))="x")*(Timeline!$K$5:$K$305="Task")*ISNUMBER(Timeline!$I$5:$I$305)*ISNUMBER(Timeline!$J$5:$J$305)*(Timeline!$I$5:$I$305&lt;=S$4+6)*(Timeline!$J$5:$J$305&gt;=S$4+6)))</f>
        <v>1</v>
      </c>
      <c r="T5" s="67">
        <f>MAX(SUMPRODUCT((INDEX(Timeline!$P$5:$AN$305,0,MATCH($A5,Timeline!$P$4:$AN$4,0))="x")*(Timeline!$K$5:$K$305="Task")*ISNUMBER(Timeline!$I$5:$I$305)*ISNUMBER(Timeline!$J$5:$J$305)*(Timeline!$I$5:$I$305&lt;=T$4+0)*(Timeline!$J$5:$J$305&gt;=T$4+0)),SUMPRODUCT((INDEX(Timeline!$P$5:$AN$305,0,MATCH($A5,Timeline!$P$4:$AN$4,0))="x")*(Timeline!$K$5:$K$305="Task")*ISNUMBER(Timeline!$I$5:$I$305)*ISNUMBER(Timeline!$J$5:$J$305)*(Timeline!$I$5:$I$305&lt;=T$4+1)*(Timeline!$J$5:$J$305&gt;=T$4+1)),SUMPRODUCT((INDEX(Timeline!$P$5:$AN$305,0,MATCH($A5,Timeline!$P$4:$AN$4,0))="x")*(Timeline!$K$5:$K$305="Task")*ISNUMBER(Timeline!$I$5:$I$305)*ISNUMBER(Timeline!$J$5:$J$305)*(Timeline!$I$5:$I$305&lt;=T$4+2)*(Timeline!$J$5:$J$305&gt;=T$4+2)),SUMPRODUCT((INDEX(Timeline!$P$5:$AN$305,0,MATCH($A5,Timeline!$P$4:$AN$4,0))="x")*(Timeline!$K$5:$K$305="Task")*ISNUMBER(Timeline!$I$5:$I$305)*ISNUMBER(Timeline!$J$5:$J$305)*(Timeline!$I$5:$I$305&lt;=T$4+3)*(Timeline!$J$5:$J$305&gt;=T$4+3)),SUMPRODUCT((INDEX(Timeline!$P$5:$AN$305,0,MATCH($A5,Timeline!$P$4:$AN$4,0))="x")*(Timeline!$K$5:$K$305="Task")*ISNUMBER(Timeline!$I$5:$I$305)*ISNUMBER(Timeline!$J$5:$J$305)*(Timeline!$I$5:$I$305&lt;=T$4+4)*(Timeline!$J$5:$J$305&gt;=T$4+4)),SUMPRODUCT((INDEX(Timeline!$P$5:$AN$305,0,MATCH($A5,Timeline!$P$4:$AN$4,0))="x")*(Timeline!$K$5:$K$305="Task")*ISNUMBER(Timeline!$I$5:$I$305)*ISNUMBER(Timeline!$J$5:$J$305)*(Timeline!$I$5:$I$305&lt;=T$4+5)*(Timeline!$J$5:$J$305&gt;=T$4+5)),SUMPRODUCT((INDEX(Timeline!$P$5:$AN$305,0,MATCH($A5,Timeline!$P$4:$AN$4,0))="x")*(Timeline!$K$5:$K$305="Task")*ISNUMBER(Timeline!$I$5:$I$305)*ISNUMBER(Timeline!$J$5:$J$305)*(Timeline!$I$5:$I$305&lt;=T$4+6)*(Timeline!$J$5:$J$305&gt;=T$4+6)))</f>
        <v>1</v>
      </c>
      <c r="U5" s="67">
        <f>MAX(SUMPRODUCT((INDEX(Timeline!$P$5:$AN$305,0,MATCH($A5,Timeline!$P$4:$AN$4,0))="x")*(Timeline!$K$5:$K$305="Task")*ISNUMBER(Timeline!$I$5:$I$305)*ISNUMBER(Timeline!$J$5:$J$305)*(Timeline!$I$5:$I$305&lt;=U$4+0)*(Timeline!$J$5:$J$305&gt;=U$4+0)),SUMPRODUCT((INDEX(Timeline!$P$5:$AN$305,0,MATCH($A5,Timeline!$P$4:$AN$4,0))="x")*(Timeline!$K$5:$K$305="Task")*ISNUMBER(Timeline!$I$5:$I$305)*ISNUMBER(Timeline!$J$5:$J$305)*(Timeline!$I$5:$I$305&lt;=U$4+1)*(Timeline!$J$5:$J$305&gt;=U$4+1)),SUMPRODUCT((INDEX(Timeline!$P$5:$AN$305,0,MATCH($A5,Timeline!$P$4:$AN$4,0))="x")*(Timeline!$K$5:$K$305="Task")*ISNUMBER(Timeline!$I$5:$I$305)*ISNUMBER(Timeline!$J$5:$J$305)*(Timeline!$I$5:$I$305&lt;=U$4+2)*(Timeline!$J$5:$J$305&gt;=U$4+2)),SUMPRODUCT((INDEX(Timeline!$P$5:$AN$305,0,MATCH($A5,Timeline!$P$4:$AN$4,0))="x")*(Timeline!$K$5:$K$305="Task")*ISNUMBER(Timeline!$I$5:$I$305)*ISNUMBER(Timeline!$J$5:$J$305)*(Timeline!$I$5:$I$305&lt;=U$4+3)*(Timeline!$J$5:$J$305&gt;=U$4+3)),SUMPRODUCT((INDEX(Timeline!$P$5:$AN$305,0,MATCH($A5,Timeline!$P$4:$AN$4,0))="x")*(Timeline!$K$5:$K$305="Task")*ISNUMBER(Timeline!$I$5:$I$305)*ISNUMBER(Timeline!$J$5:$J$305)*(Timeline!$I$5:$I$305&lt;=U$4+4)*(Timeline!$J$5:$J$305&gt;=U$4+4)),SUMPRODUCT((INDEX(Timeline!$P$5:$AN$305,0,MATCH($A5,Timeline!$P$4:$AN$4,0))="x")*(Timeline!$K$5:$K$305="Task")*ISNUMBER(Timeline!$I$5:$I$305)*ISNUMBER(Timeline!$J$5:$J$305)*(Timeline!$I$5:$I$305&lt;=U$4+5)*(Timeline!$J$5:$J$305&gt;=U$4+5)),SUMPRODUCT((INDEX(Timeline!$P$5:$AN$305,0,MATCH($A5,Timeline!$P$4:$AN$4,0))="x")*(Timeline!$K$5:$K$305="Task")*ISNUMBER(Timeline!$I$5:$I$305)*ISNUMBER(Timeline!$J$5:$J$305)*(Timeline!$I$5:$I$305&lt;=U$4+6)*(Timeline!$J$5:$J$305&gt;=U$4+6)))</f>
        <v>1</v>
      </c>
      <c r="V5" s="67">
        <f>MAX(SUMPRODUCT((INDEX(Timeline!$P$5:$AN$305,0,MATCH($A5,Timeline!$P$4:$AN$4,0))="x")*(Timeline!$K$5:$K$305="Task")*ISNUMBER(Timeline!$I$5:$I$305)*ISNUMBER(Timeline!$J$5:$J$305)*(Timeline!$I$5:$I$305&lt;=V$4+0)*(Timeline!$J$5:$J$305&gt;=V$4+0)),SUMPRODUCT((INDEX(Timeline!$P$5:$AN$305,0,MATCH($A5,Timeline!$P$4:$AN$4,0))="x")*(Timeline!$K$5:$K$305="Task")*ISNUMBER(Timeline!$I$5:$I$305)*ISNUMBER(Timeline!$J$5:$J$305)*(Timeline!$I$5:$I$305&lt;=V$4+1)*(Timeline!$J$5:$J$305&gt;=V$4+1)),SUMPRODUCT((INDEX(Timeline!$P$5:$AN$305,0,MATCH($A5,Timeline!$P$4:$AN$4,0))="x")*(Timeline!$K$5:$K$305="Task")*ISNUMBER(Timeline!$I$5:$I$305)*ISNUMBER(Timeline!$J$5:$J$305)*(Timeline!$I$5:$I$305&lt;=V$4+2)*(Timeline!$J$5:$J$305&gt;=V$4+2)),SUMPRODUCT((INDEX(Timeline!$P$5:$AN$305,0,MATCH($A5,Timeline!$P$4:$AN$4,0))="x")*(Timeline!$K$5:$K$305="Task")*ISNUMBER(Timeline!$I$5:$I$305)*ISNUMBER(Timeline!$J$5:$J$305)*(Timeline!$I$5:$I$305&lt;=V$4+3)*(Timeline!$J$5:$J$305&gt;=V$4+3)),SUMPRODUCT((INDEX(Timeline!$P$5:$AN$305,0,MATCH($A5,Timeline!$P$4:$AN$4,0))="x")*(Timeline!$K$5:$K$305="Task")*ISNUMBER(Timeline!$I$5:$I$305)*ISNUMBER(Timeline!$J$5:$J$305)*(Timeline!$I$5:$I$305&lt;=V$4+4)*(Timeline!$J$5:$J$305&gt;=V$4+4)),SUMPRODUCT((INDEX(Timeline!$P$5:$AN$305,0,MATCH($A5,Timeline!$P$4:$AN$4,0))="x")*(Timeline!$K$5:$K$305="Task")*ISNUMBER(Timeline!$I$5:$I$305)*ISNUMBER(Timeline!$J$5:$J$305)*(Timeline!$I$5:$I$305&lt;=V$4+5)*(Timeline!$J$5:$J$305&gt;=V$4+5)),SUMPRODUCT((INDEX(Timeline!$P$5:$AN$305,0,MATCH($A5,Timeline!$P$4:$AN$4,0))="x")*(Timeline!$K$5:$K$305="Task")*ISNUMBER(Timeline!$I$5:$I$305)*ISNUMBER(Timeline!$J$5:$J$305)*(Timeline!$I$5:$I$305&lt;=V$4+6)*(Timeline!$J$5:$J$305&gt;=V$4+6)))</f>
        <v>1</v>
      </c>
      <c r="W5" s="67">
        <f>MAX(SUMPRODUCT((INDEX(Timeline!$P$5:$AN$305,0,MATCH($A5,Timeline!$P$4:$AN$4,0))="x")*(Timeline!$K$5:$K$305="Task")*ISNUMBER(Timeline!$I$5:$I$305)*ISNUMBER(Timeline!$J$5:$J$305)*(Timeline!$I$5:$I$305&lt;=W$4+0)*(Timeline!$J$5:$J$305&gt;=W$4+0)),SUMPRODUCT((INDEX(Timeline!$P$5:$AN$305,0,MATCH($A5,Timeline!$P$4:$AN$4,0))="x")*(Timeline!$K$5:$K$305="Task")*ISNUMBER(Timeline!$I$5:$I$305)*ISNUMBER(Timeline!$J$5:$J$305)*(Timeline!$I$5:$I$305&lt;=W$4+1)*(Timeline!$J$5:$J$305&gt;=W$4+1)),SUMPRODUCT((INDEX(Timeline!$P$5:$AN$305,0,MATCH($A5,Timeline!$P$4:$AN$4,0))="x")*(Timeline!$K$5:$K$305="Task")*ISNUMBER(Timeline!$I$5:$I$305)*ISNUMBER(Timeline!$J$5:$J$305)*(Timeline!$I$5:$I$305&lt;=W$4+2)*(Timeline!$J$5:$J$305&gt;=W$4+2)),SUMPRODUCT((INDEX(Timeline!$P$5:$AN$305,0,MATCH($A5,Timeline!$P$4:$AN$4,0))="x")*(Timeline!$K$5:$K$305="Task")*ISNUMBER(Timeline!$I$5:$I$305)*ISNUMBER(Timeline!$J$5:$J$305)*(Timeline!$I$5:$I$305&lt;=W$4+3)*(Timeline!$J$5:$J$305&gt;=W$4+3)),SUMPRODUCT((INDEX(Timeline!$P$5:$AN$305,0,MATCH($A5,Timeline!$P$4:$AN$4,0))="x")*(Timeline!$K$5:$K$305="Task")*ISNUMBER(Timeline!$I$5:$I$305)*ISNUMBER(Timeline!$J$5:$J$305)*(Timeline!$I$5:$I$305&lt;=W$4+4)*(Timeline!$J$5:$J$305&gt;=W$4+4)),SUMPRODUCT((INDEX(Timeline!$P$5:$AN$305,0,MATCH($A5,Timeline!$P$4:$AN$4,0))="x")*(Timeline!$K$5:$K$305="Task")*ISNUMBER(Timeline!$I$5:$I$305)*ISNUMBER(Timeline!$J$5:$J$305)*(Timeline!$I$5:$I$305&lt;=W$4+5)*(Timeline!$J$5:$J$305&gt;=W$4+5)),SUMPRODUCT((INDEX(Timeline!$P$5:$AN$305,0,MATCH($A5,Timeline!$P$4:$AN$4,0))="x")*(Timeline!$K$5:$K$305="Task")*ISNUMBER(Timeline!$I$5:$I$305)*ISNUMBER(Timeline!$J$5:$J$305)*(Timeline!$I$5:$I$305&lt;=W$4+6)*(Timeline!$J$5:$J$305&gt;=W$4+6)))</f>
        <v>1</v>
      </c>
      <c r="X5" s="67">
        <f>MAX(SUMPRODUCT((INDEX(Timeline!$P$5:$AN$305,0,MATCH($A5,Timeline!$P$4:$AN$4,0))="x")*(Timeline!$K$5:$K$305="Task")*ISNUMBER(Timeline!$I$5:$I$305)*ISNUMBER(Timeline!$J$5:$J$305)*(Timeline!$I$5:$I$305&lt;=X$4+0)*(Timeline!$J$5:$J$305&gt;=X$4+0)),SUMPRODUCT((INDEX(Timeline!$P$5:$AN$305,0,MATCH($A5,Timeline!$P$4:$AN$4,0))="x")*(Timeline!$K$5:$K$305="Task")*ISNUMBER(Timeline!$I$5:$I$305)*ISNUMBER(Timeline!$J$5:$J$305)*(Timeline!$I$5:$I$305&lt;=X$4+1)*(Timeline!$J$5:$J$305&gt;=X$4+1)),SUMPRODUCT((INDEX(Timeline!$P$5:$AN$305,0,MATCH($A5,Timeline!$P$4:$AN$4,0))="x")*(Timeline!$K$5:$K$305="Task")*ISNUMBER(Timeline!$I$5:$I$305)*ISNUMBER(Timeline!$J$5:$J$305)*(Timeline!$I$5:$I$305&lt;=X$4+2)*(Timeline!$J$5:$J$305&gt;=X$4+2)),SUMPRODUCT((INDEX(Timeline!$P$5:$AN$305,0,MATCH($A5,Timeline!$P$4:$AN$4,0))="x")*(Timeline!$K$5:$K$305="Task")*ISNUMBER(Timeline!$I$5:$I$305)*ISNUMBER(Timeline!$J$5:$J$305)*(Timeline!$I$5:$I$305&lt;=X$4+3)*(Timeline!$J$5:$J$305&gt;=X$4+3)),SUMPRODUCT((INDEX(Timeline!$P$5:$AN$305,0,MATCH($A5,Timeline!$P$4:$AN$4,0))="x")*(Timeline!$K$5:$K$305="Task")*ISNUMBER(Timeline!$I$5:$I$305)*ISNUMBER(Timeline!$J$5:$J$305)*(Timeline!$I$5:$I$305&lt;=X$4+4)*(Timeline!$J$5:$J$305&gt;=X$4+4)),SUMPRODUCT((INDEX(Timeline!$P$5:$AN$305,0,MATCH($A5,Timeline!$P$4:$AN$4,0))="x")*(Timeline!$K$5:$K$305="Task")*ISNUMBER(Timeline!$I$5:$I$305)*ISNUMBER(Timeline!$J$5:$J$305)*(Timeline!$I$5:$I$305&lt;=X$4+5)*(Timeline!$J$5:$J$305&gt;=X$4+5)),SUMPRODUCT((INDEX(Timeline!$P$5:$AN$305,0,MATCH($A5,Timeline!$P$4:$AN$4,0))="x")*(Timeline!$K$5:$K$305="Task")*ISNUMBER(Timeline!$I$5:$I$305)*ISNUMBER(Timeline!$J$5:$J$305)*(Timeline!$I$5:$I$305&lt;=X$4+6)*(Timeline!$J$5:$J$305&gt;=X$4+6)))</f>
        <v>1</v>
      </c>
      <c r="Y5" s="67">
        <f>MAX(SUMPRODUCT((INDEX(Timeline!$P$5:$AN$305,0,MATCH($A5,Timeline!$P$4:$AN$4,0))="x")*(Timeline!$K$5:$K$305="Task")*ISNUMBER(Timeline!$I$5:$I$305)*ISNUMBER(Timeline!$J$5:$J$305)*(Timeline!$I$5:$I$305&lt;=Y$4+0)*(Timeline!$J$5:$J$305&gt;=Y$4+0)),SUMPRODUCT((INDEX(Timeline!$P$5:$AN$305,0,MATCH($A5,Timeline!$P$4:$AN$4,0))="x")*(Timeline!$K$5:$K$305="Task")*ISNUMBER(Timeline!$I$5:$I$305)*ISNUMBER(Timeline!$J$5:$J$305)*(Timeline!$I$5:$I$305&lt;=Y$4+1)*(Timeline!$J$5:$J$305&gt;=Y$4+1)),SUMPRODUCT((INDEX(Timeline!$P$5:$AN$305,0,MATCH($A5,Timeline!$P$4:$AN$4,0))="x")*(Timeline!$K$5:$K$305="Task")*ISNUMBER(Timeline!$I$5:$I$305)*ISNUMBER(Timeline!$J$5:$J$305)*(Timeline!$I$5:$I$305&lt;=Y$4+2)*(Timeline!$J$5:$J$305&gt;=Y$4+2)),SUMPRODUCT((INDEX(Timeline!$P$5:$AN$305,0,MATCH($A5,Timeline!$P$4:$AN$4,0))="x")*(Timeline!$K$5:$K$305="Task")*ISNUMBER(Timeline!$I$5:$I$305)*ISNUMBER(Timeline!$J$5:$J$305)*(Timeline!$I$5:$I$305&lt;=Y$4+3)*(Timeline!$J$5:$J$305&gt;=Y$4+3)),SUMPRODUCT((INDEX(Timeline!$P$5:$AN$305,0,MATCH($A5,Timeline!$P$4:$AN$4,0))="x")*(Timeline!$K$5:$K$305="Task")*ISNUMBER(Timeline!$I$5:$I$305)*ISNUMBER(Timeline!$J$5:$J$305)*(Timeline!$I$5:$I$305&lt;=Y$4+4)*(Timeline!$J$5:$J$305&gt;=Y$4+4)),SUMPRODUCT((INDEX(Timeline!$P$5:$AN$305,0,MATCH($A5,Timeline!$P$4:$AN$4,0))="x")*(Timeline!$K$5:$K$305="Task")*ISNUMBER(Timeline!$I$5:$I$305)*ISNUMBER(Timeline!$J$5:$J$305)*(Timeline!$I$5:$I$305&lt;=Y$4+5)*(Timeline!$J$5:$J$305&gt;=Y$4+5)),SUMPRODUCT((INDEX(Timeline!$P$5:$AN$305,0,MATCH($A5,Timeline!$P$4:$AN$4,0))="x")*(Timeline!$K$5:$K$305="Task")*ISNUMBER(Timeline!$I$5:$I$305)*ISNUMBER(Timeline!$J$5:$J$305)*(Timeline!$I$5:$I$305&lt;=Y$4+6)*(Timeline!$J$5:$J$305&gt;=Y$4+6)))</f>
        <v>1</v>
      </c>
      <c r="Z5" s="67">
        <f>MAX(SUMPRODUCT((INDEX(Timeline!$P$5:$AN$305,0,MATCH($A5,Timeline!$P$4:$AN$4,0))="x")*(Timeline!$K$5:$K$305="Task")*ISNUMBER(Timeline!$I$5:$I$305)*ISNUMBER(Timeline!$J$5:$J$305)*(Timeline!$I$5:$I$305&lt;=Z$4+0)*(Timeline!$J$5:$J$305&gt;=Z$4+0)),SUMPRODUCT((INDEX(Timeline!$P$5:$AN$305,0,MATCH($A5,Timeline!$P$4:$AN$4,0))="x")*(Timeline!$K$5:$K$305="Task")*ISNUMBER(Timeline!$I$5:$I$305)*ISNUMBER(Timeline!$J$5:$J$305)*(Timeline!$I$5:$I$305&lt;=Z$4+1)*(Timeline!$J$5:$J$305&gt;=Z$4+1)),SUMPRODUCT((INDEX(Timeline!$P$5:$AN$305,0,MATCH($A5,Timeline!$P$4:$AN$4,0))="x")*(Timeline!$K$5:$K$305="Task")*ISNUMBER(Timeline!$I$5:$I$305)*ISNUMBER(Timeline!$J$5:$J$305)*(Timeline!$I$5:$I$305&lt;=Z$4+2)*(Timeline!$J$5:$J$305&gt;=Z$4+2)),SUMPRODUCT((INDEX(Timeline!$P$5:$AN$305,0,MATCH($A5,Timeline!$P$4:$AN$4,0))="x")*(Timeline!$K$5:$K$305="Task")*ISNUMBER(Timeline!$I$5:$I$305)*ISNUMBER(Timeline!$J$5:$J$305)*(Timeline!$I$5:$I$305&lt;=Z$4+3)*(Timeline!$J$5:$J$305&gt;=Z$4+3)),SUMPRODUCT((INDEX(Timeline!$P$5:$AN$305,0,MATCH($A5,Timeline!$P$4:$AN$4,0))="x")*(Timeline!$K$5:$K$305="Task")*ISNUMBER(Timeline!$I$5:$I$305)*ISNUMBER(Timeline!$J$5:$J$305)*(Timeline!$I$5:$I$305&lt;=Z$4+4)*(Timeline!$J$5:$J$305&gt;=Z$4+4)),SUMPRODUCT((INDEX(Timeline!$P$5:$AN$305,0,MATCH($A5,Timeline!$P$4:$AN$4,0))="x")*(Timeline!$K$5:$K$305="Task")*ISNUMBER(Timeline!$I$5:$I$305)*ISNUMBER(Timeline!$J$5:$J$305)*(Timeline!$I$5:$I$305&lt;=Z$4+5)*(Timeline!$J$5:$J$305&gt;=Z$4+5)),SUMPRODUCT((INDEX(Timeline!$P$5:$AN$305,0,MATCH($A5,Timeline!$P$4:$AN$4,0))="x")*(Timeline!$K$5:$K$305="Task")*ISNUMBER(Timeline!$I$5:$I$305)*ISNUMBER(Timeline!$J$5:$J$305)*(Timeline!$I$5:$I$305&lt;=Z$4+6)*(Timeline!$J$5:$J$305&gt;=Z$4+6)))</f>
        <v>1</v>
      </c>
      <c r="AA5" s="67">
        <f>MAX(SUMPRODUCT((INDEX(Timeline!$P$5:$AN$305,0,MATCH($A5,Timeline!$P$4:$AN$4,0))="x")*(Timeline!$K$5:$K$305="Task")*ISNUMBER(Timeline!$I$5:$I$305)*ISNUMBER(Timeline!$J$5:$J$305)*(Timeline!$I$5:$I$305&lt;=AA$4+0)*(Timeline!$J$5:$J$305&gt;=AA$4+0)),SUMPRODUCT((INDEX(Timeline!$P$5:$AN$305,0,MATCH($A5,Timeline!$P$4:$AN$4,0))="x")*(Timeline!$K$5:$K$305="Task")*ISNUMBER(Timeline!$I$5:$I$305)*ISNUMBER(Timeline!$J$5:$J$305)*(Timeline!$I$5:$I$305&lt;=AA$4+1)*(Timeline!$J$5:$J$305&gt;=AA$4+1)),SUMPRODUCT((INDEX(Timeline!$P$5:$AN$305,0,MATCH($A5,Timeline!$P$4:$AN$4,0))="x")*(Timeline!$K$5:$K$305="Task")*ISNUMBER(Timeline!$I$5:$I$305)*ISNUMBER(Timeline!$J$5:$J$305)*(Timeline!$I$5:$I$305&lt;=AA$4+2)*(Timeline!$J$5:$J$305&gt;=AA$4+2)),SUMPRODUCT((INDEX(Timeline!$P$5:$AN$305,0,MATCH($A5,Timeline!$P$4:$AN$4,0))="x")*(Timeline!$K$5:$K$305="Task")*ISNUMBER(Timeline!$I$5:$I$305)*ISNUMBER(Timeline!$J$5:$J$305)*(Timeline!$I$5:$I$305&lt;=AA$4+3)*(Timeline!$J$5:$J$305&gt;=AA$4+3)),SUMPRODUCT((INDEX(Timeline!$P$5:$AN$305,0,MATCH($A5,Timeline!$P$4:$AN$4,0))="x")*(Timeline!$K$5:$K$305="Task")*ISNUMBER(Timeline!$I$5:$I$305)*ISNUMBER(Timeline!$J$5:$J$305)*(Timeline!$I$5:$I$305&lt;=AA$4+4)*(Timeline!$J$5:$J$305&gt;=AA$4+4)),SUMPRODUCT((INDEX(Timeline!$P$5:$AN$305,0,MATCH($A5,Timeline!$P$4:$AN$4,0))="x")*(Timeline!$K$5:$K$305="Task")*ISNUMBER(Timeline!$I$5:$I$305)*ISNUMBER(Timeline!$J$5:$J$305)*(Timeline!$I$5:$I$305&lt;=AA$4+5)*(Timeline!$J$5:$J$305&gt;=AA$4+5)),SUMPRODUCT((INDEX(Timeline!$P$5:$AN$305,0,MATCH($A5,Timeline!$P$4:$AN$4,0))="x")*(Timeline!$K$5:$K$305="Task")*ISNUMBER(Timeline!$I$5:$I$305)*ISNUMBER(Timeline!$J$5:$J$305)*(Timeline!$I$5:$I$305&lt;=AA$4+6)*(Timeline!$J$5:$J$305&gt;=AA$4+6)))</f>
        <v>1</v>
      </c>
      <c r="AB5" s="67">
        <f>MAX(SUMPRODUCT((INDEX(Timeline!$P$5:$AN$305,0,MATCH($A5,Timeline!$P$4:$AN$4,0))="x")*(Timeline!$K$5:$K$305="Task")*ISNUMBER(Timeline!$I$5:$I$305)*ISNUMBER(Timeline!$J$5:$J$305)*(Timeline!$I$5:$I$305&lt;=AB$4+0)*(Timeline!$J$5:$J$305&gt;=AB$4+0)),SUMPRODUCT((INDEX(Timeline!$P$5:$AN$305,0,MATCH($A5,Timeline!$P$4:$AN$4,0))="x")*(Timeline!$K$5:$K$305="Task")*ISNUMBER(Timeline!$I$5:$I$305)*ISNUMBER(Timeline!$J$5:$J$305)*(Timeline!$I$5:$I$305&lt;=AB$4+1)*(Timeline!$J$5:$J$305&gt;=AB$4+1)),SUMPRODUCT((INDEX(Timeline!$P$5:$AN$305,0,MATCH($A5,Timeline!$P$4:$AN$4,0))="x")*(Timeline!$K$5:$K$305="Task")*ISNUMBER(Timeline!$I$5:$I$305)*ISNUMBER(Timeline!$J$5:$J$305)*(Timeline!$I$5:$I$305&lt;=AB$4+2)*(Timeline!$J$5:$J$305&gt;=AB$4+2)),SUMPRODUCT((INDEX(Timeline!$P$5:$AN$305,0,MATCH($A5,Timeline!$P$4:$AN$4,0))="x")*(Timeline!$K$5:$K$305="Task")*ISNUMBER(Timeline!$I$5:$I$305)*ISNUMBER(Timeline!$J$5:$J$305)*(Timeline!$I$5:$I$305&lt;=AB$4+3)*(Timeline!$J$5:$J$305&gt;=AB$4+3)),SUMPRODUCT((INDEX(Timeline!$P$5:$AN$305,0,MATCH($A5,Timeline!$P$4:$AN$4,0))="x")*(Timeline!$K$5:$K$305="Task")*ISNUMBER(Timeline!$I$5:$I$305)*ISNUMBER(Timeline!$J$5:$J$305)*(Timeline!$I$5:$I$305&lt;=AB$4+4)*(Timeline!$J$5:$J$305&gt;=AB$4+4)),SUMPRODUCT((INDEX(Timeline!$P$5:$AN$305,0,MATCH($A5,Timeline!$P$4:$AN$4,0))="x")*(Timeline!$K$5:$K$305="Task")*ISNUMBER(Timeline!$I$5:$I$305)*ISNUMBER(Timeline!$J$5:$J$305)*(Timeline!$I$5:$I$305&lt;=AB$4+5)*(Timeline!$J$5:$J$305&gt;=AB$4+5)),SUMPRODUCT((INDEX(Timeline!$P$5:$AN$305,0,MATCH($A5,Timeline!$P$4:$AN$4,0))="x")*(Timeline!$K$5:$K$305="Task")*ISNUMBER(Timeline!$I$5:$I$305)*ISNUMBER(Timeline!$J$5:$J$305)*(Timeline!$I$5:$I$305&lt;=AB$4+6)*(Timeline!$J$5:$J$305&gt;=AB$4+6)))</f>
        <v>1</v>
      </c>
      <c r="AC5" s="67">
        <f>MAX(SUMPRODUCT((INDEX(Timeline!$P$5:$AN$305,0,MATCH($A5,Timeline!$P$4:$AN$4,0))="x")*(Timeline!$K$5:$K$305="Task")*ISNUMBER(Timeline!$I$5:$I$305)*ISNUMBER(Timeline!$J$5:$J$305)*(Timeline!$I$5:$I$305&lt;=AC$4+0)*(Timeline!$J$5:$J$305&gt;=AC$4+0)),SUMPRODUCT((INDEX(Timeline!$P$5:$AN$305,0,MATCH($A5,Timeline!$P$4:$AN$4,0))="x")*(Timeline!$K$5:$K$305="Task")*ISNUMBER(Timeline!$I$5:$I$305)*ISNUMBER(Timeline!$J$5:$J$305)*(Timeline!$I$5:$I$305&lt;=AC$4+1)*(Timeline!$J$5:$J$305&gt;=AC$4+1)),SUMPRODUCT((INDEX(Timeline!$P$5:$AN$305,0,MATCH($A5,Timeline!$P$4:$AN$4,0))="x")*(Timeline!$K$5:$K$305="Task")*ISNUMBER(Timeline!$I$5:$I$305)*ISNUMBER(Timeline!$J$5:$J$305)*(Timeline!$I$5:$I$305&lt;=AC$4+2)*(Timeline!$J$5:$J$305&gt;=AC$4+2)),SUMPRODUCT((INDEX(Timeline!$P$5:$AN$305,0,MATCH($A5,Timeline!$P$4:$AN$4,0))="x")*(Timeline!$K$5:$K$305="Task")*ISNUMBER(Timeline!$I$5:$I$305)*ISNUMBER(Timeline!$J$5:$J$305)*(Timeline!$I$5:$I$305&lt;=AC$4+3)*(Timeline!$J$5:$J$305&gt;=AC$4+3)),SUMPRODUCT((INDEX(Timeline!$P$5:$AN$305,0,MATCH($A5,Timeline!$P$4:$AN$4,0))="x")*(Timeline!$K$5:$K$305="Task")*ISNUMBER(Timeline!$I$5:$I$305)*ISNUMBER(Timeline!$J$5:$J$305)*(Timeline!$I$5:$I$305&lt;=AC$4+4)*(Timeline!$J$5:$J$305&gt;=AC$4+4)),SUMPRODUCT((INDEX(Timeline!$P$5:$AN$305,0,MATCH($A5,Timeline!$P$4:$AN$4,0))="x")*(Timeline!$K$5:$K$305="Task")*ISNUMBER(Timeline!$I$5:$I$305)*ISNUMBER(Timeline!$J$5:$J$305)*(Timeline!$I$5:$I$305&lt;=AC$4+5)*(Timeline!$J$5:$J$305&gt;=AC$4+5)),SUMPRODUCT((INDEX(Timeline!$P$5:$AN$305,0,MATCH($A5,Timeline!$P$4:$AN$4,0))="x")*(Timeline!$K$5:$K$305="Task")*ISNUMBER(Timeline!$I$5:$I$305)*ISNUMBER(Timeline!$J$5:$J$305)*(Timeline!$I$5:$I$305&lt;=AC$4+6)*(Timeline!$J$5:$J$305&gt;=AC$4+6)))</f>
        <v>1</v>
      </c>
      <c r="AD5" s="67">
        <f>MAX(SUMPRODUCT((INDEX(Timeline!$P$5:$AN$305,0,MATCH($A5,Timeline!$P$4:$AN$4,0))="x")*(Timeline!$K$5:$K$305="Task")*ISNUMBER(Timeline!$I$5:$I$305)*ISNUMBER(Timeline!$J$5:$J$305)*(Timeline!$I$5:$I$305&lt;=AD$4+0)*(Timeline!$J$5:$J$305&gt;=AD$4+0)),SUMPRODUCT((INDEX(Timeline!$P$5:$AN$305,0,MATCH($A5,Timeline!$P$4:$AN$4,0))="x")*(Timeline!$K$5:$K$305="Task")*ISNUMBER(Timeline!$I$5:$I$305)*ISNUMBER(Timeline!$J$5:$J$305)*(Timeline!$I$5:$I$305&lt;=AD$4+1)*(Timeline!$J$5:$J$305&gt;=AD$4+1)),SUMPRODUCT((INDEX(Timeline!$P$5:$AN$305,0,MATCH($A5,Timeline!$P$4:$AN$4,0))="x")*(Timeline!$K$5:$K$305="Task")*ISNUMBER(Timeline!$I$5:$I$305)*ISNUMBER(Timeline!$J$5:$J$305)*(Timeline!$I$5:$I$305&lt;=AD$4+2)*(Timeline!$J$5:$J$305&gt;=AD$4+2)),SUMPRODUCT((INDEX(Timeline!$P$5:$AN$305,0,MATCH($A5,Timeline!$P$4:$AN$4,0))="x")*(Timeline!$K$5:$K$305="Task")*ISNUMBER(Timeline!$I$5:$I$305)*ISNUMBER(Timeline!$J$5:$J$305)*(Timeline!$I$5:$I$305&lt;=AD$4+3)*(Timeline!$J$5:$J$305&gt;=AD$4+3)),SUMPRODUCT((INDEX(Timeline!$P$5:$AN$305,0,MATCH($A5,Timeline!$P$4:$AN$4,0))="x")*(Timeline!$K$5:$K$305="Task")*ISNUMBER(Timeline!$I$5:$I$305)*ISNUMBER(Timeline!$J$5:$J$305)*(Timeline!$I$5:$I$305&lt;=AD$4+4)*(Timeline!$J$5:$J$305&gt;=AD$4+4)),SUMPRODUCT((INDEX(Timeline!$P$5:$AN$305,0,MATCH($A5,Timeline!$P$4:$AN$4,0))="x")*(Timeline!$K$5:$K$305="Task")*ISNUMBER(Timeline!$I$5:$I$305)*ISNUMBER(Timeline!$J$5:$J$305)*(Timeline!$I$5:$I$305&lt;=AD$4+5)*(Timeline!$J$5:$J$305&gt;=AD$4+5)),SUMPRODUCT((INDEX(Timeline!$P$5:$AN$305,0,MATCH($A5,Timeline!$P$4:$AN$4,0))="x")*(Timeline!$K$5:$K$305="Task")*ISNUMBER(Timeline!$I$5:$I$305)*ISNUMBER(Timeline!$J$5:$J$305)*(Timeline!$I$5:$I$305&lt;=AD$4+6)*(Timeline!$J$5:$J$305&gt;=AD$4+6)))</f>
        <v>1</v>
      </c>
      <c r="AE5" s="67">
        <f>MAX(SUMPRODUCT((INDEX(Timeline!$P$5:$AN$305,0,MATCH($A5,Timeline!$P$4:$AN$4,0))="x")*(Timeline!$K$5:$K$305="Task")*ISNUMBER(Timeline!$I$5:$I$305)*ISNUMBER(Timeline!$J$5:$J$305)*(Timeline!$I$5:$I$305&lt;=AE$4+0)*(Timeline!$J$5:$J$305&gt;=AE$4+0)),SUMPRODUCT((INDEX(Timeline!$P$5:$AN$305,0,MATCH($A5,Timeline!$P$4:$AN$4,0))="x")*(Timeline!$K$5:$K$305="Task")*ISNUMBER(Timeline!$I$5:$I$305)*ISNUMBER(Timeline!$J$5:$J$305)*(Timeline!$I$5:$I$305&lt;=AE$4+1)*(Timeline!$J$5:$J$305&gt;=AE$4+1)),SUMPRODUCT((INDEX(Timeline!$P$5:$AN$305,0,MATCH($A5,Timeline!$P$4:$AN$4,0))="x")*(Timeline!$K$5:$K$305="Task")*ISNUMBER(Timeline!$I$5:$I$305)*ISNUMBER(Timeline!$J$5:$J$305)*(Timeline!$I$5:$I$305&lt;=AE$4+2)*(Timeline!$J$5:$J$305&gt;=AE$4+2)),SUMPRODUCT((INDEX(Timeline!$P$5:$AN$305,0,MATCH($A5,Timeline!$P$4:$AN$4,0))="x")*(Timeline!$K$5:$K$305="Task")*ISNUMBER(Timeline!$I$5:$I$305)*ISNUMBER(Timeline!$J$5:$J$305)*(Timeline!$I$5:$I$305&lt;=AE$4+3)*(Timeline!$J$5:$J$305&gt;=AE$4+3)),SUMPRODUCT((INDEX(Timeline!$P$5:$AN$305,0,MATCH($A5,Timeline!$P$4:$AN$4,0))="x")*(Timeline!$K$5:$K$305="Task")*ISNUMBER(Timeline!$I$5:$I$305)*ISNUMBER(Timeline!$J$5:$J$305)*(Timeline!$I$5:$I$305&lt;=AE$4+4)*(Timeline!$J$5:$J$305&gt;=AE$4+4)),SUMPRODUCT((INDEX(Timeline!$P$5:$AN$305,0,MATCH($A5,Timeline!$P$4:$AN$4,0))="x")*(Timeline!$K$5:$K$305="Task")*ISNUMBER(Timeline!$I$5:$I$305)*ISNUMBER(Timeline!$J$5:$J$305)*(Timeline!$I$5:$I$305&lt;=AE$4+5)*(Timeline!$J$5:$J$305&gt;=AE$4+5)),SUMPRODUCT((INDEX(Timeline!$P$5:$AN$305,0,MATCH($A5,Timeline!$P$4:$AN$4,0))="x")*(Timeline!$K$5:$K$305="Task")*ISNUMBER(Timeline!$I$5:$I$305)*ISNUMBER(Timeline!$J$5:$J$305)*(Timeline!$I$5:$I$305&lt;=AE$4+6)*(Timeline!$J$5:$J$305&gt;=AE$4+6)))</f>
        <v>1</v>
      </c>
      <c r="AF5" s="67">
        <f>MAX(SUMPRODUCT((INDEX(Timeline!$P$5:$AN$305,0,MATCH($A5,Timeline!$P$4:$AN$4,0))="x")*(Timeline!$K$5:$K$305="Task")*ISNUMBER(Timeline!$I$5:$I$305)*ISNUMBER(Timeline!$J$5:$J$305)*(Timeline!$I$5:$I$305&lt;=AF$4+0)*(Timeline!$J$5:$J$305&gt;=AF$4+0)),SUMPRODUCT((INDEX(Timeline!$P$5:$AN$305,0,MATCH($A5,Timeline!$P$4:$AN$4,0))="x")*(Timeline!$K$5:$K$305="Task")*ISNUMBER(Timeline!$I$5:$I$305)*ISNUMBER(Timeline!$J$5:$J$305)*(Timeline!$I$5:$I$305&lt;=AF$4+1)*(Timeline!$J$5:$J$305&gt;=AF$4+1)),SUMPRODUCT((INDEX(Timeline!$P$5:$AN$305,0,MATCH($A5,Timeline!$P$4:$AN$4,0))="x")*(Timeline!$K$5:$K$305="Task")*ISNUMBER(Timeline!$I$5:$I$305)*ISNUMBER(Timeline!$J$5:$J$305)*(Timeline!$I$5:$I$305&lt;=AF$4+2)*(Timeline!$J$5:$J$305&gt;=AF$4+2)),SUMPRODUCT((INDEX(Timeline!$P$5:$AN$305,0,MATCH($A5,Timeline!$P$4:$AN$4,0))="x")*(Timeline!$K$5:$K$305="Task")*ISNUMBER(Timeline!$I$5:$I$305)*ISNUMBER(Timeline!$J$5:$J$305)*(Timeline!$I$5:$I$305&lt;=AF$4+3)*(Timeline!$J$5:$J$305&gt;=AF$4+3)),SUMPRODUCT((INDEX(Timeline!$P$5:$AN$305,0,MATCH($A5,Timeline!$P$4:$AN$4,0))="x")*(Timeline!$K$5:$K$305="Task")*ISNUMBER(Timeline!$I$5:$I$305)*ISNUMBER(Timeline!$J$5:$J$305)*(Timeline!$I$5:$I$305&lt;=AF$4+4)*(Timeline!$J$5:$J$305&gt;=AF$4+4)),SUMPRODUCT((INDEX(Timeline!$P$5:$AN$305,0,MATCH($A5,Timeline!$P$4:$AN$4,0))="x")*(Timeline!$K$5:$K$305="Task")*ISNUMBER(Timeline!$I$5:$I$305)*ISNUMBER(Timeline!$J$5:$J$305)*(Timeline!$I$5:$I$305&lt;=AF$4+5)*(Timeline!$J$5:$J$305&gt;=AF$4+5)),SUMPRODUCT((INDEX(Timeline!$P$5:$AN$305,0,MATCH($A5,Timeline!$P$4:$AN$4,0))="x")*(Timeline!$K$5:$K$305="Task")*ISNUMBER(Timeline!$I$5:$I$305)*ISNUMBER(Timeline!$J$5:$J$305)*(Timeline!$I$5:$I$305&lt;=AF$4+6)*(Timeline!$J$5:$J$305&gt;=AF$4+6)))</f>
        <v>1</v>
      </c>
      <c r="AG5" s="67">
        <f>MAX(SUMPRODUCT((INDEX(Timeline!$P$5:$AN$305,0,MATCH($A5,Timeline!$P$4:$AN$4,0))="x")*(Timeline!$K$5:$K$305="Task")*ISNUMBER(Timeline!$I$5:$I$305)*ISNUMBER(Timeline!$J$5:$J$305)*(Timeline!$I$5:$I$305&lt;=AG$4+0)*(Timeline!$J$5:$J$305&gt;=AG$4+0)),SUMPRODUCT((INDEX(Timeline!$P$5:$AN$305,0,MATCH($A5,Timeline!$P$4:$AN$4,0))="x")*(Timeline!$K$5:$K$305="Task")*ISNUMBER(Timeline!$I$5:$I$305)*ISNUMBER(Timeline!$J$5:$J$305)*(Timeline!$I$5:$I$305&lt;=AG$4+1)*(Timeline!$J$5:$J$305&gt;=AG$4+1)),SUMPRODUCT((INDEX(Timeline!$P$5:$AN$305,0,MATCH($A5,Timeline!$P$4:$AN$4,0))="x")*(Timeline!$K$5:$K$305="Task")*ISNUMBER(Timeline!$I$5:$I$305)*ISNUMBER(Timeline!$J$5:$J$305)*(Timeline!$I$5:$I$305&lt;=AG$4+2)*(Timeline!$J$5:$J$305&gt;=AG$4+2)),SUMPRODUCT((INDEX(Timeline!$P$5:$AN$305,0,MATCH($A5,Timeline!$P$4:$AN$4,0))="x")*(Timeline!$K$5:$K$305="Task")*ISNUMBER(Timeline!$I$5:$I$305)*ISNUMBER(Timeline!$J$5:$J$305)*(Timeline!$I$5:$I$305&lt;=AG$4+3)*(Timeline!$J$5:$J$305&gt;=AG$4+3)),SUMPRODUCT((INDEX(Timeline!$P$5:$AN$305,0,MATCH($A5,Timeline!$P$4:$AN$4,0))="x")*(Timeline!$K$5:$K$305="Task")*ISNUMBER(Timeline!$I$5:$I$305)*ISNUMBER(Timeline!$J$5:$J$305)*(Timeline!$I$5:$I$305&lt;=AG$4+4)*(Timeline!$J$5:$J$305&gt;=AG$4+4)),SUMPRODUCT((INDEX(Timeline!$P$5:$AN$305,0,MATCH($A5,Timeline!$P$4:$AN$4,0))="x")*(Timeline!$K$5:$K$305="Task")*ISNUMBER(Timeline!$I$5:$I$305)*ISNUMBER(Timeline!$J$5:$J$305)*(Timeline!$I$5:$I$305&lt;=AG$4+5)*(Timeline!$J$5:$J$305&gt;=AG$4+5)),SUMPRODUCT((INDEX(Timeline!$P$5:$AN$305,0,MATCH($A5,Timeline!$P$4:$AN$4,0))="x")*(Timeline!$K$5:$K$305="Task")*ISNUMBER(Timeline!$I$5:$I$305)*ISNUMBER(Timeline!$J$5:$J$305)*(Timeline!$I$5:$I$305&lt;=AG$4+6)*(Timeline!$J$5:$J$305&gt;=AG$4+6)))</f>
        <v>0</v>
      </c>
      <c r="AH5" s="67">
        <f>MAX(SUMPRODUCT((INDEX(Timeline!$P$5:$AN$305,0,MATCH($A5,Timeline!$P$4:$AN$4,0))="x")*(Timeline!$K$5:$K$305="Task")*ISNUMBER(Timeline!$I$5:$I$305)*ISNUMBER(Timeline!$J$5:$J$305)*(Timeline!$I$5:$I$305&lt;=AH$4+0)*(Timeline!$J$5:$J$305&gt;=AH$4+0)),SUMPRODUCT((INDEX(Timeline!$P$5:$AN$305,0,MATCH($A5,Timeline!$P$4:$AN$4,0))="x")*(Timeline!$K$5:$K$305="Task")*ISNUMBER(Timeline!$I$5:$I$305)*ISNUMBER(Timeline!$J$5:$J$305)*(Timeline!$I$5:$I$305&lt;=AH$4+1)*(Timeline!$J$5:$J$305&gt;=AH$4+1)),SUMPRODUCT((INDEX(Timeline!$P$5:$AN$305,0,MATCH($A5,Timeline!$P$4:$AN$4,0))="x")*(Timeline!$K$5:$K$305="Task")*ISNUMBER(Timeline!$I$5:$I$305)*ISNUMBER(Timeline!$J$5:$J$305)*(Timeline!$I$5:$I$305&lt;=AH$4+2)*(Timeline!$J$5:$J$305&gt;=AH$4+2)),SUMPRODUCT((INDEX(Timeline!$P$5:$AN$305,0,MATCH($A5,Timeline!$P$4:$AN$4,0))="x")*(Timeline!$K$5:$K$305="Task")*ISNUMBER(Timeline!$I$5:$I$305)*ISNUMBER(Timeline!$J$5:$J$305)*(Timeline!$I$5:$I$305&lt;=AH$4+3)*(Timeline!$J$5:$J$305&gt;=AH$4+3)),SUMPRODUCT((INDEX(Timeline!$P$5:$AN$305,0,MATCH($A5,Timeline!$P$4:$AN$4,0))="x")*(Timeline!$K$5:$K$305="Task")*ISNUMBER(Timeline!$I$5:$I$305)*ISNUMBER(Timeline!$J$5:$J$305)*(Timeline!$I$5:$I$305&lt;=AH$4+4)*(Timeline!$J$5:$J$305&gt;=AH$4+4)),SUMPRODUCT((INDEX(Timeline!$P$5:$AN$305,0,MATCH($A5,Timeline!$P$4:$AN$4,0))="x")*(Timeline!$K$5:$K$305="Task")*ISNUMBER(Timeline!$I$5:$I$305)*ISNUMBER(Timeline!$J$5:$J$305)*(Timeline!$I$5:$I$305&lt;=AH$4+5)*(Timeline!$J$5:$J$305&gt;=AH$4+5)),SUMPRODUCT((INDEX(Timeline!$P$5:$AN$305,0,MATCH($A5,Timeline!$P$4:$AN$4,0))="x")*(Timeline!$K$5:$K$305="Task")*ISNUMBER(Timeline!$I$5:$I$305)*ISNUMBER(Timeline!$J$5:$J$305)*(Timeline!$I$5:$I$305&lt;=AH$4+6)*(Timeline!$J$5:$J$305&gt;=AH$4+6)))</f>
        <v>0</v>
      </c>
      <c r="AI5" s="67">
        <f>MAX(SUMPRODUCT((INDEX(Timeline!$P$5:$AN$305,0,MATCH($A5,Timeline!$P$4:$AN$4,0))="x")*(Timeline!$K$5:$K$305="Task")*ISNUMBER(Timeline!$I$5:$I$305)*ISNUMBER(Timeline!$J$5:$J$305)*(Timeline!$I$5:$I$305&lt;=AI$4+0)*(Timeline!$J$5:$J$305&gt;=AI$4+0)),SUMPRODUCT((INDEX(Timeline!$P$5:$AN$305,0,MATCH($A5,Timeline!$P$4:$AN$4,0))="x")*(Timeline!$K$5:$K$305="Task")*ISNUMBER(Timeline!$I$5:$I$305)*ISNUMBER(Timeline!$J$5:$J$305)*(Timeline!$I$5:$I$305&lt;=AI$4+1)*(Timeline!$J$5:$J$305&gt;=AI$4+1)),SUMPRODUCT((INDEX(Timeline!$P$5:$AN$305,0,MATCH($A5,Timeline!$P$4:$AN$4,0))="x")*(Timeline!$K$5:$K$305="Task")*ISNUMBER(Timeline!$I$5:$I$305)*ISNUMBER(Timeline!$J$5:$J$305)*(Timeline!$I$5:$I$305&lt;=AI$4+2)*(Timeline!$J$5:$J$305&gt;=AI$4+2)),SUMPRODUCT((INDEX(Timeline!$P$5:$AN$305,0,MATCH($A5,Timeline!$P$4:$AN$4,0))="x")*(Timeline!$K$5:$K$305="Task")*ISNUMBER(Timeline!$I$5:$I$305)*ISNUMBER(Timeline!$J$5:$J$305)*(Timeline!$I$5:$I$305&lt;=AI$4+3)*(Timeline!$J$5:$J$305&gt;=AI$4+3)),SUMPRODUCT((INDEX(Timeline!$P$5:$AN$305,0,MATCH($A5,Timeline!$P$4:$AN$4,0))="x")*(Timeline!$K$5:$K$305="Task")*ISNUMBER(Timeline!$I$5:$I$305)*ISNUMBER(Timeline!$J$5:$J$305)*(Timeline!$I$5:$I$305&lt;=AI$4+4)*(Timeline!$J$5:$J$305&gt;=AI$4+4)),SUMPRODUCT((INDEX(Timeline!$P$5:$AN$305,0,MATCH($A5,Timeline!$P$4:$AN$4,0))="x")*(Timeline!$K$5:$K$305="Task")*ISNUMBER(Timeline!$I$5:$I$305)*ISNUMBER(Timeline!$J$5:$J$305)*(Timeline!$I$5:$I$305&lt;=AI$4+5)*(Timeline!$J$5:$J$305&gt;=AI$4+5)),SUMPRODUCT((INDEX(Timeline!$P$5:$AN$305,0,MATCH($A5,Timeline!$P$4:$AN$4,0))="x")*(Timeline!$K$5:$K$305="Task")*ISNUMBER(Timeline!$I$5:$I$305)*ISNUMBER(Timeline!$J$5:$J$305)*(Timeline!$I$5:$I$305&lt;=AI$4+6)*(Timeline!$J$5:$J$305&gt;=AI$4+6)))</f>
        <v>0</v>
      </c>
      <c r="AJ5" s="67">
        <f>MAX(SUMPRODUCT((INDEX(Timeline!$P$5:$AN$305,0,MATCH($A5,Timeline!$P$4:$AN$4,0))="x")*(Timeline!$K$5:$K$305="Task")*ISNUMBER(Timeline!$I$5:$I$305)*ISNUMBER(Timeline!$J$5:$J$305)*(Timeline!$I$5:$I$305&lt;=AJ$4+0)*(Timeline!$J$5:$J$305&gt;=AJ$4+0)),SUMPRODUCT((INDEX(Timeline!$P$5:$AN$305,0,MATCH($A5,Timeline!$P$4:$AN$4,0))="x")*(Timeline!$K$5:$K$305="Task")*ISNUMBER(Timeline!$I$5:$I$305)*ISNUMBER(Timeline!$J$5:$J$305)*(Timeline!$I$5:$I$305&lt;=AJ$4+1)*(Timeline!$J$5:$J$305&gt;=AJ$4+1)),SUMPRODUCT((INDEX(Timeline!$P$5:$AN$305,0,MATCH($A5,Timeline!$P$4:$AN$4,0))="x")*(Timeline!$K$5:$K$305="Task")*ISNUMBER(Timeline!$I$5:$I$305)*ISNUMBER(Timeline!$J$5:$J$305)*(Timeline!$I$5:$I$305&lt;=AJ$4+2)*(Timeline!$J$5:$J$305&gt;=AJ$4+2)),SUMPRODUCT((INDEX(Timeline!$P$5:$AN$305,0,MATCH($A5,Timeline!$P$4:$AN$4,0))="x")*(Timeline!$K$5:$K$305="Task")*ISNUMBER(Timeline!$I$5:$I$305)*ISNUMBER(Timeline!$J$5:$J$305)*(Timeline!$I$5:$I$305&lt;=AJ$4+3)*(Timeline!$J$5:$J$305&gt;=AJ$4+3)),SUMPRODUCT((INDEX(Timeline!$P$5:$AN$305,0,MATCH($A5,Timeline!$P$4:$AN$4,0))="x")*(Timeline!$K$5:$K$305="Task")*ISNUMBER(Timeline!$I$5:$I$305)*ISNUMBER(Timeline!$J$5:$J$305)*(Timeline!$I$5:$I$305&lt;=AJ$4+4)*(Timeline!$J$5:$J$305&gt;=AJ$4+4)),SUMPRODUCT((INDEX(Timeline!$P$5:$AN$305,0,MATCH($A5,Timeline!$P$4:$AN$4,0))="x")*(Timeline!$K$5:$K$305="Task")*ISNUMBER(Timeline!$I$5:$I$305)*ISNUMBER(Timeline!$J$5:$J$305)*(Timeline!$I$5:$I$305&lt;=AJ$4+5)*(Timeline!$J$5:$J$305&gt;=AJ$4+5)),SUMPRODUCT((INDEX(Timeline!$P$5:$AN$305,0,MATCH($A5,Timeline!$P$4:$AN$4,0))="x")*(Timeline!$K$5:$K$305="Task")*ISNUMBER(Timeline!$I$5:$I$305)*ISNUMBER(Timeline!$J$5:$J$305)*(Timeline!$I$5:$I$305&lt;=AJ$4+6)*(Timeline!$J$5:$J$305&gt;=AJ$4+6)))</f>
        <v>0</v>
      </c>
      <c r="AK5" s="67">
        <f>MAX(SUMPRODUCT((INDEX(Timeline!$P$5:$AN$305,0,MATCH($A5,Timeline!$P$4:$AN$4,0))="x")*(Timeline!$K$5:$K$305="Task")*ISNUMBER(Timeline!$I$5:$I$305)*ISNUMBER(Timeline!$J$5:$J$305)*(Timeline!$I$5:$I$305&lt;=AK$4+0)*(Timeline!$J$5:$J$305&gt;=AK$4+0)),SUMPRODUCT((INDEX(Timeline!$P$5:$AN$305,0,MATCH($A5,Timeline!$P$4:$AN$4,0))="x")*(Timeline!$K$5:$K$305="Task")*ISNUMBER(Timeline!$I$5:$I$305)*ISNUMBER(Timeline!$J$5:$J$305)*(Timeline!$I$5:$I$305&lt;=AK$4+1)*(Timeline!$J$5:$J$305&gt;=AK$4+1)),SUMPRODUCT((INDEX(Timeline!$P$5:$AN$305,0,MATCH($A5,Timeline!$P$4:$AN$4,0))="x")*(Timeline!$K$5:$K$305="Task")*ISNUMBER(Timeline!$I$5:$I$305)*ISNUMBER(Timeline!$J$5:$J$305)*(Timeline!$I$5:$I$305&lt;=AK$4+2)*(Timeline!$J$5:$J$305&gt;=AK$4+2)),SUMPRODUCT((INDEX(Timeline!$P$5:$AN$305,0,MATCH($A5,Timeline!$P$4:$AN$4,0))="x")*(Timeline!$K$5:$K$305="Task")*ISNUMBER(Timeline!$I$5:$I$305)*ISNUMBER(Timeline!$J$5:$J$305)*(Timeline!$I$5:$I$305&lt;=AK$4+3)*(Timeline!$J$5:$J$305&gt;=AK$4+3)),SUMPRODUCT((INDEX(Timeline!$P$5:$AN$305,0,MATCH($A5,Timeline!$P$4:$AN$4,0))="x")*(Timeline!$K$5:$K$305="Task")*ISNUMBER(Timeline!$I$5:$I$305)*ISNUMBER(Timeline!$J$5:$J$305)*(Timeline!$I$5:$I$305&lt;=AK$4+4)*(Timeline!$J$5:$J$305&gt;=AK$4+4)),SUMPRODUCT((INDEX(Timeline!$P$5:$AN$305,0,MATCH($A5,Timeline!$P$4:$AN$4,0))="x")*(Timeline!$K$5:$K$305="Task")*ISNUMBER(Timeline!$I$5:$I$305)*ISNUMBER(Timeline!$J$5:$J$305)*(Timeline!$I$5:$I$305&lt;=AK$4+5)*(Timeline!$J$5:$J$305&gt;=AK$4+5)),SUMPRODUCT((INDEX(Timeline!$P$5:$AN$305,0,MATCH($A5,Timeline!$P$4:$AN$4,0))="x")*(Timeline!$K$5:$K$305="Task")*ISNUMBER(Timeline!$I$5:$I$305)*ISNUMBER(Timeline!$J$5:$J$305)*(Timeline!$I$5:$I$305&lt;=AK$4+6)*(Timeline!$J$5:$J$305&gt;=AK$4+6)))</f>
        <v>0</v>
      </c>
      <c r="AL5" s="67">
        <f>MAX(SUMPRODUCT((INDEX(Timeline!$P$5:$AN$305,0,MATCH($A5,Timeline!$P$4:$AN$4,0))="x")*(Timeline!$K$5:$K$305="Task")*ISNUMBER(Timeline!$I$5:$I$305)*ISNUMBER(Timeline!$J$5:$J$305)*(Timeline!$I$5:$I$305&lt;=AL$4+0)*(Timeline!$J$5:$J$305&gt;=AL$4+0)),SUMPRODUCT((INDEX(Timeline!$P$5:$AN$305,0,MATCH($A5,Timeline!$P$4:$AN$4,0))="x")*(Timeline!$K$5:$K$305="Task")*ISNUMBER(Timeline!$I$5:$I$305)*ISNUMBER(Timeline!$J$5:$J$305)*(Timeline!$I$5:$I$305&lt;=AL$4+1)*(Timeline!$J$5:$J$305&gt;=AL$4+1)),SUMPRODUCT((INDEX(Timeline!$P$5:$AN$305,0,MATCH($A5,Timeline!$P$4:$AN$4,0))="x")*(Timeline!$K$5:$K$305="Task")*ISNUMBER(Timeline!$I$5:$I$305)*ISNUMBER(Timeline!$J$5:$J$305)*(Timeline!$I$5:$I$305&lt;=AL$4+2)*(Timeline!$J$5:$J$305&gt;=AL$4+2)),SUMPRODUCT((INDEX(Timeline!$P$5:$AN$305,0,MATCH($A5,Timeline!$P$4:$AN$4,0))="x")*(Timeline!$K$5:$K$305="Task")*ISNUMBER(Timeline!$I$5:$I$305)*ISNUMBER(Timeline!$J$5:$J$305)*(Timeline!$I$5:$I$305&lt;=AL$4+3)*(Timeline!$J$5:$J$305&gt;=AL$4+3)),SUMPRODUCT((INDEX(Timeline!$P$5:$AN$305,0,MATCH($A5,Timeline!$P$4:$AN$4,0))="x")*(Timeline!$K$5:$K$305="Task")*ISNUMBER(Timeline!$I$5:$I$305)*ISNUMBER(Timeline!$J$5:$J$305)*(Timeline!$I$5:$I$305&lt;=AL$4+4)*(Timeline!$J$5:$J$305&gt;=AL$4+4)),SUMPRODUCT((INDEX(Timeline!$P$5:$AN$305,0,MATCH($A5,Timeline!$P$4:$AN$4,0))="x")*(Timeline!$K$5:$K$305="Task")*ISNUMBER(Timeline!$I$5:$I$305)*ISNUMBER(Timeline!$J$5:$J$305)*(Timeline!$I$5:$I$305&lt;=AL$4+5)*(Timeline!$J$5:$J$305&gt;=AL$4+5)),SUMPRODUCT((INDEX(Timeline!$P$5:$AN$305,0,MATCH($A5,Timeline!$P$4:$AN$4,0))="x")*(Timeline!$K$5:$K$305="Task")*ISNUMBER(Timeline!$I$5:$I$305)*ISNUMBER(Timeline!$J$5:$J$305)*(Timeline!$I$5:$I$305&lt;=AL$4+6)*(Timeline!$J$5:$J$305&gt;=AL$4+6)))</f>
        <v>0</v>
      </c>
      <c r="AM5" s="67">
        <f>MAX(SUMPRODUCT((INDEX(Timeline!$P$5:$AN$305,0,MATCH($A5,Timeline!$P$4:$AN$4,0))="x")*(Timeline!$K$5:$K$305="Task")*ISNUMBER(Timeline!$I$5:$I$305)*ISNUMBER(Timeline!$J$5:$J$305)*(Timeline!$I$5:$I$305&lt;=AM$4+0)*(Timeline!$J$5:$J$305&gt;=AM$4+0)),SUMPRODUCT((INDEX(Timeline!$P$5:$AN$305,0,MATCH($A5,Timeline!$P$4:$AN$4,0))="x")*(Timeline!$K$5:$K$305="Task")*ISNUMBER(Timeline!$I$5:$I$305)*ISNUMBER(Timeline!$J$5:$J$305)*(Timeline!$I$5:$I$305&lt;=AM$4+1)*(Timeline!$J$5:$J$305&gt;=AM$4+1)),SUMPRODUCT((INDEX(Timeline!$P$5:$AN$305,0,MATCH($A5,Timeline!$P$4:$AN$4,0))="x")*(Timeline!$K$5:$K$305="Task")*ISNUMBER(Timeline!$I$5:$I$305)*ISNUMBER(Timeline!$J$5:$J$305)*(Timeline!$I$5:$I$305&lt;=AM$4+2)*(Timeline!$J$5:$J$305&gt;=AM$4+2)),SUMPRODUCT((INDEX(Timeline!$P$5:$AN$305,0,MATCH($A5,Timeline!$P$4:$AN$4,0))="x")*(Timeline!$K$5:$K$305="Task")*ISNUMBER(Timeline!$I$5:$I$305)*ISNUMBER(Timeline!$J$5:$J$305)*(Timeline!$I$5:$I$305&lt;=AM$4+3)*(Timeline!$J$5:$J$305&gt;=AM$4+3)),SUMPRODUCT((INDEX(Timeline!$P$5:$AN$305,0,MATCH($A5,Timeline!$P$4:$AN$4,0))="x")*(Timeline!$K$5:$K$305="Task")*ISNUMBER(Timeline!$I$5:$I$305)*ISNUMBER(Timeline!$J$5:$J$305)*(Timeline!$I$5:$I$305&lt;=AM$4+4)*(Timeline!$J$5:$J$305&gt;=AM$4+4)),SUMPRODUCT((INDEX(Timeline!$P$5:$AN$305,0,MATCH($A5,Timeline!$P$4:$AN$4,0))="x")*(Timeline!$K$5:$K$305="Task")*ISNUMBER(Timeline!$I$5:$I$305)*ISNUMBER(Timeline!$J$5:$J$305)*(Timeline!$I$5:$I$305&lt;=AM$4+5)*(Timeline!$J$5:$J$305&gt;=AM$4+5)),SUMPRODUCT((INDEX(Timeline!$P$5:$AN$305,0,MATCH($A5,Timeline!$P$4:$AN$4,0))="x")*(Timeline!$K$5:$K$305="Task")*ISNUMBER(Timeline!$I$5:$I$305)*ISNUMBER(Timeline!$J$5:$J$305)*(Timeline!$I$5:$I$305&lt;=AM$4+6)*(Timeline!$J$5:$J$305&gt;=AM$4+6)))</f>
        <v>0</v>
      </c>
      <c r="AN5" s="67">
        <f>MAX(SUMPRODUCT((INDEX(Timeline!$P$5:$AN$305,0,MATCH($A5,Timeline!$P$4:$AN$4,0))="x")*(Timeline!$K$5:$K$305="Task")*ISNUMBER(Timeline!$I$5:$I$305)*ISNUMBER(Timeline!$J$5:$J$305)*(Timeline!$I$5:$I$305&lt;=AN$4+0)*(Timeline!$J$5:$J$305&gt;=AN$4+0)),SUMPRODUCT((INDEX(Timeline!$P$5:$AN$305,0,MATCH($A5,Timeline!$P$4:$AN$4,0))="x")*(Timeline!$K$5:$K$305="Task")*ISNUMBER(Timeline!$I$5:$I$305)*ISNUMBER(Timeline!$J$5:$J$305)*(Timeline!$I$5:$I$305&lt;=AN$4+1)*(Timeline!$J$5:$J$305&gt;=AN$4+1)),SUMPRODUCT((INDEX(Timeline!$P$5:$AN$305,0,MATCH($A5,Timeline!$P$4:$AN$4,0))="x")*(Timeline!$K$5:$K$305="Task")*ISNUMBER(Timeline!$I$5:$I$305)*ISNUMBER(Timeline!$J$5:$J$305)*(Timeline!$I$5:$I$305&lt;=AN$4+2)*(Timeline!$J$5:$J$305&gt;=AN$4+2)),SUMPRODUCT((INDEX(Timeline!$P$5:$AN$305,0,MATCH($A5,Timeline!$P$4:$AN$4,0))="x")*(Timeline!$K$5:$K$305="Task")*ISNUMBER(Timeline!$I$5:$I$305)*ISNUMBER(Timeline!$J$5:$J$305)*(Timeline!$I$5:$I$305&lt;=AN$4+3)*(Timeline!$J$5:$J$305&gt;=AN$4+3)),SUMPRODUCT((INDEX(Timeline!$P$5:$AN$305,0,MATCH($A5,Timeline!$P$4:$AN$4,0))="x")*(Timeline!$K$5:$K$305="Task")*ISNUMBER(Timeline!$I$5:$I$305)*ISNUMBER(Timeline!$J$5:$J$305)*(Timeline!$I$5:$I$305&lt;=AN$4+4)*(Timeline!$J$5:$J$305&gt;=AN$4+4)),SUMPRODUCT((INDEX(Timeline!$P$5:$AN$305,0,MATCH($A5,Timeline!$P$4:$AN$4,0))="x")*(Timeline!$K$5:$K$305="Task")*ISNUMBER(Timeline!$I$5:$I$305)*ISNUMBER(Timeline!$J$5:$J$305)*(Timeline!$I$5:$I$305&lt;=AN$4+5)*(Timeline!$J$5:$J$305&gt;=AN$4+5)),SUMPRODUCT((INDEX(Timeline!$P$5:$AN$305,0,MATCH($A5,Timeline!$P$4:$AN$4,0))="x")*(Timeline!$K$5:$K$305="Task")*ISNUMBER(Timeline!$I$5:$I$305)*ISNUMBER(Timeline!$J$5:$J$305)*(Timeline!$I$5:$I$305&lt;=AN$4+6)*(Timeline!$J$5:$J$305&gt;=AN$4+6)))</f>
        <v>0</v>
      </c>
      <c r="AO5" s="67">
        <f>MAX(SUMPRODUCT((INDEX(Timeline!$P$5:$AN$305,0,MATCH($A5,Timeline!$P$4:$AN$4,0))="x")*(Timeline!$K$5:$K$305="Task")*ISNUMBER(Timeline!$I$5:$I$305)*ISNUMBER(Timeline!$J$5:$J$305)*(Timeline!$I$5:$I$305&lt;=AO$4+0)*(Timeline!$J$5:$J$305&gt;=AO$4+0)),SUMPRODUCT((INDEX(Timeline!$P$5:$AN$305,0,MATCH($A5,Timeline!$P$4:$AN$4,0))="x")*(Timeline!$K$5:$K$305="Task")*ISNUMBER(Timeline!$I$5:$I$305)*ISNUMBER(Timeline!$J$5:$J$305)*(Timeline!$I$5:$I$305&lt;=AO$4+1)*(Timeline!$J$5:$J$305&gt;=AO$4+1)),SUMPRODUCT((INDEX(Timeline!$P$5:$AN$305,0,MATCH($A5,Timeline!$P$4:$AN$4,0))="x")*(Timeline!$K$5:$K$305="Task")*ISNUMBER(Timeline!$I$5:$I$305)*ISNUMBER(Timeline!$J$5:$J$305)*(Timeline!$I$5:$I$305&lt;=AO$4+2)*(Timeline!$J$5:$J$305&gt;=AO$4+2)),SUMPRODUCT((INDEX(Timeline!$P$5:$AN$305,0,MATCH($A5,Timeline!$P$4:$AN$4,0))="x")*(Timeline!$K$5:$K$305="Task")*ISNUMBER(Timeline!$I$5:$I$305)*ISNUMBER(Timeline!$J$5:$J$305)*(Timeline!$I$5:$I$305&lt;=AO$4+3)*(Timeline!$J$5:$J$305&gt;=AO$4+3)),SUMPRODUCT((INDEX(Timeline!$P$5:$AN$305,0,MATCH($A5,Timeline!$P$4:$AN$4,0))="x")*(Timeline!$K$5:$K$305="Task")*ISNUMBER(Timeline!$I$5:$I$305)*ISNUMBER(Timeline!$J$5:$J$305)*(Timeline!$I$5:$I$305&lt;=AO$4+4)*(Timeline!$J$5:$J$305&gt;=AO$4+4)),SUMPRODUCT((INDEX(Timeline!$P$5:$AN$305,0,MATCH($A5,Timeline!$P$4:$AN$4,0))="x")*(Timeline!$K$5:$K$305="Task")*ISNUMBER(Timeline!$I$5:$I$305)*ISNUMBER(Timeline!$J$5:$J$305)*(Timeline!$I$5:$I$305&lt;=AO$4+5)*(Timeline!$J$5:$J$305&gt;=AO$4+5)),SUMPRODUCT((INDEX(Timeline!$P$5:$AN$305,0,MATCH($A5,Timeline!$P$4:$AN$4,0))="x")*(Timeline!$K$5:$K$305="Task")*ISNUMBER(Timeline!$I$5:$I$305)*ISNUMBER(Timeline!$J$5:$J$305)*(Timeline!$I$5:$I$305&lt;=AO$4+6)*(Timeline!$J$5:$J$305&gt;=AO$4+6)))</f>
        <v>0</v>
      </c>
      <c r="AP5" s="67">
        <f>MAX(SUMPRODUCT((INDEX(Timeline!$P$5:$AN$305,0,MATCH($A5,Timeline!$P$4:$AN$4,0))="x")*(Timeline!$K$5:$K$305="Task")*ISNUMBER(Timeline!$I$5:$I$305)*ISNUMBER(Timeline!$J$5:$J$305)*(Timeline!$I$5:$I$305&lt;=AP$4+0)*(Timeline!$J$5:$J$305&gt;=AP$4+0)),SUMPRODUCT((INDEX(Timeline!$P$5:$AN$305,0,MATCH($A5,Timeline!$P$4:$AN$4,0))="x")*(Timeline!$K$5:$K$305="Task")*ISNUMBER(Timeline!$I$5:$I$305)*ISNUMBER(Timeline!$J$5:$J$305)*(Timeline!$I$5:$I$305&lt;=AP$4+1)*(Timeline!$J$5:$J$305&gt;=AP$4+1)),SUMPRODUCT((INDEX(Timeline!$P$5:$AN$305,0,MATCH($A5,Timeline!$P$4:$AN$4,0))="x")*(Timeline!$K$5:$K$305="Task")*ISNUMBER(Timeline!$I$5:$I$305)*ISNUMBER(Timeline!$J$5:$J$305)*(Timeline!$I$5:$I$305&lt;=AP$4+2)*(Timeline!$J$5:$J$305&gt;=AP$4+2)),SUMPRODUCT((INDEX(Timeline!$P$5:$AN$305,0,MATCH($A5,Timeline!$P$4:$AN$4,0))="x")*(Timeline!$K$5:$K$305="Task")*ISNUMBER(Timeline!$I$5:$I$305)*ISNUMBER(Timeline!$J$5:$J$305)*(Timeline!$I$5:$I$305&lt;=AP$4+3)*(Timeline!$J$5:$J$305&gt;=AP$4+3)),SUMPRODUCT((INDEX(Timeline!$P$5:$AN$305,0,MATCH($A5,Timeline!$P$4:$AN$4,0))="x")*(Timeline!$K$5:$K$305="Task")*ISNUMBER(Timeline!$I$5:$I$305)*ISNUMBER(Timeline!$J$5:$J$305)*(Timeline!$I$5:$I$305&lt;=AP$4+4)*(Timeline!$J$5:$J$305&gt;=AP$4+4)),SUMPRODUCT((INDEX(Timeline!$P$5:$AN$305,0,MATCH($A5,Timeline!$P$4:$AN$4,0))="x")*(Timeline!$K$5:$K$305="Task")*ISNUMBER(Timeline!$I$5:$I$305)*ISNUMBER(Timeline!$J$5:$J$305)*(Timeline!$I$5:$I$305&lt;=AP$4+5)*(Timeline!$J$5:$J$305&gt;=AP$4+5)),SUMPRODUCT((INDEX(Timeline!$P$5:$AN$305,0,MATCH($A5,Timeline!$P$4:$AN$4,0))="x")*(Timeline!$K$5:$K$305="Task")*ISNUMBER(Timeline!$I$5:$I$305)*ISNUMBER(Timeline!$J$5:$J$305)*(Timeline!$I$5:$I$305&lt;=AP$4+6)*(Timeline!$J$5:$J$305&gt;=AP$4+6)))</f>
        <v>0</v>
      </c>
      <c r="AQ5" s="67">
        <f>MAX(SUMPRODUCT((INDEX(Timeline!$P$5:$AN$305,0,MATCH($A5,Timeline!$P$4:$AN$4,0))="x")*(Timeline!$K$5:$K$305="Task")*ISNUMBER(Timeline!$I$5:$I$305)*ISNUMBER(Timeline!$J$5:$J$305)*(Timeline!$I$5:$I$305&lt;=AQ$4+0)*(Timeline!$J$5:$J$305&gt;=AQ$4+0)),SUMPRODUCT((INDEX(Timeline!$P$5:$AN$305,0,MATCH($A5,Timeline!$P$4:$AN$4,0))="x")*(Timeline!$K$5:$K$305="Task")*ISNUMBER(Timeline!$I$5:$I$305)*ISNUMBER(Timeline!$J$5:$J$305)*(Timeline!$I$5:$I$305&lt;=AQ$4+1)*(Timeline!$J$5:$J$305&gt;=AQ$4+1)),SUMPRODUCT((INDEX(Timeline!$P$5:$AN$305,0,MATCH($A5,Timeline!$P$4:$AN$4,0))="x")*(Timeline!$K$5:$K$305="Task")*ISNUMBER(Timeline!$I$5:$I$305)*ISNUMBER(Timeline!$J$5:$J$305)*(Timeline!$I$5:$I$305&lt;=AQ$4+2)*(Timeline!$J$5:$J$305&gt;=AQ$4+2)),SUMPRODUCT((INDEX(Timeline!$P$5:$AN$305,0,MATCH($A5,Timeline!$P$4:$AN$4,0))="x")*(Timeline!$K$5:$K$305="Task")*ISNUMBER(Timeline!$I$5:$I$305)*ISNUMBER(Timeline!$J$5:$J$305)*(Timeline!$I$5:$I$305&lt;=AQ$4+3)*(Timeline!$J$5:$J$305&gt;=AQ$4+3)),SUMPRODUCT((INDEX(Timeline!$P$5:$AN$305,0,MATCH($A5,Timeline!$P$4:$AN$4,0))="x")*(Timeline!$K$5:$K$305="Task")*ISNUMBER(Timeline!$I$5:$I$305)*ISNUMBER(Timeline!$J$5:$J$305)*(Timeline!$I$5:$I$305&lt;=AQ$4+4)*(Timeline!$J$5:$J$305&gt;=AQ$4+4)),SUMPRODUCT((INDEX(Timeline!$P$5:$AN$305,0,MATCH($A5,Timeline!$P$4:$AN$4,0))="x")*(Timeline!$K$5:$K$305="Task")*ISNUMBER(Timeline!$I$5:$I$305)*ISNUMBER(Timeline!$J$5:$J$305)*(Timeline!$I$5:$I$305&lt;=AQ$4+5)*(Timeline!$J$5:$J$305&gt;=AQ$4+5)),SUMPRODUCT((INDEX(Timeline!$P$5:$AN$305,0,MATCH($A5,Timeline!$P$4:$AN$4,0))="x")*(Timeline!$K$5:$K$305="Task")*ISNUMBER(Timeline!$I$5:$I$305)*ISNUMBER(Timeline!$J$5:$J$305)*(Timeline!$I$5:$I$305&lt;=AQ$4+6)*(Timeline!$J$5:$J$305&gt;=AQ$4+6)))</f>
        <v>0</v>
      </c>
      <c r="AR5" s="67">
        <f>MAX(SUMPRODUCT((INDEX(Timeline!$P$5:$AN$305,0,MATCH($A5,Timeline!$P$4:$AN$4,0))="x")*(Timeline!$K$5:$K$305="Task")*ISNUMBER(Timeline!$I$5:$I$305)*ISNUMBER(Timeline!$J$5:$J$305)*(Timeline!$I$5:$I$305&lt;=AR$4+0)*(Timeline!$J$5:$J$305&gt;=AR$4+0)),SUMPRODUCT((INDEX(Timeline!$P$5:$AN$305,0,MATCH($A5,Timeline!$P$4:$AN$4,0))="x")*(Timeline!$K$5:$K$305="Task")*ISNUMBER(Timeline!$I$5:$I$305)*ISNUMBER(Timeline!$J$5:$J$305)*(Timeline!$I$5:$I$305&lt;=AR$4+1)*(Timeline!$J$5:$J$305&gt;=AR$4+1)),SUMPRODUCT((INDEX(Timeline!$P$5:$AN$305,0,MATCH($A5,Timeline!$P$4:$AN$4,0))="x")*(Timeline!$K$5:$K$305="Task")*ISNUMBER(Timeline!$I$5:$I$305)*ISNUMBER(Timeline!$J$5:$J$305)*(Timeline!$I$5:$I$305&lt;=AR$4+2)*(Timeline!$J$5:$J$305&gt;=AR$4+2)),SUMPRODUCT((INDEX(Timeline!$P$5:$AN$305,0,MATCH($A5,Timeline!$P$4:$AN$4,0))="x")*(Timeline!$K$5:$K$305="Task")*ISNUMBER(Timeline!$I$5:$I$305)*ISNUMBER(Timeline!$J$5:$J$305)*(Timeline!$I$5:$I$305&lt;=AR$4+3)*(Timeline!$J$5:$J$305&gt;=AR$4+3)),SUMPRODUCT((INDEX(Timeline!$P$5:$AN$305,0,MATCH($A5,Timeline!$P$4:$AN$4,0))="x")*(Timeline!$K$5:$K$305="Task")*ISNUMBER(Timeline!$I$5:$I$305)*ISNUMBER(Timeline!$J$5:$J$305)*(Timeline!$I$5:$I$305&lt;=AR$4+4)*(Timeline!$J$5:$J$305&gt;=AR$4+4)),SUMPRODUCT((INDEX(Timeline!$P$5:$AN$305,0,MATCH($A5,Timeline!$P$4:$AN$4,0))="x")*(Timeline!$K$5:$K$305="Task")*ISNUMBER(Timeline!$I$5:$I$305)*ISNUMBER(Timeline!$J$5:$J$305)*(Timeline!$I$5:$I$305&lt;=AR$4+5)*(Timeline!$J$5:$J$305&gt;=AR$4+5)),SUMPRODUCT((INDEX(Timeline!$P$5:$AN$305,0,MATCH($A5,Timeline!$P$4:$AN$4,0))="x")*(Timeline!$K$5:$K$305="Task")*ISNUMBER(Timeline!$I$5:$I$305)*ISNUMBER(Timeline!$J$5:$J$305)*(Timeline!$I$5:$I$305&lt;=AR$4+6)*(Timeline!$J$5:$J$305&gt;=AR$4+6)))</f>
        <v>0</v>
      </c>
      <c r="AS5" s="67">
        <f>MAX(SUMPRODUCT((INDEX(Timeline!$P$5:$AN$305,0,MATCH($A5,Timeline!$P$4:$AN$4,0))="x")*(Timeline!$K$5:$K$305="Task")*ISNUMBER(Timeline!$I$5:$I$305)*ISNUMBER(Timeline!$J$5:$J$305)*(Timeline!$I$5:$I$305&lt;=AS$4+0)*(Timeline!$J$5:$J$305&gt;=AS$4+0)),SUMPRODUCT((INDEX(Timeline!$P$5:$AN$305,0,MATCH($A5,Timeline!$P$4:$AN$4,0))="x")*(Timeline!$K$5:$K$305="Task")*ISNUMBER(Timeline!$I$5:$I$305)*ISNUMBER(Timeline!$J$5:$J$305)*(Timeline!$I$5:$I$305&lt;=AS$4+1)*(Timeline!$J$5:$J$305&gt;=AS$4+1)),SUMPRODUCT((INDEX(Timeline!$P$5:$AN$305,0,MATCH($A5,Timeline!$P$4:$AN$4,0))="x")*(Timeline!$K$5:$K$305="Task")*ISNUMBER(Timeline!$I$5:$I$305)*ISNUMBER(Timeline!$J$5:$J$305)*(Timeline!$I$5:$I$305&lt;=AS$4+2)*(Timeline!$J$5:$J$305&gt;=AS$4+2)),SUMPRODUCT((INDEX(Timeline!$P$5:$AN$305,0,MATCH($A5,Timeline!$P$4:$AN$4,0))="x")*(Timeline!$K$5:$K$305="Task")*ISNUMBER(Timeline!$I$5:$I$305)*ISNUMBER(Timeline!$J$5:$J$305)*(Timeline!$I$5:$I$305&lt;=AS$4+3)*(Timeline!$J$5:$J$305&gt;=AS$4+3)),SUMPRODUCT((INDEX(Timeline!$P$5:$AN$305,0,MATCH($A5,Timeline!$P$4:$AN$4,0))="x")*(Timeline!$K$5:$K$305="Task")*ISNUMBER(Timeline!$I$5:$I$305)*ISNUMBER(Timeline!$J$5:$J$305)*(Timeline!$I$5:$I$305&lt;=AS$4+4)*(Timeline!$J$5:$J$305&gt;=AS$4+4)),SUMPRODUCT((INDEX(Timeline!$P$5:$AN$305,0,MATCH($A5,Timeline!$P$4:$AN$4,0))="x")*(Timeline!$K$5:$K$305="Task")*ISNUMBER(Timeline!$I$5:$I$305)*ISNUMBER(Timeline!$J$5:$J$305)*(Timeline!$I$5:$I$305&lt;=AS$4+5)*(Timeline!$J$5:$J$305&gt;=AS$4+5)),SUMPRODUCT((INDEX(Timeline!$P$5:$AN$305,0,MATCH($A5,Timeline!$P$4:$AN$4,0))="x")*(Timeline!$K$5:$K$305="Task")*ISNUMBER(Timeline!$I$5:$I$305)*ISNUMBER(Timeline!$J$5:$J$305)*(Timeline!$I$5:$I$305&lt;=AS$4+6)*(Timeline!$J$5:$J$305&gt;=AS$4+6)))</f>
        <v>0</v>
      </c>
      <c r="AT5" s="67">
        <f>MAX(SUMPRODUCT((INDEX(Timeline!$P$5:$AN$305,0,MATCH($A5,Timeline!$P$4:$AN$4,0))="x")*(Timeline!$K$5:$K$305="Task")*ISNUMBER(Timeline!$I$5:$I$305)*ISNUMBER(Timeline!$J$5:$J$305)*(Timeline!$I$5:$I$305&lt;=AT$4+0)*(Timeline!$J$5:$J$305&gt;=AT$4+0)),SUMPRODUCT((INDEX(Timeline!$P$5:$AN$305,0,MATCH($A5,Timeline!$P$4:$AN$4,0))="x")*(Timeline!$K$5:$K$305="Task")*ISNUMBER(Timeline!$I$5:$I$305)*ISNUMBER(Timeline!$J$5:$J$305)*(Timeline!$I$5:$I$305&lt;=AT$4+1)*(Timeline!$J$5:$J$305&gt;=AT$4+1)),SUMPRODUCT((INDEX(Timeline!$P$5:$AN$305,0,MATCH($A5,Timeline!$P$4:$AN$4,0))="x")*(Timeline!$K$5:$K$305="Task")*ISNUMBER(Timeline!$I$5:$I$305)*ISNUMBER(Timeline!$J$5:$J$305)*(Timeline!$I$5:$I$305&lt;=AT$4+2)*(Timeline!$J$5:$J$305&gt;=AT$4+2)),SUMPRODUCT((INDEX(Timeline!$P$5:$AN$305,0,MATCH($A5,Timeline!$P$4:$AN$4,0))="x")*(Timeline!$K$5:$K$305="Task")*ISNUMBER(Timeline!$I$5:$I$305)*ISNUMBER(Timeline!$J$5:$J$305)*(Timeline!$I$5:$I$305&lt;=AT$4+3)*(Timeline!$J$5:$J$305&gt;=AT$4+3)),SUMPRODUCT((INDEX(Timeline!$P$5:$AN$305,0,MATCH($A5,Timeline!$P$4:$AN$4,0))="x")*(Timeline!$K$5:$K$305="Task")*ISNUMBER(Timeline!$I$5:$I$305)*ISNUMBER(Timeline!$J$5:$J$305)*(Timeline!$I$5:$I$305&lt;=AT$4+4)*(Timeline!$J$5:$J$305&gt;=AT$4+4)),SUMPRODUCT((INDEX(Timeline!$P$5:$AN$305,0,MATCH($A5,Timeline!$P$4:$AN$4,0))="x")*(Timeline!$K$5:$K$305="Task")*ISNUMBER(Timeline!$I$5:$I$305)*ISNUMBER(Timeline!$J$5:$J$305)*(Timeline!$I$5:$I$305&lt;=AT$4+5)*(Timeline!$J$5:$J$305&gt;=AT$4+5)),SUMPRODUCT((INDEX(Timeline!$P$5:$AN$305,0,MATCH($A5,Timeline!$P$4:$AN$4,0))="x")*(Timeline!$K$5:$K$305="Task")*ISNUMBER(Timeline!$I$5:$I$305)*ISNUMBER(Timeline!$J$5:$J$305)*(Timeline!$I$5:$I$305&lt;=AT$4+6)*(Timeline!$J$5:$J$305&gt;=AT$4+6)))</f>
        <v>0</v>
      </c>
      <c r="AU5" s="67">
        <f>MAX(SUMPRODUCT((INDEX(Timeline!$P$5:$AN$305,0,MATCH($A5,Timeline!$P$4:$AN$4,0))="x")*(Timeline!$K$5:$K$305="Task")*ISNUMBER(Timeline!$I$5:$I$305)*ISNUMBER(Timeline!$J$5:$J$305)*(Timeline!$I$5:$I$305&lt;=AU$4+0)*(Timeline!$J$5:$J$305&gt;=AU$4+0)),SUMPRODUCT((INDEX(Timeline!$P$5:$AN$305,0,MATCH($A5,Timeline!$P$4:$AN$4,0))="x")*(Timeline!$K$5:$K$305="Task")*ISNUMBER(Timeline!$I$5:$I$305)*ISNUMBER(Timeline!$J$5:$J$305)*(Timeline!$I$5:$I$305&lt;=AU$4+1)*(Timeline!$J$5:$J$305&gt;=AU$4+1)),SUMPRODUCT((INDEX(Timeline!$P$5:$AN$305,0,MATCH($A5,Timeline!$P$4:$AN$4,0))="x")*(Timeline!$K$5:$K$305="Task")*ISNUMBER(Timeline!$I$5:$I$305)*ISNUMBER(Timeline!$J$5:$J$305)*(Timeline!$I$5:$I$305&lt;=AU$4+2)*(Timeline!$J$5:$J$305&gt;=AU$4+2)),SUMPRODUCT((INDEX(Timeline!$P$5:$AN$305,0,MATCH($A5,Timeline!$P$4:$AN$4,0))="x")*(Timeline!$K$5:$K$305="Task")*ISNUMBER(Timeline!$I$5:$I$305)*ISNUMBER(Timeline!$J$5:$J$305)*(Timeline!$I$5:$I$305&lt;=AU$4+3)*(Timeline!$J$5:$J$305&gt;=AU$4+3)),SUMPRODUCT((INDEX(Timeline!$P$5:$AN$305,0,MATCH($A5,Timeline!$P$4:$AN$4,0))="x")*(Timeline!$K$5:$K$305="Task")*ISNUMBER(Timeline!$I$5:$I$305)*ISNUMBER(Timeline!$J$5:$J$305)*(Timeline!$I$5:$I$305&lt;=AU$4+4)*(Timeline!$J$5:$J$305&gt;=AU$4+4)),SUMPRODUCT((INDEX(Timeline!$P$5:$AN$305,0,MATCH($A5,Timeline!$P$4:$AN$4,0))="x")*(Timeline!$K$5:$K$305="Task")*ISNUMBER(Timeline!$I$5:$I$305)*ISNUMBER(Timeline!$J$5:$J$305)*(Timeline!$I$5:$I$305&lt;=AU$4+5)*(Timeline!$J$5:$J$305&gt;=AU$4+5)),SUMPRODUCT((INDEX(Timeline!$P$5:$AN$305,0,MATCH($A5,Timeline!$P$4:$AN$4,0))="x")*(Timeline!$K$5:$K$305="Task")*ISNUMBER(Timeline!$I$5:$I$305)*ISNUMBER(Timeline!$J$5:$J$305)*(Timeline!$I$5:$I$305&lt;=AU$4+6)*(Timeline!$J$5:$J$305&gt;=AU$4+6)))</f>
        <v>0</v>
      </c>
      <c r="AV5" s="67">
        <f>MAX(SUMPRODUCT((INDEX(Timeline!$P$5:$AN$305,0,MATCH($A5,Timeline!$P$4:$AN$4,0))="x")*(Timeline!$K$5:$K$305="Task")*ISNUMBER(Timeline!$I$5:$I$305)*ISNUMBER(Timeline!$J$5:$J$305)*(Timeline!$I$5:$I$305&lt;=AV$4+0)*(Timeline!$J$5:$J$305&gt;=AV$4+0)),SUMPRODUCT((INDEX(Timeline!$P$5:$AN$305,0,MATCH($A5,Timeline!$P$4:$AN$4,0))="x")*(Timeline!$K$5:$K$305="Task")*ISNUMBER(Timeline!$I$5:$I$305)*ISNUMBER(Timeline!$J$5:$J$305)*(Timeline!$I$5:$I$305&lt;=AV$4+1)*(Timeline!$J$5:$J$305&gt;=AV$4+1)),SUMPRODUCT((INDEX(Timeline!$P$5:$AN$305,0,MATCH($A5,Timeline!$P$4:$AN$4,0))="x")*(Timeline!$K$5:$K$305="Task")*ISNUMBER(Timeline!$I$5:$I$305)*ISNUMBER(Timeline!$J$5:$J$305)*(Timeline!$I$5:$I$305&lt;=AV$4+2)*(Timeline!$J$5:$J$305&gt;=AV$4+2)),SUMPRODUCT((INDEX(Timeline!$P$5:$AN$305,0,MATCH($A5,Timeline!$P$4:$AN$4,0))="x")*(Timeline!$K$5:$K$305="Task")*ISNUMBER(Timeline!$I$5:$I$305)*ISNUMBER(Timeline!$J$5:$J$305)*(Timeline!$I$5:$I$305&lt;=AV$4+3)*(Timeline!$J$5:$J$305&gt;=AV$4+3)),SUMPRODUCT((INDEX(Timeline!$P$5:$AN$305,0,MATCH($A5,Timeline!$P$4:$AN$4,0))="x")*(Timeline!$K$5:$K$305="Task")*ISNUMBER(Timeline!$I$5:$I$305)*ISNUMBER(Timeline!$J$5:$J$305)*(Timeline!$I$5:$I$305&lt;=AV$4+4)*(Timeline!$J$5:$J$305&gt;=AV$4+4)),SUMPRODUCT((INDEX(Timeline!$P$5:$AN$305,0,MATCH($A5,Timeline!$P$4:$AN$4,0))="x")*(Timeline!$K$5:$K$305="Task")*ISNUMBER(Timeline!$I$5:$I$305)*ISNUMBER(Timeline!$J$5:$J$305)*(Timeline!$I$5:$I$305&lt;=AV$4+5)*(Timeline!$J$5:$J$305&gt;=AV$4+5)),SUMPRODUCT((INDEX(Timeline!$P$5:$AN$305,0,MATCH($A5,Timeline!$P$4:$AN$4,0))="x")*(Timeline!$K$5:$K$305="Task")*ISNUMBER(Timeline!$I$5:$I$305)*ISNUMBER(Timeline!$J$5:$J$305)*(Timeline!$I$5:$I$305&lt;=AV$4+6)*(Timeline!$J$5:$J$305&gt;=AV$4+6)))</f>
        <v>0</v>
      </c>
      <c r="AW5" s="67">
        <f>MAX(SUMPRODUCT((INDEX(Timeline!$P$5:$AN$305,0,MATCH($A5,Timeline!$P$4:$AN$4,0))="x")*(Timeline!$K$5:$K$305="Task")*ISNUMBER(Timeline!$I$5:$I$305)*ISNUMBER(Timeline!$J$5:$J$305)*(Timeline!$I$5:$I$305&lt;=AW$4+0)*(Timeline!$J$5:$J$305&gt;=AW$4+0)),SUMPRODUCT((INDEX(Timeline!$P$5:$AN$305,0,MATCH($A5,Timeline!$P$4:$AN$4,0))="x")*(Timeline!$K$5:$K$305="Task")*ISNUMBER(Timeline!$I$5:$I$305)*ISNUMBER(Timeline!$J$5:$J$305)*(Timeline!$I$5:$I$305&lt;=AW$4+1)*(Timeline!$J$5:$J$305&gt;=AW$4+1)),SUMPRODUCT((INDEX(Timeline!$P$5:$AN$305,0,MATCH($A5,Timeline!$P$4:$AN$4,0))="x")*(Timeline!$K$5:$K$305="Task")*ISNUMBER(Timeline!$I$5:$I$305)*ISNUMBER(Timeline!$J$5:$J$305)*(Timeline!$I$5:$I$305&lt;=AW$4+2)*(Timeline!$J$5:$J$305&gt;=AW$4+2)),SUMPRODUCT((INDEX(Timeline!$P$5:$AN$305,0,MATCH($A5,Timeline!$P$4:$AN$4,0))="x")*(Timeline!$K$5:$K$305="Task")*ISNUMBER(Timeline!$I$5:$I$305)*ISNUMBER(Timeline!$J$5:$J$305)*(Timeline!$I$5:$I$305&lt;=AW$4+3)*(Timeline!$J$5:$J$305&gt;=AW$4+3)),SUMPRODUCT((INDEX(Timeline!$P$5:$AN$305,0,MATCH($A5,Timeline!$P$4:$AN$4,0))="x")*(Timeline!$K$5:$K$305="Task")*ISNUMBER(Timeline!$I$5:$I$305)*ISNUMBER(Timeline!$J$5:$J$305)*(Timeline!$I$5:$I$305&lt;=AW$4+4)*(Timeline!$J$5:$J$305&gt;=AW$4+4)),SUMPRODUCT((INDEX(Timeline!$P$5:$AN$305,0,MATCH($A5,Timeline!$P$4:$AN$4,0))="x")*(Timeline!$K$5:$K$305="Task")*ISNUMBER(Timeline!$I$5:$I$305)*ISNUMBER(Timeline!$J$5:$J$305)*(Timeline!$I$5:$I$305&lt;=AW$4+5)*(Timeline!$J$5:$J$305&gt;=AW$4+5)),SUMPRODUCT((INDEX(Timeline!$P$5:$AN$305,0,MATCH($A5,Timeline!$P$4:$AN$4,0))="x")*(Timeline!$K$5:$K$305="Task")*ISNUMBER(Timeline!$I$5:$I$305)*ISNUMBER(Timeline!$J$5:$J$305)*(Timeline!$I$5:$I$305&lt;=AW$4+6)*(Timeline!$J$5:$J$305&gt;=AW$4+6)))</f>
        <v>0</v>
      </c>
      <c r="AX5" s="67">
        <f>MAX(SUMPRODUCT((INDEX(Timeline!$P$5:$AN$305,0,MATCH($A5,Timeline!$P$4:$AN$4,0))="x")*(Timeline!$K$5:$K$305="Task")*ISNUMBER(Timeline!$I$5:$I$305)*ISNUMBER(Timeline!$J$5:$J$305)*(Timeline!$I$5:$I$305&lt;=AX$4+0)*(Timeline!$J$5:$J$305&gt;=AX$4+0)),SUMPRODUCT((INDEX(Timeline!$P$5:$AN$305,0,MATCH($A5,Timeline!$P$4:$AN$4,0))="x")*(Timeline!$K$5:$K$305="Task")*ISNUMBER(Timeline!$I$5:$I$305)*ISNUMBER(Timeline!$J$5:$J$305)*(Timeline!$I$5:$I$305&lt;=AX$4+1)*(Timeline!$J$5:$J$305&gt;=AX$4+1)),SUMPRODUCT((INDEX(Timeline!$P$5:$AN$305,0,MATCH($A5,Timeline!$P$4:$AN$4,0))="x")*(Timeline!$K$5:$K$305="Task")*ISNUMBER(Timeline!$I$5:$I$305)*ISNUMBER(Timeline!$J$5:$J$305)*(Timeline!$I$5:$I$305&lt;=AX$4+2)*(Timeline!$J$5:$J$305&gt;=AX$4+2)),SUMPRODUCT((INDEX(Timeline!$P$5:$AN$305,0,MATCH($A5,Timeline!$P$4:$AN$4,0))="x")*(Timeline!$K$5:$K$305="Task")*ISNUMBER(Timeline!$I$5:$I$305)*ISNUMBER(Timeline!$J$5:$J$305)*(Timeline!$I$5:$I$305&lt;=AX$4+3)*(Timeline!$J$5:$J$305&gt;=AX$4+3)),SUMPRODUCT((INDEX(Timeline!$P$5:$AN$305,0,MATCH($A5,Timeline!$P$4:$AN$4,0))="x")*(Timeline!$K$5:$K$305="Task")*ISNUMBER(Timeline!$I$5:$I$305)*ISNUMBER(Timeline!$J$5:$J$305)*(Timeline!$I$5:$I$305&lt;=AX$4+4)*(Timeline!$J$5:$J$305&gt;=AX$4+4)),SUMPRODUCT((INDEX(Timeline!$P$5:$AN$305,0,MATCH($A5,Timeline!$P$4:$AN$4,0))="x")*(Timeline!$K$5:$K$305="Task")*ISNUMBER(Timeline!$I$5:$I$305)*ISNUMBER(Timeline!$J$5:$J$305)*(Timeline!$I$5:$I$305&lt;=AX$4+5)*(Timeline!$J$5:$J$305&gt;=AX$4+5)),SUMPRODUCT((INDEX(Timeline!$P$5:$AN$305,0,MATCH($A5,Timeline!$P$4:$AN$4,0))="x")*(Timeline!$K$5:$K$305="Task")*ISNUMBER(Timeline!$I$5:$I$305)*ISNUMBER(Timeline!$J$5:$J$305)*(Timeline!$I$5:$I$305&lt;=AX$4+6)*(Timeline!$J$5:$J$305&gt;=AX$4+6)))</f>
        <v>0</v>
      </c>
      <c r="AY5" s="67">
        <f>MAX(SUMPRODUCT((INDEX(Timeline!$P$5:$AN$305,0,MATCH($A5,Timeline!$P$4:$AN$4,0))="x")*(Timeline!$K$5:$K$305="Task")*ISNUMBER(Timeline!$I$5:$I$305)*ISNUMBER(Timeline!$J$5:$J$305)*(Timeline!$I$5:$I$305&lt;=AY$4+0)*(Timeline!$J$5:$J$305&gt;=AY$4+0)),SUMPRODUCT((INDEX(Timeline!$P$5:$AN$305,0,MATCH($A5,Timeline!$P$4:$AN$4,0))="x")*(Timeline!$K$5:$K$305="Task")*ISNUMBER(Timeline!$I$5:$I$305)*ISNUMBER(Timeline!$J$5:$J$305)*(Timeline!$I$5:$I$305&lt;=AY$4+1)*(Timeline!$J$5:$J$305&gt;=AY$4+1)),SUMPRODUCT((INDEX(Timeline!$P$5:$AN$305,0,MATCH($A5,Timeline!$P$4:$AN$4,0))="x")*(Timeline!$K$5:$K$305="Task")*ISNUMBER(Timeline!$I$5:$I$305)*ISNUMBER(Timeline!$J$5:$J$305)*(Timeline!$I$5:$I$305&lt;=AY$4+2)*(Timeline!$J$5:$J$305&gt;=AY$4+2)),SUMPRODUCT((INDEX(Timeline!$P$5:$AN$305,0,MATCH($A5,Timeline!$P$4:$AN$4,0))="x")*(Timeline!$K$5:$K$305="Task")*ISNUMBER(Timeline!$I$5:$I$305)*ISNUMBER(Timeline!$J$5:$J$305)*(Timeline!$I$5:$I$305&lt;=AY$4+3)*(Timeline!$J$5:$J$305&gt;=AY$4+3)),SUMPRODUCT((INDEX(Timeline!$P$5:$AN$305,0,MATCH($A5,Timeline!$P$4:$AN$4,0))="x")*(Timeline!$K$5:$K$305="Task")*ISNUMBER(Timeline!$I$5:$I$305)*ISNUMBER(Timeline!$J$5:$J$305)*(Timeline!$I$5:$I$305&lt;=AY$4+4)*(Timeline!$J$5:$J$305&gt;=AY$4+4)),SUMPRODUCT((INDEX(Timeline!$P$5:$AN$305,0,MATCH($A5,Timeline!$P$4:$AN$4,0))="x")*(Timeline!$K$5:$K$305="Task")*ISNUMBER(Timeline!$I$5:$I$305)*ISNUMBER(Timeline!$J$5:$J$305)*(Timeline!$I$5:$I$305&lt;=AY$4+5)*(Timeline!$J$5:$J$305&gt;=AY$4+5)),SUMPRODUCT((INDEX(Timeline!$P$5:$AN$305,0,MATCH($A5,Timeline!$P$4:$AN$4,0))="x")*(Timeline!$K$5:$K$305="Task")*ISNUMBER(Timeline!$I$5:$I$305)*ISNUMBER(Timeline!$J$5:$J$305)*(Timeline!$I$5:$I$305&lt;=AY$4+6)*(Timeline!$J$5:$J$305&gt;=AY$4+6)))</f>
        <v>0</v>
      </c>
      <c r="AZ5" s="67">
        <f>MAX(SUMPRODUCT((INDEX(Timeline!$P$5:$AN$305,0,MATCH($A5,Timeline!$P$4:$AN$4,0))="x")*(Timeline!$K$5:$K$305="Task")*ISNUMBER(Timeline!$I$5:$I$305)*ISNUMBER(Timeline!$J$5:$J$305)*(Timeline!$I$5:$I$305&lt;=AZ$4+0)*(Timeline!$J$5:$J$305&gt;=AZ$4+0)),SUMPRODUCT((INDEX(Timeline!$P$5:$AN$305,0,MATCH($A5,Timeline!$P$4:$AN$4,0))="x")*(Timeline!$K$5:$K$305="Task")*ISNUMBER(Timeline!$I$5:$I$305)*ISNUMBER(Timeline!$J$5:$J$305)*(Timeline!$I$5:$I$305&lt;=AZ$4+1)*(Timeline!$J$5:$J$305&gt;=AZ$4+1)),SUMPRODUCT((INDEX(Timeline!$P$5:$AN$305,0,MATCH($A5,Timeline!$P$4:$AN$4,0))="x")*(Timeline!$K$5:$K$305="Task")*ISNUMBER(Timeline!$I$5:$I$305)*ISNUMBER(Timeline!$J$5:$J$305)*(Timeline!$I$5:$I$305&lt;=AZ$4+2)*(Timeline!$J$5:$J$305&gt;=AZ$4+2)),SUMPRODUCT((INDEX(Timeline!$P$5:$AN$305,0,MATCH($A5,Timeline!$P$4:$AN$4,0))="x")*(Timeline!$K$5:$K$305="Task")*ISNUMBER(Timeline!$I$5:$I$305)*ISNUMBER(Timeline!$J$5:$J$305)*(Timeline!$I$5:$I$305&lt;=AZ$4+3)*(Timeline!$J$5:$J$305&gt;=AZ$4+3)),SUMPRODUCT((INDEX(Timeline!$P$5:$AN$305,0,MATCH($A5,Timeline!$P$4:$AN$4,0))="x")*(Timeline!$K$5:$K$305="Task")*ISNUMBER(Timeline!$I$5:$I$305)*ISNUMBER(Timeline!$J$5:$J$305)*(Timeline!$I$5:$I$305&lt;=AZ$4+4)*(Timeline!$J$5:$J$305&gt;=AZ$4+4)),SUMPRODUCT((INDEX(Timeline!$P$5:$AN$305,0,MATCH($A5,Timeline!$P$4:$AN$4,0))="x")*(Timeline!$K$5:$K$305="Task")*ISNUMBER(Timeline!$I$5:$I$305)*ISNUMBER(Timeline!$J$5:$J$305)*(Timeline!$I$5:$I$305&lt;=AZ$4+5)*(Timeline!$J$5:$J$305&gt;=AZ$4+5)),SUMPRODUCT((INDEX(Timeline!$P$5:$AN$305,0,MATCH($A5,Timeline!$P$4:$AN$4,0))="x")*(Timeline!$K$5:$K$305="Task")*ISNUMBER(Timeline!$I$5:$I$305)*ISNUMBER(Timeline!$J$5:$J$305)*(Timeline!$I$5:$I$305&lt;=AZ$4+6)*(Timeline!$J$5:$J$305&gt;=AZ$4+6)))</f>
        <v>0</v>
      </c>
      <c r="BA5" s="67">
        <f>MAX(SUMPRODUCT((INDEX(Timeline!$P$5:$AN$305,0,MATCH($A5,Timeline!$P$4:$AN$4,0))="x")*(Timeline!$K$5:$K$305="Task")*ISNUMBER(Timeline!$I$5:$I$305)*ISNUMBER(Timeline!$J$5:$J$305)*(Timeline!$I$5:$I$305&lt;=BA$4+0)*(Timeline!$J$5:$J$305&gt;=BA$4+0)),SUMPRODUCT((INDEX(Timeline!$P$5:$AN$305,0,MATCH($A5,Timeline!$P$4:$AN$4,0))="x")*(Timeline!$K$5:$K$305="Task")*ISNUMBER(Timeline!$I$5:$I$305)*ISNUMBER(Timeline!$J$5:$J$305)*(Timeline!$I$5:$I$305&lt;=BA$4+1)*(Timeline!$J$5:$J$305&gt;=BA$4+1)),SUMPRODUCT((INDEX(Timeline!$P$5:$AN$305,0,MATCH($A5,Timeline!$P$4:$AN$4,0))="x")*(Timeline!$K$5:$K$305="Task")*ISNUMBER(Timeline!$I$5:$I$305)*ISNUMBER(Timeline!$J$5:$J$305)*(Timeline!$I$5:$I$305&lt;=BA$4+2)*(Timeline!$J$5:$J$305&gt;=BA$4+2)),SUMPRODUCT((INDEX(Timeline!$P$5:$AN$305,0,MATCH($A5,Timeline!$P$4:$AN$4,0))="x")*(Timeline!$K$5:$K$305="Task")*ISNUMBER(Timeline!$I$5:$I$305)*ISNUMBER(Timeline!$J$5:$J$305)*(Timeline!$I$5:$I$305&lt;=BA$4+3)*(Timeline!$J$5:$J$305&gt;=BA$4+3)),SUMPRODUCT((INDEX(Timeline!$P$5:$AN$305,0,MATCH($A5,Timeline!$P$4:$AN$4,0))="x")*(Timeline!$K$5:$K$305="Task")*ISNUMBER(Timeline!$I$5:$I$305)*ISNUMBER(Timeline!$J$5:$J$305)*(Timeline!$I$5:$I$305&lt;=BA$4+4)*(Timeline!$J$5:$J$305&gt;=BA$4+4)),SUMPRODUCT((INDEX(Timeline!$P$5:$AN$305,0,MATCH($A5,Timeline!$P$4:$AN$4,0))="x")*(Timeline!$K$5:$K$305="Task")*ISNUMBER(Timeline!$I$5:$I$305)*ISNUMBER(Timeline!$J$5:$J$305)*(Timeline!$I$5:$I$305&lt;=BA$4+5)*(Timeline!$J$5:$J$305&gt;=BA$4+5)),SUMPRODUCT((INDEX(Timeline!$P$5:$AN$305,0,MATCH($A5,Timeline!$P$4:$AN$4,0))="x")*(Timeline!$K$5:$K$305="Task")*ISNUMBER(Timeline!$I$5:$I$305)*ISNUMBER(Timeline!$J$5:$J$305)*(Timeline!$I$5:$I$305&lt;=BA$4+6)*(Timeline!$J$5:$J$305&gt;=BA$4+6)))</f>
        <v>0</v>
      </c>
    </row>
    <row r="6" spans="1:53" ht="15" customHeight="1">
      <c r="A6" s="66" t="s">
        <v>37</v>
      </c>
      <c r="B6" s="66" t="s">
        <v>5</v>
      </c>
      <c r="C6" s="67">
        <f>MAX(SUMPRODUCT((INDEX(Timeline!$P$5:$AN$305,0,MATCH($A6,Timeline!$P$4:$AN$4,0))="x")*(Timeline!$K$5:$K$305="Task")*ISNUMBER(Timeline!$I$5:$I$305)*ISNUMBER(Timeline!$J$5:$J$305)*(Timeline!$I$5:$I$305&lt;=C$4+0)*(Timeline!$J$5:$J$305&gt;=C$4+0)),SUMPRODUCT((INDEX(Timeline!$P$5:$AN$305,0,MATCH($A6,Timeline!$P$4:$AN$4,0))="x")*(Timeline!$K$5:$K$305="Task")*ISNUMBER(Timeline!$I$5:$I$305)*ISNUMBER(Timeline!$J$5:$J$305)*(Timeline!$I$5:$I$305&lt;=C$4+1)*(Timeline!$J$5:$J$305&gt;=C$4+1)),SUMPRODUCT((INDEX(Timeline!$P$5:$AN$305,0,MATCH($A6,Timeline!$P$4:$AN$4,0))="x")*(Timeline!$K$5:$K$305="Task")*ISNUMBER(Timeline!$I$5:$I$305)*ISNUMBER(Timeline!$J$5:$J$305)*(Timeline!$I$5:$I$305&lt;=C$4+2)*(Timeline!$J$5:$J$305&gt;=C$4+2)),SUMPRODUCT((INDEX(Timeline!$P$5:$AN$305,0,MATCH($A6,Timeline!$P$4:$AN$4,0))="x")*(Timeline!$K$5:$K$305="Task")*ISNUMBER(Timeline!$I$5:$I$305)*ISNUMBER(Timeline!$J$5:$J$305)*(Timeline!$I$5:$I$305&lt;=C$4+3)*(Timeline!$J$5:$J$305&gt;=C$4+3)),SUMPRODUCT((INDEX(Timeline!$P$5:$AN$305,0,MATCH($A6,Timeline!$P$4:$AN$4,0))="x")*(Timeline!$K$5:$K$305="Task")*ISNUMBER(Timeline!$I$5:$I$305)*ISNUMBER(Timeline!$J$5:$J$305)*(Timeline!$I$5:$I$305&lt;=C$4+4)*(Timeline!$J$5:$J$305&gt;=C$4+4)),SUMPRODUCT((INDEX(Timeline!$P$5:$AN$305,0,MATCH($A6,Timeline!$P$4:$AN$4,0))="x")*(Timeline!$K$5:$K$305="Task")*ISNUMBER(Timeline!$I$5:$I$305)*ISNUMBER(Timeline!$J$5:$J$305)*(Timeline!$I$5:$I$305&lt;=C$4+5)*(Timeline!$J$5:$J$305&gt;=C$4+5)),SUMPRODUCT((INDEX(Timeline!$P$5:$AN$305,0,MATCH($A6,Timeline!$P$4:$AN$4,0))="x")*(Timeline!$K$5:$K$305="Task")*ISNUMBER(Timeline!$I$5:$I$305)*ISNUMBER(Timeline!$J$5:$J$305)*(Timeline!$I$5:$I$305&lt;=C$4+6)*(Timeline!$J$5:$J$305&gt;=C$4+6)))</f>
        <v>0</v>
      </c>
      <c r="D6" s="67">
        <f>MAX(SUMPRODUCT((INDEX(Timeline!$P$5:$AN$305,0,MATCH($A6,Timeline!$P$4:$AN$4,0))="x")*(Timeline!$K$5:$K$305="Task")*ISNUMBER(Timeline!$I$5:$I$305)*ISNUMBER(Timeline!$J$5:$J$305)*(Timeline!$I$5:$I$305&lt;=D$4+0)*(Timeline!$J$5:$J$305&gt;=D$4+0)),SUMPRODUCT((INDEX(Timeline!$P$5:$AN$305,0,MATCH($A6,Timeline!$P$4:$AN$4,0))="x")*(Timeline!$K$5:$K$305="Task")*ISNUMBER(Timeline!$I$5:$I$305)*ISNUMBER(Timeline!$J$5:$J$305)*(Timeline!$I$5:$I$305&lt;=D$4+1)*(Timeline!$J$5:$J$305&gt;=D$4+1)),SUMPRODUCT((INDEX(Timeline!$P$5:$AN$305,0,MATCH($A6,Timeline!$P$4:$AN$4,0))="x")*(Timeline!$K$5:$K$305="Task")*ISNUMBER(Timeline!$I$5:$I$305)*ISNUMBER(Timeline!$J$5:$J$305)*(Timeline!$I$5:$I$305&lt;=D$4+2)*(Timeline!$J$5:$J$305&gt;=D$4+2)),SUMPRODUCT((INDEX(Timeline!$P$5:$AN$305,0,MATCH($A6,Timeline!$P$4:$AN$4,0))="x")*(Timeline!$K$5:$K$305="Task")*ISNUMBER(Timeline!$I$5:$I$305)*ISNUMBER(Timeline!$J$5:$J$305)*(Timeline!$I$5:$I$305&lt;=D$4+3)*(Timeline!$J$5:$J$305&gt;=D$4+3)),SUMPRODUCT((INDEX(Timeline!$P$5:$AN$305,0,MATCH($A6,Timeline!$P$4:$AN$4,0))="x")*(Timeline!$K$5:$K$305="Task")*ISNUMBER(Timeline!$I$5:$I$305)*ISNUMBER(Timeline!$J$5:$J$305)*(Timeline!$I$5:$I$305&lt;=D$4+4)*(Timeline!$J$5:$J$305&gt;=D$4+4)),SUMPRODUCT((INDEX(Timeline!$P$5:$AN$305,0,MATCH($A6,Timeline!$P$4:$AN$4,0))="x")*(Timeline!$K$5:$K$305="Task")*ISNUMBER(Timeline!$I$5:$I$305)*ISNUMBER(Timeline!$J$5:$J$305)*(Timeline!$I$5:$I$305&lt;=D$4+5)*(Timeline!$J$5:$J$305&gt;=D$4+5)),SUMPRODUCT((INDEX(Timeline!$P$5:$AN$305,0,MATCH($A6,Timeline!$P$4:$AN$4,0))="x")*(Timeline!$K$5:$K$305="Task")*ISNUMBER(Timeline!$I$5:$I$305)*ISNUMBER(Timeline!$J$5:$J$305)*(Timeline!$I$5:$I$305&lt;=D$4+6)*(Timeline!$J$5:$J$305&gt;=D$4+6)))</f>
        <v>0</v>
      </c>
      <c r="E6" s="67">
        <f>MAX(SUMPRODUCT((INDEX(Timeline!$P$5:$AN$305,0,MATCH($A6,Timeline!$P$4:$AN$4,0))="x")*(Timeline!$K$5:$K$305="Task")*ISNUMBER(Timeline!$I$5:$I$305)*ISNUMBER(Timeline!$J$5:$J$305)*(Timeline!$I$5:$I$305&lt;=E$4+0)*(Timeline!$J$5:$J$305&gt;=E$4+0)),SUMPRODUCT((INDEX(Timeline!$P$5:$AN$305,0,MATCH($A6,Timeline!$P$4:$AN$4,0))="x")*(Timeline!$K$5:$K$305="Task")*ISNUMBER(Timeline!$I$5:$I$305)*ISNUMBER(Timeline!$J$5:$J$305)*(Timeline!$I$5:$I$305&lt;=E$4+1)*(Timeline!$J$5:$J$305&gt;=E$4+1)),SUMPRODUCT((INDEX(Timeline!$P$5:$AN$305,0,MATCH($A6,Timeline!$P$4:$AN$4,0))="x")*(Timeline!$K$5:$K$305="Task")*ISNUMBER(Timeline!$I$5:$I$305)*ISNUMBER(Timeline!$J$5:$J$305)*(Timeline!$I$5:$I$305&lt;=E$4+2)*(Timeline!$J$5:$J$305&gt;=E$4+2)),SUMPRODUCT((INDEX(Timeline!$P$5:$AN$305,0,MATCH($A6,Timeline!$P$4:$AN$4,0))="x")*(Timeline!$K$5:$K$305="Task")*ISNUMBER(Timeline!$I$5:$I$305)*ISNUMBER(Timeline!$J$5:$J$305)*(Timeline!$I$5:$I$305&lt;=E$4+3)*(Timeline!$J$5:$J$305&gt;=E$4+3)),SUMPRODUCT((INDEX(Timeline!$P$5:$AN$305,0,MATCH($A6,Timeline!$P$4:$AN$4,0))="x")*(Timeline!$K$5:$K$305="Task")*ISNUMBER(Timeline!$I$5:$I$305)*ISNUMBER(Timeline!$J$5:$J$305)*(Timeline!$I$5:$I$305&lt;=E$4+4)*(Timeline!$J$5:$J$305&gt;=E$4+4)),SUMPRODUCT((INDEX(Timeline!$P$5:$AN$305,0,MATCH($A6,Timeline!$P$4:$AN$4,0))="x")*(Timeline!$K$5:$K$305="Task")*ISNUMBER(Timeline!$I$5:$I$305)*ISNUMBER(Timeline!$J$5:$J$305)*(Timeline!$I$5:$I$305&lt;=E$4+5)*(Timeline!$J$5:$J$305&gt;=E$4+5)),SUMPRODUCT((INDEX(Timeline!$P$5:$AN$305,0,MATCH($A6,Timeline!$P$4:$AN$4,0))="x")*(Timeline!$K$5:$K$305="Task")*ISNUMBER(Timeline!$I$5:$I$305)*ISNUMBER(Timeline!$J$5:$J$305)*(Timeline!$I$5:$I$305&lt;=E$4+6)*(Timeline!$J$5:$J$305&gt;=E$4+6)))</f>
        <v>0</v>
      </c>
      <c r="F6" s="67">
        <f>MAX(SUMPRODUCT((INDEX(Timeline!$P$5:$AN$305,0,MATCH($A6,Timeline!$P$4:$AN$4,0))="x")*(Timeline!$K$5:$K$305="Task")*ISNUMBER(Timeline!$I$5:$I$305)*ISNUMBER(Timeline!$J$5:$J$305)*(Timeline!$I$5:$I$305&lt;=F$4+0)*(Timeline!$J$5:$J$305&gt;=F$4+0)),SUMPRODUCT((INDEX(Timeline!$P$5:$AN$305,0,MATCH($A6,Timeline!$P$4:$AN$4,0))="x")*(Timeline!$K$5:$K$305="Task")*ISNUMBER(Timeline!$I$5:$I$305)*ISNUMBER(Timeline!$J$5:$J$305)*(Timeline!$I$5:$I$305&lt;=F$4+1)*(Timeline!$J$5:$J$305&gt;=F$4+1)),SUMPRODUCT((INDEX(Timeline!$P$5:$AN$305,0,MATCH($A6,Timeline!$P$4:$AN$4,0))="x")*(Timeline!$K$5:$K$305="Task")*ISNUMBER(Timeline!$I$5:$I$305)*ISNUMBER(Timeline!$J$5:$J$305)*(Timeline!$I$5:$I$305&lt;=F$4+2)*(Timeline!$J$5:$J$305&gt;=F$4+2)),SUMPRODUCT((INDEX(Timeline!$P$5:$AN$305,0,MATCH($A6,Timeline!$P$4:$AN$4,0))="x")*(Timeline!$K$5:$K$305="Task")*ISNUMBER(Timeline!$I$5:$I$305)*ISNUMBER(Timeline!$J$5:$J$305)*(Timeline!$I$5:$I$305&lt;=F$4+3)*(Timeline!$J$5:$J$305&gt;=F$4+3)),SUMPRODUCT((INDEX(Timeline!$P$5:$AN$305,0,MATCH($A6,Timeline!$P$4:$AN$4,0))="x")*(Timeline!$K$5:$K$305="Task")*ISNUMBER(Timeline!$I$5:$I$305)*ISNUMBER(Timeline!$J$5:$J$305)*(Timeline!$I$5:$I$305&lt;=F$4+4)*(Timeline!$J$5:$J$305&gt;=F$4+4)),SUMPRODUCT((INDEX(Timeline!$P$5:$AN$305,0,MATCH($A6,Timeline!$P$4:$AN$4,0))="x")*(Timeline!$K$5:$K$305="Task")*ISNUMBER(Timeline!$I$5:$I$305)*ISNUMBER(Timeline!$J$5:$J$305)*(Timeline!$I$5:$I$305&lt;=F$4+5)*(Timeline!$J$5:$J$305&gt;=F$4+5)),SUMPRODUCT((INDEX(Timeline!$P$5:$AN$305,0,MATCH($A6,Timeline!$P$4:$AN$4,0))="x")*(Timeline!$K$5:$K$305="Task")*ISNUMBER(Timeline!$I$5:$I$305)*ISNUMBER(Timeline!$J$5:$J$305)*(Timeline!$I$5:$I$305&lt;=F$4+6)*(Timeline!$J$5:$J$305&gt;=F$4+6)))</f>
        <v>1</v>
      </c>
      <c r="G6" s="67">
        <f>MAX(SUMPRODUCT((INDEX(Timeline!$P$5:$AN$305,0,MATCH($A6,Timeline!$P$4:$AN$4,0))="x")*(Timeline!$K$5:$K$305="Task")*ISNUMBER(Timeline!$I$5:$I$305)*ISNUMBER(Timeline!$J$5:$J$305)*(Timeline!$I$5:$I$305&lt;=G$4+0)*(Timeline!$J$5:$J$305&gt;=G$4+0)),SUMPRODUCT((INDEX(Timeline!$P$5:$AN$305,0,MATCH($A6,Timeline!$P$4:$AN$4,0))="x")*(Timeline!$K$5:$K$305="Task")*ISNUMBER(Timeline!$I$5:$I$305)*ISNUMBER(Timeline!$J$5:$J$305)*(Timeline!$I$5:$I$305&lt;=G$4+1)*(Timeline!$J$5:$J$305&gt;=G$4+1)),SUMPRODUCT((INDEX(Timeline!$P$5:$AN$305,0,MATCH($A6,Timeline!$P$4:$AN$4,0))="x")*(Timeline!$K$5:$K$305="Task")*ISNUMBER(Timeline!$I$5:$I$305)*ISNUMBER(Timeline!$J$5:$J$305)*(Timeline!$I$5:$I$305&lt;=G$4+2)*(Timeline!$J$5:$J$305&gt;=G$4+2)),SUMPRODUCT((INDEX(Timeline!$P$5:$AN$305,0,MATCH($A6,Timeline!$P$4:$AN$4,0))="x")*(Timeline!$K$5:$K$305="Task")*ISNUMBER(Timeline!$I$5:$I$305)*ISNUMBER(Timeline!$J$5:$J$305)*(Timeline!$I$5:$I$305&lt;=G$4+3)*(Timeline!$J$5:$J$305&gt;=G$4+3)),SUMPRODUCT((INDEX(Timeline!$P$5:$AN$305,0,MATCH($A6,Timeline!$P$4:$AN$4,0))="x")*(Timeline!$K$5:$K$305="Task")*ISNUMBER(Timeline!$I$5:$I$305)*ISNUMBER(Timeline!$J$5:$J$305)*(Timeline!$I$5:$I$305&lt;=G$4+4)*(Timeline!$J$5:$J$305&gt;=G$4+4)),SUMPRODUCT((INDEX(Timeline!$P$5:$AN$305,0,MATCH($A6,Timeline!$P$4:$AN$4,0))="x")*(Timeline!$K$5:$K$305="Task")*ISNUMBER(Timeline!$I$5:$I$305)*ISNUMBER(Timeline!$J$5:$J$305)*(Timeline!$I$5:$I$305&lt;=G$4+5)*(Timeline!$J$5:$J$305&gt;=G$4+5)),SUMPRODUCT((INDEX(Timeline!$P$5:$AN$305,0,MATCH($A6,Timeline!$P$4:$AN$4,0))="x")*(Timeline!$K$5:$K$305="Task")*ISNUMBER(Timeline!$I$5:$I$305)*ISNUMBER(Timeline!$J$5:$J$305)*(Timeline!$I$5:$I$305&lt;=G$4+6)*(Timeline!$J$5:$J$305&gt;=G$4+6)))</f>
        <v>1</v>
      </c>
      <c r="H6" s="67">
        <f>MAX(SUMPRODUCT((INDEX(Timeline!$P$5:$AN$305,0,MATCH($A6,Timeline!$P$4:$AN$4,0))="x")*(Timeline!$K$5:$K$305="Task")*ISNUMBER(Timeline!$I$5:$I$305)*ISNUMBER(Timeline!$J$5:$J$305)*(Timeline!$I$5:$I$305&lt;=H$4+0)*(Timeline!$J$5:$J$305&gt;=H$4+0)),SUMPRODUCT((INDEX(Timeline!$P$5:$AN$305,0,MATCH($A6,Timeline!$P$4:$AN$4,0))="x")*(Timeline!$K$5:$K$305="Task")*ISNUMBER(Timeline!$I$5:$I$305)*ISNUMBER(Timeline!$J$5:$J$305)*(Timeline!$I$5:$I$305&lt;=H$4+1)*(Timeline!$J$5:$J$305&gt;=H$4+1)),SUMPRODUCT((INDEX(Timeline!$P$5:$AN$305,0,MATCH($A6,Timeline!$P$4:$AN$4,0))="x")*(Timeline!$K$5:$K$305="Task")*ISNUMBER(Timeline!$I$5:$I$305)*ISNUMBER(Timeline!$J$5:$J$305)*(Timeline!$I$5:$I$305&lt;=H$4+2)*(Timeline!$J$5:$J$305&gt;=H$4+2)),SUMPRODUCT((INDEX(Timeline!$P$5:$AN$305,0,MATCH($A6,Timeline!$P$4:$AN$4,0))="x")*(Timeline!$K$5:$K$305="Task")*ISNUMBER(Timeline!$I$5:$I$305)*ISNUMBER(Timeline!$J$5:$J$305)*(Timeline!$I$5:$I$305&lt;=H$4+3)*(Timeline!$J$5:$J$305&gt;=H$4+3)),SUMPRODUCT((INDEX(Timeline!$P$5:$AN$305,0,MATCH($A6,Timeline!$P$4:$AN$4,0))="x")*(Timeline!$K$5:$K$305="Task")*ISNUMBER(Timeline!$I$5:$I$305)*ISNUMBER(Timeline!$J$5:$J$305)*(Timeline!$I$5:$I$305&lt;=H$4+4)*(Timeline!$J$5:$J$305&gt;=H$4+4)),SUMPRODUCT((INDEX(Timeline!$P$5:$AN$305,0,MATCH($A6,Timeline!$P$4:$AN$4,0))="x")*(Timeline!$K$5:$K$305="Task")*ISNUMBER(Timeline!$I$5:$I$305)*ISNUMBER(Timeline!$J$5:$J$305)*(Timeline!$I$5:$I$305&lt;=H$4+5)*(Timeline!$J$5:$J$305&gt;=H$4+5)),SUMPRODUCT((INDEX(Timeline!$P$5:$AN$305,0,MATCH($A6,Timeline!$P$4:$AN$4,0))="x")*(Timeline!$K$5:$K$305="Task")*ISNUMBER(Timeline!$I$5:$I$305)*ISNUMBER(Timeline!$J$5:$J$305)*(Timeline!$I$5:$I$305&lt;=H$4+6)*(Timeline!$J$5:$J$305&gt;=H$4+6)))</f>
        <v>1</v>
      </c>
      <c r="I6" s="67">
        <f>MAX(SUMPRODUCT((INDEX(Timeline!$P$5:$AN$305,0,MATCH($A6,Timeline!$P$4:$AN$4,0))="x")*(Timeline!$K$5:$K$305="Task")*ISNUMBER(Timeline!$I$5:$I$305)*ISNUMBER(Timeline!$J$5:$J$305)*(Timeline!$I$5:$I$305&lt;=I$4+0)*(Timeline!$J$5:$J$305&gt;=I$4+0)),SUMPRODUCT((INDEX(Timeline!$P$5:$AN$305,0,MATCH($A6,Timeline!$P$4:$AN$4,0))="x")*(Timeline!$K$5:$K$305="Task")*ISNUMBER(Timeline!$I$5:$I$305)*ISNUMBER(Timeline!$J$5:$J$305)*(Timeline!$I$5:$I$305&lt;=I$4+1)*(Timeline!$J$5:$J$305&gt;=I$4+1)),SUMPRODUCT((INDEX(Timeline!$P$5:$AN$305,0,MATCH($A6,Timeline!$P$4:$AN$4,0))="x")*(Timeline!$K$5:$K$305="Task")*ISNUMBER(Timeline!$I$5:$I$305)*ISNUMBER(Timeline!$J$5:$J$305)*(Timeline!$I$5:$I$305&lt;=I$4+2)*(Timeline!$J$5:$J$305&gt;=I$4+2)),SUMPRODUCT((INDEX(Timeline!$P$5:$AN$305,0,MATCH($A6,Timeline!$P$4:$AN$4,0))="x")*(Timeline!$K$5:$K$305="Task")*ISNUMBER(Timeline!$I$5:$I$305)*ISNUMBER(Timeline!$J$5:$J$305)*(Timeline!$I$5:$I$305&lt;=I$4+3)*(Timeline!$J$5:$J$305&gt;=I$4+3)),SUMPRODUCT((INDEX(Timeline!$P$5:$AN$305,0,MATCH($A6,Timeline!$P$4:$AN$4,0))="x")*(Timeline!$K$5:$K$305="Task")*ISNUMBER(Timeline!$I$5:$I$305)*ISNUMBER(Timeline!$J$5:$J$305)*(Timeline!$I$5:$I$305&lt;=I$4+4)*(Timeline!$J$5:$J$305&gt;=I$4+4)),SUMPRODUCT((INDEX(Timeline!$P$5:$AN$305,0,MATCH($A6,Timeline!$P$4:$AN$4,0))="x")*(Timeline!$K$5:$K$305="Task")*ISNUMBER(Timeline!$I$5:$I$305)*ISNUMBER(Timeline!$J$5:$J$305)*(Timeline!$I$5:$I$305&lt;=I$4+5)*(Timeline!$J$5:$J$305&gt;=I$4+5)),SUMPRODUCT((INDEX(Timeline!$P$5:$AN$305,0,MATCH($A6,Timeline!$P$4:$AN$4,0))="x")*(Timeline!$K$5:$K$305="Task")*ISNUMBER(Timeline!$I$5:$I$305)*ISNUMBER(Timeline!$J$5:$J$305)*(Timeline!$I$5:$I$305&lt;=I$4+6)*(Timeline!$J$5:$J$305&gt;=I$4+6)))</f>
        <v>1</v>
      </c>
      <c r="J6" s="67">
        <f>MAX(SUMPRODUCT((INDEX(Timeline!$P$5:$AN$305,0,MATCH($A6,Timeline!$P$4:$AN$4,0))="x")*(Timeline!$K$5:$K$305="Task")*ISNUMBER(Timeline!$I$5:$I$305)*ISNUMBER(Timeline!$J$5:$J$305)*(Timeline!$I$5:$I$305&lt;=J$4+0)*(Timeline!$J$5:$J$305&gt;=J$4+0)),SUMPRODUCT((INDEX(Timeline!$P$5:$AN$305,0,MATCH($A6,Timeline!$P$4:$AN$4,0))="x")*(Timeline!$K$5:$K$305="Task")*ISNUMBER(Timeline!$I$5:$I$305)*ISNUMBER(Timeline!$J$5:$J$305)*(Timeline!$I$5:$I$305&lt;=J$4+1)*(Timeline!$J$5:$J$305&gt;=J$4+1)),SUMPRODUCT((INDEX(Timeline!$P$5:$AN$305,0,MATCH($A6,Timeline!$P$4:$AN$4,0))="x")*(Timeline!$K$5:$K$305="Task")*ISNUMBER(Timeline!$I$5:$I$305)*ISNUMBER(Timeline!$J$5:$J$305)*(Timeline!$I$5:$I$305&lt;=J$4+2)*(Timeline!$J$5:$J$305&gt;=J$4+2)),SUMPRODUCT((INDEX(Timeline!$P$5:$AN$305,0,MATCH($A6,Timeline!$P$4:$AN$4,0))="x")*(Timeline!$K$5:$K$305="Task")*ISNUMBER(Timeline!$I$5:$I$305)*ISNUMBER(Timeline!$J$5:$J$305)*(Timeline!$I$5:$I$305&lt;=J$4+3)*(Timeline!$J$5:$J$305&gt;=J$4+3)),SUMPRODUCT((INDEX(Timeline!$P$5:$AN$305,0,MATCH($A6,Timeline!$P$4:$AN$4,0))="x")*(Timeline!$K$5:$K$305="Task")*ISNUMBER(Timeline!$I$5:$I$305)*ISNUMBER(Timeline!$J$5:$J$305)*(Timeline!$I$5:$I$305&lt;=J$4+4)*(Timeline!$J$5:$J$305&gt;=J$4+4)),SUMPRODUCT((INDEX(Timeline!$P$5:$AN$305,0,MATCH($A6,Timeline!$P$4:$AN$4,0))="x")*(Timeline!$K$5:$K$305="Task")*ISNUMBER(Timeline!$I$5:$I$305)*ISNUMBER(Timeline!$J$5:$J$305)*(Timeline!$I$5:$I$305&lt;=J$4+5)*(Timeline!$J$5:$J$305&gt;=J$4+5)),SUMPRODUCT((INDEX(Timeline!$P$5:$AN$305,0,MATCH($A6,Timeline!$P$4:$AN$4,0))="x")*(Timeline!$K$5:$K$305="Task")*ISNUMBER(Timeline!$I$5:$I$305)*ISNUMBER(Timeline!$J$5:$J$305)*(Timeline!$I$5:$I$305&lt;=J$4+6)*(Timeline!$J$5:$J$305&gt;=J$4+6)))</f>
        <v>1</v>
      </c>
      <c r="K6" s="67">
        <f>MAX(SUMPRODUCT((INDEX(Timeline!$P$5:$AN$305,0,MATCH($A6,Timeline!$P$4:$AN$4,0))="x")*(Timeline!$K$5:$K$305="Task")*ISNUMBER(Timeline!$I$5:$I$305)*ISNUMBER(Timeline!$J$5:$J$305)*(Timeline!$I$5:$I$305&lt;=K$4+0)*(Timeline!$J$5:$J$305&gt;=K$4+0)),SUMPRODUCT((INDEX(Timeline!$P$5:$AN$305,0,MATCH($A6,Timeline!$P$4:$AN$4,0))="x")*(Timeline!$K$5:$K$305="Task")*ISNUMBER(Timeline!$I$5:$I$305)*ISNUMBER(Timeline!$J$5:$J$305)*(Timeline!$I$5:$I$305&lt;=K$4+1)*(Timeline!$J$5:$J$305&gt;=K$4+1)),SUMPRODUCT((INDEX(Timeline!$P$5:$AN$305,0,MATCH($A6,Timeline!$P$4:$AN$4,0))="x")*(Timeline!$K$5:$K$305="Task")*ISNUMBER(Timeline!$I$5:$I$305)*ISNUMBER(Timeline!$J$5:$J$305)*(Timeline!$I$5:$I$305&lt;=K$4+2)*(Timeline!$J$5:$J$305&gt;=K$4+2)),SUMPRODUCT((INDEX(Timeline!$P$5:$AN$305,0,MATCH($A6,Timeline!$P$4:$AN$4,0))="x")*(Timeline!$K$5:$K$305="Task")*ISNUMBER(Timeline!$I$5:$I$305)*ISNUMBER(Timeline!$J$5:$J$305)*(Timeline!$I$5:$I$305&lt;=K$4+3)*(Timeline!$J$5:$J$305&gt;=K$4+3)),SUMPRODUCT((INDEX(Timeline!$P$5:$AN$305,0,MATCH($A6,Timeline!$P$4:$AN$4,0))="x")*(Timeline!$K$5:$K$305="Task")*ISNUMBER(Timeline!$I$5:$I$305)*ISNUMBER(Timeline!$J$5:$J$305)*(Timeline!$I$5:$I$305&lt;=K$4+4)*(Timeline!$J$5:$J$305&gt;=K$4+4)),SUMPRODUCT((INDEX(Timeline!$P$5:$AN$305,0,MATCH($A6,Timeline!$P$4:$AN$4,0))="x")*(Timeline!$K$5:$K$305="Task")*ISNUMBER(Timeline!$I$5:$I$305)*ISNUMBER(Timeline!$J$5:$J$305)*(Timeline!$I$5:$I$305&lt;=K$4+5)*(Timeline!$J$5:$J$305&gt;=K$4+5)),SUMPRODUCT((INDEX(Timeline!$P$5:$AN$305,0,MATCH($A6,Timeline!$P$4:$AN$4,0))="x")*(Timeline!$K$5:$K$305="Task")*ISNUMBER(Timeline!$I$5:$I$305)*ISNUMBER(Timeline!$J$5:$J$305)*(Timeline!$I$5:$I$305&lt;=K$4+6)*(Timeline!$J$5:$J$305&gt;=K$4+6)))</f>
        <v>1</v>
      </c>
      <c r="L6" s="67">
        <f>MAX(SUMPRODUCT((INDEX(Timeline!$P$5:$AN$305,0,MATCH($A6,Timeline!$P$4:$AN$4,0))="x")*(Timeline!$K$5:$K$305="Task")*ISNUMBER(Timeline!$I$5:$I$305)*ISNUMBER(Timeline!$J$5:$J$305)*(Timeline!$I$5:$I$305&lt;=L$4+0)*(Timeline!$J$5:$J$305&gt;=L$4+0)),SUMPRODUCT((INDEX(Timeline!$P$5:$AN$305,0,MATCH($A6,Timeline!$P$4:$AN$4,0))="x")*(Timeline!$K$5:$K$305="Task")*ISNUMBER(Timeline!$I$5:$I$305)*ISNUMBER(Timeline!$J$5:$J$305)*(Timeline!$I$5:$I$305&lt;=L$4+1)*(Timeline!$J$5:$J$305&gt;=L$4+1)),SUMPRODUCT((INDEX(Timeline!$P$5:$AN$305,0,MATCH($A6,Timeline!$P$4:$AN$4,0))="x")*(Timeline!$K$5:$K$305="Task")*ISNUMBER(Timeline!$I$5:$I$305)*ISNUMBER(Timeline!$J$5:$J$305)*(Timeline!$I$5:$I$305&lt;=L$4+2)*(Timeline!$J$5:$J$305&gt;=L$4+2)),SUMPRODUCT((INDEX(Timeline!$P$5:$AN$305,0,MATCH($A6,Timeline!$P$4:$AN$4,0))="x")*(Timeline!$K$5:$K$305="Task")*ISNUMBER(Timeline!$I$5:$I$305)*ISNUMBER(Timeline!$J$5:$J$305)*(Timeline!$I$5:$I$305&lt;=L$4+3)*(Timeline!$J$5:$J$305&gt;=L$4+3)),SUMPRODUCT((INDEX(Timeline!$P$5:$AN$305,0,MATCH($A6,Timeline!$P$4:$AN$4,0))="x")*(Timeline!$K$5:$K$305="Task")*ISNUMBER(Timeline!$I$5:$I$305)*ISNUMBER(Timeline!$J$5:$J$305)*(Timeline!$I$5:$I$305&lt;=L$4+4)*(Timeline!$J$5:$J$305&gt;=L$4+4)),SUMPRODUCT((INDEX(Timeline!$P$5:$AN$305,0,MATCH($A6,Timeline!$P$4:$AN$4,0))="x")*(Timeline!$K$5:$K$305="Task")*ISNUMBER(Timeline!$I$5:$I$305)*ISNUMBER(Timeline!$J$5:$J$305)*(Timeline!$I$5:$I$305&lt;=L$4+5)*(Timeline!$J$5:$J$305&gt;=L$4+5)),SUMPRODUCT((INDEX(Timeline!$P$5:$AN$305,0,MATCH($A6,Timeline!$P$4:$AN$4,0))="x")*(Timeline!$K$5:$K$305="Task")*ISNUMBER(Timeline!$I$5:$I$305)*ISNUMBER(Timeline!$J$5:$J$305)*(Timeline!$I$5:$I$305&lt;=L$4+6)*(Timeline!$J$5:$J$305&gt;=L$4+6)))</f>
        <v>1</v>
      </c>
      <c r="M6" s="67">
        <f>MAX(SUMPRODUCT((INDEX(Timeline!$P$5:$AN$305,0,MATCH($A6,Timeline!$P$4:$AN$4,0))="x")*(Timeline!$K$5:$K$305="Task")*ISNUMBER(Timeline!$I$5:$I$305)*ISNUMBER(Timeline!$J$5:$J$305)*(Timeline!$I$5:$I$305&lt;=M$4+0)*(Timeline!$J$5:$J$305&gt;=M$4+0)),SUMPRODUCT((INDEX(Timeline!$P$5:$AN$305,0,MATCH($A6,Timeline!$P$4:$AN$4,0))="x")*(Timeline!$K$5:$K$305="Task")*ISNUMBER(Timeline!$I$5:$I$305)*ISNUMBER(Timeline!$J$5:$J$305)*(Timeline!$I$5:$I$305&lt;=M$4+1)*(Timeline!$J$5:$J$305&gt;=M$4+1)),SUMPRODUCT((INDEX(Timeline!$P$5:$AN$305,0,MATCH($A6,Timeline!$P$4:$AN$4,0))="x")*(Timeline!$K$5:$K$305="Task")*ISNUMBER(Timeline!$I$5:$I$305)*ISNUMBER(Timeline!$J$5:$J$305)*(Timeline!$I$5:$I$305&lt;=M$4+2)*(Timeline!$J$5:$J$305&gt;=M$4+2)),SUMPRODUCT((INDEX(Timeline!$P$5:$AN$305,0,MATCH($A6,Timeline!$P$4:$AN$4,0))="x")*(Timeline!$K$5:$K$305="Task")*ISNUMBER(Timeline!$I$5:$I$305)*ISNUMBER(Timeline!$J$5:$J$305)*(Timeline!$I$5:$I$305&lt;=M$4+3)*(Timeline!$J$5:$J$305&gt;=M$4+3)),SUMPRODUCT((INDEX(Timeline!$P$5:$AN$305,0,MATCH($A6,Timeline!$P$4:$AN$4,0))="x")*(Timeline!$K$5:$K$305="Task")*ISNUMBER(Timeline!$I$5:$I$305)*ISNUMBER(Timeline!$J$5:$J$305)*(Timeline!$I$5:$I$305&lt;=M$4+4)*(Timeline!$J$5:$J$305&gt;=M$4+4)),SUMPRODUCT((INDEX(Timeline!$P$5:$AN$305,0,MATCH($A6,Timeline!$P$4:$AN$4,0))="x")*(Timeline!$K$5:$K$305="Task")*ISNUMBER(Timeline!$I$5:$I$305)*ISNUMBER(Timeline!$J$5:$J$305)*(Timeline!$I$5:$I$305&lt;=M$4+5)*(Timeline!$J$5:$J$305&gt;=M$4+5)),SUMPRODUCT((INDEX(Timeline!$P$5:$AN$305,0,MATCH($A6,Timeline!$P$4:$AN$4,0))="x")*(Timeline!$K$5:$K$305="Task")*ISNUMBER(Timeline!$I$5:$I$305)*ISNUMBER(Timeline!$J$5:$J$305)*(Timeline!$I$5:$I$305&lt;=M$4+6)*(Timeline!$J$5:$J$305&gt;=M$4+6)))</f>
        <v>1</v>
      </c>
      <c r="N6" s="67">
        <f>MAX(SUMPRODUCT((INDEX(Timeline!$P$5:$AN$305,0,MATCH($A6,Timeline!$P$4:$AN$4,0))="x")*(Timeline!$K$5:$K$305="Task")*ISNUMBER(Timeline!$I$5:$I$305)*ISNUMBER(Timeline!$J$5:$J$305)*(Timeline!$I$5:$I$305&lt;=N$4+0)*(Timeline!$J$5:$J$305&gt;=N$4+0)),SUMPRODUCT((INDEX(Timeline!$P$5:$AN$305,0,MATCH($A6,Timeline!$P$4:$AN$4,0))="x")*(Timeline!$K$5:$K$305="Task")*ISNUMBER(Timeline!$I$5:$I$305)*ISNUMBER(Timeline!$J$5:$J$305)*(Timeline!$I$5:$I$305&lt;=N$4+1)*(Timeline!$J$5:$J$305&gt;=N$4+1)),SUMPRODUCT((INDEX(Timeline!$P$5:$AN$305,0,MATCH($A6,Timeline!$P$4:$AN$4,0))="x")*(Timeline!$K$5:$K$305="Task")*ISNUMBER(Timeline!$I$5:$I$305)*ISNUMBER(Timeline!$J$5:$J$305)*(Timeline!$I$5:$I$305&lt;=N$4+2)*(Timeline!$J$5:$J$305&gt;=N$4+2)),SUMPRODUCT((INDEX(Timeline!$P$5:$AN$305,0,MATCH($A6,Timeline!$P$4:$AN$4,0))="x")*(Timeline!$K$5:$K$305="Task")*ISNUMBER(Timeline!$I$5:$I$305)*ISNUMBER(Timeline!$J$5:$J$305)*(Timeline!$I$5:$I$305&lt;=N$4+3)*(Timeline!$J$5:$J$305&gt;=N$4+3)),SUMPRODUCT((INDEX(Timeline!$P$5:$AN$305,0,MATCH($A6,Timeline!$P$4:$AN$4,0))="x")*(Timeline!$K$5:$K$305="Task")*ISNUMBER(Timeline!$I$5:$I$305)*ISNUMBER(Timeline!$J$5:$J$305)*(Timeline!$I$5:$I$305&lt;=N$4+4)*(Timeline!$J$5:$J$305&gt;=N$4+4)),SUMPRODUCT((INDEX(Timeline!$P$5:$AN$305,0,MATCH($A6,Timeline!$P$4:$AN$4,0))="x")*(Timeline!$K$5:$K$305="Task")*ISNUMBER(Timeline!$I$5:$I$305)*ISNUMBER(Timeline!$J$5:$J$305)*(Timeline!$I$5:$I$305&lt;=N$4+5)*(Timeline!$J$5:$J$305&gt;=N$4+5)),SUMPRODUCT((INDEX(Timeline!$P$5:$AN$305,0,MATCH($A6,Timeline!$P$4:$AN$4,0))="x")*(Timeline!$K$5:$K$305="Task")*ISNUMBER(Timeline!$I$5:$I$305)*ISNUMBER(Timeline!$J$5:$J$305)*(Timeline!$I$5:$I$305&lt;=N$4+6)*(Timeline!$J$5:$J$305&gt;=N$4+6)))</f>
        <v>1</v>
      </c>
      <c r="O6" s="67">
        <f>MAX(SUMPRODUCT((INDEX(Timeline!$P$5:$AN$305,0,MATCH($A6,Timeline!$P$4:$AN$4,0))="x")*(Timeline!$K$5:$K$305="Task")*ISNUMBER(Timeline!$I$5:$I$305)*ISNUMBER(Timeline!$J$5:$J$305)*(Timeline!$I$5:$I$305&lt;=O$4+0)*(Timeline!$J$5:$J$305&gt;=O$4+0)),SUMPRODUCT((INDEX(Timeline!$P$5:$AN$305,0,MATCH($A6,Timeline!$P$4:$AN$4,0))="x")*(Timeline!$K$5:$K$305="Task")*ISNUMBER(Timeline!$I$5:$I$305)*ISNUMBER(Timeline!$J$5:$J$305)*(Timeline!$I$5:$I$305&lt;=O$4+1)*(Timeline!$J$5:$J$305&gt;=O$4+1)),SUMPRODUCT((INDEX(Timeline!$P$5:$AN$305,0,MATCH($A6,Timeline!$P$4:$AN$4,0))="x")*(Timeline!$K$5:$K$305="Task")*ISNUMBER(Timeline!$I$5:$I$305)*ISNUMBER(Timeline!$J$5:$J$305)*(Timeline!$I$5:$I$305&lt;=O$4+2)*(Timeline!$J$5:$J$305&gt;=O$4+2)),SUMPRODUCT((INDEX(Timeline!$P$5:$AN$305,0,MATCH($A6,Timeline!$P$4:$AN$4,0))="x")*(Timeline!$K$5:$K$305="Task")*ISNUMBER(Timeline!$I$5:$I$305)*ISNUMBER(Timeline!$J$5:$J$305)*(Timeline!$I$5:$I$305&lt;=O$4+3)*(Timeline!$J$5:$J$305&gt;=O$4+3)),SUMPRODUCT((INDEX(Timeline!$P$5:$AN$305,0,MATCH($A6,Timeline!$P$4:$AN$4,0))="x")*(Timeline!$K$5:$K$305="Task")*ISNUMBER(Timeline!$I$5:$I$305)*ISNUMBER(Timeline!$J$5:$J$305)*(Timeline!$I$5:$I$305&lt;=O$4+4)*(Timeline!$J$5:$J$305&gt;=O$4+4)),SUMPRODUCT((INDEX(Timeline!$P$5:$AN$305,0,MATCH($A6,Timeline!$P$4:$AN$4,0))="x")*(Timeline!$K$5:$K$305="Task")*ISNUMBER(Timeline!$I$5:$I$305)*ISNUMBER(Timeline!$J$5:$J$305)*(Timeline!$I$5:$I$305&lt;=O$4+5)*(Timeline!$J$5:$J$305&gt;=O$4+5)),SUMPRODUCT((INDEX(Timeline!$P$5:$AN$305,0,MATCH($A6,Timeline!$P$4:$AN$4,0))="x")*(Timeline!$K$5:$K$305="Task")*ISNUMBER(Timeline!$I$5:$I$305)*ISNUMBER(Timeline!$J$5:$J$305)*(Timeline!$I$5:$I$305&lt;=O$4+6)*(Timeline!$J$5:$J$305&gt;=O$4+6)))</f>
        <v>1</v>
      </c>
      <c r="P6" s="67">
        <f>MAX(SUMPRODUCT((INDEX(Timeline!$P$5:$AN$305,0,MATCH($A6,Timeline!$P$4:$AN$4,0))="x")*(Timeline!$K$5:$K$305="Task")*ISNUMBER(Timeline!$I$5:$I$305)*ISNUMBER(Timeline!$J$5:$J$305)*(Timeline!$I$5:$I$305&lt;=P$4+0)*(Timeline!$J$5:$J$305&gt;=P$4+0)),SUMPRODUCT((INDEX(Timeline!$P$5:$AN$305,0,MATCH($A6,Timeline!$P$4:$AN$4,0))="x")*(Timeline!$K$5:$K$305="Task")*ISNUMBER(Timeline!$I$5:$I$305)*ISNUMBER(Timeline!$J$5:$J$305)*(Timeline!$I$5:$I$305&lt;=P$4+1)*(Timeline!$J$5:$J$305&gt;=P$4+1)),SUMPRODUCT((INDEX(Timeline!$P$5:$AN$305,0,MATCH($A6,Timeline!$P$4:$AN$4,0))="x")*(Timeline!$K$5:$K$305="Task")*ISNUMBER(Timeline!$I$5:$I$305)*ISNUMBER(Timeline!$J$5:$J$305)*(Timeline!$I$5:$I$305&lt;=P$4+2)*(Timeline!$J$5:$J$305&gt;=P$4+2)),SUMPRODUCT((INDEX(Timeline!$P$5:$AN$305,0,MATCH($A6,Timeline!$P$4:$AN$4,0))="x")*(Timeline!$K$5:$K$305="Task")*ISNUMBER(Timeline!$I$5:$I$305)*ISNUMBER(Timeline!$J$5:$J$305)*(Timeline!$I$5:$I$305&lt;=P$4+3)*(Timeline!$J$5:$J$305&gt;=P$4+3)),SUMPRODUCT((INDEX(Timeline!$P$5:$AN$305,0,MATCH($A6,Timeline!$P$4:$AN$4,0))="x")*(Timeline!$K$5:$K$305="Task")*ISNUMBER(Timeline!$I$5:$I$305)*ISNUMBER(Timeline!$J$5:$J$305)*(Timeline!$I$5:$I$305&lt;=P$4+4)*(Timeline!$J$5:$J$305&gt;=P$4+4)),SUMPRODUCT((INDEX(Timeline!$P$5:$AN$305,0,MATCH($A6,Timeline!$P$4:$AN$4,0))="x")*(Timeline!$K$5:$K$305="Task")*ISNUMBER(Timeline!$I$5:$I$305)*ISNUMBER(Timeline!$J$5:$J$305)*(Timeline!$I$5:$I$305&lt;=P$4+5)*(Timeline!$J$5:$J$305&gt;=P$4+5)),SUMPRODUCT((INDEX(Timeline!$P$5:$AN$305,0,MATCH($A6,Timeline!$P$4:$AN$4,0))="x")*(Timeline!$K$5:$K$305="Task")*ISNUMBER(Timeline!$I$5:$I$305)*ISNUMBER(Timeline!$J$5:$J$305)*(Timeline!$I$5:$I$305&lt;=P$4+6)*(Timeline!$J$5:$J$305&gt;=P$4+6)))</f>
        <v>1</v>
      </c>
      <c r="Q6" s="67">
        <f>MAX(SUMPRODUCT((INDEX(Timeline!$P$5:$AN$305,0,MATCH($A6,Timeline!$P$4:$AN$4,0))="x")*(Timeline!$K$5:$K$305="Task")*ISNUMBER(Timeline!$I$5:$I$305)*ISNUMBER(Timeline!$J$5:$J$305)*(Timeline!$I$5:$I$305&lt;=Q$4+0)*(Timeline!$J$5:$J$305&gt;=Q$4+0)),SUMPRODUCT((INDEX(Timeline!$P$5:$AN$305,0,MATCH($A6,Timeline!$P$4:$AN$4,0))="x")*(Timeline!$K$5:$K$305="Task")*ISNUMBER(Timeline!$I$5:$I$305)*ISNUMBER(Timeline!$J$5:$J$305)*(Timeline!$I$5:$I$305&lt;=Q$4+1)*(Timeline!$J$5:$J$305&gt;=Q$4+1)),SUMPRODUCT((INDEX(Timeline!$P$5:$AN$305,0,MATCH($A6,Timeline!$P$4:$AN$4,0))="x")*(Timeline!$K$5:$K$305="Task")*ISNUMBER(Timeline!$I$5:$I$305)*ISNUMBER(Timeline!$J$5:$J$305)*(Timeline!$I$5:$I$305&lt;=Q$4+2)*(Timeline!$J$5:$J$305&gt;=Q$4+2)),SUMPRODUCT((INDEX(Timeline!$P$5:$AN$305,0,MATCH($A6,Timeline!$P$4:$AN$4,0))="x")*(Timeline!$K$5:$K$305="Task")*ISNUMBER(Timeline!$I$5:$I$305)*ISNUMBER(Timeline!$J$5:$J$305)*(Timeline!$I$5:$I$305&lt;=Q$4+3)*(Timeline!$J$5:$J$305&gt;=Q$4+3)),SUMPRODUCT((INDEX(Timeline!$P$5:$AN$305,0,MATCH($A6,Timeline!$P$4:$AN$4,0))="x")*(Timeline!$K$5:$K$305="Task")*ISNUMBER(Timeline!$I$5:$I$305)*ISNUMBER(Timeline!$J$5:$J$305)*(Timeline!$I$5:$I$305&lt;=Q$4+4)*(Timeline!$J$5:$J$305&gt;=Q$4+4)),SUMPRODUCT((INDEX(Timeline!$P$5:$AN$305,0,MATCH($A6,Timeline!$P$4:$AN$4,0))="x")*(Timeline!$K$5:$K$305="Task")*ISNUMBER(Timeline!$I$5:$I$305)*ISNUMBER(Timeline!$J$5:$J$305)*(Timeline!$I$5:$I$305&lt;=Q$4+5)*(Timeline!$J$5:$J$305&gt;=Q$4+5)),SUMPRODUCT((INDEX(Timeline!$P$5:$AN$305,0,MATCH($A6,Timeline!$P$4:$AN$4,0))="x")*(Timeline!$K$5:$K$305="Task")*ISNUMBER(Timeline!$I$5:$I$305)*ISNUMBER(Timeline!$J$5:$J$305)*(Timeline!$I$5:$I$305&lt;=Q$4+6)*(Timeline!$J$5:$J$305&gt;=Q$4+6)))</f>
        <v>1</v>
      </c>
      <c r="R6" s="67">
        <f>MAX(SUMPRODUCT((INDEX(Timeline!$P$5:$AN$305,0,MATCH($A6,Timeline!$P$4:$AN$4,0))="x")*(Timeline!$K$5:$K$305="Task")*ISNUMBER(Timeline!$I$5:$I$305)*ISNUMBER(Timeline!$J$5:$J$305)*(Timeline!$I$5:$I$305&lt;=R$4+0)*(Timeline!$J$5:$J$305&gt;=R$4+0)),SUMPRODUCT((INDEX(Timeline!$P$5:$AN$305,0,MATCH($A6,Timeline!$P$4:$AN$4,0))="x")*(Timeline!$K$5:$K$305="Task")*ISNUMBER(Timeline!$I$5:$I$305)*ISNUMBER(Timeline!$J$5:$J$305)*(Timeline!$I$5:$I$305&lt;=R$4+1)*(Timeline!$J$5:$J$305&gt;=R$4+1)),SUMPRODUCT((INDEX(Timeline!$P$5:$AN$305,0,MATCH($A6,Timeline!$P$4:$AN$4,0))="x")*(Timeline!$K$5:$K$305="Task")*ISNUMBER(Timeline!$I$5:$I$305)*ISNUMBER(Timeline!$J$5:$J$305)*(Timeline!$I$5:$I$305&lt;=R$4+2)*(Timeline!$J$5:$J$305&gt;=R$4+2)),SUMPRODUCT((INDEX(Timeline!$P$5:$AN$305,0,MATCH($A6,Timeline!$P$4:$AN$4,0))="x")*(Timeline!$K$5:$K$305="Task")*ISNUMBER(Timeline!$I$5:$I$305)*ISNUMBER(Timeline!$J$5:$J$305)*(Timeline!$I$5:$I$305&lt;=R$4+3)*(Timeline!$J$5:$J$305&gt;=R$4+3)),SUMPRODUCT((INDEX(Timeline!$P$5:$AN$305,0,MATCH($A6,Timeline!$P$4:$AN$4,0))="x")*(Timeline!$K$5:$K$305="Task")*ISNUMBER(Timeline!$I$5:$I$305)*ISNUMBER(Timeline!$J$5:$J$305)*(Timeline!$I$5:$I$305&lt;=R$4+4)*(Timeline!$J$5:$J$305&gt;=R$4+4)),SUMPRODUCT((INDEX(Timeline!$P$5:$AN$305,0,MATCH($A6,Timeline!$P$4:$AN$4,0))="x")*(Timeline!$K$5:$K$305="Task")*ISNUMBER(Timeline!$I$5:$I$305)*ISNUMBER(Timeline!$J$5:$J$305)*(Timeline!$I$5:$I$305&lt;=R$4+5)*(Timeline!$J$5:$J$305&gt;=R$4+5)),SUMPRODUCT((INDEX(Timeline!$P$5:$AN$305,0,MATCH($A6,Timeline!$P$4:$AN$4,0))="x")*(Timeline!$K$5:$K$305="Task")*ISNUMBER(Timeline!$I$5:$I$305)*ISNUMBER(Timeline!$J$5:$J$305)*(Timeline!$I$5:$I$305&lt;=R$4+6)*(Timeline!$J$5:$J$305&gt;=R$4+6)))</f>
        <v>1</v>
      </c>
      <c r="S6" s="67">
        <f>MAX(SUMPRODUCT((INDEX(Timeline!$P$5:$AN$305,0,MATCH($A6,Timeline!$P$4:$AN$4,0))="x")*(Timeline!$K$5:$K$305="Task")*ISNUMBER(Timeline!$I$5:$I$305)*ISNUMBER(Timeline!$J$5:$J$305)*(Timeline!$I$5:$I$305&lt;=S$4+0)*(Timeline!$J$5:$J$305&gt;=S$4+0)),SUMPRODUCT((INDEX(Timeline!$P$5:$AN$305,0,MATCH($A6,Timeline!$P$4:$AN$4,0))="x")*(Timeline!$K$5:$K$305="Task")*ISNUMBER(Timeline!$I$5:$I$305)*ISNUMBER(Timeline!$J$5:$J$305)*(Timeline!$I$5:$I$305&lt;=S$4+1)*(Timeline!$J$5:$J$305&gt;=S$4+1)),SUMPRODUCT((INDEX(Timeline!$P$5:$AN$305,0,MATCH($A6,Timeline!$P$4:$AN$4,0))="x")*(Timeline!$K$5:$K$305="Task")*ISNUMBER(Timeline!$I$5:$I$305)*ISNUMBER(Timeline!$J$5:$J$305)*(Timeline!$I$5:$I$305&lt;=S$4+2)*(Timeline!$J$5:$J$305&gt;=S$4+2)),SUMPRODUCT((INDEX(Timeline!$P$5:$AN$305,0,MATCH($A6,Timeline!$P$4:$AN$4,0))="x")*(Timeline!$K$5:$K$305="Task")*ISNUMBER(Timeline!$I$5:$I$305)*ISNUMBER(Timeline!$J$5:$J$305)*(Timeline!$I$5:$I$305&lt;=S$4+3)*(Timeline!$J$5:$J$305&gt;=S$4+3)),SUMPRODUCT((INDEX(Timeline!$P$5:$AN$305,0,MATCH($A6,Timeline!$P$4:$AN$4,0))="x")*(Timeline!$K$5:$K$305="Task")*ISNUMBER(Timeline!$I$5:$I$305)*ISNUMBER(Timeline!$J$5:$J$305)*(Timeline!$I$5:$I$305&lt;=S$4+4)*(Timeline!$J$5:$J$305&gt;=S$4+4)),SUMPRODUCT((INDEX(Timeline!$P$5:$AN$305,0,MATCH($A6,Timeline!$P$4:$AN$4,0))="x")*(Timeline!$K$5:$K$305="Task")*ISNUMBER(Timeline!$I$5:$I$305)*ISNUMBER(Timeline!$J$5:$J$305)*(Timeline!$I$5:$I$305&lt;=S$4+5)*(Timeline!$J$5:$J$305&gt;=S$4+5)),SUMPRODUCT((INDEX(Timeline!$P$5:$AN$305,0,MATCH($A6,Timeline!$P$4:$AN$4,0))="x")*(Timeline!$K$5:$K$305="Task")*ISNUMBER(Timeline!$I$5:$I$305)*ISNUMBER(Timeline!$J$5:$J$305)*(Timeline!$I$5:$I$305&lt;=S$4+6)*(Timeline!$J$5:$J$305&gt;=S$4+6)))</f>
        <v>1</v>
      </c>
      <c r="T6" s="67">
        <f>MAX(SUMPRODUCT((INDEX(Timeline!$P$5:$AN$305,0,MATCH($A6,Timeline!$P$4:$AN$4,0))="x")*(Timeline!$K$5:$K$305="Task")*ISNUMBER(Timeline!$I$5:$I$305)*ISNUMBER(Timeline!$J$5:$J$305)*(Timeline!$I$5:$I$305&lt;=T$4+0)*(Timeline!$J$5:$J$305&gt;=T$4+0)),SUMPRODUCT((INDEX(Timeline!$P$5:$AN$305,0,MATCH($A6,Timeline!$P$4:$AN$4,0))="x")*(Timeline!$K$5:$K$305="Task")*ISNUMBER(Timeline!$I$5:$I$305)*ISNUMBER(Timeline!$J$5:$J$305)*(Timeline!$I$5:$I$305&lt;=T$4+1)*(Timeline!$J$5:$J$305&gt;=T$4+1)),SUMPRODUCT((INDEX(Timeline!$P$5:$AN$305,0,MATCH($A6,Timeline!$P$4:$AN$4,0))="x")*(Timeline!$K$5:$K$305="Task")*ISNUMBER(Timeline!$I$5:$I$305)*ISNUMBER(Timeline!$J$5:$J$305)*(Timeline!$I$5:$I$305&lt;=T$4+2)*(Timeline!$J$5:$J$305&gt;=T$4+2)),SUMPRODUCT((INDEX(Timeline!$P$5:$AN$305,0,MATCH($A6,Timeline!$P$4:$AN$4,0))="x")*(Timeline!$K$5:$K$305="Task")*ISNUMBER(Timeline!$I$5:$I$305)*ISNUMBER(Timeline!$J$5:$J$305)*(Timeline!$I$5:$I$305&lt;=T$4+3)*(Timeline!$J$5:$J$305&gt;=T$4+3)),SUMPRODUCT((INDEX(Timeline!$P$5:$AN$305,0,MATCH($A6,Timeline!$P$4:$AN$4,0))="x")*(Timeline!$K$5:$K$305="Task")*ISNUMBER(Timeline!$I$5:$I$305)*ISNUMBER(Timeline!$J$5:$J$305)*(Timeline!$I$5:$I$305&lt;=T$4+4)*(Timeline!$J$5:$J$305&gt;=T$4+4)),SUMPRODUCT((INDEX(Timeline!$P$5:$AN$305,0,MATCH($A6,Timeline!$P$4:$AN$4,0))="x")*(Timeline!$K$5:$K$305="Task")*ISNUMBER(Timeline!$I$5:$I$305)*ISNUMBER(Timeline!$J$5:$J$305)*(Timeline!$I$5:$I$305&lt;=T$4+5)*(Timeline!$J$5:$J$305&gt;=T$4+5)),SUMPRODUCT((INDEX(Timeline!$P$5:$AN$305,0,MATCH($A6,Timeline!$P$4:$AN$4,0))="x")*(Timeline!$K$5:$K$305="Task")*ISNUMBER(Timeline!$I$5:$I$305)*ISNUMBER(Timeline!$J$5:$J$305)*(Timeline!$I$5:$I$305&lt;=T$4+6)*(Timeline!$J$5:$J$305&gt;=T$4+6)))</f>
        <v>1</v>
      </c>
      <c r="U6" s="67">
        <f>MAX(SUMPRODUCT((INDEX(Timeline!$P$5:$AN$305,0,MATCH($A6,Timeline!$P$4:$AN$4,0))="x")*(Timeline!$K$5:$K$305="Task")*ISNUMBER(Timeline!$I$5:$I$305)*ISNUMBER(Timeline!$J$5:$J$305)*(Timeline!$I$5:$I$305&lt;=U$4+0)*(Timeline!$J$5:$J$305&gt;=U$4+0)),SUMPRODUCT((INDEX(Timeline!$P$5:$AN$305,0,MATCH($A6,Timeline!$P$4:$AN$4,0))="x")*(Timeline!$K$5:$K$305="Task")*ISNUMBER(Timeline!$I$5:$I$305)*ISNUMBER(Timeline!$J$5:$J$305)*(Timeline!$I$5:$I$305&lt;=U$4+1)*(Timeline!$J$5:$J$305&gt;=U$4+1)),SUMPRODUCT((INDEX(Timeline!$P$5:$AN$305,0,MATCH($A6,Timeline!$P$4:$AN$4,0))="x")*(Timeline!$K$5:$K$305="Task")*ISNUMBER(Timeline!$I$5:$I$305)*ISNUMBER(Timeline!$J$5:$J$305)*(Timeline!$I$5:$I$305&lt;=U$4+2)*(Timeline!$J$5:$J$305&gt;=U$4+2)),SUMPRODUCT((INDEX(Timeline!$P$5:$AN$305,0,MATCH($A6,Timeline!$P$4:$AN$4,0))="x")*(Timeline!$K$5:$K$305="Task")*ISNUMBER(Timeline!$I$5:$I$305)*ISNUMBER(Timeline!$J$5:$J$305)*(Timeline!$I$5:$I$305&lt;=U$4+3)*(Timeline!$J$5:$J$305&gt;=U$4+3)),SUMPRODUCT((INDEX(Timeline!$P$5:$AN$305,0,MATCH($A6,Timeline!$P$4:$AN$4,0))="x")*(Timeline!$K$5:$K$305="Task")*ISNUMBER(Timeline!$I$5:$I$305)*ISNUMBER(Timeline!$J$5:$J$305)*(Timeline!$I$5:$I$305&lt;=U$4+4)*(Timeline!$J$5:$J$305&gt;=U$4+4)),SUMPRODUCT((INDEX(Timeline!$P$5:$AN$305,0,MATCH($A6,Timeline!$P$4:$AN$4,0))="x")*(Timeline!$K$5:$K$305="Task")*ISNUMBER(Timeline!$I$5:$I$305)*ISNUMBER(Timeline!$J$5:$J$305)*(Timeline!$I$5:$I$305&lt;=U$4+5)*(Timeline!$J$5:$J$305&gt;=U$4+5)),SUMPRODUCT((INDEX(Timeline!$P$5:$AN$305,0,MATCH($A6,Timeline!$P$4:$AN$4,0))="x")*(Timeline!$K$5:$K$305="Task")*ISNUMBER(Timeline!$I$5:$I$305)*ISNUMBER(Timeline!$J$5:$J$305)*(Timeline!$I$5:$I$305&lt;=U$4+6)*(Timeline!$J$5:$J$305&gt;=U$4+6)))</f>
        <v>1</v>
      </c>
      <c r="V6" s="67">
        <f>MAX(SUMPRODUCT((INDEX(Timeline!$P$5:$AN$305,0,MATCH($A6,Timeline!$P$4:$AN$4,0))="x")*(Timeline!$K$5:$K$305="Task")*ISNUMBER(Timeline!$I$5:$I$305)*ISNUMBER(Timeline!$J$5:$J$305)*(Timeline!$I$5:$I$305&lt;=V$4+0)*(Timeline!$J$5:$J$305&gt;=V$4+0)),SUMPRODUCT((INDEX(Timeline!$P$5:$AN$305,0,MATCH($A6,Timeline!$P$4:$AN$4,0))="x")*(Timeline!$K$5:$K$305="Task")*ISNUMBER(Timeline!$I$5:$I$305)*ISNUMBER(Timeline!$J$5:$J$305)*(Timeline!$I$5:$I$305&lt;=V$4+1)*(Timeline!$J$5:$J$305&gt;=V$4+1)),SUMPRODUCT((INDEX(Timeline!$P$5:$AN$305,0,MATCH($A6,Timeline!$P$4:$AN$4,0))="x")*(Timeline!$K$5:$K$305="Task")*ISNUMBER(Timeline!$I$5:$I$305)*ISNUMBER(Timeline!$J$5:$J$305)*(Timeline!$I$5:$I$305&lt;=V$4+2)*(Timeline!$J$5:$J$305&gt;=V$4+2)),SUMPRODUCT((INDEX(Timeline!$P$5:$AN$305,0,MATCH($A6,Timeline!$P$4:$AN$4,0))="x")*(Timeline!$K$5:$K$305="Task")*ISNUMBER(Timeline!$I$5:$I$305)*ISNUMBER(Timeline!$J$5:$J$305)*(Timeline!$I$5:$I$305&lt;=V$4+3)*(Timeline!$J$5:$J$305&gt;=V$4+3)),SUMPRODUCT((INDEX(Timeline!$P$5:$AN$305,0,MATCH($A6,Timeline!$P$4:$AN$4,0))="x")*(Timeline!$K$5:$K$305="Task")*ISNUMBER(Timeline!$I$5:$I$305)*ISNUMBER(Timeline!$J$5:$J$305)*(Timeline!$I$5:$I$305&lt;=V$4+4)*(Timeline!$J$5:$J$305&gt;=V$4+4)),SUMPRODUCT((INDEX(Timeline!$P$5:$AN$305,0,MATCH($A6,Timeline!$P$4:$AN$4,0))="x")*(Timeline!$K$5:$K$305="Task")*ISNUMBER(Timeline!$I$5:$I$305)*ISNUMBER(Timeline!$J$5:$J$305)*(Timeline!$I$5:$I$305&lt;=V$4+5)*(Timeline!$J$5:$J$305&gt;=V$4+5)),SUMPRODUCT((INDEX(Timeline!$P$5:$AN$305,0,MATCH($A6,Timeline!$P$4:$AN$4,0))="x")*(Timeline!$K$5:$K$305="Task")*ISNUMBER(Timeline!$I$5:$I$305)*ISNUMBER(Timeline!$J$5:$J$305)*(Timeline!$I$5:$I$305&lt;=V$4+6)*(Timeline!$J$5:$J$305&gt;=V$4+6)))</f>
        <v>1</v>
      </c>
      <c r="W6" s="67">
        <f>MAX(SUMPRODUCT((INDEX(Timeline!$P$5:$AN$305,0,MATCH($A6,Timeline!$P$4:$AN$4,0))="x")*(Timeline!$K$5:$K$305="Task")*ISNUMBER(Timeline!$I$5:$I$305)*ISNUMBER(Timeline!$J$5:$J$305)*(Timeline!$I$5:$I$305&lt;=W$4+0)*(Timeline!$J$5:$J$305&gt;=W$4+0)),SUMPRODUCT((INDEX(Timeline!$P$5:$AN$305,0,MATCH($A6,Timeline!$P$4:$AN$4,0))="x")*(Timeline!$K$5:$K$305="Task")*ISNUMBER(Timeline!$I$5:$I$305)*ISNUMBER(Timeline!$J$5:$J$305)*(Timeline!$I$5:$I$305&lt;=W$4+1)*(Timeline!$J$5:$J$305&gt;=W$4+1)),SUMPRODUCT((INDEX(Timeline!$P$5:$AN$305,0,MATCH($A6,Timeline!$P$4:$AN$4,0))="x")*(Timeline!$K$5:$K$305="Task")*ISNUMBER(Timeline!$I$5:$I$305)*ISNUMBER(Timeline!$J$5:$J$305)*(Timeline!$I$5:$I$305&lt;=W$4+2)*(Timeline!$J$5:$J$305&gt;=W$4+2)),SUMPRODUCT((INDEX(Timeline!$P$5:$AN$305,0,MATCH($A6,Timeline!$P$4:$AN$4,0))="x")*(Timeline!$K$5:$K$305="Task")*ISNUMBER(Timeline!$I$5:$I$305)*ISNUMBER(Timeline!$J$5:$J$305)*(Timeline!$I$5:$I$305&lt;=W$4+3)*(Timeline!$J$5:$J$305&gt;=W$4+3)),SUMPRODUCT((INDEX(Timeline!$P$5:$AN$305,0,MATCH($A6,Timeline!$P$4:$AN$4,0))="x")*(Timeline!$K$5:$K$305="Task")*ISNUMBER(Timeline!$I$5:$I$305)*ISNUMBER(Timeline!$J$5:$J$305)*(Timeline!$I$5:$I$305&lt;=W$4+4)*(Timeline!$J$5:$J$305&gt;=W$4+4)),SUMPRODUCT((INDEX(Timeline!$P$5:$AN$305,0,MATCH($A6,Timeline!$P$4:$AN$4,0))="x")*(Timeline!$K$5:$K$305="Task")*ISNUMBER(Timeline!$I$5:$I$305)*ISNUMBER(Timeline!$J$5:$J$305)*(Timeline!$I$5:$I$305&lt;=W$4+5)*(Timeline!$J$5:$J$305&gt;=W$4+5)),SUMPRODUCT((INDEX(Timeline!$P$5:$AN$305,0,MATCH($A6,Timeline!$P$4:$AN$4,0))="x")*(Timeline!$K$5:$K$305="Task")*ISNUMBER(Timeline!$I$5:$I$305)*ISNUMBER(Timeline!$J$5:$J$305)*(Timeline!$I$5:$I$305&lt;=W$4+6)*(Timeline!$J$5:$J$305&gt;=W$4+6)))</f>
        <v>1</v>
      </c>
      <c r="X6" s="67">
        <f>MAX(SUMPRODUCT((INDEX(Timeline!$P$5:$AN$305,0,MATCH($A6,Timeline!$P$4:$AN$4,0))="x")*(Timeline!$K$5:$K$305="Task")*ISNUMBER(Timeline!$I$5:$I$305)*ISNUMBER(Timeline!$J$5:$J$305)*(Timeline!$I$5:$I$305&lt;=X$4+0)*(Timeline!$J$5:$J$305&gt;=X$4+0)),SUMPRODUCT((INDEX(Timeline!$P$5:$AN$305,0,MATCH($A6,Timeline!$P$4:$AN$4,0))="x")*(Timeline!$K$5:$K$305="Task")*ISNUMBER(Timeline!$I$5:$I$305)*ISNUMBER(Timeline!$J$5:$J$305)*(Timeline!$I$5:$I$305&lt;=X$4+1)*(Timeline!$J$5:$J$305&gt;=X$4+1)),SUMPRODUCT((INDEX(Timeline!$P$5:$AN$305,0,MATCH($A6,Timeline!$P$4:$AN$4,0))="x")*(Timeline!$K$5:$K$305="Task")*ISNUMBER(Timeline!$I$5:$I$305)*ISNUMBER(Timeline!$J$5:$J$305)*(Timeline!$I$5:$I$305&lt;=X$4+2)*(Timeline!$J$5:$J$305&gt;=X$4+2)),SUMPRODUCT((INDEX(Timeline!$P$5:$AN$305,0,MATCH($A6,Timeline!$P$4:$AN$4,0))="x")*(Timeline!$K$5:$K$305="Task")*ISNUMBER(Timeline!$I$5:$I$305)*ISNUMBER(Timeline!$J$5:$J$305)*(Timeline!$I$5:$I$305&lt;=X$4+3)*(Timeline!$J$5:$J$305&gt;=X$4+3)),SUMPRODUCT((INDEX(Timeline!$P$5:$AN$305,0,MATCH($A6,Timeline!$P$4:$AN$4,0))="x")*(Timeline!$K$5:$K$305="Task")*ISNUMBER(Timeline!$I$5:$I$305)*ISNUMBER(Timeline!$J$5:$J$305)*(Timeline!$I$5:$I$305&lt;=X$4+4)*(Timeline!$J$5:$J$305&gt;=X$4+4)),SUMPRODUCT((INDEX(Timeline!$P$5:$AN$305,0,MATCH($A6,Timeline!$P$4:$AN$4,0))="x")*(Timeline!$K$5:$K$305="Task")*ISNUMBER(Timeline!$I$5:$I$305)*ISNUMBER(Timeline!$J$5:$J$305)*(Timeline!$I$5:$I$305&lt;=X$4+5)*(Timeline!$J$5:$J$305&gt;=X$4+5)),SUMPRODUCT((INDEX(Timeline!$P$5:$AN$305,0,MATCH($A6,Timeline!$P$4:$AN$4,0))="x")*(Timeline!$K$5:$K$305="Task")*ISNUMBER(Timeline!$I$5:$I$305)*ISNUMBER(Timeline!$J$5:$J$305)*(Timeline!$I$5:$I$305&lt;=X$4+6)*(Timeline!$J$5:$J$305&gt;=X$4+6)))</f>
        <v>1</v>
      </c>
      <c r="Y6" s="67">
        <f>MAX(SUMPRODUCT((INDEX(Timeline!$P$5:$AN$305,0,MATCH($A6,Timeline!$P$4:$AN$4,0))="x")*(Timeline!$K$5:$K$305="Task")*ISNUMBER(Timeline!$I$5:$I$305)*ISNUMBER(Timeline!$J$5:$J$305)*(Timeline!$I$5:$I$305&lt;=Y$4+0)*(Timeline!$J$5:$J$305&gt;=Y$4+0)),SUMPRODUCT((INDEX(Timeline!$P$5:$AN$305,0,MATCH($A6,Timeline!$P$4:$AN$4,0))="x")*(Timeline!$K$5:$K$305="Task")*ISNUMBER(Timeline!$I$5:$I$305)*ISNUMBER(Timeline!$J$5:$J$305)*(Timeline!$I$5:$I$305&lt;=Y$4+1)*(Timeline!$J$5:$J$305&gt;=Y$4+1)),SUMPRODUCT((INDEX(Timeline!$P$5:$AN$305,0,MATCH($A6,Timeline!$P$4:$AN$4,0))="x")*(Timeline!$K$5:$K$305="Task")*ISNUMBER(Timeline!$I$5:$I$305)*ISNUMBER(Timeline!$J$5:$J$305)*(Timeline!$I$5:$I$305&lt;=Y$4+2)*(Timeline!$J$5:$J$305&gt;=Y$4+2)),SUMPRODUCT((INDEX(Timeline!$P$5:$AN$305,0,MATCH($A6,Timeline!$P$4:$AN$4,0))="x")*(Timeline!$K$5:$K$305="Task")*ISNUMBER(Timeline!$I$5:$I$305)*ISNUMBER(Timeline!$J$5:$J$305)*(Timeline!$I$5:$I$305&lt;=Y$4+3)*(Timeline!$J$5:$J$305&gt;=Y$4+3)),SUMPRODUCT((INDEX(Timeline!$P$5:$AN$305,0,MATCH($A6,Timeline!$P$4:$AN$4,0))="x")*(Timeline!$K$5:$K$305="Task")*ISNUMBER(Timeline!$I$5:$I$305)*ISNUMBER(Timeline!$J$5:$J$305)*(Timeline!$I$5:$I$305&lt;=Y$4+4)*(Timeline!$J$5:$J$305&gt;=Y$4+4)),SUMPRODUCT((INDEX(Timeline!$P$5:$AN$305,0,MATCH($A6,Timeline!$P$4:$AN$4,0))="x")*(Timeline!$K$5:$K$305="Task")*ISNUMBER(Timeline!$I$5:$I$305)*ISNUMBER(Timeline!$J$5:$J$305)*(Timeline!$I$5:$I$305&lt;=Y$4+5)*(Timeline!$J$5:$J$305&gt;=Y$4+5)),SUMPRODUCT((INDEX(Timeline!$P$5:$AN$305,0,MATCH($A6,Timeline!$P$4:$AN$4,0))="x")*(Timeline!$K$5:$K$305="Task")*ISNUMBER(Timeline!$I$5:$I$305)*ISNUMBER(Timeline!$J$5:$J$305)*(Timeline!$I$5:$I$305&lt;=Y$4+6)*(Timeline!$J$5:$J$305&gt;=Y$4+6)))</f>
        <v>1</v>
      </c>
      <c r="Z6" s="67">
        <f>MAX(SUMPRODUCT((INDEX(Timeline!$P$5:$AN$305,0,MATCH($A6,Timeline!$P$4:$AN$4,0))="x")*(Timeline!$K$5:$K$305="Task")*ISNUMBER(Timeline!$I$5:$I$305)*ISNUMBER(Timeline!$J$5:$J$305)*(Timeline!$I$5:$I$305&lt;=Z$4+0)*(Timeline!$J$5:$J$305&gt;=Z$4+0)),SUMPRODUCT((INDEX(Timeline!$P$5:$AN$305,0,MATCH($A6,Timeline!$P$4:$AN$4,0))="x")*(Timeline!$K$5:$K$305="Task")*ISNUMBER(Timeline!$I$5:$I$305)*ISNUMBER(Timeline!$J$5:$J$305)*(Timeline!$I$5:$I$305&lt;=Z$4+1)*(Timeline!$J$5:$J$305&gt;=Z$4+1)),SUMPRODUCT((INDEX(Timeline!$P$5:$AN$305,0,MATCH($A6,Timeline!$P$4:$AN$4,0))="x")*(Timeline!$K$5:$K$305="Task")*ISNUMBER(Timeline!$I$5:$I$305)*ISNUMBER(Timeline!$J$5:$J$305)*(Timeline!$I$5:$I$305&lt;=Z$4+2)*(Timeline!$J$5:$J$305&gt;=Z$4+2)),SUMPRODUCT((INDEX(Timeline!$P$5:$AN$305,0,MATCH($A6,Timeline!$P$4:$AN$4,0))="x")*(Timeline!$K$5:$K$305="Task")*ISNUMBER(Timeline!$I$5:$I$305)*ISNUMBER(Timeline!$J$5:$J$305)*(Timeline!$I$5:$I$305&lt;=Z$4+3)*(Timeline!$J$5:$J$305&gt;=Z$4+3)),SUMPRODUCT((INDEX(Timeline!$P$5:$AN$305,0,MATCH($A6,Timeline!$P$4:$AN$4,0))="x")*(Timeline!$K$5:$K$305="Task")*ISNUMBER(Timeline!$I$5:$I$305)*ISNUMBER(Timeline!$J$5:$J$305)*(Timeline!$I$5:$I$305&lt;=Z$4+4)*(Timeline!$J$5:$J$305&gt;=Z$4+4)),SUMPRODUCT((INDEX(Timeline!$P$5:$AN$305,0,MATCH($A6,Timeline!$P$4:$AN$4,0))="x")*(Timeline!$K$5:$K$305="Task")*ISNUMBER(Timeline!$I$5:$I$305)*ISNUMBER(Timeline!$J$5:$J$305)*(Timeline!$I$5:$I$305&lt;=Z$4+5)*(Timeline!$J$5:$J$305&gt;=Z$4+5)),SUMPRODUCT((INDEX(Timeline!$P$5:$AN$305,0,MATCH($A6,Timeline!$P$4:$AN$4,0))="x")*(Timeline!$K$5:$K$305="Task")*ISNUMBER(Timeline!$I$5:$I$305)*ISNUMBER(Timeline!$J$5:$J$305)*(Timeline!$I$5:$I$305&lt;=Z$4+6)*(Timeline!$J$5:$J$305&gt;=Z$4+6)))</f>
        <v>1</v>
      </c>
      <c r="AA6" s="67">
        <f>MAX(SUMPRODUCT((INDEX(Timeline!$P$5:$AN$305,0,MATCH($A6,Timeline!$P$4:$AN$4,0))="x")*(Timeline!$K$5:$K$305="Task")*ISNUMBER(Timeline!$I$5:$I$305)*ISNUMBER(Timeline!$J$5:$J$305)*(Timeline!$I$5:$I$305&lt;=AA$4+0)*(Timeline!$J$5:$J$305&gt;=AA$4+0)),SUMPRODUCT((INDEX(Timeline!$P$5:$AN$305,0,MATCH($A6,Timeline!$P$4:$AN$4,0))="x")*(Timeline!$K$5:$K$305="Task")*ISNUMBER(Timeline!$I$5:$I$305)*ISNUMBER(Timeline!$J$5:$J$305)*(Timeline!$I$5:$I$305&lt;=AA$4+1)*(Timeline!$J$5:$J$305&gt;=AA$4+1)),SUMPRODUCT((INDEX(Timeline!$P$5:$AN$305,0,MATCH($A6,Timeline!$P$4:$AN$4,0))="x")*(Timeline!$K$5:$K$305="Task")*ISNUMBER(Timeline!$I$5:$I$305)*ISNUMBER(Timeline!$J$5:$J$305)*(Timeline!$I$5:$I$305&lt;=AA$4+2)*(Timeline!$J$5:$J$305&gt;=AA$4+2)),SUMPRODUCT((INDEX(Timeline!$P$5:$AN$305,0,MATCH($A6,Timeline!$P$4:$AN$4,0))="x")*(Timeline!$K$5:$K$305="Task")*ISNUMBER(Timeline!$I$5:$I$305)*ISNUMBER(Timeline!$J$5:$J$305)*(Timeline!$I$5:$I$305&lt;=AA$4+3)*(Timeline!$J$5:$J$305&gt;=AA$4+3)),SUMPRODUCT((INDEX(Timeline!$P$5:$AN$305,0,MATCH($A6,Timeline!$P$4:$AN$4,0))="x")*(Timeline!$K$5:$K$305="Task")*ISNUMBER(Timeline!$I$5:$I$305)*ISNUMBER(Timeline!$J$5:$J$305)*(Timeline!$I$5:$I$305&lt;=AA$4+4)*(Timeline!$J$5:$J$305&gt;=AA$4+4)),SUMPRODUCT((INDEX(Timeline!$P$5:$AN$305,0,MATCH($A6,Timeline!$P$4:$AN$4,0))="x")*(Timeline!$K$5:$K$305="Task")*ISNUMBER(Timeline!$I$5:$I$305)*ISNUMBER(Timeline!$J$5:$J$305)*(Timeline!$I$5:$I$305&lt;=AA$4+5)*(Timeline!$J$5:$J$305&gt;=AA$4+5)),SUMPRODUCT((INDEX(Timeline!$P$5:$AN$305,0,MATCH($A6,Timeline!$P$4:$AN$4,0))="x")*(Timeline!$K$5:$K$305="Task")*ISNUMBER(Timeline!$I$5:$I$305)*ISNUMBER(Timeline!$J$5:$J$305)*(Timeline!$I$5:$I$305&lt;=AA$4+6)*(Timeline!$J$5:$J$305&gt;=AA$4+6)))</f>
        <v>1</v>
      </c>
      <c r="AB6" s="67">
        <f>MAX(SUMPRODUCT((INDEX(Timeline!$P$5:$AN$305,0,MATCH($A6,Timeline!$P$4:$AN$4,0))="x")*(Timeline!$K$5:$K$305="Task")*ISNUMBER(Timeline!$I$5:$I$305)*ISNUMBER(Timeline!$J$5:$J$305)*(Timeline!$I$5:$I$305&lt;=AB$4+0)*(Timeline!$J$5:$J$305&gt;=AB$4+0)),SUMPRODUCT((INDEX(Timeline!$P$5:$AN$305,0,MATCH($A6,Timeline!$P$4:$AN$4,0))="x")*(Timeline!$K$5:$K$305="Task")*ISNUMBER(Timeline!$I$5:$I$305)*ISNUMBER(Timeline!$J$5:$J$305)*(Timeline!$I$5:$I$305&lt;=AB$4+1)*(Timeline!$J$5:$J$305&gt;=AB$4+1)),SUMPRODUCT((INDEX(Timeline!$P$5:$AN$305,0,MATCH($A6,Timeline!$P$4:$AN$4,0))="x")*(Timeline!$K$5:$K$305="Task")*ISNUMBER(Timeline!$I$5:$I$305)*ISNUMBER(Timeline!$J$5:$J$305)*(Timeline!$I$5:$I$305&lt;=AB$4+2)*(Timeline!$J$5:$J$305&gt;=AB$4+2)),SUMPRODUCT((INDEX(Timeline!$P$5:$AN$305,0,MATCH($A6,Timeline!$P$4:$AN$4,0))="x")*(Timeline!$K$5:$K$305="Task")*ISNUMBER(Timeline!$I$5:$I$305)*ISNUMBER(Timeline!$J$5:$J$305)*(Timeline!$I$5:$I$305&lt;=AB$4+3)*(Timeline!$J$5:$J$305&gt;=AB$4+3)),SUMPRODUCT((INDEX(Timeline!$P$5:$AN$305,0,MATCH($A6,Timeline!$P$4:$AN$4,0))="x")*(Timeline!$K$5:$K$305="Task")*ISNUMBER(Timeline!$I$5:$I$305)*ISNUMBER(Timeline!$J$5:$J$305)*(Timeline!$I$5:$I$305&lt;=AB$4+4)*(Timeline!$J$5:$J$305&gt;=AB$4+4)),SUMPRODUCT((INDEX(Timeline!$P$5:$AN$305,0,MATCH($A6,Timeline!$P$4:$AN$4,0))="x")*(Timeline!$K$5:$K$305="Task")*ISNUMBER(Timeline!$I$5:$I$305)*ISNUMBER(Timeline!$J$5:$J$305)*(Timeline!$I$5:$I$305&lt;=AB$4+5)*(Timeline!$J$5:$J$305&gt;=AB$4+5)),SUMPRODUCT((INDEX(Timeline!$P$5:$AN$305,0,MATCH($A6,Timeline!$P$4:$AN$4,0))="x")*(Timeline!$K$5:$K$305="Task")*ISNUMBER(Timeline!$I$5:$I$305)*ISNUMBER(Timeline!$J$5:$J$305)*(Timeline!$I$5:$I$305&lt;=AB$4+6)*(Timeline!$J$5:$J$305&gt;=AB$4+6)))</f>
        <v>1</v>
      </c>
      <c r="AC6" s="67">
        <f>MAX(SUMPRODUCT((INDEX(Timeline!$P$5:$AN$305,0,MATCH($A6,Timeline!$P$4:$AN$4,0))="x")*(Timeline!$K$5:$K$305="Task")*ISNUMBER(Timeline!$I$5:$I$305)*ISNUMBER(Timeline!$J$5:$J$305)*(Timeline!$I$5:$I$305&lt;=AC$4+0)*(Timeline!$J$5:$J$305&gt;=AC$4+0)),SUMPRODUCT((INDEX(Timeline!$P$5:$AN$305,0,MATCH($A6,Timeline!$P$4:$AN$4,0))="x")*(Timeline!$K$5:$K$305="Task")*ISNUMBER(Timeline!$I$5:$I$305)*ISNUMBER(Timeline!$J$5:$J$305)*(Timeline!$I$5:$I$305&lt;=AC$4+1)*(Timeline!$J$5:$J$305&gt;=AC$4+1)),SUMPRODUCT((INDEX(Timeline!$P$5:$AN$305,0,MATCH($A6,Timeline!$P$4:$AN$4,0))="x")*(Timeline!$K$5:$K$305="Task")*ISNUMBER(Timeline!$I$5:$I$305)*ISNUMBER(Timeline!$J$5:$J$305)*(Timeline!$I$5:$I$305&lt;=AC$4+2)*(Timeline!$J$5:$J$305&gt;=AC$4+2)),SUMPRODUCT((INDEX(Timeline!$P$5:$AN$305,0,MATCH($A6,Timeline!$P$4:$AN$4,0))="x")*(Timeline!$K$5:$K$305="Task")*ISNUMBER(Timeline!$I$5:$I$305)*ISNUMBER(Timeline!$J$5:$J$305)*(Timeline!$I$5:$I$305&lt;=AC$4+3)*(Timeline!$J$5:$J$305&gt;=AC$4+3)),SUMPRODUCT((INDEX(Timeline!$P$5:$AN$305,0,MATCH($A6,Timeline!$P$4:$AN$4,0))="x")*(Timeline!$K$5:$K$305="Task")*ISNUMBER(Timeline!$I$5:$I$305)*ISNUMBER(Timeline!$J$5:$J$305)*(Timeline!$I$5:$I$305&lt;=AC$4+4)*(Timeline!$J$5:$J$305&gt;=AC$4+4)),SUMPRODUCT((INDEX(Timeline!$P$5:$AN$305,0,MATCH($A6,Timeline!$P$4:$AN$4,0))="x")*(Timeline!$K$5:$K$305="Task")*ISNUMBER(Timeline!$I$5:$I$305)*ISNUMBER(Timeline!$J$5:$J$305)*(Timeline!$I$5:$I$305&lt;=AC$4+5)*(Timeline!$J$5:$J$305&gt;=AC$4+5)),SUMPRODUCT((INDEX(Timeline!$P$5:$AN$305,0,MATCH($A6,Timeline!$P$4:$AN$4,0))="x")*(Timeline!$K$5:$K$305="Task")*ISNUMBER(Timeline!$I$5:$I$305)*ISNUMBER(Timeline!$J$5:$J$305)*(Timeline!$I$5:$I$305&lt;=AC$4+6)*(Timeline!$J$5:$J$305&gt;=AC$4+6)))</f>
        <v>1</v>
      </c>
      <c r="AD6" s="67">
        <f>MAX(SUMPRODUCT((INDEX(Timeline!$P$5:$AN$305,0,MATCH($A6,Timeline!$P$4:$AN$4,0))="x")*(Timeline!$K$5:$K$305="Task")*ISNUMBER(Timeline!$I$5:$I$305)*ISNUMBER(Timeline!$J$5:$J$305)*(Timeline!$I$5:$I$305&lt;=AD$4+0)*(Timeline!$J$5:$J$305&gt;=AD$4+0)),SUMPRODUCT((INDEX(Timeline!$P$5:$AN$305,0,MATCH($A6,Timeline!$P$4:$AN$4,0))="x")*(Timeline!$K$5:$K$305="Task")*ISNUMBER(Timeline!$I$5:$I$305)*ISNUMBER(Timeline!$J$5:$J$305)*(Timeline!$I$5:$I$305&lt;=AD$4+1)*(Timeline!$J$5:$J$305&gt;=AD$4+1)),SUMPRODUCT((INDEX(Timeline!$P$5:$AN$305,0,MATCH($A6,Timeline!$P$4:$AN$4,0))="x")*(Timeline!$K$5:$K$305="Task")*ISNUMBER(Timeline!$I$5:$I$305)*ISNUMBER(Timeline!$J$5:$J$305)*(Timeline!$I$5:$I$305&lt;=AD$4+2)*(Timeline!$J$5:$J$305&gt;=AD$4+2)),SUMPRODUCT((INDEX(Timeline!$P$5:$AN$305,0,MATCH($A6,Timeline!$P$4:$AN$4,0))="x")*(Timeline!$K$5:$K$305="Task")*ISNUMBER(Timeline!$I$5:$I$305)*ISNUMBER(Timeline!$J$5:$J$305)*(Timeline!$I$5:$I$305&lt;=AD$4+3)*(Timeline!$J$5:$J$305&gt;=AD$4+3)),SUMPRODUCT((INDEX(Timeline!$P$5:$AN$305,0,MATCH($A6,Timeline!$P$4:$AN$4,0))="x")*(Timeline!$K$5:$K$305="Task")*ISNUMBER(Timeline!$I$5:$I$305)*ISNUMBER(Timeline!$J$5:$J$305)*(Timeline!$I$5:$I$305&lt;=AD$4+4)*(Timeline!$J$5:$J$305&gt;=AD$4+4)),SUMPRODUCT((INDEX(Timeline!$P$5:$AN$305,0,MATCH($A6,Timeline!$P$4:$AN$4,0))="x")*(Timeline!$K$5:$K$305="Task")*ISNUMBER(Timeline!$I$5:$I$305)*ISNUMBER(Timeline!$J$5:$J$305)*(Timeline!$I$5:$I$305&lt;=AD$4+5)*(Timeline!$J$5:$J$305&gt;=AD$4+5)),SUMPRODUCT((INDEX(Timeline!$P$5:$AN$305,0,MATCH($A6,Timeline!$P$4:$AN$4,0))="x")*(Timeline!$K$5:$K$305="Task")*ISNUMBER(Timeline!$I$5:$I$305)*ISNUMBER(Timeline!$J$5:$J$305)*(Timeline!$I$5:$I$305&lt;=AD$4+6)*(Timeline!$J$5:$J$305&gt;=AD$4+6)))</f>
        <v>1</v>
      </c>
      <c r="AE6" s="67">
        <f>MAX(SUMPRODUCT((INDEX(Timeline!$P$5:$AN$305,0,MATCH($A6,Timeline!$P$4:$AN$4,0))="x")*(Timeline!$K$5:$K$305="Task")*ISNUMBER(Timeline!$I$5:$I$305)*ISNUMBER(Timeline!$J$5:$J$305)*(Timeline!$I$5:$I$305&lt;=AE$4+0)*(Timeline!$J$5:$J$305&gt;=AE$4+0)),SUMPRODUCT((INDEX(Timeline!$P$5:$AN$305,0,MATCH($A6,Timeline!$P$4:$AN$4,0))="x")*(Timeline!$K$5:$K$305="Task")*ISNUMBER(Timeline!$I$5:$I$305)*ISNUMBER(Timeline!$J$5:$J$305)*(Timeline!$I$5:$I$305&lt;=AE$4+1)*(Timeline!$J$5:$J$305&gt;=AE$4+1)),SUMPRODUCT((INDEX(Timeline!$P$5:$AN$305,0,MATCH($A6,Timeline!$P$4:$AN$4,0))="x")*(Timeline!$K$5:$K$305="Task")*ISNUMBER(Timeline!$I$5:$I$305)*ISNUMBER(Timeline!$J$5:$J$305)*(Timeline!$I$5:$I$305&lt;=AE$4+2)*(Timeline!$J$5:$J$305&gt;=AE$4+2)),SUMPRODUCT((INDEX(Timeline!$P$5:$AN$305,0,MATCH($A6,Timeline!$P$4:$AN$4,0))="x")*(Timeline!$K$5:$K$305="Task")*ISNUMBER(Timeline!$I$5:$I$305)*ISNUMBER(Timeline!$J$5:$J$305)*(Timeline!$I$5:$I$305&lt;=AE$4+3)*(Timeline!$J$5:$J$305&gt;=AE$4+3)),SUMPRODUCT((INDEX(Timeline!$P$5:$AN$305,0,MATCH($A6,Timeline!$P$4:$AN$4,0))="x")*(Timeline!$K$5:$K$305="Task")*ISNUMBER(Timeline!$I$5:$I$305)*ISNUMBER(Timeline!$J$5:$J$305)*(Timeline!$I$5:$I$305&lt;=AE$4+4)*(Timeline!$J$5:$J$305&gt;=AE$4+4)),SUMPRODUCT((INDEX(Timeline!$P$5:$AN$305,0,MATCH($A6,Timeline!$P$4:$AN$4,0))="x")*(Timeline!$K$5:$K$305="Task")*ISNUMBER(Timeline!$I$5:$I$305)*ISNUMBER(Timeline!$J$5:$J$305)*(Timeline!$I$5:$I$305&lt;=AE$4+5)*(Timeline!$J$5:$J$305&gt;=AE$4+5)),SUMPRODUCT((INDEX(Timeline!$P$5:$AN$305,0,MATCH($A6,Timeline!$P$4:$AN$4,0))="x")*(Timeline!$K$5:$K$305="Task")*ISNUMBER(Timeline!$I$5:$I$305)*ISNUMBER(Timeline!$J$5:$J$305)*(Timeline!$I$5:$I$305&lt;=AE$4+6)*(Timeline!$J$5:$J$305&gt;=AE$4+6)))</f>
        <v>1</v>
      </c>
      <c r="AF6" s="67">
        <f>MAX(SUMPRODUCT((INDEX(Timeline!$P$5:$AN$305,0,MATCH($A6,Timeline!$P$4:$AN$4,0))="x")*(Timeline!$K$5:$K$305="Task")*ISNUMBER(Timeline!$I$5:$I$305)*ISNUMBER(Timeline!$J$5:$J$305)*(Timeline!$I$5:$I$305&lt;=AF$4+0)*(Timeline!$J$5:$J$305&gt;=AF$4+0)),SUMPRODUCT((INDEX(Timeline!$P$5:$AN$305,0,MATCH($A6,Timeline!$P$4:$AN$4,0))="x")*(Timeline!$K$5:$K$305="Task")*ISNUMBER(Timeline!$I$5:$I$305)*ISNUMBER(Timeline!$J$5:$J$305)*(Timeline!$I$5:$I$305&lt;=AF$4+1)*(Timeline!$J$5:$J$305&gt;=AF$4+1)),SUMPRODUCT((INDEX(Timeline!$P$5:$AN$305,0,MATCH($A6,Timeline!$P$4:$AN$4,0))="x")*(Timeline!$K$5:$K$305="Task")*ISNUMBER(Timeline!$I$5:$I$305)*ISNUMBER(Timeline!$J$5:$J$305)*(Timeline!$I$5:$I$305&lt;=AF$4+2)*(Timeline!$J$5:$J$305&gt;=AF$4+2)),SUMPRODUCT((INDEX(Timeline!$P$5:$AN$305,0,MATCH($A6,Timeline!$P$4:$AN$4,0))="x")*(Timeline!$K$5:$K$305="Task")*ISNUMBER(Timeline!$I$5:$I$305)*ISNUMBER(Timeline!$J$5:$J$305)*(Timeline!$I$5:$I$305&lt;=AF$4+3)*(Timeline!$J$5:$J$305&gt;=AF$4+3)),SUMPRODUCT((INDEX(Timeline!$P$5:$AN$305,0,MATCH($A6,Timeline!$P$4:$AN$4,0))="x")*(Timeline!$K$5:$K$305="Task")*ISNUMBER(Timeline!$I$5:$I$305)*ISNUMBER(Timeline!$J$5:$J$305)*(Timeline!$I$5:$I$305&lt;=AF$4+4)*(Timeline!$J$5:$J$305&gt;=AF$4+4)),SUMPRODUCT((INDEX(Timeline!$P$5:$AN$305,0,MATCH($A6,Timeline!$P$4:$AN$4,0))="x")*(Timeline!$K$5:$K$305="Task")*ISNUMBER(Timeline!$I$5:$I$305)*ISNUMBER(Timeline!$J$5:$J$305)*(Timeline!$I$5:$I$305&lt;=AF$4+5)*(Timeline!$J$5:$J$305&gt;=AF$4+5)),SUMPRODUCT((INDEX(Timeline!$P$5:$AN$305,0,MATCH($A6,Timeline!$P$4:$AN$4,0))="x")*(Timeline!$K$5:$K$305="Task")*ISNUMBER(Timeline!$I$5:$I$305)*ISNUMBER(Timeline!$J$5:$J$305)*(Timeline!$I$5:$I$305&lt;=AF$4+6)*(Timeline!$J$5:$J$305&gt;=AF$4+6)))</f>
        <v>0</v>
      </c>
      <c r="AG6" s="67">
        <f>MAX(SUMPRODUCT((INDEX(Timeline!$P$5:$AN$305,0,MATCH($A6,Timeline!$P$4:$AN$4,0))="x")*(Timeline!$K$5:$K$305="Task")*ISNUMBER(Timeline!$I$5:$I$305)*ISNUMBER(Timeline!$J$5:$J$305)*(Timeline!$I$5:$I$305&lt;=AG$4+0)*(Timeline!$J$5:$J$305&gt;=AG$4+0)),SUMPRODUCT((INDEX(Timeline!$P$5:$AN$305,0,MATCH($A6,Timeline!$P$4:$AN$4,0))="x")*(Timeline!$K$5:$K$305="Task")*ISNUMBER(Timeline!$I$5:$I$305)*ISNUMBER(Timeline!$J$5:$J$305)*(Timeline!$I$5:$I$305&lt;=AG$4+1)*(Timeline!$J$5:$J$305&gt;=AG$4+1)),SUMPRODUCT((INDEX(Timeline!$P$5:$AN$305,0,MATCH($A6,Timeline!$P$4:$AN$4,0))="x")*(Timeline!$K$5:$K$305="Task")*ISNUMBER(Timeline!$I$5:$I$305)*ISNUMBER(Timeline!$J$5:$J$305)*(Timeline!$I$5:$I$305&lt;=AG$4+2)*(Timeline!$J$5:$J$305&gt;=AG$4+2)),SUMPRODUCT((INDEX(Timeline!$P$5:$AN$305,0,MATCH($A6,Timeline!$P$4:$AN$4,0))="x")*(Timeline!$K$5:$K$305="Task")*ISNUMBER(Timeline!$I$5:$I$305)*ISNUMBER(Timeline!$J$5:$J$305)*(Timeline!$I$5:$I$305&lt;=AG$4+3)*(Timeline!$J$5:$J$305&gt;=AG$4+3)),SUMPRODUCT((INDEX(Timeline!$P$5:$AN$305,0,MATCH($A6,Timeline!$P$4:$AN$4,0))="x")*(Timeline!$K$5:$K$305="Task")*ISNUMBER(Timeline!$I$5:$I$305)*ISNUMBER(Timeline!$J$5:$J$305)*(Timeline!$I$5:$I$305&lt;=AG$4+4)*(Timeline!$J$5:$J$305&gt;=AG$4+4)),SUMPRODUCT((INDEX(Timeline!$P$5:$AN$305,0,MATCH($A6,Timeline!$P$4:$AN$4,0))="x")*(Timeline!$K$5:$K$305="Task")*ISNUMBER(Timeline!$I$5:$I$305)*ISNUMBER(Timeline!$J$5:$J$305)*(Timeline!$I$5:$I$305&lt;=AG$4+5)*(Timeline!$J$5:$J$305&gt;=AG$4+5)),SUMPRODUCT((INDEX(Timeline!$P$5:$AN$305,0,MATCH($A6,Timeline!$P$4:$AN$4,0))="x")*(Timeline!$K$5:$K$305="Task")*ISNUMBER(Timeline!$I$5:$I$305)*ISNUMBER(Timeline!$J$5:$J$305)*(Timeline!$I$5:$I$305&lt;=AG$4+6)*(Timeline!$J$5:$J$305&gt;=AG$4+6)))</f>
        <v>0</v>
      </c>
      <c r="AH6" s="67">
        <f>MAX(SUMPRODUCT((INDEX(Timeline!$P$5:$AN$305,0,MATCH($A6,Timeline!$P$4:$AN$4,0))="x")*(Timeline!$K$5:$K$305="Task")*ISNUMBER(Timeline!$I$5:$I$305)*ISNUMBER(Timeline!$J$5:$J$305)*(Timeline!$I$5:$I$305&lt;=AH$4+0)*(Timeline!$J$5:$J$305&gt;=AH$4+0)),SUMPRODUCT((INDEX(Timeline!$P$5:$AN$305,0,MATCH($A6,Timeline!$P$4:$AN$4,0))="x")*(Timeline!$K$5:$K$305="Task")*ISNUMBER(Timeline!$I$5:$I$305)*ISNUMBER(Timeline!$J$5:$J$305)*(Timeline!$I$5:$I$305&lt;=AH$4+1)*(Timeline!$J$5:$J$305&gt;=AH$4+1)),SUMPRODUCT((INDEX(Timeline!$P$5:$AN$305,0,MATCH($A6,Timeline!$P$4:$AN$4,0))="x")*(Timeline!$K$5:$K$305="Task")*ISNUMBER(Timeline!$I$5:$I$305)*ISNUMBER(Timeline!$J$5:$J$305)*(Timeline!$I$5:$I$305&lt;=AH$4+2)*(Timeline!$J$5:$J$305&gt;=AH$4+2)),SUMPRODUCT((INDEX(Timeline!$P$5:$AN$305,0,MATCH($A6,Timeline!$P$4:$AN$4,0))="x")*(Timeline!$K$5:$K$305="Task")*ISNUMBER(Timeline!$I$5:$I$305)*ISNUMBER(Timeline!$J$5:$J$305)*(Timeline!$I$5:$I$305&lt;=AH$4+3)*(Timeline!$J$5:$J$305&gt;=AH$4+3)),SUMPRODUCT((INDEX(Timeline!$P$5:$AN$305,0,MATCH($A6,Timeline!$P$4:$AN$4,0))="x")*(Timeline!$K$5:$K$305="Task")*ISNUMBER(Timeline!$I$5:$I$305)*ISNUMBER(Timeline!$J$5:$J$305)*(Timeline!$I$5:$I$305&lt;=AH$4+4)*(Timeline!$J$5:$J$305&gt;=AH$4+4)),SUMPRODUCT((INDEX(Timeline!$P$5:$AN$305,0,MATCH($A6,Timeline!$P$4:$AN$4,0))="x")*(Timeline!$K$5:$K$305="Task")*ISNUMBER(Timeline!$I$5:$I$305)*ISNUMBER(Timeline!$J$5:$J$305)*(Timeline!$I$5:$I$305&lt;=AH$4+5)*(Timeline!$J$5:$J$305&gt;=AH$4+5)),SUMPRODUCT((INDEX(Timeline!$P$5:$AN$305,0,MATCH($A6,Timeline!$P$4:$AN$4,0))="x")*(Timeline!$K$5:$K$305="Task")*ISNUMBER(Timeline!$I$5:$I$305)*ISNUMBER(Timeline!$J$5:$J$305)*(Timeline!$I$5:$I$305&lt;=AH$4+6)*(Timeline!$J$5:$J$305&gt;=AH$4+6)))</f>
        <v>1</v>
      </c>
      <c r="AI6" s="67">
        <f>MAX(SUMPRODUCT((INDEX(Timeline!$P$5:$AN$305,0,MATCH($A6,Timeline!$P$4:$AN$4,0))="x")*(Timeline!$K$5:$K$305="Task")*ISNUMBER(Timeline!$I$5:$I$305)*ISNUMBER(Timeline!$J$5:$J$305)*(Timeline!$I$5:$I$305&lt;=AI$4+0)*(Timeline!$J$5:$J$305&gt;=AI$4+0)),SUMPRODUCT((INDEX(Timeline!$P$5:$AN$305,0,MATCH($A6,Timeline!$P$4:$AN$4,0))="x")*(Timeline!$K$5:$K$305="Task")*ISNUMBER(Timeline!$I$5:$I$305)*ISNUMBER(Timeline!$J$5:$J$305)*(Timeline!$I$5:$I$305&lt;=AI$4+1)*(Timeline!$J$5:$J$305&gt;=AI$4+1)),SUMPRODUCT((INDEX(Timeline!$P$5:$AN$305,0,MATCH($A6,Timeline!$P$4:$AN$4,0))="x")*(Timeline!$K$5:$K$305="Task")*ISNUMBER(Timeline!$I$5:$I$305)*ISNUMBER(Timeline!$J$5:$J$305)*(Timeline!$I$5:$I$305&lt;=AI$4+2)*(Timeline!$J$5:$J$305&gt;=AI$4+2)),SUMPRODUCT((INDEX(Timeline!$P$5:$AN$305,0,MATCH($A6,Timeline!$P$4:$AN$4,0))="x")*(Timeline!$K$5:$K$305="Task")*ISNUMBER(Timeline!$I$5:$I$305)*ISNUMBER(Timeline!$J$5:$J$305)*(Timeline!$I$5:$I$305&lt;=AI$4+3)*(Timeline!$J$5:$J$305&gt;=AI$4+3)),SUMPRODUCT((INDEX(Timeline!$P$5:$AN$305,0,MATCH($A6,Timeline!$P$4:$AN$4,0))="x")*(Timeline!$K$5:$K$305="Task")*ISNUMBER(Timeline!$I$5:$I$305)*ISNUMBER(Timeline!$J$5:$J$305)*(Timeline!$I$5:$I$305&lt;=AI$4+4)*(Timeline!$J$5:$J$305&gt;=AI$4+4)),SUMPRODUCT((INDEX(Timeline!$P$5:$AN$305,0,MATCH($A6,Timeline!$P$4:$AN$4,0))="x")*(Timeline!$K$5:$K$305="Task")*ISNUMBER(Timeline!$I$5:$I$305)*ISNUMBER(Timeline!$J$5:$J$305)*(Timeline!$I$5:$I$305&lt;=AI$4+5)*(Timeline!$J$5:$J$305&gt;=AI$4+5)),SUMPRODUCT((INDEX(Timeline!$P$5:$AN$305,0,MATCH($A6,Timeline!$P$4:$AN$4,0))="x")*(Timeline!$K$5:$K$305="Task")*ISNUMBER(Timeline!$I$5:$I$305)*ISNUMBER(Timeline!$J$5:$J$305)*(Timeline!$I$5:$I$305&lt;=AI$4+6)*(Timeline!$J$5:$J$305&gt;=AI$4+6)))</f>
        <v>0</v>
      </c>
      <c r="AJ6" s="67">
        <f>MAX(SUMPRODUCT((INDEX(Timeline!$P$5:$AN$305,0,MATCH($A6,Timeline!$P$4:$AN$4,0))="x")*(Timeline!$K$5:$K$305="Task")*ISNUMBER(Timeline!$I$5:$I$305)*ISNUMBER(Timeline!$J$5:$J$305)*(Timeline!$I$5:$I$305&lt;=AJ$4+0)*(Timeline!$J$5:$J$305&gt;=AJ$4+0)),SUMPRODUCT((INDEX(Timeline!$P$5:$AN$305,0,MATCH($A6,Timeline!$P$4:$AN$4,0))="x")*(Timeline!$K$5:$K$305="Task")*ISNUMBER(Timeline!$I$5:$I$305)*ISNUMBER(Timeline!$J$5:$J$305)*(Timeline!$I$5:$I$305&lt;=AJ$4+1)*(Timeline!$J$5:$J$305&gt;=AJ$4+1)),SUMPRODUCT((INDEX(Timeline!$P$5:$AN$305,0,MATCH($A6,Timeline!$P$4:$AN$4,0))="x")*(Timeline!$K$5:$K$305="Task")*ISNUMBER(Timeline!$I$5:$I$305)*ISNUMBER(Timeline!$J$5:$J$305)*(Timeline!$I$5:$I$305&lt;=AJ$4+2)*(Timeline!$J$5:$J$305&gt;=AJ$4+2)),SUMPRODUCT((INDEX(Timeline!$P$5:$AN$305,0,MATCH($A6,Timeline!$P$4:$AN$4,0))="x")*(Timeline!$K$5:$K$305="Task")*ISNUMBER(Timeline!$I$5:$I$305)*ISNUMBER(Timeline!$J$5:$J$305)*(Timeline!$I$5:$I$305&lt;=AJ$4+3)*(Timeline!$J$5:$J$305&gt;=AJ$4+3)),SUMPRODUCT((INDEX(Timeline!$P$5:$AN$305,0,MATCH($A6,Timeline!$P$4:$AN$4,0))="x")*(Timeline!$K$5:$K$305="Task")*ISNUMBER(Timeline!$I$5:$I$305)*ISNUMBER(Timeline!$J$5:$J$305)*(Timeline!$I$5:$I$305&lt;=AJ$4+4)*(Timeline!$J$5:$J$305&gt;=AJ$4+4)),SUMPRODUCT((INDEX(Timeline!$P$5:$AN$305,0,MATCH($A6,Timeline!$P$4:$AN$4,0))="x")*(Timeline!$K$5:$K$305="Task")*ISNUMBER(Timeline!$I$5:$I$305)*ISNUMBER(Timeline!$J$5:$J$305)*(Timeline!$I$5:$I$305&lt;=AJ$4+5)*(Timeline!$J$5:$J$305&gt;=AJ$4+5)),SUMPRODUCT((INDEX(Timeline!$P$5:$AN$305,0,MATCH($A6,Timeline!$P$4:$AN$4,0))="x")*(Timeline!$K$5:$K$305="Task")*ISNUMBER(Timeline!$I$5:$I$305)*ISNUMBER(Timeline!$J$5:$J$305)*(Timeline!$I$5:$I$305&lt;=AJ$4+6)*(Timeline!$J$5:$J$305&gt;=AJ$4+6)))</f>
        <v>0</v>
      </c>
      <c r="AK6" s="67">
        <f>MAX(SUMPRODUCT((INDEX(Timeline!$P$5:$AN$305,0,MATCH($A6,Timeline!$P$4:$AN$4,0))="x")*(Timeline!$K$5:$K$305="Task")*ISNUMBER(Timeline!$I$5:$I$305)*ISNUMBER(Timeline!$J$5:$J$305)*(Timeline!$I$5:$I$305&lt;=AK$4+0)*(Timeline!$J$5:$J$305&gt;=AK$4+0)),SUMPRODUCT((INDEX(Timeline!$P$5:$AN$305,0,MATCH($A6,Timeline!$P$4:$AN$4,0))="x")*(Timeline!$K$5:$K$305="Task")*ISNUMBER(Timeline!$I$5:$I$305)*ISNUMBER(Timeline!$J$5:$J$305)*(Timeline!$I$5:$I$305&lt;=AK$4+1)*(Timeline!$J$5:$J$305&gt;=AK$4+1)),SUMPRODUCT((INDEX(Timeline!$P$5:$AN$305,0,MATCH($A6,Timeline!$P$4:$AN$4,0))="x")*(Timeline!$K$5:$K$305="Task")*ISNUMBER(Timeline!$I$5:$I$305)*ISNUMBER(Timeline!$J$5:$J$305)*(Timeline!$I$5:$I$305&lt;=AK$4+2)*(Timeline!$J$5:$J$305&gt;=AK$4+2)),SUMPRODUCT((INDEX(Timeline!$P$5:$AN$305,0,MATCH($A6,Timeline!$P$4:$AN$4,0))="x")*(Timeline!$K$5:$K$305="Task")*ISNUMBER(Timeline!$I$5:$I$305)*ISNUMBER(Timeline!$J$5:$J$305)*(Timeline!$I$5:$I$305&lt;=AK$4+3)*(Timeline!$J$5:$J$305&gt;=AK$4+3)),SUMPRODUCT((INDEX(Timeline!$P$5:$AN$305,0,MATCH($A6,Timeline!$P$4:$AN$4,0))="x")*(Timeline!$K$5:$K$305="Task")*ISNUMBER(Timeline!$I$5:$I$305)*ISNUMBER(Timeline!$J$5:$J$305)*(Timeline!$I$5:$I$305&lt;=AK$4+4)*(Timeline!$J$5:$J$305&gt;=AK$4+4)),SUMPRODUCT((INDEX(Timeline!$P$5:$AN$305,0,MATCH($A6,Timeline!$P$4:$AN$4,0))="x")*(Timeline!$K$5:$K$305="Task")*ISNUMBER(Timeline!$I$5:$I$305)*ISNUMBER(Timeline!$J$5:$J$305)*(Timeline!$I$5:$I$305&lt;=AK$4+5)*(Timeline!$J$5:$J$305&gt;=AK$4+5)),SUMPRODUCT((INDEX(Timeline!$P$5:$AN$305,0,MATCH($A6,Timeline!$P$4:$AN$4,0))="x")*(Timeline!$K$5:$K$305="Task")*ISNUMBER(Timeline!$I$5:$I$305)*ISNUMBER(Timeline!$J$5:$J$305)*(Timeline!$I$5:$I$305&lt;=AK$4+6)*(Timeline!$J$5:$J$305&gt;=AK$4+6)))</f>
        <v>0</v>
      </c>
      <c r="AL6" s="67">
        <f>MAX(SUMPRODUCT((INDEX(Timeline!$P$5:$AN$305,0,MATCH($A6,Timeline!$P$4:$AN$4,0))="x")*(Timeline!$K$5:$K$305="Task")*ISNUMBER(Timeline!$I$5:$I$305)*ISNUMBER(Timeline!$J$5:$J$305)*(Timeline!$I$5:$I$305&lt;=AL$4+0)*(Timeline!$J$5:$J$305&gt;=AL$4+0)),SUMPRODUCT((INDEX(Timeline!$P$5:$AN$305,0,MATCH($A6,Timeline!$P$4:$AN$4,0))="x")*(Timeline!$K$5:$K$305="Task")*ISNUMBER(Timeline!$I$5:$I$305)*ISNUMBER(Timeline!$J$5:$J$305)*(Timeline!$I$5:$I$305&lt;=AL$4+1)*(Timeline!$J$5:$J$305&gt;=AL$4+1)),SUMPRODUCT((INDEX(Timeline!$P$5:$AN$305,0,MATCH($A6,Timeline!$P$4:$AN$4,0))="x")*(Timeline!$K$5:$K$305="Task")*ISNUMBER(Timeline!$I$5:$I$305)*ISNUMBER(Timeline!$J$5:$J$305)*(Timeline!$I$5:$I$305&lt;=AL$4+2)*(Timeline!$J$5:$J$305&gt;=AL$4+2)),SUMPRODUCT((INDEX(Timeline!$P$5:$AN$305,0,MATCH($A6,Timeline!$P$4:$AN$4,0))="x")*(Timeline!$K$5:$K$305="Task")*ISNUMBER(Timeline!$I$5:$I$305)*ISNUMBER(Timeline!$J$5:$J$305)*(Timeline!$I$5:$I$305&lt;=AL$4+3)*(Timeline!$J$5:$J$305&gt;=AL$4+3)),SUMPRODUCT((INDEX(Timeline!$P$5:$AN$305,0,MATCH($A6,Timeline!$P$4:$AN$4,0))="x")*(Timeline!$K$5:$K$305="Task")*ISNUMBER(Timeline!$I$5:$I$305)*ISNUMBER(Timeline!$J$5:$J$305)*(Timeline!$I$5:$I$305&lt;=AL$4+4)*(Timeline!$J$5:$J$305&gt;=AL$4+4)),SUMPRODUCT((INDEX(Timeline!$P$5:$AN$305,0,MATCH($A6,Timeline!$P$4:$AN$4,0))="x")*(Timeline!$K$5:$K$305="Task")*ISNUMBER(Timeline!$I$5:$I$305)*ISNUMBER(Timeline!$J$5:$J$305)*(Timeline!$I$5:$I$305&lt;=AL$4+5)*(Timeline!$J$5:$J$305&gt;=AL$4+5)),SUMPRODUCT((INDEX(Timeline!$P$5:$AN$305,0,MATCH($A6,Timeline!$P$4:$AN$4,0))="x")*(Timeline!$K$5:$K$305="Task")*ISNUMBER(Timeline!$I$5:$I$305)*ISNUMBER(Timeline!$J$5:$J$305)*(Timeline!$I$5:$I$305&lt;=AL$4+6)*(Timeline!$J$5:$J$305&gt;=AL$4+6)))</f>
        <v>0</v>
      </c>
      <c r="AM6" s="67">
        <f>MAX(SUMPRODUCT((INDEX(Timeline!$P$5:$AN$305,0,MATCH($A6,Timeline!$P$4:$AN$4,0))="x")*(Timeline!$K$5:$K$305="Task")*ISNUMBER(Timeline!$I$5:$I$305)*ISNUMBER(Timeline!$J$5:$J$305)*(Timeline!$I$5:$I$305&lt;=AM$4+0)*(Timeline!$J$5:$J$305&gt;=AM$4+0)),SUMPRODUCT((INDEX(Timeline!$P$5:$AN$305,0,MATCH($A6,Timeline!$P$4:$AN$4,0))="x")*(Timeline!$K$5:$K$305="Task")*ISNUMBER(Timeline!$I$5:$I$305)*ISNUMBER(Timeline!$J$5:$J$305)*(Timeline!$I$5:$I$305&lt;=AM$4+1)*(Timeline!$J$5:$J$305&gt;=AM$4+1)),SUMPRODUCT((INDEX(Timeline!$P$5:$AN$305,0,MATCH($A6,Timeline!$P$4:$AN$4,0))="x")*(Timeline!$K$5:$K$305="Task")*ISNUMBER(Timeline!$I$5:$I$305)*ISNUMBER(Timeline!$J$5:$J$305)*(Timeline!$I$5:$I$305&lt;=AM$4+2)*(Timeline!$J$5:$J$305&gt;=AM$4+2)),SUMPRODUCT((INDEX(Timeline!$P$5:$AN$305,0,MATCH($A6,Timeline!$P$4:$AN$4,0))="x")*(Timeline!$K$5:$K$305="Task")*ISNUMBER(Timeline!$I$5:$I$305)*ISNUMBER(Timeline!$J$5:$J$305)*(Timeline!$I$5:$I$305&lt;=AM$4+3)*(Timeline!$J$5:$J$305&gt;=AM$4+3)),SUMPRODUCT((INDEX(Timeline!$P$5:$AN$305,0,MATCH($A6,Timeline!$P$4:$AN$4,0))="x")*(Timeline!$K$5:$K$305="Task")*ISNUMBER(Timeline!$I$5:$I$305)*ISNUMBER(Timeline!$J$5:$J$305)*(Timeline!$I$5:$I$305&lt;=AM$4+4)*(Timeline!$J$5:$J$305&gt;=AM$4+4)),SUMPRODUCT((INDEX(Timeline!$P$5:$AN$305,0,MATCH($A6,Timeline!$P$4:$AN$4,0))="x")*(Timeline!$K$5:$K$305="Task")*ISNUMBER(Timeline!$I$5:$I$305)*ISNUMBER(Timeline!$J$5:$J$305)*(Timeline!$I$5:$I$305&lt;=AM$4+5)*(Timeline!$J$5:$J$305&gt;=AM$4+5)),SUMPRODUCT((INDEX(Timeline!$P$5:$AN$305,0,MATCH($A6,Timeline!$P$4:$AN$4,0))="x")*(Timeline!$K$5:$K$305="Task")*ISNUMBER(Timeline!$I$5:$I$305)*ISNUMBER(Timeline!$J$5:$J$305)*(Timeline!$I$5:$I$305&lt;=AM$4+6)*(Timeline!$J$5:$J$305&gt;=AM$4+6)))</f>
        <v>0</v>
      </c>
      <c r="AN6" s="67">
        <f>MAX(SUMPRODUCT((INDEX(Timeline!$P$5:$AN$305,0,MATCH($A6,Timeline!$P$4:$AN$4,0))="x")*(Timeline!$K$5:$K$305="Task")*ISNUMBER(Timeline!$I$5:$I$305)*ISNUMBER(Timeline!$J$5:$J$305)*(Timeline!$I$5:$I$305&lt;=AN$4+0)*(Timeline!$J$5:$J$305&gt;=AN$4+0)),SUMPRODUCT((INDEX(Timeline!$P$5:$AN$305,0,MATCH($A6,Timeline!$P$4:$AN$4,0))="x")*(Timeline!$K$5:$K$305="Task")*ISNUMBER(Timeline!$I$5:$I$305)*ISNUMBER(Timeline!$J$5:$J$305)*(Timeline!$I$5:$I$305&lt;=AN$4+1)*(Timeline!$J$5:$J$305&gt;=AN$4+1)),SUMPRODUCT((INDEX(Timeline!$P$5:$AN$305,0,MATCH($A6,Timeline!$P$4:$AN$4,0))="x")*(Timeline!$K$5:$K$305="Task")*ISNUMBER(Timeline!$I$5:$I$305)*ISNUMBER(Timeline!$J$5:$J$305)*(Timeline!$I$5:$I$305&lt;=AN$4+2)*(Timeline!$J$5:$J$305&gt;=AN$4+2)),SUMPRODUCT((INDEX(Timeline!$P$5:$AN$305,0,MATCH($A6,Timeline!$P$4:$AN$4,0))="x")*(Timeline!$K$5:$K$305="Task")*ISNUMBER(Timeline!$I$5:$I$305)*ISNUMBER(Timeline!$J$5:$J$305)*(Timeline!$I$5:$I$305&lt;=AN$4+3)*(Timeline!$J$5:$J$305&gt;=AN$4+3)),SUMPRODUCT((INDEX(Timeline!$P$5:$AN$305,0,MATCH($A6,Timeline!$P$4:$AN$4,0))="x")*(Timeline!$K$5:$K$305="Task")*ISNUMBER(Timeline!$I$5:$I$305)*ISNUMBER(Timeline!$J$5:$J$305)*(Timeline!$I$5:$I$305&lt;=AN$4+4)*(Timeline!$J$5:$J$305&gt;=AN$4+4)),SUMPRODUCT((INDEX(Timeline!$P$5:$AN$305,0,MATCH($A6,Timeline!$P$4:$AN$4,0))="x")*(Timeline!$K$5:$K$305="Task")*ISNUMBER(Timeline!$I$5:$I$305)*ISNUMBER(Timeline!$J$5:$J$305)*(Timeline!$I$5:$I$305&lt;=AN$4+5)*(Timeline!$J$5:$J$305&gt;=AN$4+5)),SUMPRODUCT((INDEX(Timeline!$P$5:$AN$305,0,MATCH($A6,Timeline!$P$4:$AN$4,0))="x")*(Timeline!$K$5:$K$305="Task")*ISNUMBER(Timeline!$I$5:$I$305)*ISNUMBER(Timeline!$J$5:$J$305)*(Timeline!$I$5:$I$305&lt;=AN$4+6)*(Timeline!$J$5:$J$305&gt;=AN$4+6)))</f>
        <v>0</v>
      </c>
      <c r="AO6" s="67">
        <f>MAX(SUMPRODUCT((INDEX(Timeline!$P$5:$AN$305,0,MATCH($A6,Timeline!$P$4:$AN$4,0))="x")*(Timeline!$K$5:$K$305="Task")*ISNUMBER(Timeline!$I$5:$I$305)*ISNUMBER(Timeline!$J$5:$J$305)*(Timeline!$I$5:$I$305&lt;=AO$4+0)*(Timeline!$J$5:$J$305&gt;=AO$4+0)),SUMPRODUCT((INDEX(Timeline!$P$5:$AN$305,0,MATCH($A6,Timeline!$P$4:$AN$4,0))="x")*(Timeline!$K$5:$K$305="Task")*ISNUMBER(Timeline!$I$5:$I$305)*ISNUMBER(Timeline!$J$5:$J$305)*(Timeline!$I$5:$I$305&lt;=AO$4+1)*(Timeline!$J$5:$J$305&gt;=AO$4+1)),SUMPRODUCT((INDEX(Timeline!$P$5:$AN$305,0,MATCH($A6,Timeline!$P$4:$AN$4,0))="x")*(Timeline!$K$5:$K$305="Task")*ISNUMBER(Timeline!$I$5:$I$305)*ISNUMBER(Timeline!$J$5:$J$305)*(Timeline!$I$5:$I$305&lt;=AO$4+2)*(Timeline!$J$5:$J$305&gt;=AO$4+2)),SUMPRODUCT((INDEX(Timeline!$P$5:$AN$305,0,MATCH($A6,Timeline!$P$4:$AN$4,0))="x")*(Timeline!$K$5:$K$305="Task")*ISNUMBER(Timeline!$I$5:$I$305)*ISNUMBER(Timeline!$J$5:$J$305)*(Timeline!$I$5:$I$305&lt;=AO$4+3)*(Timeline!$J$5:$J$305&gt;=AO$4+3)),SUMPRODUCT((INDEX(Timeline!$P$5:$AN$305,0,MATCH($A6,Timeline!$P$4:$AN$4,0))="x")*(Timeline!$K$5:$K$305="Task")*ISNUMBER(Timeline!$I$5:$I$305)*ISNUMBER(Timeline!$J$5:$J$305)*(Timeline!$I$5:$I$305&lt;=AO$4+4)*(Timeline!$J$5:$J$305&gt;=AO$4+4)),SUMPRODUCT((INDEX(Timeline!$P$5:$AN$305,0,MATCH($A6,Timeline!$P$4:$AN$4,0))="x")*(Timeline!$K$5:$K$305="Task")*ISNUMBER(Timeline!$I$5:$I$305)*ISNUMBER(Timeline!$J$5:$J$305)*(Timeline!$I$5:$I$305&lt;=AO$4+5)*(Timeline!$J$5:$J$305&gt;=AO$4+5)),SUMPRODUCT((INDEX(Timeline!$P$5:$AN$305,0,MATCH($A6,Timeline!$P$4:$AN$4,0))="x")*(Timeline!$K$5:$K$305="Task")*ISNUMBER(Timeline!$I$5:$I$305)*ISNUMBER(Timeline!$J$5:$J$305)*(Timeline!$I$5:$I$305&lt;=AO$4+6)*(Timeline!$J$5:$J$305&gt;=AO$4+6)))</f>
        <v>0</v>
      </c>
      <c r="AP6" s="67">
        <f>MAX(SUMPRODUCT((INDEX(Timeline!$P$5:$AN$305,0,MATCH($A6,Timeline!$P$4:$AN$4,0))="x")*(Timeline!$K$5:$K$305="Task")*ISNUMBER(Timeline!$I$5:$I$305)*ISNUMBER(Timeline!$J$5:$J$305)*(Timeline!$I$5:$I$305&lt;=AP$4+0)*(Timeline!$J$5:$J$305&gt;=AP$4+0)),SUMPRODUCT((INDEX(Timeline!$P$5:$AN$305,0,MATCH($A6,Timeline!$P$4:$AN$4,0))="x")*(Timeline!$K$5:$K$305="Task")*ISNUMBER(Timeline!$I$5:$I$305)*ISNUMBER(Timeline!$J$5:$J$305)*(Timeline!$I$5:$I$305&lt;=AP$4+1)*(Timeline!$J$5:$J$305&gt;=AP$4+1)),SUMPRODUCT((INDEX(Timeline!$P$5:$AN$305,0,MATCH($A6,Timeline!$P$4:$AN$4,0))="x")*(Timeline!$K$5:$K$305="Task")*ISNUMBER(Timeline!$I$5:$I$305)*ISNUMBER(Timeline!$J$5:$J$305)*(Timeline!$I$5:$I$305&lt;=AP$4+2)*(Timeline!$J$5:$J$305&gt;=AP$4+2)),SUMPRODUCT((INDEX(Timeline!$P$5:$AN$305,0,MATCH($A6,Timeline!$P$4:$AN$4,0))="x")*(Timeline!$K$5:$K$305="Task")*ISNUMBER(Timeline!$I$5:$I$305)*ISNUMBER(Timeline!$J$5:$J$305)*(Timeline!$I$5:$I$305&lt;=AP$4+3)*(Timeline!$J$5:$J$305&gt;=AP$4+3)),SUMPRODUCT((INDEX(Timeline!$P$5:$AN$305,0,MATCH($A6,Timeline!$P$4:$AN$4,0))="x")*(Timeline!$K$5:$K$305="Task")*ISNUMBER(Timeline!$I$5:$I$305)*ISNUMBER(Timeline!$J$5:$J$305)*(Timeline!$I$5:$I$305&lt;=AP$4+4)*(Timeline!$J$5:$J$305&gt;=AP$4+4)),SUMPRODUCT((INDEX(Timeline!$P$5:$AN$305,0,MATCH($A6,Timeline!$P$4:$AN$4,0))="x")*(Timeline!$K$5:$K$305="Task")*ISNUMBER(Timeline!$I$5:$I$305)*ISNUMBER(Timeline!$J$5:$J$305)*(Timeline!$I$5:$I$305&lt;=AP$4+5)*(Timeline!$J$5:$J$305&gt;=AP$4+5)),SUMPRODUCT((INDEX(Timeline!$P$5:$AN$305,0,MATCH($A6,Timeline!$P$4:$AN$4,0))="x")*(Timeline!$K$5:$K$305="Task")*ISNUMBER(Timeline!$I$5:$I$305)*ISNUMBER(Timeline!$J$5:$J$305)*(Timeline!$I$5:$I$305&lt;=AP$4+6)*(Timeline!$J$5:$J$305&gt;=AP$4+6)))</f>
        <v>0</v>
      </c>
      <c r="AQ6" s="67">
        <f>MAX(SUMPRODUCT((INDEX(Timeline!$P$5:$AN$305,0,MATCH($A6,Timeline!$P$4:$AN$4,0))="x")*(Timeline!$K$5:$K$305="Task")*ISNUMBER(Timeline!$I$5:$I$305)*ISNUMBER(Timeline!$J$5:$J$305)*(Timeline!$I$5:$I$305&lt;=AQ$4+0)*(Timeline!$J$5:$J$305&gt;=AQ$4+0)),SUMPRODUCT((INDEX(Timeline!$P$5:$AN$305,0,MATCH($A6,Timeline!$P$4:$AN$4,0))="x")*(Timeline!$K$5:$K$305="Task")*ISNUMBER(Timeline!$I$5:$I$305)*ISNUMBER(Timeline!$J$5:$J$305)*(Timeline!$I$5:$I$305&lt;=AQ$4+1)*(Timeline!$J$5:$J$305&gt;=AQ$4+1)),SUMPRODUCT((INDEX(Timeline!$P$5:$AN$305,0,MATCH($A6,Timeline!$P$4:$AN$4,0))="x")*(Timeline!$K$5:$K$305="Task")*ISNUMBER(Timeline!$I$5:$I$305)*ISNUMBER(Timeline!$J$5:$J$305)*(Timeline!$I$5:$I$305&lt;=AQ$4+2)*(Timeline!$J$5:$J$305&gt;=AQ$4+2)),SUMPRODUCT((INDEX(Timeline!$P$5:$AN$305,0,MATCH($A6,Timeline!$P$4:$AN$4,0))="x")*(Timeline!$K$5:$K$305="Task")*ISNUMBER(Timeline!$I$5:$I$305)*ISNUMBER(Timeline!$J$5:$J$305)*(Timeline!$I$5:$I$305&lt;=AQ$4+3)*(Timeline!$J$5:$J$305&gt;=AQ$4+3)),SUMPRODUCT((INDEX(Timeline!$P$5:$AN$305,0,MATCH($A6,Timeline!$P$4:$AN$4,0))="x")*(Timeline!$K$5:$K$305="Task")*ISNUMBER(Timeline!$I$5:$I$305)*ISNUMBER(Timeline!$J$5:$J$305)*(Timeline!$I$5:$I$305&lt;=AQ$4+4)*(Timeline!$J$5:$J$305&gt;=AQ$4+4)),SUMPRODUCT((INDEX(Timeline!$P$5:$AN$305,0,MATCH($A6,Timeline!$P$4:$AN$4,0))="x")*(Timeline!$K$5:$K$305="Task")*ISNUMBER(Timeline!$I$5:$I$305)*ISNUMBER(Timeline!$J$5:$J$305)*(Timeline!$I$5:$I$305&lt;=AQ$4+5)*(Timeline!$J$5:$J$305&gt;=AQ$4+5)),SUMPRODUCT((INDEX(Timeline!$P$5:$AN$305,0,MATCH($A6,Timeline!$P$4:$AN$4,0))="x")*(Timeline!$K$5:$K$305="Task")*ISNUMBER(Timeline!$I$5:$I$305)*ISNUMBER(Timeline!$J$5:$J$305)*(Timeline!$I$5:$I$305&lt;=AQ$4+6)*(Timeline!$J$5:$J$305&gt;=AQ$4+6)))</f>
        <v>0</v>
      </c>
      <c r="AR6" s="67">
        <f>MAX(SUMPRODUCT((INDEX(Timeline!$P$5:$AN$305,0,MATCH($A6,Timeline!$P$4:$AN$4,0))="x")*(Timeline!$K$5:$K$305="Task")*ISNUMBER(Timeline!$I$5:$I$305)*ISNUMBER(Timeline!$J$5:$J$305)*(Timeline!$I$5:$I$305&lt;=AR$4+0)*(Timeline!$J$5:$J$305&gt;=AR$4+0)),SUMPRODUCT((INDEX(Timeline!$P$5:$AN$305,0,MATCH($A6,Timeline!$P$4:$AN$4,0))="x")*(Timeline!$K$5:$K$305="Task")*ISNUMBER(Timeline!$I$5:$I$305)*ISNUMBER(Timeline!$J$5:$J$305)*(Timeline!$I$5:$I$305&lt;=AR$4+1)*(Timeline!$J$5:$J$305&gt;=AR$4+1)),SUMPRODUCT((INDEX(Timeline!$P$5:$AN$305,0,MATCH($A6,Timeline!$P$4:$AN$4,0))="x")*(Timeline!$K$5:$K$305="Task")*ISNUMBER(Timeline!$I$5:$I$305)*ISNUMBER(Timeline!$J$5:$J$305)*(Timeline!$I$5:$I$305&lt;=AR$4+2)*(Timeline!$J$5:$J$305&gt;=AR$4+2)),SUMPRODUCT((INDEX(Timeline!$P$5:$AN$305,0,MATCH($A6,Timeline!$P$4:$AN$4,0))="x")*(Timeline!$K$5:$K$305="Task")*ISNUMBER(Timeline!$I$5:$I$305)*ISNUMBER(Timeline!$J$5:$J$305)*(Timeline!$I$5:$I$305&lt;=AR$4+3)*(Timeline!$J$5:$J$305&gt;=AR$4+3)),SUMPRODUCT((INDEX(Timeline!$P$5:$AN$305,0,MATCH($A6,Timeline!$P$4:$AN$4,0))="x")*(Timeline!$K$5:$K$305="Task")*ISNUMBER(Timeline!$I$5:$I$305)*ISNUMBER(Timeline!$J$5:$J$305)*(Timeline!$I$5:$I$305&lt;=AR$4+4)*(Timeline!$J$5:$J$305&gt;=AR$4+4)),SUMPRODUCT((INDEX(Timeline!$P$5:$AN$305,0,MATCH($A6,Timeline!$P$4:$AN$4,0))="x")*(Timeline!$K$5:$K$305="Task")*ISNUMBER(Timeline!$I$5:$I$305)*ISNUMBER(Timeline!$J$5:$J$305)*(Timeline!$I$5:$I$305&lt;=AR$4+5)*(Timeline!$J$5:$J$305&gt;=AR$4+5)),SUMPRODUCT((INDEX(Timeline!$P$5:$AN$305,0,MATCH($A6,Timeline!$P$4:$AN$4,0))="x")*(Timeline!$K$5:$K$305="Task")*ISNUMBER(Timeline!$I$5:$I$305)*ISNUMBER(Timeline!$J$5:$J$305)*(Timeline!$I$5:$I$305&lt;=AR$4+6)*(Timeline!$J$5:$J$305&gt;=AR$4+6)))</f>
        <v>0</v>
      </c>
      <c r="AS6" s="67">
        <f>MAX(SUMPRODUCT((INDEX(Timeline!$P$5:$AN$305,0,MATCH($A6,Timeline!$P$4:$AN$4,0))="x")*(Timeline!$K$5:$K$305="Task")*ISNUMBER(Timeline!$I$5:$I$305)*ISNUMBER(Timeline!$J$5:$J$305)*(Timeline!$I$5:$I$305&lt;=AS$4+0)*(Timeline!$J$5:$J$305&gt;=AS$4+0)),SUMPRODUCT((INDEX(Timeline!$P$5:$AN$305,0,MATCH($A6,Timeline!$P$4:$AN$4,0))="x")*(Timeline!$K$5:$K$305="Task")*ISNUMBER(Timeline!$I$5:$I$305)*ISNUMBER(Timeline!$J$5:$J$305)*(Timeline!$I$5:$I$305&lt;=AS$4+1)*(Timeline!$J$5:$J$305&gt;=AS$4+1)),SUMPRODUCT((INDEX(Timeline!$P$5:$AN$305,0,MATCH($A6,Timeline!$P$4:$AN$4,0))="x")*(Timeline!$K$5:$K$305="Task")*ISNUMBER(Timeline!$I$5:$I$305)*ISNUMBER(Timeline!$J$5:$J$305)*(Timeline!$I$5:$I$305&lt;=AS$4+2)*(Timeline!$J$5:$J$305&gt;=AS$4+2)),SUMPRODUCT((INDEX(Timeline!$P$5:$AN$305,0,MATCH($A6,Timeline!$P$4:$AN$4,0))="x")*(Timeline!$K$5:$K$305="Task")*ISNUMBER(Timeline!$I$5:$I$305)*ISNUMBER(Timeline!$J$5:$J$305)*(Timeline!$I$5:$I$305&lt;=AS$4+3)*(Timeline!$J$5:$J$305&gt;=AS$4+3)),SUMPRODUCT((INDEX(Timeline!$P$5:$AN$305,0,MATCH($A6,Timeline!$P$4:$AN$4,0))="x")*(Timeline!$K$5:$K$305="Task")*ISNUMBER(Timeline!$I$5:$I$305)*ISNUMBER(Timeline!$J$5:$J$305)*(Timeline!$I$5:$I$305&lt;=AS$4+4)*(Timeline!$J$5:$J$305&gt;=AS$4+4)),SUMPRODUCT((INDEX(Timeline!$P$5:$AN$305,0,MATCH($A6,Timeline!$P$4:$AN$4,0))="x")*(Timeline!$K$5:$K$305="Task")*ISNUMBER(Timeline!$I$5:$I$305)*ISNUMBER(Timeline!$J$5:$J$305)*(Timeline!$I$5:$I$305&lt;=AS$4+5)*(Timeline!$J$5:$J$305&gt;=AS$4+5)),SUMPRODUCT((INDEX(Timeline!$P$5:$AN$305,0,MATCH($A6,Timeline!$P$4:$AN$4,0))="x")*(Timeline!$K$5:$K$305="Task")*ISNUMBER(Timeline!$I$5:$I$305)*ISNUMBER(Timeline!$J$5:$J$305)*(Timeline!$I$5:$I$305&lt;=AS$4+6)*(Timeline!$J$5:$J$305&gt;=AS$4+6)))</f>
        <v>0</v>
      </c>
      <c r="AT6" s="67">
        <f>MAX(SUMPRODUCT((INDEX(Timeline!$P$5:$AN$305,0,MATCH($A6,Timeline!$P$4:$AN$4,0))="x")*(Timeline!$K$5:$K$305="Task")*ISNUMBER(Timeline!$I$5:$I$305)*ISNUMBER(Timeline!$J$5:$J$305)*(Timeline!$I$5:$I$305&lt;=AT$4+0)*(Timeline!$J$5:$J$305&gt;=AT$4+0)),SUMPRODUCT((INDEX(Timeline!$P$5:$AN$305,0,MATCH($A6,Timeline!$P$4:$AN$4,0))="x")*(Timeline!$K$5:$K$305="Task")*ISNUMBER(Timeline!$I$5:$I$305)*ISNUMBER(Timeline!$J$5:$J$305)*(Timeline!$I$5:$I$305&lt;=AT$4+1)*(Timeline!$J$5:$J$305&gt;=AT$4+1)),SUMPRODUCT((INDEX(Timeline!$P$5:$AN$305,0,MATCH($A6,Timeline!$P$4:$AN$4,0))="x")*(Timeline!$K$5:$K$305="Task")*ISNUMBER(Timeline!$I$5:$I$305)*ISNUMBER(Timeline!$J$5:$J$305)*(Timeline!$I$5:$I$305&lt;=AT$4+2)*(Timeline!$J$5:$J$305&gt;=AT$4+2)),SUMPRODUCT((INDEX(Timeline!$P$5:$AN$305,0,MATCH($A6,Timeline!$P$4:$AN$4,0))="x")*(Timeline!$K$5:$K$305="Task")*ISNUMBER(Timeline!$I$5:$I$305)*ISNUMBER(Timeline!$J$5:$J$305)*(Timeline!$I$5:$I$305&lt;=AT$4+3)*(Timeline!$J$5:$J$305&gt;=AT$4+3)),SUMPRODUCT((INDEX(Timeline!$P$5:$AN$305,0,MATCH($A6,Timeline!$P$4:$AN$4,0))="x")*(Timeline!$K$5:$K$305="Task")*ISNUMBER(Timeline!$I$5:$I$305)*ISNUMBER(Timeline!$J$5:$J$305)*(Timeline!$I$5:$I$305&lt;=AT$4+4)*(Timeline!$J$5:$J$305&gt;=AT$4+4)),SUMPRODUCT((INDEX(Timeline!$P$5:$AN$305,0,MATCH($A6,Timeline!$P$4:$AN$4,0))="x")*(Timeline!$K$5:$K$305="Task")*ISNUMBER(Timeline!$I$5:$I$305)*ISNUMBER(Timeline!$J$5:$J$305)*(Timeline!$I$5:$I$305&lt;=AT$4+5)*(Timeline!$J$5:$J$305&gt;=AT$4+5)),SUMPRODUCT((INDEX(Timeline!$P$5:$AN$305,0,MATCH($A6,Timeline!$P$4:$AN$4,0))="x")*(Timeline!$K$5:$K$305="Task")*ISNUMBER(Timeline!$I$5:$I$305)*ISNUMBER(Timeline!$J$5:$J$305)*(Timeline!$I$5:$I$305&lt;=AT$4+6)*(Timeline!$J$5:$J$305&gt;=AT$4+6)))</f>
        <v>0</v>
      </c>
      <c r="AU6" s="67">
        <f>MAX(SUMPRODUCT((INDEX(Timeline!$P$5:$AN$305,0,MATCH($A6,Timeline!$P$4:$AN$4,0))="x")*(Timeline!$K$5:$K$305="Task")*ISNUMBER(Timeline!$I$5:$I$305)*ISNUMBER(Timeline!$J$5:$J$305)*(Timeline!$I$5:$I$305&lt;=AU$4+0)*(Timeline!$J$5:$J$305&gt;=AU$4+0)),SUMPRODUCT((INDEX(Timeline!$P$5:$AN$305,0,MATCH($A6,Timeline!$P$4:$AN$4,0))="x")*(Timeline!$K$5:$K$305="Task")*ISNUMBER(Timeline!$I$5:$I$305)*ISNUMBER(Timeline!$J$5:$J$305)*(Timeline!$I$5:$I$305&lt;=AU$4+1)*(Timeline!$J$5:$J$305&gt;=AU$4+1)),SUMPRODUCT((INDEX(Timeline!$P$5:$AN$305,0,MATCH($A6,Timeline!$P$4:$AN$4,0))="x")*(Timeline!$K$5:$K$305="Task")*ISNUMBER(Timeline!$I$5:$I$305)*ISNUMBER(Timeline!$J$5:$J$305)*(Timeline!$I$5:$I$305&lt;=AU$4+2)*(Timeline!$J$5:$J$305&gt;=AU$4+2)),SUMPRODUCT((INDEX(Timeline!$P$5:$AN$305,0,MATCH($A6,Timeline!$P$4:$AN$4,0))="x")*(Timeline!$K$5:$K$305="Task")*ISNUMBER(Timeline!$I$5:$I$305)*ISNUMBER(Timeline!$J$5:$J$305)*(Timeline!$I$5:$I$305&lt;=AU$4+3)*(Timeline!$J$5:$J$305&gt;=AU$4+3)),SUMPRODUCT((INDEX(Timeline!$P$5:$AN$305,0,MATCH($A6,Timeline!$P$4:$AN$4,0))="x")*(Timeline!$K$5:$K$305="Task")*ISNUMBER(Timeline!$I$5:$I$305)*ISNUMBER(Timeline!$J$5:$J$305)*(Timeline!$I$5:$I$305&lt;=AU$4+4)*(Timeline!$J$5:$J$305&gt;=AU$4+4)),SUMPRODUCT((INDEX(Timeline!$P$5:$AN$305,0,MATCH($A6,Timeline!$P$4:$AN$4,0))="x")*(Timeline!$K$5:$K$305="Task")*ISNUMBER(Timeline!$I$5:$I$305)*ISNUMBER(Timeline!$J$5:$J$305)*(Timeline!$I$5:$I$305&lt;=AU$4+5)*(Timeline!$J$5:$J$305&gt;=AU$4+5)),SUMPRODUCT((INDEX(Timeline!$P$5:$AN$305,0,MATCH($A6,Timeline!$P$4:$AN$4,0))="x")*(Timeline!$K$5:$K$305="Task")*ISNUMBER(Timeline!$I$5:$I$305)*ISNUMBER(Timeline!$J$5:$J$305)*(Timeline!$I$5:$I$305&lt;=AU$4+6)*(Timeline!$J$5:$J$305&gt;=AU$4+6)))</f>
        <v>0</v>
      </c>
      <c r="AV6" s="67">
        <f>MAX(SUMPRODUCT((INDEX(Timeline!$P$5:$AN$305,0,MATCH($A6,Timeline!$P$4:$AN$4,0))="x")*(Timeline!$K$5:$K$305="Task")*ISNUMBER(Timeline!$I$5:$I$305)*ISNUMBER(Timeline!$J$5:$J$305)*(Timeline!$I$5:$I$305&lt;=AV$4+0)*(Timeline!$J$5:$J$305&gt;=AV$4+0)),SUMPRODUCT((INDEX(Timeline!$P$5:$AN$305,0,MATCH($A6,Timeline!$P$4:$AN$4,0))="x")*(Timeline!$K$5:$K$305="Task")*ISNUMBER(Timeline!$I$5:$I$305)*ISNUMBER(Timeline!$J$5:$J$305)*(Timeline!$I$5:$I$305&lt;=AV$4+1)*(Timeline!$J$5:$J$305&gt;=AV$4+1)),SUMPRODUCT((INDEX(Timeline!$P$5:$AN$305,0,MATCH($A6,Timeline!$P$4:$AN$4,0))="x")*(Timeline!$K$5:$K$305="Task")*ISNUMBER(Timeline!$I$5:$I$305)*ISNUMBER(Timeline!$J$5:$J$305)*(Timeline!$I$5:$I$305&lt;=AV$4+2)*(Timeline!$J$5:$J$305&gt;=AV$4+2)),SUMPRODUCT((INDEX(Timeline!$P$5:$AN$305,0,MATCH($A6,Timeline!$P$4:$AN$4,0))="x")*(Timeline!$K$5:$K$305="Task")*ISNUMBER(Timeline!$I$5:$I$305)*ISNUMBER(Timeline!$J$5:$J$305)*(Timeline!$I$5:$I$305&lt;=AV$4+3)*(Timeline!$J$5:$J$305&gt;=AV$4+3)),SUMPRODUCT((INDEX(Timeline!$P$5:$AN$305,0,MATCH($A6,Timeline!$P$4:$AN$4,0))="x")*(Timeline!$K$5:$K$305="Task")*ISNUMBER(Timeline!$I$5:$I$305)*ISNUMBER(Timeline!$J$5:$J$305)*(Timeline!$I$5:$I$305&lt;=AV$4+4)*(Timeline!$J$5:$J$305&gt;=AV$4+4)),SUMPRODUCT((INDEX(Timeline!$P$5:$AN$305,0,MATCH($A6,Timeline!$P$4:$AN$4,0))="x")*(Timeline!$K$5:$K$305="Task")*ISNUMBER(Timeline!$I$5:$I$305)*ISNUMBER(Timeline!$J$5:$J$305)*(Timeline!$I$5:$I$305&lt;=AV$4+5)*(Timeline!$J$5:$J$305&gt;=AV$4+5)),SUMPRODUCT((INDEX(Timeline!$P$5:$AN$305,0,MATCH($A6,Timeline!$P$4:$AN$4,0))="x")*(Timeline!$K$5:$K$305="Task")*ISNUMBER(Timeline!$I$5:$I$305)*ISNUMBER(Timeline!$J$5:$J$305)*(Timeline!$I$5:$I$305&lt;=AV$4+6)*(Timeline!$J$5:$J$305&gt;=AV$4+6)))</f>
        <v>0</v>
      </c>
      <c r="AW6" s="67">
        <f>MAX(SUMPRODUCT((INDEX(Timeline!$P$5:$AN$305,0,MATCH($A6,Timeline!$P$4:$AN$4,0))="x")*(Timeline!$K$5:$K$305="Task")*ISNUMBER(Timeline!$I$5:$I$305)*ISNUMBER(Timeline!$J$5:$J$305)*(Timeline!$I$5:$I$305&lt;=AW$4+0)*(Timeline!$J$5:$J$305&gt;=AW$4+0)),SUMPRODUCT((INDEX(Timeline!$P$5:$AN$305,0,MATCH($A6,Timeline!$P$4:$AN$4,0))="x")*(Timeline!$K$5:$K$305="Task")*ISNUMBER(Timeline!$I$5:$I$305)*ISNUMBER(Timeline!$J$5:$J$305)*(Timeline!$I$5:$I$305&lt;=AW$4+1)*(Timeline!$J$5:$J$305&gt;=AW$4+1)),SUMPRODUCT((INDEX(Timeline!$P$5:$AN$305,0,MATCH($A6,Timeline!$P$4:$AN$4,0))="x")*(Timeline!$K$5:$K$305="Task")*ISNUMBER(Timeline!$I$5:$I$305)*ISNUMBER(Timeline!$J$5:$J$305)*(Timeline!$I$5:$I$305&lt;=AW$4+2)*(Timeline!$J$5:$J$305&gt;=AW$4+2)),SUMPRODUCT((INDEX(Timeline!$P$5:$AN$305,0,MATCH($A6,Timeline!$P$4:$AN$4,0))="x")*(Timeline!$K$5:$K$305="Task")*ISNUMBER(Timeline!$I$5:$I$305)*ISNUMBER(Timeline!$J$5:$J$305)*(Timeline!$I$5:$I$305&lt;=AW$4+3)*(Timeline!$J$5:$J$305&gt;=AW$4+3)),SUMPRODUCT((INDEX(Timeline!$P$5:$AN$305,0,MATCH($A6,Timeline!$P$4:$AN$4,0))="x")*(Timeline!$K$5:$K$305="Task")*ISNUMBER(Timeline!$I$5:$I$305)*ISNUMBER(Timeline!$J$5:$J$305)*(Timeline!$I$5:$I$305&lt;=AW$4+4)*(Timeline!$J$5:$J$305&gt;=AW$4+4)),SUMPRODUCT((INDEX(Timeline!$P$5:$AN$305,0,MATCH($A6,Timeline!$P$4:$AN$4,0))="x")*(Timeline!$K$5:$K$305="Task")*ISNUMBER(Timeline!$I$5:$I$305)*ISNUMBER(Timeline!$J$5:$J$305)*(Timeline!$I$5:$I$305&lt;=AW$4+5)*(Timeline!$J$5:$J$305&gt;=AW$4+5)),SUMPRODUCT((INDEX(Timeline!$P$5:$AN$305,0,MATCH($A6,Timeline!$P$4:$AN$4,0))="x")*(Timeline!$K$5:$K$305="Task")*ISNUMBER(Timeline!$I$5:$I$305)*ISNUMBER(Timeline!$J$5:$J$305)*(Timeline!$I$5:$I$305&lt;=AW$4+6)*(Timeline!$J$5:$J$305&gt;=AW$4+6)))</f>
        <v>0</v>
      </c>
      <c r="AX6" s="67">
        <f>MAX(SUMPRODUCT((INDEX(Timeline!$P$5:$AN$305,0,MATCH($A6,Timeline!$P$4:$AN$4,0))="x")*(Timeline!$K$5:$K$305="Task")*ISNUMBER(Timeline!$I$5:$I$305)*ISNUMBER(Timeline!$J$5:$J$305)*(Timeline!$I$5:$I$305&lt;=AX$4+0)*(Timeline!$J$5:$J$305&gt;=AX$4+0)),SUMPRODUCT((INDEX(Timeline!$P$5:$AN$305,0,MATCH($A6,Timeline!$P$4:$AN$4,0))="x")*(Timeline!$K$5:$K$305="Task")*ISNUMBER(Timeline!$I$5:$I$305)*ISNUMBER(Timeline!$J$5:$J$305)*(Timeline!$I$5:$I$305&lt;=AX$4+1)*(Timeline!$J$5:$J$305&gt;=AX$4+1)),SUMPRODUCT((INDEX(Timeline!$P$5:$AN$305,0,MATCH($A6,Timeline!$P$4:$AN$4,0))="x")*(Timeline!$K$5:$K$305="Task")*ISNUMBER(Timeline!$I$5:$I$305)*ISNUMBER(Timeline!$J$5:$J$305)*(Timeline!$I$5:$I$305&lt;=AX$4+2)*(Timeline!$J$5:$J$305&gt;=AX$4+2)),SUMPRODUCT((INDEX(Timeline!$P$5:$AN$305,0,MATCH($A6,Timeline!$P$4:$AN$4,0))="x")*(Timeline!$K$5:$K$305="Task")*ISNUMBER(Timeline!$I$5:$I$305)*ISNUMBER(Timeline!$J$5:$J$305)*(Timeline!$I$5:$I$305&lt;=AX$4+3)*(Timeline!$J$5:$J$305&gt;=AX$4+3)),SUMPRODUCT((INDEX(Timeline!$P$5:$AN$305,0,MATCH($A6,Timeline!$P$4:$AN$4,0))="x")*(Timeline!$K$5:$K$305="Task")*ISNUMBER(Timeline!$I$5:$I$305)*ISNUMBER(Timeline!$J$5:$J$305)*(Timeline!$I$5:$I$305&lt;=AX$4+4)*(Timeline!$J$5:$J$305&gt;=AX$4+4)),SUMPRODUCT((INDEX(Timeline!$P$5:$AN$305,0,MATCH($A6,Timeline!$P$4:$AN$4,0))="x")*(Timeline!$K$5:$K$305="Task")*ISNUMBER(Timeline!$I$5:$I$305)*ISNUMBER(Timeline!$J$5:$J$305)*(Timeline!$I$5:$I$305&lt;=AX$4+5)*(Timeline!$J$5:$J$305&gt;=AX$4+5)),SUMPRODUCT((INDEX(Timeline!$P$5:$AN$305,0,MATCH($A6,Timeline!$P$4:$AN$4,0))="x")*(Timeline!$K$5:$K$305="Task")*ISNUMBER(Timeline!$I$5:$I$305)*ISNUMBER(Timeline!$J$5:$J$305)*(Timeline!$I$5:$I$305&lt;=AX$4+6)*(Timeline!$J$5:$J$305&gt;=AX$4+6)))</f>
        <v>0</v>
      </c>
      <c r="AY6" s="67">
        <f>MAX(SUMPRODUCT((INDEX(Timeline!$P$5:$AN$305,0,MATCH($A6,Timeline!$P$4:$AN$4,0))="x")*(Timeline!$K$5:$K$305="Task")*ISNUMBER(Timeline!$I$5:$I$305)*ISNUMBER(Timeline!$J$5:$J$305)*(Timeline!$I$5:$I$305&lt;=AY$4+0)*(Timeline!$J$5:$J$305&gt;=AY$4+0)),SUMPRODUCT((INDEX(Timeline!$P$5:$AN$305,0,MATCH($A6,Timeline!$P$4:$AN$4,0))="x")*(Timeline!$K$5:$K$305="Task")*ISNUMBER(Timeline!$I$5:$I$305)*ISNUMBER(Timeline!$J$5:$J$305)*(Timeline!$I$5:$I$305&lt;=AY$4+1)*(Timeline!$J$5:$J$305&gt;=AY$4+1)),SUMPRODUCT((INDEX(Timeline!$P$5:$AN$305,0,MATCH($A6,Timeline!$P$4:$AN$4,0))="x")*(Timeline!$K$5:$K$305="Task")*ISNUMBER(Timeline!$I$5:$I$305)*ISNUMBER(Timeline!$J$5:$J$305)*(Timeline!$I$5:$I$305&lt;=AY$4+2)*(Timeline!$J$5:$J$305&gt;=AY$4+2)),SUMPRODUCT((INDEX(Timeline!$P$5:$AN$305,0,MATCH($A6,Timeline!$P$4:$AN$4,0))="x")*(Timeline!$K$5:$K$305="Task")*ISNUMBER(Timeline!$I$5:$I$305)*ISNUMBER(Timeline!$J$5:$J$305)*(Timeline!$I$5:$I$305&lt;=AY$4+3)*(Timeline!$J$5:$J$305&gt;=AY$4+3)),SUMPRODUCT((INDEX(Timeline!$P$5:$AN$305,0,MATCH($A6,Timeline!$P$4:$AN$4,0))="x")*(Timeline!$K$5:$K$305="Task")*ISNUMBER(Timeline!$I$5:$I$305)*ISNUMBER(Timeline!$J$5:$J$305)*(Timeline!$I$5:$I$305&lt;=AY$4+4)*(Timeline!$J$5:$J$305&gt;=AY$4+4)),SUMPRODUCT((INDEX(Timeline!$P$5:$AN$305,0,MATCH($A6,Timeline!$P$4:$AN$4,0))="x")*(Timeline!$K$5:$K$305="Task")*ISNUMBER(Timeline!$I$5:$I$305)*ISNUMBER(Timeline!$J$5:$J$305)*(Timeline!$I$5:$I$305&lt;=AY$4+5)*(Timeline!$J$5:$J$305&gt;=AY$4+5)),SUMPRODUCT((INDEX(Timeline!$P$5:$AN$305,0,MATCH($A6,Timeline!$P$4:$AN$4,0))="x")*(Timeline!$K$5:$K$305="Task")*ISNUMBER(Timeline!$I$5:$I$305)*ISNUMBER(Timeline!$J$5:$J$305)*(Timeline!$I$5:$I$305&lt;=AY$4+6)*(Timeline!$J$5:$J$305&gt;=AY$4+6)))</f>
        <v>0</v>
      </c>
      <c r="AZ6" s="67">
        <f>MAX(SUMPRODUCT((INDEX(Timeline!$P$5:$AN$305,0,MATCH($A6,Timeline!$P$4:$AN$4,0))="x")*(Timeline!$K$5:$K$305="Task")*ISNUMBER(Timeline!$I$5:$I$305)*ISNUMBER(Timeline!$J$5:$J$305)*(Timeline!$I$5:$I$305&lt;=AZ$4+0)*(Timeline!$J$5:$J$305&gt;=AZ$4+0)),SUMPRODUCT((INDEX(Timeline!$P$5:$AN$305,0,MATCH($A6,Timeline!$P$4:$AN$4,0))="x")*(Timeline!$K$5:$K$305="Task")*ISNUMBER(Timeline!$I$5:$I$305)*ISNUMBER(Timeline!$J$5:$J$305)*(Timeline!$I$5:$I$305&lt;=AZ$4+1)*(Timeline!$J$5:$J$305&gt;=AZ$4+1)),SUMPRODUCT((INDEX(Timeline!$P$5:$AN$305,0,MATCH($A6,Timeline!$P$4:$AN$4,0))="x")*(Timeline!$K$5:$K$305="Task")*ISNUMBER(Timeline!$I$5:$I$305)*ISNUMBER(Timeline!$J$5:$J$305)*(Timeline!$I$5:$I$305&lt;=AZ$4+2)*(Timeline!$J$5:$J$305&gt;=AZ$4+2)),SUMPRODUCT((INDEX(Timeline!$P$5:$AN$305,0,MATCH($A6,Timeline!$P$4:$AN$4,0))="x")*(Timeline!$K$5:$K$305="Task")*ISNUMBER(Timeline!$I$5:$I$305)*ISNUMBER(Timeline!$J$5:$J$305)*(Timeline!$I$5:$I$305&lt;=AZ$4+3)*(Timeline!$J$5:$J$305&gt;=AZ$4+3)),SUMPRODUCT((INDEX(Timeline!$P$5:$AN$305,0,MATCH($A6,Timeline!$P$4:$AN$4,0))="x")*(Timeline!$K$5:$K$305="Task")*ISNUMBER(Timeline!$I$5:$I$305)*ISNUMBER(Timeline!$J$5:$J$305)*(Timeline!$I$5:$I$305&lt;=AZ$4+4)*(Timeline!$J$5:$J$305&gt;=AZ$4+4)),SUMPRODUCT((INDEX(Timeline!$P$5:$AN$305,0,MATCH($A6,Timeline!$P$4:$AN$4,0))="x")*(Timeline!$K$5:$K$305="Task")*ISNUMBER(Timeline!$I$5:$I$305)*ISNUMBER(Timeline!$J$5:$J$305)*(Timeline!$I$5:$I$305&lt;=AZ$4+5)*(Timeline!$J$5:$J$305&gt;=AZ$4+5)),SUMPRODUCT((INDEX(Timeline!$P$5:$AN$305,0,MATCH($A6,Timeline!$P$4:$AN$4,0))="x")*(Timeline!$K$5:$K$305="Task")*ISNUMBER(Timeline!$I$5:$I$305)*ISNUMBER(Timeline!$J$5:$J$305)*(Timeline!$I$5:$I$305&lt;=AZ$4+6)*(Timeline!$J$5:$J$305&gt;=AZ$4+6)))</f>
        <v>0</v>
      </c>
      <c r="BA6" s="67">
        <f>MAX(SUMPRODUCT((INDEX(Timeline!$P$5:$AN$305,0,MATCH($A6,Timeline!$P$4:$AN$4,0))="x")*(Timeline!$K$5:$K$305="Task")*ISNUMBER(Timeline!$I$5:$I$305)*ISNUMBER(Timeline!$J$5:$J$305)*(Timeline!$I$5:$I$305&lt;=BA$4+0)*(Timeline!$J$5:$J$305&gt;=BA$4+0)),SUMPRODUCT((INDEX(Timeline!$P$5:$AN$305,0,MATCH($A6,Timeline!$P$4:$AN$4,0))="x")*(Timeline!$K$5:$K$305="Task")*ISNUMBER(Timeline!$I$5:$I$305)*ISNUMBER(Timeline!$J$5:$J$305)*(Timeline!$I$5:$I$305&lt;=BA$4+1)*(Timeline!$J$5:$J$305&gt;=BA$4+1)),SUMPRODUCT((INDEX(Timeline!$P$5:$AN$305,0,MATCH($A6,Timeline!$P$4:$AN$4,0))="x")*(Timeline!$K$5:$K$305="Task")*ISNUMBER(Timeline!$I$5:$I$305)*ISNUMBER(Timeline!$J$5:$J$305)*(Timeline!$I$5:$I$305&lt;=BA$4+2)*(Timeline!$J$5:$J$305&gt;=BA$4+2)),SUMPRODUCT((INDEX(Timeline!$P$5:$AN$305,0,MATCH($A6,Timeline!$P$4:$AN$4,0))="x")*(Timeline!$K$5:$K$305="Task")*ISNUMBER(Timeline!$I$5:$I$305)*ISNUMBER(Timeline!$J$5:$J$305)*(Timeline!$I$5:$I$305&lt;=BA$4+3)*(Timeline!$J$5:$J$305&gt;=BA$4+3)),SUMPRODUCT((INDEX(Timeline!$P$5:$AN$305,0,MATCH($A6,Timeline!$P$4:$AN$4,0))="x")*(Timeline!$K$5:$K$305="Task")*ISNUMBER(Timeline!$I$5:$I$305)*ISNUMBER(Timeline!$J$5:$J$305)*(Timeline!$I$5:$I$305&lt;=BA$4+4)*(Timeline!$J$5:$J$305&gt;=BA$4+4)),SUMPRODUCT((INDEX(Timeline!$P$5:$AN$305,0,MATCH($A6,Timeline!$P$4:$AN$4,0))="x")*(Timeline!$K$5:$K$305="Task")*ISNUMBER(Timeline!$I$5:$I$305)*ISNUMBER(Timeline!$J$5:$J$305)*(Timeline!$I$5:$I$305&lt;=BA$4+5)*(Timeline!$J$5:$J$305&gt;=BA$4+5)),SUMPRODUCT((INDEX(Timeline!$P$5:$AN$305,0,MATCH($A6,Timeline!$P$4:$AN$4,0))="x")*(Timeline!$K$5:$K$305="Task")*ISNUMBER(Timeline!$I$5:$I$305)*ISNUMBER(Timeline!$J$5:$J$305)*(Timeline!$I$5:$I$305&lt;=BA$4+6)*(Timeline!$J$5:$J$305&gt;=BA$4+6)))</f>
        <v>0</v>
      </c>
    </row>
    <row r="7" spans="1:53" ht="15" customHeight="1">
      <c r="A7" s="66" t="s">
        <v>38</v>
      </c>
      <c r="B7" s="66" t="s">
        <v>6</v>
      </c>
      <c r="C7" s="67">
        <f>MAX(SUMPRODUCT((INDEX(Timeline!$P$5:$AN$305,0,MATCH($A7,Timeline!$P$4:$AN$4,0))="x")*(Timeline!$K$5:$K$305="Task")*ISNUMBER(Timeline!$I$5:$I$305)*ISNUMBER(Timeline!$J$5:$J$305)*(Timeline!$I$5:$I$305&lt;=C$4+0)*(Timeline!$J$5:$J$305&gt;=C$4+0)),SUMPRODUCT((INDEX(Timeline!$P$5:$AN$305,0,MATCH($A7,Timeline!$P$4:$AN$4,0))="x")*(Timeline!$K$5:$K$305="Task")*ISNUMBER(Timeline!$I$5:$I$305)*ISNUMBER(Timeline!$J$5:$J$305)*(Timeline!$I$5:$I$305&lt;=C$4+1)*(Timeline!$J$5:$J$305&gt;=C$4+1)),SUMPRODUCT((INDEX(Timeline!$P$5:$AN$305,0,MATCH($A7,Timeline!$P$4:$AN$4,0))="x")*(Timeline!$K$5:$K$305="Task")*ISNUMBER(Timeline!$I$5:$I$305)*ISNUMBER(Timeline!$J$5:$J$305)*(Timeline!$I$5:$I$305&lt;=C$4+2)*(Timeline!$J$5:$J$305&gt;=C$4+2)),SUMPRODUCT((INDEX(Timeline!$P$5:$AN$305,0,MATCH($A7,Timeline!$P$4:$AN$4,0))="x")*(Timeline!$K$5:$K$305="Task")*ISNUMBER(Timeline!$I$5:$I$305)*ISNUMBER(Timeline!$J$5:$J$305)*(Timeline!$I$5:$I$305&lt;=C$4+3)*(Timeline!$J$5:$J$305&gt;=C$4+3)),SUMPRODUCT((INDEX(Timeline!$P$5:$AN$305,0,MATCH($A7,Timeline!$P$4:$AN$4,0))="x")*(Timeline!$K$5:$K$305="Task")*ISNUMBER(Timeline!$I$5:$I$305)*ISNUMBER(Timeline!$J$5:$J$305)*(Timeline!$I$5:$I$305&lt;=C$4+4)*(Timeline!$J$5:$J$305&gt;=C$4+4)),SUMPRODUCT((INDEX(Timeline!$P$5:$AN$305,0,MATCH($A7,Timeline!$P$4:$AN$4,0))="x")*(Timeline!$K$5:$K$305="Task")*ISNUMBER(Timeline!$I$5:$I$305)*ISNUMBER(Timeline!$J$5:$J$305)*(Timeline!$I$5:$I$305&lt;=C$4+5)*(Timeline!$J$5:$J$305&gt;=C$4+5)),SUMPRODUCT((INDEX(Timeline!$P$5:$AN$305,0,MATCH($A7,Timeline!$P$4:$AN$4,0))="x")*(Timeline!$K$5:$K$305="Task")*ISNUMBER(Timeline!$I$5:$I$305)*ISNUMBER(Timeline!$J$5:$J$305)*(Timeline!$I$5:$I$305&lt;=C$4+6)*(Timeline!$J$5:$J$305&gt;=C$4+6)))</f>
        <v>0</v>
      </c>
      <c r="D7" s="67">
        <f>MAX(SUMPRODUCT((INDEX(Timeline!$P$5:$AN$305,0,MATCH($A7,Timeline!$P$4:$AN$4,0))="x")*(Timeline!$K$5:$K$305="Task")*ISNUMBER(Timeline!$I$5:$I$305)*ISNUMBER(Timeline!$J$5:$J$305)*(Timeline!$I$5:$I$305&lt;=D$4+0)*(Timeline!$J$5:$J$305&gt;=D$4+0)),SUMPRODUCT((INDEX(Timeline!$P$5:$AN$305,0,MATCH($A7,Timeline!$P$4:$AN$4,0))="x")*(Timeline!$K$5:$K$305="Task")*ISNUMBER(Timeline!$I$5:$I$305)*ISNUMBER(Timeline!$J$5:$J$305)*(Timeline!$I$5:$I$305&lt;=D$4+1)*(Timeline!$J$5:$J$305&gt;=D$4+1)),SUMPRODUCT((INDEX(Timeline!$P$5:$AN$305,0,MATCH($A7,Timeline!$P$4:$AN$4,0))="x")*(Timeline!$K$5:$K$305="Task")*ISNUMBER(Timeline!$I$5:$I$305)*ISNUMBER(Timeline!$J$5:$J$305)*(Timeline!$I$5:$I$305&lt;=D$4+2)*(Timeline!$J$5:$J$305&gt;=D$4+2)),SUMPRODUCT((INDEX(Timeline!$P$5:$AN$305,0,MATCH($A7,Timeline!$P$4:$AN$4,0))="x")*(Timeline!$K$5:$K$305="Task")*ISNUMBER(Timeline!$I$5:$I$305)*ISNUMBER(Timeline!$J$5:$J$305)*(Timeline!$I$5:$I$305&lt;=D$4+3)*(Timeline!$J$5:$J$305&gt;=D$4+3)),SUMPRODUCT((INDEX(Timeline!$P$5:$AN$305,0,MATCH($A7,Timeline!$P$4:$AN$4,0))="x")*(Timeline!$K$5:$K$305="Task")*ISNUMBER(Timeline!$I$5:$I$305)*ISNUMBER(Timeline!$J$5:$J$305)*(Timeline!$I$5:$I$305&lt;=D$4+4)*(Timeline!$J$5:$J$305&gt;=D$4+4)),SUMPRODUCT((INDEX(Timeline!$P$5:$AN$305,0,MATCH($A7,Timeline!$P$4:$AN$4,0))="x")*(Timeline!$K$5:$K$305="Task")*ISNUMBER(Timeline!$I$5:$I$305)*ISNUMBER(Timeline!$J$5:$J$305)*(Timeline!$I$5:$I$305&lt;=D$4+5)*(Timeline!$J$5:$J$305&gt;=D$4+5)),SUMPRODUCT((INDEX(Timeline!$P$5:$AN$305,0,MATCH($A7,Timeline!$P$4:$AN$4,0))="x")*(Timeline!$K$5:$K$305="Task")*ISNUMBER(Timeline!$I$5:$I$305)*ISNUMBER(Timeline!$J$5:$J$305)*(Timeline!$I$5:$I$305&lt;=D$4+6)*(Timeline!$J$5:$J$305&gt;=D$4+6)))</f>
        <v>0</v>
      </c>
      <c r="E7" s="67">
        <f>MAX(SUMPRODUCT((INDEX(Timeline!$P$5:$AN$305,0,MATCH($A7,Timeline!$P$4:$AN$4,0))="x")*(Timeline!$K$5:$K$305="Task")*ISNUMBER(Timeline!$I$5:$I$305)*ISNUMBER(Timeline!$J$5:$J$305)*(Timeline!$I$5:$I$305&lt;=E$4+0)*(Timeline!$J$5:$J$305&gt;=E$4+0)),SUMPRODUCT((INDEX(Timeline!$P$5:$AN$305,0,MATCH($A7,Timeline!$P$4:$AN$4,0))="x")*(Timeline!$K$5:$K$305="Task")*ISNUMBER(Timeline!$I$5:$I$305)*ISNUMBER(Timeline!$J$5:$J$305)*(Timeline!$I$5:$I$305&lt;=E$4+1)*(Timeline!$J$5:$J$305&gt;=E$4+1)),SUMPRODUCT((INDEX(Timeline!$P$5:$AN$305,0,MATCH($A7,Timeline!$P$4:$AN$4,0))="x")*(Timeline!$K$5:$K$305="Task")*ISNUMBER(Timeline!$I$5:$I$305)*ISNUMBER(Timeline!$J$5:$J$305)*(Timeline!$I$5:$I$305&lt;=E$4+2)*(Timeline!$J$5:$J$305&gt;=E$4+2)),SUMPRODUCT((INDEX(Timeline!$P$5:$AN$305,0,MATCH($A7,Timeline!$P$4:$AN$4,0))="x")*(Timeline!$K$5:$K$305="Task")*ISNUMBER(Timeline!$I$5:$I$305)*ISNUMBER(Timeline!$J$5:$J$305)*(Timeline!$I$5:$I$305&lt;=E$4+3)*(Timeline!$J$5:$J$305&gt;=E$4+3)),SUMPRODUCT((INDEX(Timeline!$P$5:$AN$305,0,MATCH($A7,Timeline!$P$4:$AN$4,0))="x")*(Timeline!$K$5:$K$305="Task")*ISNUMBER(Timeline!$I$5:$I$305)*ISNUMBER(Timeline!$J$5:$J$305)*(Timeline!$I$5:$I$305&lt;=E$4+4)*(Timeline!$J$5:$J$305&gt;=E$4+4)),SUMPRODUCT((INDEX(Timeline!$P$5:$AN$305,0,MATCH($A7,Timeline!$P$4:$AN$4,0))="x")*(Timeline!$K$5:$K$305="Task")*ISNUMBER(Timeline!$I$5:$I$305)*ISNUMBER(Timeline!$J$5:$J$305)*(Timeline!$I$5:$I$305&lt;=E$4+5)*(Timeline!$J$5:$J$305&gt;=E$4+5)),SUMPRODUCT((INDEX(Timeline!$P$5:$AN$305,0,MATCH($A7,Timeline!$P$4:$AN$4,0))="x")*(Timeline!$K$5:$K$305="Task")*ISNUMBER(Timeline!$I$5:$I$305)*ISNUMBER(Timeline!$J$5:$J$305)*(Timeline!$I$5:$I$305&lt;=E$4+6)*(Timeline!$J$5:$J$305&gt;=E$4+6)))</f>
        <v>0</v>
      </c>
      <c r="F7" s="67">
        <f>MAX(SUMPRODUCT((INDEX(Timeline!$P$5:$AN$305,0,MATCH($A7,Timeline!$P$4:$AN$4,0))="x")*(Timeline!$K$5:$K$305="Task")*ISNUMBER(Timeline!$I$5:$I$305)*ISNUMBER(Timeline!$J$5:$J$305)*(Timeline!$I$5:$I$305&lt;=F$4+0)*(Timeline!$J$5:$J$305&gt;=F$4+0)),SUMPRODUCT((INDEX(Timeline!$P$5:$AN$305,0,MATCH($A7,Timeline!$P$4:$AN$4,0))="x")*(Timeline!$K$5:$K$305="Task")*ISNUMBER(Timeline!$I$5:$I$305)*ISNUMBER(Timeline!$J$5:$J$305)*(Timeline!$I$5:$I$305&lt;=F$4+1)*(Timeline!$J$5:$J$305&gt;=F$4+1)),SUMPRODUCT((INDEX(Timeline!$P$5:$AN$305,0,MATCH($A7,Timeline!$P$4:$AN$4,0))="x")*(Timeline!$K$5:$K$305="Task")*ISNUMBER(Timeline!$I$5:$I$305)*ISNUMBER(Timeline!$J$5:$J$305)*(Timeline!$I$5:$I$305&lt;=F$4+2)*(Timeline!$J$5:$J$305&gt;=F$4+2)),SUMPRODUCT((INDEX(Timeline!$P$5:$AN$305,0,MATCH($A7,Timeline!$P$4:$AN$4,0))="x")*(Timeline!$K$5:$K$305="Task")*ISNUMBER(Timeline!$I$5:$I$305)*ISNUMBER(Timeline!$J$5:$J$305)*(Timeline!$I$5:$I$305&lt;=F$4+3)*(Timeline!$J$5:$J$305&gt;=F$4+3)),SUMPRODUCT((INDEX(Timeline!$P$5:$AN$305,0,MATCH($A7,Timeline!$P$4:$AN$4,0))="x")*(Timeline!$K$5:$K$305="Task")*ISNUMBER(Timeline!$I$5:$I$305)*ISNUMBER(Timeline!$J$5:$J$305)*(Timeline!$I$5:$I$305&lt;=F$4+4)*(Timeline!$J$5:$J$305&gt;=F$4+4)),SUMPRODUCT((INDEX(Timeline!$P$5:$AN$305,0,MATCH($A7,Timeline!$P$4:$AN$4,0))="x")*(Timeline!$K$5:$K$305="Task")*ISNUMBER(Timeline!$I$5:$I$305)*ISNUMBER(Timeline!$J$5:$J$305)*(Timeline!$I$5:$I$305&lt;=F$4+5)*(Timeline!$J$5:$J$305&gt;=F$4+5)),SUMPRODUCT((INDEX(Timeline!$P$5:$AN$305,0,MATCH($A7,Timeline!$P$4:$AN$4,0))="x")*(Timeline!$K$5:$K$305="Task")*ISNUMBER(Timeline!$I$5:$I$305)*ISNUMBER(Timeline!$J$5:$J$305)*(Timeline!$I$5:$I$305&lt;=F$4+6)*(Timeline!$J$5:$J$305&gt;=F$4+6)))</f>
        <v>0</v>
      </c>
      <c r="G7" s="67">
        <f>MAX(SUMPRODUCT((INDEX(Timeline!$P$5:$AN$305,0,MATCH($A7,Timeline!$P$4:$AN$4,0))="x")*(Timeline!$K$5:$K$305="Task")*ISNUMBER(Timeline!$I$5:$I$305)*ISNUMBER(Timeline!$J$5:$J$305)*(Timeline!$I$5:$I$305&lt;=G$4+0)*(Timeline!$J$5:$J$305&gt;=G$4+0)),SUMPRODUCT((INDEX(Timeline!$P$5:$AN$305,0,MATCH($A7,Timeline!$P$4:$AN$4,0))="x")*(Timeline!$K$5:$K$305="Task")*ISNUMBER(Timeline!$I$5:$I$305)*ISNUMBER(Timeline!$J$5:$J$305)*(Timeline!$I$5:$I$305&lt;=G$4+1)*(Timeline!$J$5:$J$305&gt;=G$4+1)),SUMPRODUCT((INDEX(Timeline!$P$5:$AN$305,0,MATCH($A7,Timeline!$P$4:$AN$4,0))="x")*(Timeline!$K$5:$K$305="Task")*ISNUMBER(Timeline!$I$5:$I$305)*ISNUMBER(Timeline!$J$5:$J$305)*(Timeline!$I$5:$I$305&lt;=G$4+2)*(Timeline!$J$5:$J$305&gt;=G$4+2)),SUMPRODUCT((INDEX(Timeline!$P$5:$AN$305,0,MATCH($A7,Timeline!$P$4:$AN$4,0))="x")*(Timeline!$K$5:$K$305="Task")*ISNUMBER(Timeline!$I$5:$I$305)*ISNUMBER(Timeline!$J$5:$J$305)*(Timeline!$I$5:$I$305&lt;=G$4+3)*(Timeline!$J$5:$J$305&gt;=G$4+3)),SUMPRODUCT((INDEX(Timeline!$P$5:$AN$305,0,MATCH($A7,Timeline!$P$4:$AN$4,0))="x")*(Timeline!$K$5:$K$305="Task")*ISNUMBER(Timeline!$I$5:$I$305)*ISNUMBER(Timeline!$J$5:$J$305)*(Timeline!$I$5:$I$305&lt;=G$4+4)*(Timeline!$J$5:$J$305&gt;=G$4+4)),SUMPRODUCT((INDEX(Timeline!$P$5:$AN$305,0,MATCH($A7,Timeline!$P$4:$AN$4,0))="x")*(Timeline!$K$5:$K$305="Task")*ISNUMBER(Timeline!$I$5:$I$305)*ISNUMBER(Timeline!$J$5:$J$305)*(Timeline!$I$5:$I$305&lt;=G$4+5)*(Timeline!$J$5:$J$305&gt;=G$4+5)),SUMPRODUCT((INDEX(Timeline!$P$5:$AN$305,0,MATCH($A7,Timeline!$P$4:$AN$4,0))="x")*(Timeline!$K$5:$K$305="Task")*ISNUMBER(Timeline!$I$5:$I$305)*ISNUMBER(Timeline!$J$5:$J$305)*(Timeline!$I$5:$I$305&lt;=G$4+6)*(Timeline!$J$5:$J$305&gt;=G$4+6)))</f>
        <v>1</v>
      </c>
      <c r="H7" s="67">
        <f>MAX(SUMPRODUCT((INDEX(Timeline!$P$5:$AN$305,0,MATCH($A7,Timeline!$P$4:$AN$4,0))="x")*(Timeline!$K$5:$K$305="Task")*ISNUMBER(Timeline!$I$5:$I$305)*ISNUMBER(Timeline!$J$5:$J$305)*(Timeline!$I$5:$I$305&lt;=H$4+0)*(Timeline!$J$5:$J$305&gt;=H$4+0)),SUMPRODUCT((INDEX(Timeline!$P$5:$AN$305,0,MATCH($A7,Timeline!$P$4:$AN$4,0))="x")*(Timeline!$K$5:$K$305="Task")*ISNUMBER(Timeline!$I$5:$I$305)*ISNUMBER(Timeline!$J$5:$J$305)*(Timeline!$I$5:$I$305&lt;=H$4+1)*(Timeline!$J$5:$J$305&gt;=H$4+1)),SUMPRODUCT((INDEX(Timeline!$P$5:$AN$305,0,MATCH($A7,Timeline!$P$4:$AN$4,0))="x")*(Timeline!$K$5:$K$305="Task")*ISNUMBER(Timeline!$I$5:$I$305)*ISNUMBER(Timeline!$J$5:$J$305)*(Timeline!$I$5:$I$305&lt;=H$4+2)*(Timeline!$J$5:$J$305&gt;=H$4+2)),SUMPRODUCT((INDEX(Timeline!$P$5:$AN$305,0,MATCH($A7,Timeline!$P$4:$AN$4,0))="x")*(Timeline!$K$5:$K$305="Task")*ISNUMBER(Timeline!$I$5:$I$305)*ISNUMBER(Timeline!$J$5:$J$305)*(Timeline!$I$5:$I$305&lt;=H$4+3)*(Timeline!$J$5:$J$305&gt;=H$4+3)),SUMPRODUCT((INDEX(Timeline!$P$5:$AN$305,0,MATCH($A7,Timeline!$P$4:$AN$4,0))="x")*(Timeline!$K$5:$K$305="Task")*ISNUMBER(Timeline!$I$5:$I$305)*ISNUMBER(Timeline!$J$5:$J$305)*(Timeline!$I$5:$I$305&lt;=H$4+4)*(Timeline!$J$5:$J$305&gt;=H$4+4)),SUMPRODUCT((INDEX(Timeline!$P$5:$AN$305,0,MATCH($A7,Timeline!$P$4:$AN$4,0))="x")*(Timeline!$K$5:$K$305="Task")*ISNUMBER(Timeline!$I$5:$I$305)*ISNUMBER(Timeline!$J$5:$J$305)*(Timeline!$I$5:$I$305&lt;=H$4+5)*(Timeline!$J$5:$J$305&gt;=H$4+5)),SUMPRODUCT((INDEX(Timeline!$P$5:$AN$305,0,MATCH($A7,Timeline!$P$4:$AN$4,0))="x")*(Timeline!$K$5:$K$305="Task")*ISNUMBER(Timeline!$I$5:$I$305)*ISNUMBER(Timeline!$J$5:$J$305)*(Timeline!$I$5:$I$305&lt;=H$4+6)*(Timeline!$J$5:$J$305&gt;=H$4+6)))</f>
        <v>1</v>
      </c>
      <c r="I7" s="67">
        <f>MAX(SUMPRODUCT((INDEX(Timeline!$P$5:$AN$305,0,MATCH($A7,Timeline!$P$4:$AN$4,0))="x")*(Timeline!$K$5:$K$305="Task")*ISNUMBER(Timeline!$I$5:$I$305)*ISNUMBER(Timeline!$J$5:$J$305)*(Timeline!$I$5:$I$305&lt;=I$4+0)*(Timeline!$J$5:$J$305&gt;=I$4+0)),SUMPRODUCT((INDEX(Timeline!$P$5:$AN$305,0,MATCH($A7,Timeline!$P$4:$AN$4,0))="x")*(Timeline!$K$5:$K$305="Task")*ISNUMBER(Timeline!$I$5:$I$305)*ISNUMBER(Timeline!$J$5:$J$305)*(Timeline!$I$5:$I$305&lt;=I$4+1)*(Timeline!$J$5:$J$305&gt;=I$4+1)),SUMPRODUCT((INDEX(Timeline!$P$5:$AN$305,0,MATCH($A7,Timeline!$P$4:$AN$4,0))="x")*(Timeline!$K$5:$K$305="Task")*ISNUMBER(Timeline!$I$5:$I$305)*ISNUMBER(Timeline!$J$5:$J$305)*(Timeline!$I$5:$I$305&lt;=I$4+2)*(Timeline!$J$5:$J$305&gt;=I$4+2)),SUMPRODUCT((INDEX(Timeline!$P$5:$AN$305,0,MATCH($A7,Timeline!$P$4:$AN$4,0))="x")*(Timeline!$K$5:$K$305="Task")*ISNUMBER(Timeline!$I$5:$I$305)*ISNUMBER(Timeline!$J$5:$J$305)*(Timeline!$I$5:$I$305&lt;=I$4+3)*(Timeline!$J$5:$J$305&gt;=I$4+3)),SUMPRODUCT((INDEX(Timeline!$P$5:$AN$305,0,MATCH($A7,Timeline!$P$4:$AN$4,0))="x")*(Timeline!$K$5:$K$305="Task")*ISNUMBER(Timeline!$I$5:$I$305)*ISNUMBER(Timeline!$J$5:$J$305)*(Timeline!$I$5:$I$305&lt;=I$4+4)*(Timeline!$J$5:$J$305&gt;=I$4+4)),SUMPRODUCT((INDEX(Timeline!$P$5:$AN$305,0,MATCH($A7,Timeline!$P$4:$AN$4,0))="x")*(Timeline!$K$5:$K$305="Task")*ISNUMBER(Timeline!$I$5:$I$305)*ISNUMBER(Timeline!$J$5:$J$305)*(Timeline!$I$5:$I$305&lt;=I$4+5)*(Timeline!$J$5:$J$305&gt;=I$4+5)),SUMPRODUCT((INDEX(Timeline!$P$5:$AN$305,0,MATCH($A7,Timeline!$P$4:$AN$4,0))="x")*(Timeline!$K$5:$K$305="Task")*ISNUMBER(Timeline!$I$5:$I$305)*ISNUMBER(Timeline!$J$5:$J$305)*(Timeline!$I$5:$I$305&lt;=I$4+6)*(Timeline!$J$5:$J$305&gt;=I$4+6)))</f>
        <v>1</v>
      </c>
      <c r="J7" s="67">
        <f>MAX(SUMPRODUCT((INDEX(Timeline!$P$5:$AN$305,0,MATCH($A7,Timeline!$P$4:$AN$4,0))="x")*(Timeline!$K$5:$K$305="Task")*ISNUMBER(Timeline!$I$5:$I$305)*ISNUMBER(Timeline!$J$5:$J$305)*(Timeline!$I$5:$I$305&lt;=J$4+0)*(Timeline!$J$5:$J$305&gt;=J$4+0)),SUMPRODUCT((INDEX(Timeline!$P$5:$AN$305,0,MATCH($A7,Timeline!$P$4:$AN$4,0))="x")*(Timeline!$K$5:$K$305="Task")*ISNUMBER(Timeline!$I$5:$I$305)*ISNUMBER(Timeline!$J$5:$J$305)*(Timeline!$I$5:$I$305&lt;=J$4+1)*(Timeline!$J$5:$J$305&gt;=J$4+1)),SUMPRODUCT((INDEX(Timeline!$P$5:$AN$305,0,MATCH($A7,Timeline!$P$4:$AN$4,0))="x")*(Timeline!$K$5:$K$305="Task")*ISNUMBER(Timeline!$I$5:$I$305)*ISNUMBER(Timeline!$J$5:$J$305)*(Timeline!$I$5:$I$305&lt;=J$4+2)*(Timeline!$J$5:$J$305&gt;=J$4+2)),SUMPRODUCT((INDEX(Timeline!$P$5:$AN$305,0,MATCH($A7,Timeline!$P$4:$AN$4,0))="x")*(Timeline!$K$5:$K$305="Task")*ISNUMBER(Timeline!$I$5:$I$305)*ISNUMBER(Timeline!$J$5:$J$305)*(Timeline!$I$5:$I$305&lt;=J$4+3)*(Timeline!$J$5:$J$305&gt;=J$4+3)),SUMPRODUCT((INDEX(Timeline!$P$5:$AN$305,0,MATCH($A7,Timeline!$P$4:$AN$4,0))="x")*(Timeline!$K$5:$K$305="Task")*ISNUMBER(Timeline!$I$5:$I$305)*ISNUMBER(Timeline!$J$5:$J$305)*(Timeline!$I$5:$I$305&lt;=J$4+4)*(Timeline!$J$5:$J$305&gt;=J$4+4)),SUMPRODUCT((INDEX(Timeline!$P$5:$AN$305,0,MATCH($A7,Timeline!$P$4:$AN$4,0))="x")*(Timeline!$K$5:$K$305="Task")*ISNUMBER(Timeline!$I$5:$I$305)*ISNUMBER(Timeline!$J$5:$J$305)*(Timeline!$I$5:$I$305&lt;=J$4+5)*(Timeline!$J$5:$J$305&gt;=J$4+5)),SUMPRODUCT((INDEX(Timeline!$P$5:$AN$305,0,MATCH($A7,Timeline!$P$4:$AN$4,0))="x")*(Timeline!$K$5:$K$305="Task")*ISNUMBER(Timeline!$I$5:$I$305)*ISNUMBER(Timeline!$J$5:$J$305)*(Timeline!$I$5:$I$305&lt;=J$4+6)*(Timeline!$J$5:$J$305&gt;=J$4+6)))</f>
        <v>1</v>
      </c>
      <c r="K7" s="67">
        <f>MAX(SUMPRODUCT((INDEX(Timeline!$P$5:$AN$305,0,MATCH($A7,Timeline!$P$4:$AN$4,0))="x")*(Timeline!$K$5:$K$305="Task")*ISNUMBER(Timeline!$I$5:$I$305)*ISNUMBER(Timeline!$J$5:$J$305)*(Timeline!$I$5:$I$305&lt;=K$4+0)*(Timeline!$J$5:$J$305&gt;=K$4+0)),SUMPRODUCT((INDEX(Timeline!$P$5:$AN$305,0,MATCH($A7,Timeline!$P$4:$AN$4,0))="x")*(Timeline!$K$5:$K$305="Task")*ISNUMBER(Timeline!$I$5:$I$305)*ISNUMBER(Timeline!$J$5:$J$305)*(Timeline!$I$5:$I$305&lt;=K$4+1)*(Timeline!$J$5:$J$305&gt;=K$4+1)),SUMPRODUCT((INDEX(Timeline!$P$5:$AN$305,0,MATCH($A7,Timeline!$P$4:$AN$4,0))="x")*(Timeline!$K$5:$K$305="Task")*ISNUMBER(Timeline!$I$5:$I$305)*ISNUMBER(Timeline!$J$5:$J$305)*(Timeline!$I$5:$I$305&lt;=K$4+2)*(Timeline!$J$5:$J$305&gt;=K$4+2)),SUMPRODUCT((INDEX(Timeline!$P$5:$AN$305,0,MATCH($A7,Timeline!$P$4:$AN$4,0))="x")*(Timeline!$K$5:$K$305="Task")*ISNUMBER(Timeline!$I$5:$I$305)*ISNUMBER(Timeline!$J$5:$J$305)*(Timeline!$I$5:$I$305&lt;=K$4+3)*(Timeline!$J$5:$J$305&gt;=K$4+3)),SUMPRODUCT((INDEX(Timeline!$P$5:$AN$305,0,MATCH($A7,Timeline!$P$4:$AN$4,0))="x")*(Timeline!$K$5:$K$305="Task")*ISNUMBER(Timeline!$I$5:$I$305)*ISNUMBER(Timeline!$J$5:$J$305)*(Timeline!$I$5:$I$305&lt;=K$4+4)*(Timeline!$J$5:$J$305&gt;=K$4+4)),SUMPRODUCT((INDEX(Timeline!$P$5:$AN$305,0,MATCH($A7,Timeline!$P$4:$AN$4,0))="x")*(Timeline!$K$5:$K$305="Task")*ISNUMBER(Timeline!$I$5:$I$305)*ISNUMBER(Timeline!$J$5:$J$305)*(Timeline!$I$5:$I$305&lt;=K$4+5)*(Timeline!$J$5:$J$305&gt;=K$4+5)),SUMPRODUCT((INDEX(Timeline!$P$5:$AN$305,0,MATCH($A7,Timeline!$P$4:$AN$4,0))="x")*(Timeline!$K$5:$K$305="Task")*ISNUMBER(Timeline!$I$5:$I$305)*ISNUMBER(Timeline!$J$5:$J$305)*(Timeline!$I$5:$I$305&lt;=K$4+6)*(Timeline!$J$5:$J$305&gt;=K$4+6)))</f>
        <v>1</v>
      </c>
      <c r="L7" s="67">
        <f>MAX(SUMPRODUCT((INDEX(Timeline!$P$5:$AN$305,0,MATCH($A7,Timeline!$P$4:$AN$4,0))="x")*(Timeline!$K$5:$K$305="Task")*ISNUMBER(Timeline!$I$5:$I$305)*ISNUMBER(Timeline!$J$5:$J$305)*(Timeline!$I$5:$I$305&lt;=L$4+0)*(Timeline!$J$5:$J$305&gt;=L$4+0)),SUMPRODUCT((INDEX(Timeline!$P$5:$AN$305,0,MATCH($A7,Timeline!$P$4:$AN$4,0))="x")*(Timeline!$K$5:$K$305="Task")*ISNUMBER(Timeline!$I$5:$I$305)*ISNUMBER(Timeline!$J$5:$J$305)*(Timeline!$I$5:$I$305&lt;=L$4+1)*(Timeline!$J$5:$J$305&gt;=L$4+1)),SUMPRODUCT((INDEX(Timeline!$P$5:$AN$305,0,MATCH($A7,Timeline!$P$4:$AN$4,0))="x")*(Timeline!$K$5:$K$305="Task")*ISNUMBER(Timeline!$I$5:$I$305)*ISNUMBER(Timeline!$J$5:$J$305)*(Timeline!$I$5:$I$305&lt;=L$4+2)*(Timeline!$J$5:$J$305&gt;=L$4+2)),SUMPRODUCT((INDEX(Timeline!$P$5:$AN$305,0,MATCH($A7,Timeline!$P$4:$AN$4,0))="x")*(Timeline!$K$5:$K$305="Task")*ISNUMBER(Timeline!$I$5:$I$305)*ISNUMBER(Timeline!$J$5:$J$305)*(Timeline!$I$5:$I$305&lt;=L$4+3)*(Timeline!$J$5:$J$305&gt;=L$4+3)),SUMPRODUCT((INDEX(Timeline!$P$5:$AN$305,0,MATCH($A7,Timeline!$P$4:$AN$4,0))="x")*(Timeline!$K$5:$K$305="Task")*ISNUMBER(Timeline!$I$5:$I$305)*ISNUMBER(Timeline!$J$5:$J$305)*(Timeline!$I$5:$I$305&lt;=L$4+4)*(Timeline!$J$5:$J$305&gt;=L$4+4)),SUMPRODUCT((INDEX(Timeline!$P$5:$AN$305,0,MATCH($A7,Timeline!$P$4:$AN$4,0))="x")*(Timeline!$K$5:$K$305="Task")*ISNUMBER(Timeline!$I$5:$I$305)*ISNUMBER(Timeline!$J$5:$J$305)*(Timeline!$I$5:$I$305&lt;=L$4+5)*(Timeline!$J$5:$J$305&gt;=L$4+5)),SUMPRODUCT((INDEX(Timeline!$P$5:$AN$305,0,MATCH($A7,Timeline!$P$4:$AN$4,0))="x")*(Timeline!$K$5:$K$305="Task")*ISNUMBER(Timeline!$I$5:$I$305)*ISNUMBER(Timeline!$J$5:$J$305)*(Timeline!$I$5:$I$305&lt;=L$4+6)*(Timeline!$J$5:$J$305&gt;=L$4+6)))</f>
        <v>1</v>
      </c>
      <c r="M7" s="67">
        <f>MAX(SUMPRODUCT((INDEX(Timeline!$P$5:$AN$305,0,MATCH($A7,Timeline!$P$4:$AN$4,0))="x")*(Timeline!$K$5:$K$305="Task")*ISNUMBER(Timeline!$I$5:$I$305)*ISNUMBER(Timeline!$J$5:$J$305)*(Timeline!$I$5:$I$305&lt;=M$4+0)*(Timeline!$J$5:$J$305&gt;=M$4+0)),SUMPRODUCT((INDEX(Timeline!$P$5:$AN$305,0,MATCH($A7,Timeline!$P$4:$AN$4,0))="x")*(Timeline!$K$5:$K$305="Task")*ISNUMBER(Timeline!$I$5:$I$305)*ISNUMBER(Timeline!$J$5:$J$305)*(Timeline!$I$5:$I$305&lt;=M$4+1)*(Timeline!$J$5:$J$305&gt;=M$4+1)),SUMPRODUCT((INDEX(Timeline!$P$5:$AN$305,0,MATCH($A7,Timeline!$P$4:$AN$4,0))="x")*(Timeline!$K$5:$K$305="Task")*ISNUMBER(Timeline!$I$5:$I$305)*ISNUMBER(Timeline!$J$5:$J$305)*(Timeline!$I$5:$I$305&lt;=M$4+2)*(Timeline!$J$5:$J$305&gt;=M$4+2)),SUMPRODUCT((INDEX(Timeline!$P$5:$AN$305,0,MATCH($A7,Timeline!$P$4:$AN$4,0))="x")*(Timeline!$K$5:$K$305="Task")*ISNUMBER(Timeline!$I$5:$I$305)*ISNUMBER(Timeline!$J$5:$J$305)*(Timeline!$I$5:$I$305&lt;=M$4+3)*(Timeline!$J$5:$J$305&gt;=M$4+3)),SUMPRODUCT((INDEX(Timeline!$P$5:$AN$305,0,MATCH($A7,Timeline!$P$4:$AN$4,0))="x")*(Timeline!$K$5:$K$305="Task")*ISNUMBER(Timeline!$I$5:$I$305)*ISNUMBER(Timeline!$J$5:$J$305)*(Timeline!$I$5:$I$305&lt;=M$4+4)*(Timeline!$J$5:$J$305&gt;=M$4+4)),SUMPRODUCT((INDEX(Timeline!$P$5:$AN$305,0,MATCH($A7,Timeline!$P$4:$AN$4,0))="x")*(Timeline!$K$5:$K$305="Task")*ISNUMBER(Timeline!$I$5:$I$305)*ISNUMBER(Timeline!$J$5:$J$305)*(Timeline!$I$5:$I$305&lt;=M$4+5)*(Timeline!$J$5:$J$305&gt;=M$4+5)),SUMPRODUCT((INDEX(Timeline!$P$5:$AN$305,0,MATCH($A7,Timeline!$P$4:$AN$4,0))="x")*(Timeline!$K$5:$K$305="Task")*ISNUMBER(Timeline!$I$5:$I$305)*ISNUMBER(Timeline!$J$5:$J$305)*(Timeline!$I$5:$I$305&lt;=M$4+6)*(Timeline!$J$5:$J$305&gt;=M$4+6)))</f>
        <v>1</v>
      </c>
      <c r="N7" s="67">
        <f>MAX(SUMPRODUCT((INDEX(Timeline!$P$5:$AN$305,0,MATCH($A7,Timeline!$P$4:$AN$4,0))="x")*(Timeline!$K$5:$K$305="Task")*ISNUMBER(Timeline!$I$5:$I$305)*ISNUMBER(Timeline!$J$5:$J$305)*(Timeline!$I$5:$I$305&lt;=N$4+0)*(Timeline!$J$5:$J$305&gt;=N$4+0)),SUMPRODUCT((INDEX(Timeline!$P$5:$AN$305,0,MATCH($A7,Timeline!$P$4:$AN$4,0))="x")*(Timeline!$K$5:$K$305="Task")*ISNUMBER(Timeline!$I$5:$I$305)*ISNUMBER(Timeline!$J$5:$J$305)*(Timeline!$I$5:$I$305&lt;=N$4+1)*(Timeline!$J$5:$J$305&gt;=N$4+1)),SUMPRODUCT((INDEX(Timeline!$P$5:$AN$305,0,MATCH($A7,Timeline!$P$4:$AN$4,0))="x")*(Timeline!$K$5:$K$305="Task")*ISNUMBER(Timeline!$I$5:$I$305)*ISNUMBER(Timeline!$J$5:$J$305)*(Timeline!$I$5:$I$305&lt;=N$4+2)*(Timeline!$J$5:$J$305&gt;=N$4+2)),SUMPRODUCT((INDEX(Timeline!$P$5:$AN$305,0,MATCH($A7,Timeline!$P$4:$AN$4,0))="x")*(Timeline!$K$5:$K$305="Task")*ISNUMBER(Timeline!$I$5:$I$305)*ISNUMBER(Timeline!$J$5:$J$305)*(Timeline!$I$5:$I$305&lt;=N$4+3)*(Timeline!$J$5:$J$305&gt;=N$4+3)),SUMPRODUCT((INDEX(Timeline!$P$5:$AN$305,0,MATCH($A7,Timeline!$P$4:$AN$4,0))="x")*(Timeline!$K$5:$K$305="Task")*ISNUMBER(Timeline!$I$5:$I$305)*ISNUMBER(Timeline!$J$5:$J$305)*(Timeline!$I$5:$I$305&lt;=N$4+4)*(Timeline!$J$5:$J$305&gt;=N$4+4)),SUMPRODUCT((INDEX(Timeline!$P$5:$AN$305,0,MATCH($A7,Timeline!$P$4:$AN$4,0))="x")*(Timeline!$K$5:$K$305="Task")*ISNUMBER(Timeline!$I$5:$I$305)*ISNUMBER(Timeline!$J$5:$J$305)*(Timeline!$I$5:$I$305&lt;=N$4+5)*(Timeline!$J$5:$J$305&gt;=N$4+5)),SUMPRODUCT((INDEX(Timeline!$P$5:$AN$305,0,MATCH($A7,Timeline!$P$4:$AN$4,0))="x")*(Timeline!$K$5:$K$305="Task")*ISNUMBER(Timeline!$I$5:$I$305)*ISNUMBER(Timeline!$J$5:$J$305)*(Timeline!$I$5:$I$305&lt;=N$4+6)*(Timeline!$J$5:$J$305&gt;=N$4+6)))</f>
        <v>1</v>
      </c>
      <c r="O7" s="67">
        <f>MAX(SUMPRODUCT((INDEX(Timeline!$P$5:$AN$305,0,MATCH($A7,Timeline!$P$4:$AN$4,0))="x")*(Timeline!$K$5:$K$305="Task")*ISNUMBER(Timeline!$I$5:$I$305)*ISNUMBER(Timeline!$J$5:$J$305)*(Timeline!$I$5:$I$305&lt;=O$4+0)*(Timeline!$J$5:$J$305&gt;=O$4+0)),SUMPRODUCT((INDEX(Timeline!$P$5:$AN$305,0,MATCH($A7,Timeline!$P$4:$AN$4,0))="x")*(Timeline!$K$5:$K$305="Task")*ISNUMBER(Timeline!$I$5:$I$305)*ISNUMBER(Timeline!$J$5:$J$305)*(Timeline!$I$5:$I$305&lt;=O$4+1)*(Timeline!$J$5:$J$305&gt;=O$4+1)),SUMPRODUCT((INDEX(Timeline!$P$5:$AN$305,0,MATCH($A7,Timeline!$P$4:$AN$4,0))="x")*(Timeline!$K$5:$K$305="Task")*ISNUMBER(Timeline!$I$5:$I$305)*ISNUMBER(Timeline!$J$5:$J$305)*(Timeline!$I$5:$I$305&lt;=O$4+2)*(Timeline!$J$5:$J$305&gt;=O$4+2)),SUMPRODUCT((INDEX(Timeline!$P$5:$AN$305,0,MATCH($A7,Timeline!$P$4:$AN$4,0))="x")*(Timeline!$K$5:$K$305="Task")*ISNUMBER(Timeline!$I$5:$I$305)*ISNUMBER(Timeline!$J$5:$J$305)*(Timeline!$I$5:$I$305&lt;=O$4+3)*(Timeline!$J$5:$J$305&gt;=O$4+3)),SUMPRODUCT((INDEX(Timeline!$P$5:$AN$305,0,MATCH($A7,Timeline!$P$4:$AN$4,0))="x")*(Timeline!$K$5:$K$305="Task")*ISNUMBER(Timeline!$I$5:$I$305)*ISNUMBER(Timeline!$J$5:$J$305)*(Timeline!$I$5:$I$305&lt;=O$4+4)*(Timeline!$J$5:$J$305&gt;=O$4+4)),SUMPRODUCT((INDEX(Timeline!$P$5:$AN$305,0,MATCH($A7,Timeline!$P$4:$AN$4,0))="x")*(Timeline!$K$5:$K$305="Task")*ISNUMBER(Timeline!$I$5:$I$305)*ISNUMBER(Timeline!$J$5:$J$305)*(Timeline!$I$5:$I$305&lt;=O$4+5)*(Timeline!$J$5:$J$305&gt;=O$4+5)),SUMPRODUCT((INDEX(Timeline!$P$5:$AN$305,0,MATCH($A7,Timeline!$P$4:$AN$4,0))="x")*(Timeline!$K$5:$K$305="Task")*ISNUMBER(Timeline!$I$5:$I$305)*ISNUMBER(Timeline!$J$5:$J$305)*(Timeline!$I$5:$I$305&lt;=O$4+6)*(Timeline!$J$5:$J$305&gt;=O$4+6)))</f>
        <v>1</v>
      </c>
      <c r="P7" s="67">
        <f>MAX(SUMPRODUCT((INDEX(Timeline!$P$5:$AN$305,0,MATCH($A7,Timeline!$P$4:$AN$4,0))="x")*(Timeline!$K$5:$K$305="Task")*ISNUMBER(Timeline!$I$5:$I$305)*ISNUMBER(Timeline!$J$5:$J$305)*(Timeline!$I$5:$I$305&lt;=P$4+0)*(Timeline!$J$5:$J$305&gt;=P$4+0)),SUMPRODUCT((INDEX(Timeline!$P$5:$AN$305,0,MATCH($A7,Timeline!$P$4:$AN$4,0))="x")*(Timeline!$K$5:$K$305="Task")*ISNUMBER(Timeline!$I$5:$I$305)*ISNUMBER(Timeline!$J$5:$J$305)*(Timeline!$I$5:$I$305&lt;=P$4+1)*(Timeline!$J$5:$J$305&gt;=P$4+1)),SUMPRODUCT((INDEX(Timeline!$P$5:$AN$305,0,MATCH($A7,Timeline!$P$4:$AN$4,0))="x")*(Timeline!$K$5:$K$305="Task")*ISNUMBER(Timeline!$I$5:$I$305)*ISNUMBER(Timeline!$J$5:$J$305)*(Timeline!$I$5:$I$305&lt;=P$4+2)*(Timeline!$J$5:$J$305&gt;=P$4+2)),SUMPRODUCT((INDEX(Timeline!$P$5:$AN$305,0,MATCH($A7,Timeline!$P$4:$AN$4,0))="x")*(Timeline!$K$5:$K$305="Task")*ISNUMBER(Timeline!$I$5:$I$305)*ISNUMBER(Timeline!$J$5:$J$305)*(Timeline!$I$5:$I$305&lt;=P$4+3)*(Timeline!$J$5:$J$305&gt;=P$4+3)),SUMPRODUCT((INDEX(Timeline!$P$5:$AN$305,0,MATCH($A7,Timeline!$P$4:$AN$4,0))="x")*(Timeline!$K$5:$K$305="Task")*ISNUMBER(Timeline!$I$5:$I$305)*ISNUMBER(Timeline!$J$5:$J$305)*(Timeline!$I$5:$I$305&lt;=P$4+4)*(Timeline!$J$5:$J$305&gt;=P$4+4)),SUMPRODUCT((INDEX(Timeline!$P$5:$AN$305,0,MATCH($A7,Timeline!$P$4:$AN$4,0))="x")*(Timeline!$K$5:$K$305="Task")*ISNUMBER(Timeline!$I$5:$I$305)*ISNUMBER(Timeline!$J$5:$J$305)*(Timeline!$I$5:$I$305&lt;=P$4+5)*(Timeline!$J$5:$J$305&gt;=P$4+5)),SUMPRODUCT((INDEX(Timeline!$P$5:$AN$305,0,MATCH($A7,Timeline!$P$4:$AN$4,0))="x")*(Timeline!$K$5:$K$305="Task")*ISNUMBER(Timeline!$I$5:$I$305)*ISNUMBER(Timeline!$J$5:$J$305)*(Timeline!$I$5:$I$305&lt;=P$4+6)*(Timeline!$J$5:$J$305&gt;=P$4+6)))</f>
        <v>1</v>
      </c>
      <c r="Q7" s="67">
        <f>MAX(SUMPRODUCT((INDEX(Timeline!$P$5:$AN$305,0,MATCH($A7,Timeline!$P$4:$AN$4,0))="x")*(Timeline!$K$5:$K$305="Task")*ISNUMBER(Timeline!$I$5:$I$305)*ISNUMBER(Timeline!$J$5:$J$305)*(Timeline!$I$5:$I$305&lt;=Q$4+0)*(Timeline!$J$5:$J$305&gt;=Q$4+0)),SUMPRODUCT((INDEX(Timeline!$P$5:$AN$305,0,MATCH($A7,Timeline!$P$4:$AN$4,0))="x")*(Timeline!$K$5:$K$305="Task")*ISNUMBER(Timeline!$I$5:$I$305)*ISNUMBER(Timeline!$J$5:$J$305)*(Timeline!$I$5:$I$305&lt;=Q$4+1)*(Timeline!$J$5:$J$305&gt;=Q$4+1)),SUMPRODUCT((INDEX(Timeline!$P$5:$AN$305,0,MATCH($A7,Timeline!$P$4:$AN$4,0))="x")*(Timeline!$K$5:$K$305="Task")*ISNUMBER(Timeline!$I$5:$I$305)*ISNUMBER(Timeline!$J$5:$J$305)*(Timeline!$I$5:$I$305&lt;=Q$4+2)*(Timeline!$J$5:$J$305&gt;=Q$4+2)),SUMPRODUCT((INDEX(Timeline!$P$5:$AN$305,0,MATCH($A7,Timeline!$P$4:$AN$4,0))="x")*(Timeline!$K$5:$K$305="Task")*ISNUMBER(Timeline!$I$5:$I$305)*ISNUMBER(Timeline!$J$5:$J$305)*(Timeline!$I$5:$I$305&lt;=Q$4+3)*(Timeline!$J$5:$J$305&gt;=Q$4+3)),SUMPRODUCT((INDEX(Timeline!$P$5:$AN$305,0,MATCH($A7,Timeline!$P$4:$AN$4,0))="x")*(Timeline!$K$5:$K$305="Task")*ISNUMBER(Timeline!$I$5:$I$305)*ISNUMBER(Timeline!$J$5:$J$305)*(Timeline!$I$5:$I$305&lt;=Q$4+4)*(Timeline!$J$5:$J$305&gt;=Q$4+4)),SUMPRODUCT((INDEX(Timeline!$P$5:$AN$305,0,MATCH($A7,Timeline!$P$4:$AN$4,0))="x")*(Timeline!$K$5:$K$305="Task")*ISNUMBER(Timeline!$I$5:$I$305)*ISNUMBER(Timeline!$J$5:$J$305)*(Timeline!$I$5:$I$305&lt;=Q$4+5)*(Timeline!$J$5:$J$305&gt;=Q$4+5)),SUMPRODUCT((INDEX(Timeline!$P$5:$AN$305,0,MATCH($A7,Timeline!$P$4:$AN$4,0))="x")*(Timeline!$K$5:$K$305="Task")*ISNUMBER(Timeline!$I$5:$I$305)*ISNUMBER(Timeline!$J$5:$J$305)*(Timeline!$I$5:$I$305&lt;=Q$4+6)*(Timeline!$J$5:$J$305&gt;=Q$4+6)))</f>
        <v>0</v>
      </c>
      <c r="R7" s="67">
        <f>MAX(SUMPRODUCT((INDEX(Timeline!$P$5:$AN$305,0,MATCH($A7,Timeline!$P$4:$AN$4,0))="x")*(Timeline!$K$5:$K$305="Task")*ISNUMBER(Timeline!$I$5:$I$305)*ISNUMBER(Timeline!$J$5:$J$305)*(Timeline!$I$5:$I$305&lt;=R$4+0)*(Timeline!$J$5:$J$305&gt;=R$4+0)),SUMPRODUCT((INDEX(Timeline!$P$5:$AN$305,0,MATCH($A7,Timeline!$P$4:$AN$4,0))="x")*(Timeline!$K$5:$K$305="Task")*ISNUMBER(Timeline!$I$5:$I$305)*ISNUMBER(Timeline!$J$5:$J$305)*(Timeline!$I$5:$I$305&lt;=R$4+1)*(Timeline!$J$5:$J$305&gt;=R$4+1)),SUMPRODUCT((INDEX(Timeline!$P$5:$AN$305,0,MATCH($A7,Timeline!$P$4:$AN$4,0))="x")*(Timeline!$K$5:$K$305="Task")*ISNUMBER(Timeline!$I$5:$I$305)*ISNUMBER(Timeline!$J$5:$J$305)*(Timeline!$I$5:$I$305&lt;=R$4+2)*(Timeline!$J$5:$J$305&gt;=R$4+2)),SUMPRODUCT((INDEX(Timeline!$P$5:$AN$305,0,MATCH($A7,Timeline!$P$4:$AN$4,0))="x")*(Timeline!$K$5:$K$305="Task")*ISNUMBER(Timeline!$I$5:$I$305)*ISNUMBER(Timeline!$J$5:$J$305)*(Timeline!$I$5:$I$305&lt;=R$4+3)*(Timeline!$J$5:$J$305&gt;=R$4+3)),SUMPRODUCT((INDEX(Timeline!$P$5:$AN$305,0,MATCH($A7,Timeline!$P$4:$AN$4,0))="x")*(Timeline!$K$5:$K$305="Task")*ISNUMBER(Timeline!$I$5:$I$305)*ISNUMBER(Timeline!$J$5:$J$305)*(Timeline!$I$5:$I$305&lt;=R$4+4)*(Timeline!$J$5:$J$305&gt;=R$4+4)),SUMPRODUCT((INDEX(Timeline!$P$5:$AN$305,0,MATCH($A7,Timeline!$P$4:$AN$4,0))="x")*(Timeline!$K$5:$K$305="Task")*ISNUMBER(Timeline!$I$5:$I$305)*ISNUMBER(Timeline!$J$5:$J$305)*(Timeline!$I$5:$I$305&lt;=R$4+5)*(Timeline!$J$5:$J$305&gt;=R$4+5)),SUMPRODUCT((INDEX(Timeline!$P$5:$AN$305,0,MATCH($A7,Timeline!$P$4:$AN$4,0))="x")*(Timeline!$K$5:$K$305="Task")*ISNUMBER(Timeline!$I$5:$I$305)*ISNUMBER(Timeline!$J$5:$J$305)*(Timeline!$I$5:$I$305&lt;=R$4+6)*(Timeline!$J$5:$J$305&gt;=R$4+6)))</f>
        <v>0</v>
      </c>
      <c r="S7" s="67">
        <f>MAX(SUMPRODUCT((INDEX(Timeline!$P$5:$AN$305,0,MATCH($A7,Timeline!$P$4:$AN$4,0))="x")*(Timeline!$K$5:$K$305="Task")*ISNUMBER(Timeline!$I$5:$I$305)*ISNUMBER(Timeline!$J$5:$J$305)*(Timeline!$I$5:$I$305&lt;=S$4+0)*(Timeline!$J$5:$J$305&gt;=S$4+0)),SUMPRODUCT((INDEX(Timeline!$P$5:$AN$305,0,MATCH($A7,Timeline!$P$4:$AN$4,0))="x")*(Timeline!$K$5:$K$305="Task")*ISNUMBER(Timeline!$I$5:$I$305)*ISNUMBER(Timeline!$J$5:$J$305)*(Timeline!$I$5:$I$305&lt;=S$4+1)*(Timeline!$J$5:$J$305&gt;=S$4+1)),SUMPRODUCT((INDEX(Timeline!$P$5:$AN$305,0,MATCH($A7,Timeline!$P$4:$AN$4,0))="x")*(Timeline!$K$5:$K$305="Task")*ISNUMBER(Timeline!$I$5:$I$305)*ISNUMBER(Timeline!$J$5:$J$305)*(Timeline!$I$5:$I$305&lt;=S$4+2)*(Timeline!$J$5:$J$305&gt;=S$4+2)),SUMPRODUCT((INDEX(Timeline!$P$5:$AN$305,0,MATCH($A7,Timeline!$P$4:$AN$4,0))="x")*(Timeline!$K$5:$K$305="Task")*ISNUMBER(Timeline!$I$5:$I$305)*ISNUMBER(Timeline!$J$5:$J$305)*(Timeline!$I$5:$I$305&lt;=S$4+3)*(Timeline!$J$5:$J$305&gt;=S$4+3)),SUMPRODUCT((INDEX(Timeline!$P$5:$AN$305,0,MATCH($A7,Timeline!$P$4:$AN$4,0))="x")*(Timeline!$K$5:$K$305="Task")*ISNUMBER(Timeline!$I$5:$I$305)*ISNUMBER(Timeline!$J$5:$J$305)*(Timeline!$I$5:$I$305&lt;=S$4+4)*(Timeline!$J$5:$J$305&gt;=S$4+4)),SUMPRODUCT((INDEX(Timeline!$P$5:$AN$305,0,MATCH($A7,Timeline!$P$4:$AN$4,0))="x")*(Timeline!$K$5:$K$305="Task")*ISNUMBER(Timeline!$I$5:$I$305)*ISNUMBER(Timeline!$J$5:$J$305)*(Timeline!$I$5:$I$305&lt;=S$4+5)*(Timeline!$J$5:$J$305&gt;=S$4+5)),SUMPRODUCT((INDEX(Timeline!$P$5:$AN$305,0,MATCH($A7,Timeline!$P$4:$AN$4,0))="x")*(Timeline!$K$5:$K$305="Task")*ISNUMBER(Timeline!$I$5:$I$305)*ISNUMBER(Timeline!$J$5:$J$305)*(Timeline!$I$5:$I$305&lt;=S$4+6)*(Timeline!$J$5:$J$305&gt;=S$4+6)))</f>
        <v>0</v>
      </c>
      <c r="T7" s="67">
        <f>MAX(SUMPRODUCT((INDEX(Timeline!$P$5:$AN$305,0,MATCH($A7,Timeline!$P$4:$AN$4,0))="x")*(Timeline!$K$5:$K$305="Task")*ISNUMBER(Timeline!$I$5:$I$305)*ISNUMBER(Timeline!$J$5:$J$305)*(Timeline!$I$5:$I$305&lt;=T$4+0)*(Timeline!$J$5:$J$305&gt;=T$4+0)),SUMPRODUCT((INDEX(Timeline!$P$5:$AN$305,0,MATCH($A7,Timeline!$P$4:$AN$4,0))="x")*(Timeline!$K$5:$K$305="Task")*ISNUMBER(Timeline!$I$5:$I$305)*ISNUMBER(Timeline!$J$5:$J$305)*(Timeline!$I$5:$I$305&lt;=T$4+1)*(Timeline!$J$5:$J$305&gt;=T$4+1)),SUMPRODUCT((INDEX(Timeline!$P$5:$AN$305,0,MATCH($A7,Timeline!$P$4:$AN$4,0))="x")*(Timeline!$K$5:$K$305="Task")*ISNUMBER(Timeline!$I$5:$I$305)*ISNUMBER(Timeline!$J$5:$J$305)*(Timeline!$I$5:$I$305&lt;=T$4+2)*(Timeline!$J$5:$J$305&gt;=T$4+2)),SUMPRODUCT((INDEX(Timeline!$P$5:$AN$305,0,MATCH($A7,Timeline!$P$4:$AN$4,0))="x")*(Timeline!$K$5:$K$305="Task")*ISNUMBER(Timeline!$I$5:$I$305)*ISNUMBER(Timeline!$J$5:$J$305)*(Timeline!$I$5:$I$305&lt;=T$4+3)*(Timeline!$J$5:$J$305&gt;=T$4+3)),SUMPRODUCT((INDEX(Timeline!$P$5:$AN$305,0,MATCH($A7,Timeline!$P$4:$AN$4,0))="x")*(Timeline!$K$5:$K$305="Task")*ISNUMBER(Timeline!$I$5:$I$305)*ISNUMBER(Timeline!$J$5:$J$305)*(Timeline!$I$5:$I$305&lt;=T$4+4)*(Timeline!$J$5:$J$305&gt;=T$4+4)),SUMPRODUCT((INDEX(Timeline!$P$5:$AN$305,0,MATCH($A7,Timeline!$P$4:$AN$4,0))="x")*(Timeline!$K$5:$K$305="Task")*ISNUMBER(Timeline!$I$5:$I$305)*ISNUMBER(Timeline!$J$5:$J$305)*(Timeline!$I$5:$I$305&lt;=T$4+5)*(Timeline!$J$5:$J$305&gt;=T$4+5)),SUMPRODUCT((INDEX(Timeline!$P$5:$AN$305,0,MATCH($A7,Timeline!$P$4:$AN$4,0))="x")*(Timeline!$K$5:$K$305="Task")*ISNUMBER(Timeline!$I$5:$I$305)*ISNUMBER(Timeline!$J$5:$J$305)*(Timeline!$I$5:$I$305&lt;=T$4+6)*(Timeline!$J$5:$J$305&gt;=T$4+6)))</f>
        <v>0</v>
      </c>
      <c r="U7" s="67">
        <f>MAX(SUMPRODUCT((INDEX(Timeline!$P$5:$AN$305,0,MATCH($A7,Timeline!$P$4:$AN$4,0))="x")*(Timeline!$K$5:$K$305="Task")*ISNUMBER(Timeline!$I$5:$I$305)*ISNUMBER(Timeline!$J$5:$J$305)*(Timeline!$I$5:$I$305&lt;=U$4+0)*(Timeline!$J$5:$J$305&gt;=U$4+0)),SUMPRODUCT((INDEX(Timeline!$P$5:$AN$305,0,MATCH($A7,Timeline!$P$4:$AN$4,0))="x")*(Timeline!$K$5:$K$305="Task")*ISNUMBER(Timeline!$I$5:$I$305)*ISNUMBER(Timeline!$J$5:$J$305)*(Timeline!$I$5:$I$305&lt;=U$4+1)*(Timeline!$J$5:$J$305&gt;=U$4+1)),SUMPRODUCT((INDEX(Timeline!$P$5:$AN$305,0,MATCH($A7,Timeline!$P$4:$AN$4,0))="x")*(Timeline!$K$5:$K$305="Task")*ISNUMBER(Timeline!$I$5:$I$305)*ISNUMBER(Timeline!$J$5:$J$305)*(Timeline!$I$5:$I$305&lt;=U$4+2)*(Timeline!$J$5:$J$305&gt;=U$4+2)),SUMPRODUCT((INDEX(Timeline!$P$5:$AN$305,0,MATCH($A7,Timeline!$P$4:$AN$4,0))="x")*(Timeline!$K$5:$K$305="Task")*ISNUMBER(Timeline!$I$5:$I$305)*ISNUMBER(Timeline!$J$5:$J$305)*(Timeline!$I$5:$I$305&lt;=U$4+3)*(Timeline!$J$5:$J$305&gt;=U$4+3)),SUMPRODUCT((INDEX(Timeline!$P$5:$AN$305,0,MATCH($A7,Timeline!$P$4:$AN$4,0))="x")*(Timeline!$K$5:$K$305="Task")*ISNUMBER(Timeline!$I$5:$I$305)*ISNUMBER(Timeline!$J$5:$J$305)*(Timeline!$I$5:$I$305&lt;=U$4+4)*(Timeline!$J$5:$J$305&gt;=U$4+4)),SUMPRODUCT((INDEX(Timeline!$P$5:$AN$305,0,MATCH($A7,Timeline!$P$4:$AN$4,0))="x")*(Timeline!$K$5:$K$305="Task")*ISNUMBER(Timeline!$I$5:$I$305)*ISNUMBER(Timeline!$J$5:$J$305)*(Timeline!$I$5:$I$305&lt;=U$4+5)*(Timeline!$J$5:$J$305&gt;=U$4+5)),SUMPRODUCT((INDEX(Timeline!$P$5:$AN$305,0,MATCH($A7,Timeline!$P$4:$AN$4,0))="x")*(Timeline!$K$5:$K$305="Task")*ISNUMBER(Timeline!$I$5:$I$305)*ISNUMBER(Timeline!$J$5:$J$305)*(Timeline!$I$5:$I$305&lt;=U$4+6)*(Timeline!$J$5:$J$305&gt;=U$4+6)))</f>
        <v>0</v>
      </c>
      <c r="V7" s="67">
        <f>MAX(SUMPRODUCT((INDEX(Timeline!$P$5:$AN$305,0,MATCH($A7,Timeline!$P$4:$AN$4,0))="x")*(Timeline!$K$5:$K$305="Task")*ISNUMBER(Timeline!$I$5:$I$305)*ISNUMBER(Timeline!$J$5:$J$305)*(Timeline!$I$5:$I$305&lt;=V$4+0)*(Timeline!$J$5:$J$305&gt;=V$4+0)),SUMPRODUCT((INDEX(Timeline!$P$5:$AN$305,0,MATCH($A7,Timeline!$P$4:$AN$4,0))="x")*(Timeline!$K$5:$K$305="Task")*ISNUMBER(Timeline!$I$5:$I$305)*ISNUMBER(Timeline!$J$5:$J$305)*(Timeline!$I$5:$I$305&lt;=V$4+1)*(Timeline!$J$5:$J$305&gt;=V$4+1)),SUMPRODUCT((INDEX(Timeline!$P$5:$AN$305,0,MATCH($A7,Timeline!$P$4:$AN$4,0))="x")*(Timeline!$K$5:$K$305="Task")*ISNUMBER(Timeline!$I$5:$I$305)*ISNUMBER(Timeline!$J$5:$J$305)*(Timeline!$I$5:$I$305&lt;=V$4+2)*(Timeline!$J$5:$J$305&gt;=V$4+2)),SUMPRODUCT((INDEX(Timeline!$P$5:$AN$305,0,MATCH($A7,Timeline!$P$4:$AN$4,0))="x")*(Timeline!$K$5:$K$305="Task")*ISNUMBER(Timeline!$I$5:$I$305)*ISNUMBER(Timeline!$J$5:$J$305)*(Timeline!$I$5:$I$305&lt;=V$4+3)*(Timeline!$J$5:$J$305&gt;=V$4+3)),SUMPRODUCT((INDEX(Timeline!$P$5:$AN$305,0,MATCH($A7,Timeline!$P$4:$AN$4,0))="x")*(Timeline!$K$5:$K$305="Task")*ISNUMBER(Timeline!$I$5:$I$305)*ISNUMBER(Timeline!$J$5:$J$305)*(Timeline!$I$5:$I$305&lt;=V$4+4)*(Timeline!$J$5:$J$305&gt;=V$4+4)),SUMPRODUCT((INDEX(Timeline!$P$5:$AN$305,0,MATCH($A7,Timeline!$P$4:$AN$4,0))="x")*(Timeline!$K$5:$K$305="Task")*ISNUMBER(Timeline!$I$5:$I$305)*ISNUMBER(Timeline!$J$5:$J$305)*(Timeline!$I$5:$I$305&lt;=V$4+5)*(Timeline!$J$5:$J$305&gt;=V$4+5)),SUMPRODUCT((INDEX(Timeline!$P$5:$AN$305,0,MATCH($A7,Timeline!$P$4:$AN$4,0))="x")*(Timeline!$K$5:$K$305="Task")*ISNUMBER(Timeline!$I$5:$I$305)*ISNUMBER(Timeline!$J$5:$J$305)*(Timeline!$I$5:$I$305&lt;=V$4+6)*(Timeline!$J$5:$J$305&gt;=V$4+6)))</f>
        <v>0</v>
      </c>
      <c r="W7" s="67">
        <f>MAX(SUMPRODUCT((INDEX(Timeline!$P$5:$AN$305,0,MATCH($A7,Timeline!$P$4:$AN$4,0))="x")*(Timeline!$K$5:$K$305="Task")*ISNUMBER(Timeline!$I$5:$I$305)*ISNUMBER(Timeline!$J$5:$J$305)*(Timeline!$I$5:$I$305&lt;=W$4+0)*(Timeline!$J$5:$J$305&gt;=W$4+0)),SUMPRODUCT((INDEX(Timeline!$P$5:$AN$305,0,MATCH($A7,Timeline!$P$4:$AN$4,0))="x")*(Timeline!$K$5:$K$305="Task")*ISNUMBER(Timeline!$I$5:$I$305)*ISNUMBER(Timeline!$J$5:$J$305)*(Timeline!$I$5:$I$305&lt;=W$4+1)*(Timeline!$J$5:$J$305&gt;=W$4+1)),SUMPRODUCT((INDEX(Timeline!$P$5:$AN$305,0,MATCH($A7,Timeline!$P$4:$AN$4,0))="x")*(Timeline!$K$5:$K$305="Task")*ISNUMBER(Timeline!$I$5:$I$305)*ISNUMBER(Timeline!$J$5:$J$305)*(Timeline!$I$5:$I$305&lt;=W$4+2)*(Timeline!$J$5:$J$305&gt;=W$4+2)),SUMPRODUCT((INDEX(Timeline!$P$5:$AN$305,0,MATCH($A7,Timeline!$P$4:$AN$4,0))="x")*(Timeline!$K$5:$K$305="Task")*ISNUMBER(Timeline!$I$5:$I$305)*ISNUMBER(Timeline!$J$5:$J$305)*(Timeline!$I$5:$I$305&lt;=W$4+3)*(Timeline!$J$5:$J$305&gt;=W$4+3)),SUMPRODUCT((INDEX(Timeline!$P$5:$AN$305,0,MATCH($A7,Timeline!$P$4:$AN$4,0))="x")*(Timeline!$K$5:$K$305="Task")*ISNUMBER(Timeline!$I$5:$I$305)*ISNUMBER(Timeline!$J$5:$J$305)*(Timeline!$I$5:$I$305&lt;=W$4+4)*(Timeline!$J$5:$J$305&gt;=W$4+4)),SUMPRODUCT((INDEX(Timeline!$P$5:$AN$305,0,MATCH($A7,Timeline!$P$4:$AN$4,0))="x")*(Timeline!$K$5:$K$305="Task")*ISNUMBER(Timeline!$I$5:$I$305)*ISNUMBER(Timeline!$J$5:$J$305)*(Timeline!$I$5:$I$305&lt;=W$4+5)*(Timeline!$J$5:$J$305&gt;=W$4+5)),SUMPRODUCT((INDEX(Timeline!$P$5:$AN$305,0,MATCH($A7,Timeline!$P$4:$AN$4,0))="x")*(Timeline!$K$5:$K$305="Task")*ISNUMBER(Timeline!$I$5:$I$305)*ISNUMBER(Timeline!$J$5:$J$305)*(Timeline!$I$5:$I$305&lt;=W$4+6)*(Timeline!$J$5:$J$305&gt;=W$4+6)))</f>
        <v>0</v>
      </c>
      <c r="X7" s="67">
        <f>MAX(SUMPRODUCT((INDEX(Timeline!$P$5:$AN$305,0,MATCH($A7,Timeline!$P$4:$AN$4,0))="x")*(Timeline!$K$5:$K$305="Task")*ISNUMBER(Timeline!$I$5:$I$305)*ISNUMBER(Timeline!$J$5:$J$305)*(Timeline!$I$5:$I$305&lt;=X$4+0)*(Timeline!$J$5:$J$305&gt;=X$4+0)),SUMPRODUCT((INDEX(Timeline!$P$5:$AN$305,0,MATCH($A7,Timeline!$P$4:$AN$4,0))="x")*(Timeline!$K$5:$K$305="Task")*ISNUMBER(Timeline!$I$5:$I$305)*ISNUMBER(Timeline!$J$5:$J$305)*(Timeline!$I$5:$I$305&lt;=X$4+1)*(Timeline!$J$5:$J$305&gt;=X$4+1)),SUMPRODUCT((INDEX(Timeline!$P$5:$AN$305,0,MATCH($A7,Timeline!$P$4:$AN$4,0))="x")*(Timeline!$K$5:$K$305="Task")*ISNUMBER(Timeline!$I$5:$I$305)*ISNUMBER(Timeline!$J$5:$J$305)*(Timeline!$I$5:$I$305&lt;=X$4+2)*(Timeline!$J$5:$J$305&gt;=X$4+2)),SUMPRODUCT((INDEX(Timeline!$P$5:$AN$305,0,MATCH($A7,Timeline!$P$4:$AN$4,0))="x")*(Timeline!$K$5:$K$305="Task")*ISNUMBER(Timeline!$I$5:$I$305)*ISNUMBER(Timeline!$J$5:$J$305)*(Timeline!$I$5:$I$305&lt;=X$4+3)*(Timeline!$J$5:$J$305&gt;=X$4+3)),SUMPRODUCT((INDEX(Timeline!$P$5:$AN$305,0,MATCH($A7,Timeline!$P$4:$AN$4,0))="x")*(Timeline!$K$5:$K$305="Task")*ISNUMBER(Timeline!$I$5:$I$305)*ISNUMBER(Timeline!$J$5:$J$305)*(Timeline!$I$5:$I$305&lt;=X$4+4)*(Timeline!$J$5:$J$305&gt;=X$4+4)),SUMPRODUCT((INDEX(Timeline!$P$5:$AN$305,0,MATCH($A7,Timeline!$P$4:$AN$4,0))="x")*(Timeline!$K$5:$K$305="Task")*ISNUMBER(Timeline!$I$5:$I$305)*ISNUMBER(Timeline!$J$5:$J$305)*(Timeline!$I$5:$I$305&lt;=X$4+5)*(Timeline!$J$5:$J$305&gt;=X$4+5)),SUMPRODUCT((INDEX(Timeline!$P$5:$AN$305,0,MATCH($A7,Timeline!$P$4:$AN$4,0))="x")*(Timeline!$K$5:$K$305="Task")*ISNUMBER(Timeline!$I$5:$I$305)*ISNUMBER(Timeline!$J$5:$J$305)*(Timeline!$I$5:$I$305&lt;=X$4+6)*(Timeline!$J$5:$J$305&gt;=X$4+6)))</f>
        <v>1</v>
      </c>
      <c r="Y7" s="67">
        <f>MAX(SUMPRODUCT((INDEX(Timeline!$P$5:$AN$305,0,MATCH($A7,Timeline!$P$4:$AN$4,0))="x")*(Timeline!$K$5:$K$305="Task")*ISNUMBER(Timeline!$I$5:$I$305)*ISNUMBER(Timeline!$J$5:$J$305)*(Timeline!$I$5:$I$305&lt;=Y$4+0)*(Timeline!$J$5:$J$305&gt;=Y$4+0)),SUMPRODUCT((INDEX(Timeline!$P$5:$AN$305,0,MATCH($A7,Timeline!$P$4:$AN$4,0))="x")*(Timeline!$K$5:$K$305="Task")*ISNUMBER(Timeline!$I$5:$I$305)*ISNUMBER(Timeline!$J$5:$J$305)*(Timeline!$I$5:$I$305&lt;=Y$4+1)*(Timeline!$J$5:$J$305&gt;=Y$4+1)),SUMPRODUCT((INDEX(Timeline!$P$5:$AN$305,0,MATCH($A7,Timeline!$P$4:$AN$4,0))="x")*(Timeline!$K$5:$K$305="Task")*ISNUMBER(Timeline!$I$5:$I$305)*ISNUMBER(Timeline!$J$5:$J$305)*(Timeline!$I$5:$I$305&lt;=Y$4+2)*(Timeline!$J$5:$J$305&gt;=Y$4+2)),SUMPRODUCT((INDEX(Timeline!$P$5:$AN$305,0,MATCH($A7,Timeline!$P$4:$AN$4,0))="x")*(Timeline!$K$5:$K$305="Task")*ISNUMBER(Timeline!$I$5:$I$305)*ISNUMBER(Timeline!$J$5:$J$305)*(Timeline!$I$5:$I$305&lt;=Y$4+3)*(Timeline!$J$5:$J$305&gt;=Y$4+3)),SUMPRODUCT((INDEX(Timeline!$P$5:$AN$305,0,MATCH($A7,Timeline!$P$4:$AN$4,0))="x")*(Timeline!$K$5:$K$305="Task")*ISNUMBER(Timeline!$I$5:$I$305)*ISNUMBER(Timeline!$J$5:$J$305)*(Timeline!$I$5:$I$305&lt;=Y$4+4)*(Timeline!$J$5:$J$305&gt;=Y$4+4)),SUMPRODUCT((INDEX(Timeline!$P$5:$AN$305,0,MATCH($A7,Timeline!$P$4:$AN$4,0))="x")*(Timeline!$K$5:$K$305="Task")*ISNUMBER(Timeline!$I$5:$I$305)*ISNUMBER(Timeline!$J$5:$J$305)*(Timeline!$I$5:$I$305&lt;=Y$4+5)*(Timeline!$J$5:$J$305&gt;=Y$4+5)),SUMPRODUCT((INDEX(Timeline!$P$5:$AN$305,0,MATCH($A7,Timeline!$P$4:$AN$4,0))="x")*(Timeline!$K$5:$K$305="Task")*ISNUMBER(Timeline!$I$5:$I$305)*ISNUMBER(Timeline!$J$5:$J$305)*(Timeline!$I$5:$I$305&lt;=Y$4+6)*(Timeline!$J$5:$J$305&gt;=Y$4+6)))</f>
        <v>1</v>
      </c>
      <c r="Z7" s="67">
        <f>MAX(SUMPRODUCT((INDEX(Timeline!$P$5:$AN$305,0,MATCH($A7,Timeline!$P$4:$AN$4,0))="x")*(Timeline!$K$5:$K$305="Task")*ISNUMBER(Timeline!$I$5:$I$305)*ISNUMBER(Timeline!$J$5:$J$305)*(Timeline!$I$5:$I$305&lt;=Z$4+0)*(Timeline!$J$5:$J$305&gt;=Z$4+0)),SUMPRODUCT((INDEX(Timeline!$P$5:$AN$305,0,MATCH($A7,Timeline!$P$4:$AN$4,0))="x")*(Timeline!$K$5:$K$305="Task")*ISNUMBER(Timeline!$I$5:$I$305)*ISNUMBER(Timeline!$J$5:$J$305)*(Timeline!$I$5:$I$305&lt;=Z$4+1)*(Timeline!$J$5:$J$305&gt;=Z$4+1)),SUMPRODUCT((INDEX(Timeline!$P$5:$AN$305,0,MATCH($A7,Timeline!$P$4:$AN$4,0))="x")*(Timeline!$K$5:$K$305="Task")*ISNUMBER(Timeline!$I$5:$I$305)*ISNUMBER(Timeline!$J$5:$J$305)*(Timeline!$I$5:$I$305&lt;=Z$4+2)*(Timeline!$J$5:$J$305&gt;=Z$4+2)),SUMPRODUCT((INDEX(Timeline!$P$5:$AN$305,0,MATCH($A7,Timeline!$P$4:$AN$4,0))="x")*(Timeline!$K$5:$K$305="Task")*ISNUMBER(Timeline!$I$5:$I$305)*ISNUMBER(Timeline!$J$5:$J$305)*(Timeline!$I$5:$I$305&lt;=Z$4+3)*(Timeline!$J$5:$J$305&gt;=Z$4+3)),SUMPRODUCT((INDEX(Timeline!$P$5:$AN$305,0,MATCH($A7,Timeline!$P$4:$AN$4,0))="x")*(Timeline!$K$5:$K$305="Task")*ISNUMBER(Timeline!$I$5:$I$305)*ISNUMBER(Timeline!$J$5:$J$305)*(Timeline!$I$5:$I$305&lt;=Z$4+4)*(Timeline!$J$5:$J$305&gt;=Z$4+4)),SUMPRODUCT((INDEX(Timeline!$P$5:$AN$305,0,MATCH($A7,Timeline!$P$4:$AN$4,0))="x")*(Timeline!$K$5:$K$305="Task")*ISNUMBER(Timeline!$I$5:$I$305)*ISNUMBER(Timeline!$J$5:$J$305)*(Timeline!$I$5:$I$305&lt;=Z$4+5)*(Timeline!$J$5:$J$305&gt;=Z$4+5)),SUMPRODUCT((INDEX(Timeline!$P$5:$AN$305,0,MATCH($A7,Timeline!$P$4:$AN$4,0))="x")*(Timeline!$K$5:$K$305="Task")*ISNUMBER(Timeline!$I$5:$I$305)*ISNUMBER(Timeline!$J$5:$J$305)*(Timeline!$I$5:$I$305&lt;=Z$4+6)*(Timeline!$J$5:$J$305&gt;=Z$4+6)))</f>
        <v>1</v>
      </c>
      <c r="AA7" s="67">
        <f>MAX(SUMPRODUCT((INDEX(Timeline!$P$5:$AN$305,0,MATCH($A7,Timeline!$P$4:$AN$4,0))="x")*(Timeline!$K$5:$K$305="Task")*ISNUMBER(Timeline!$I$5:$I$305)*ISNUMBER(Timeline!$J$5:$J$305)*(Timeline!$I$5:$I$305&lt;=AA$4+0)*(Timeline!$J$5:$J$305&gt;=AA$4+0)),SUMPRODUCT((INDEX(Timeline!$P$5:$AN$305,0,MATCH($A7,Timeline!$P$4:$AN$4,0))="x")*(Timeline!$K$5:$K$305="Task")*ISNUMBER(Timeline!$I$5:$I$305)*ISNUMBER(Timeline!$J$5:$J$305)*(Timeline!$I$5:$I$305&lt;=AA$4+1)*(Timeline!$J$5:$J$305&gt;=AA$4+1)),SUMPRODUCT((INDEX(Timeline!$P$5:$AN$305,0,MATCH($A7,Timeline!$P$4:$AN$4,0))="x")*(Timeline!$K$5:$K$305="Task")*ISNUMBER(Timeline!$I$5:$I$305)*ISNUMBER(Timeline!$J$5:$J$305)*(Timeline!$I$5:$I$305&lt;=AA$4+2)*(Timeline!$J$5:$J$305&gt;=AA$4+2)),SUMPRODUCT((INDEX(Timeline!$P$5:$AN$305,0,MATCH($A7,Timeline!$P$4:$AN$4,0))="x")*(Timeline!$K$5:$K$305="Task")*ISNUMBER(Timeline!$I$5:$I$305)*ISNUMBER(Timeline!$J$5:$J$305)*(Timeline!$I$5:$I$305&lt;=AA$4+3)*(Timeline!$J$5:$J$305&gt;=AA$4+3)),SUMPRODUCT((INDEX(Timeline!$P$5:$AN$305,0,MATCH($A7,Timeline!$P$4:$AN$4,0))="x")*(Timeline!$K$5:$K$305="Task")*ISNUMBER(Timeline!$I$5:$I$305)*ISNUMBER(Timeline!$J$5:$J$305)*(Timeline!$I$5:$I$305&lt;=AA$4+4)*(Timeline!$J$5:$J$305&gt;=AA$4+4)),SUMPRODUCT((INDEX(Timeline!$P$5:$AN$305,0,MATCH($A7,Timeline!$P$4:$AN$4,0))="x")*(Timeline!$K$5:$K$305="Task")*ISNUMBER(Timeline!$I$5:$I$305)*ISNUMBER(Timeline!$J$5:$J$305)*(Timeline!$I$5:$I$305&lt;=AA$4+5)*(Timeline!$J$5:$J$305&gt;=AA$4+5)),SUMPRODUCT((INDEX(Timeline!$P$5:$AN$305,0,MATCH($A7,Timeline!$P$4:$AN$4,0))="x")*(Timeline!$K$5:$K$305="Task")*ISNUMBER(Timeline!$I$5:$I$305)*ISNUMBER(Timeline!$J$5:$J$305)*(Timeline!$I$5:$I$305&lt;=AA$4+6)*(Timeline!$J$5:$J$305&gt;=AA$4+6)))</f>
        <v>1</v>
      </c>
      <c r="AB7" s="67">
        <f>MAX(SUMPRODUCT((INDEX(Timeline!$P$5:$AN$305,0,MATCH($A7,Timeline!$P$4:$AN$4,0))="x")*(Timeline!$K$5:$K$305="Task")*ISNUMBER(Timeline!$I$5:$I$305)*ISNUMBER(Timeline!$J$5:$J$305)*(Timeline!$I$5:$I$305&lt;=AB$4+0)*(Timeline!$J$5:$J$305&gt;=AB$4+0)),SUMPRODUCT((INDEX(Timeline!$P$5:$AN$305,0,MATCH($A7,Timeline!$P$4:$AN$4,0))="x")*(Timeline!$K$5:$K$305="Task")*ISNUMBER(Timeline!$I$5:$I$305)*ISNUMBER(Timeline!$J$5:$J$305)*(Timeline!$I$5:$I$305&lt;=AB$4+1)*(Timeline!$J$5:$J$305&gt;=AB$4+1)),SUMPRODUCT((INDEX(Timeline!$P$5:$AN$305,0,MATCH($A7,Timeline!$P$4:$AN$4,0))="x")*(Timeline!$K$5:$K$305="Task")*ISNUMBER(Timeline!$I$5:$I$305)*ISNUMBER(Timeline!$J$5:$J$305)*(Timeline!$I$5:$I$305&lt;=AB$4+2)*(Timeline!$J$5:$J$305&gt;=AB$4+2)),SUMPRODUCT((INDEX(Timeline!$P$5:$AN$305,0,MATCH($A7,Timeline!$P$4:$AN$4,0))="x")*(Timeline!$K$5:$K$305="Task")*ISNUMBER(Timeline!$I$5:$I$305)*ISNUMBER(Timeline!$J$5:$J$305)*(Timeline!$I$5:$I$305&lt;=AB$4+3)*(Timeline!$J$5:$J$305&gt;=AB$4+3)),SUMPRODUCT((INDEX(Timeline!$P$5:$AN$305,0,MATCH($A7,Timeline!$P$4:$AN$4,0))="x")*(Timeline!$K$5:$K$305="Task")*ISNUMBER(Timeline!$I$5:$I$305)*ISNUMBER(Timeline!$J$5:$J$305)*(Timeline!$I$5:$I$305&lt;=AB$4+4)*(Timeline!$J$5:$J$305&gt;=AB$4+4)),SUMPRODUCT((INDEX(Timeline!$P$5:$AN$305,0,MATCH($A7,Timeline!$P$4:$AN$4,0))="x")*(Timeline!$K$5:$K$305="Task")*ISNUMBER(Timeline!$I$5:$I$305)*ISNUMBER(Timeline!$J$5:$J$305)*(Timeline!$I$5:$I$305&lt;=AB$4+5)*(Timeline!$J$5:$J$305&gt;=AB$4+5)),SUMPRODUCT((INDEX(Timeline!$P$5:$AN$305,0,MATCH($A7,Timeline!$P$4:$AN$4,0))="x")*(Timeline!$K$5:$K$305="Task")*ISNUMBER(Timeline!$I$5:$I$305)*ISNUMBER(Timeline!$J$5:$J$305)*(Timeline!$I$5:$I$305&lt;=AB$4+6)*(Timeline!$J$5:$J$305&gt;=AB$4+6)))</f>
        <v>1</v>
      </c>
      <c r="AC7" s="67">
        <f>MAX(SUMPRODUCT((INDEX(Timeline!$P$5:$AN$305,0,MATCH($A7,Timeline!$P$4:$AN$4,0))="x")*(Timeline!$K$5:$K$305="Task")*ISNUMBER(Timeline!$I$5:$I$305)*ISNUMBER(Timeline!$J$5:$J$305)*(Timeline!$I$5:$I$305&lt;=AC$4+0)*(Timeline!$J$5:$J$305&gt;=AC$4+0)),SUMPRODUCT((INDEX(Timeline!$P$5:$AN$305,0,MATCH($A7,Timeline!$P$4:$AN$4,0))="x")*(Timeline!$K$5:$K$305="Task")*ISNUMBER(Timeline!$I$5:$I$305)*ISNUMBER(Timeline!$J$5:$J$305)*(Timeline!$I$5:$I$305&lt;=AC$4+1)*(Timeline!$J$5:$J$305&gt;=AC$4+1)),SUMPRODUCT((INDEX(Timeline!$P$5:$AN$305,0,MATCH($A7,Timeline!$P$4:$AN$4,0))="x")*(Timeline!$K$5:$K$305="Task")*ISNUMBER(Timeline!$I$5:$I$305)*ISNUMBER(Timeline!$J$5:$J$305)*(Timeline!$I$5:$I$305&lt;=AC$4+2)*(Timeline!$J$5:$J$305&gt;=AC$4+2)),SUMPRODUCT((INDEX(Timeline!$P$5:$AN$305,0,MATCH($A7,Timeline!$P$4:$AN$4,0))="x")*(Timeline!$K$5:$K$305="Task")*ISNUMBER(Timeline!$I$5:$I$305)*ISNUMBER(Timeline!$J$5:$J$305)*(Timeline!$I$5:$I$305&lt;=AC$4+3)*(Timeline!$J$5:$J$305&gt;=AC$4+3)),SUMPRODUCT((INDEX(Timeline!$P$5:$AN$305,0,MATCH($A7,Timeline!$P$4:$AN$4,0))="x")*(Timeline!$K$5:$K$305="Task")*ISNUMBER(Timeline!$I$5:$I$305)*ISNUMBER(Timeline!$J$5:$J$305)*(Timeline!$I$5:$I$305&lt;=AC$4+4)*(Timeline!$J$5:$J$305&gt;=AC$4+4)),SUMPRODUCT((INDEX(Timeline!$P$5:$AN$305,0,MATCH($A7,Timeline!$P$4:$AN$4,0))="x")*(Timeline!$K$5:$K$305="Task")*ISNUMBER(Timeline!$I$5:$I$305)*ISNUMBER(Timeline!$J$5:$J$305)*(Timeline!$I$5:$I$305&lt;=AC$4+5)*(Timeline!$J$5:$J$305&gt;=AC$4+5)),SUMPRODUCT((INDEX(Timeline!$P$5:$AN$305,0,MATCH($A7,Timeline!$P$4:$AN$4,0))="x")*(Timeline!$K$5:$K$305="Task")*ISNUMBER(Timeline!$I$5:$I$305)*ISNUMBER(Timeline!$J$5:$J$305)*(Timeline!$I$5:$I$305&lt;=AC$4+6)*(Timeline!$J$5:$J$305&gt;=AC$4+6)))</f>
        <v>1</v>
      </c>
      <c r="AD7" s="67">
        <f>MAX(SUMPRODUCT((INDEX(Timeline!$P$5:$AN$305,0,MATCH($A7,Timeline!$P$4:$AN$4,0))="x")*(Timeline!$K$5:$K$305="Task")*ISNUMBER(Timeline!$I$5:$I$305)*ISNUMBER(Timeline!$J$5:$J$305)*(Timeline!$I$5:$I$305&lt;=AD$4+0)*(Timeline!$J$5:$J$305&gt;=AD$4+0)),SUMPRODUCT((INDEX(Timeline!$P$5:$AN$305,0,MATCH($A7,Timeline!$P$4:$AN$4,0))="x")*(Timeline!$K$5:$K$305="Task")*ISNUMBER(Timeline!$I$5:$I$305)*ISNUMBER(Timeline!$J$5:$J$305)*(Timeline!$I$5:$I$305&lt;=AD$4+1)*(Timeline!$J$5:$J$305&gt;=AD$4+1)),SUMPRODUCT((INDEX(Timeline!$P$5:$AN$305,0,MATCH($A7,Timeline!$P$4:$AN$4,0))="x")*(Timeline!$K$5:$K$305="Task")*ISNUMBER(Timeline!$I$5:$I$305)*ISNUMBER(Timeline!$J$5:$J$305)*(Timeline!$I$5:$I$305&lt;=AD$4+2)*(Timeline!$J$5:$J$305&gt;=AD$4+2)),SUMPRODUCT((INDEX(Timeline!$P$5:$AN$305,0,MATCH($A7,Timeline!$P$4:$AN$4,0))="x")*(Timeline!$K$5:$K$305="Task")*ISNUMBER(Timeline!$I$5:$I$305)*ISNUMBER(Timeline!$J$5:$J$305)*(Timeline!$I$5:$I$305&lt;=AD$4+3)*(Timeline!$J$5:$J$305&gt;=AD$4+3)),SUMPRODUCT((INDEX(Timeline!$P$5:$AN$305,0,MATCH($A7,Timeline!$P$4:$AN$4,0))="x")*(Timeline!$K$5:$K$305="Task")*ISNUMBER(Timeline!$I$5:$I$305)*ISNUMBER(Timeline!$J$5:$J$305)*(Timeline!$I$5:$I$305&lt;=AD$4+4)*(Timeline!$J$5:$J$305&gt;=AD$4+4)),SUMPRODUCT((INDEX(Timeline!$P$5:$AN$305,0,MATCH($A7,Timeline!$P$4:$AN$4,0))="x")*(Timeline!$K$5:$K$305="Task")*ISNUMBER(Timeline!$I$5:$I$305)*ISNUMBER(Timeline!$J$5:$J$305)*(Timeline!$I$5:$I$305&lt;=AD$4+5)*(Timeline!$J$5:$J$305&gt;=AD$4+5)),SUMPRODUCT((INDEX(Timeline!$P$5:$AN$305,0,MATCH($A7,Timeline!$P$4:$AN$4,0))="x")*(Timeline!$K$5:$K$305="Task")*ISNUMBER(Timeline!$I$5:$I$305)*ISNUMBER(Timeline!$J$5:$J$305)*(Timeline!$I$5:$I$305&lt;=AD$4+6)*(Timeline!$J$5:$J$305&gt;=AD$4+6)))</f>
        <v>0</v>
      </c>
      <c r="AE7" s="67">
        <f>MAX(SUMPRODUCT((INDEX(Timeline!$P$5:$AN$305,0,MATCH($A7,Timeline!$P$4:$AN$4,0))="x")*(Timeline!$K$5:$K$305="Task")*ISNUMBER(Timeline!$I$5:$I$305)*ISNUMBER(Timeline!$J$5:$J$305)*(Timeline!$I$5:$I$305&lt;=AE$4+0)*(Timeline!$J$5:$J$305&gt;=AE$4+0)),SUMPRODUCT((INDEX(Timeline!$P$5:$AN$305,0,MATCH($A7,Timeline!$P$4:$AN$4,0))="x")*(Timeline!$K$5:$K$305="Task")*ISNUMBER(Timeline!$I$5:$I$305)*ISNUMBER(Timeline!$J$5:$J$305)*(Timeline!$I$5:$I$305&lt;=AE$4+1)*(Timeline!$J$5:$J$305&gt;=AE$4+1)),SUMPRODUCT((INDEX(Timeline!$P$5:$AN$305,0,MATCH($A7,Timeline!$P$4:$AN$4,0))="x")*(Timeline!$K$5:$K$305="Task")*ISNUMBER(Timeline!$I$5:$I$305)*ISNUMBER(Timeline!$J$5:$J$305)*(Timeline!$I$5:$I$305&lt;=AE$4+2)*(Timeline!$J$5:$J$305&gt;=AE$4+2)),SUMPRODUCT((INDEX(Timeline!$P$5:$AN$305,0,MATCH($A7,Timeline!$P$4:$AN$4,0))="x")*(Timeline!$K$5:$K$305="Task")*ISNUMBER(Timeline!$I$5:$I$305)*ISNUMBER(Timeline!$J$5:$J$305)*(Timeline!$I$5:$I$305&lt;=AE$4+3)*(Timeline!$J$5:$J$305&gt;=AE$4+3)),SUMPRODUCT((INDEX(Timeline!$P$5:$AN$305,0,MATCH($A7,Timeline!$P$4:$AN$4,0))="x")*(Timeline!$K$5:$K$305="Task")*ISNUMBER(Timeline!$I$5:$I$305)*ISNUMBER(Timeline!$J$5:$J$305)*(Timeline!$I$5:$I$305&lt;=AE$4+4)*(Timeline!$J$5:$J$305&gt;=AE$4+4)),SUMPRODUCT((INDEX(Timeline!$P$5:$AN$305,0,MATCH($A7,Timeline!$P$4:$AN$4,0))="x")*(Timeline!$K$5:$K$305="Task")*ISNUMBER(Timeline!$I$5:$I$305)*ISNUMBER(Timeline!$J$5:$J$305)*(Timeline!$I$5:$I$305&lt;=AE$4+5)*(Timeline!$J$5:$J$305&gt;=AE$4+5)),SUMPRODUCT((INDEX(Timeline!$P$5:$AN$305,0,MATCH($A7,Timeline!$P$4:$AN$4,0))="x")*(Timeline!$K$5:$K$305="Task")*ISNUMBER(Timeline!$I$5:$I$305)*ISNUMBER(Timeline!$J$5:$J$305)*(Timeline!$I$5:$I$305&lt;=AE$4+6)*(Timeline!$J$5:$J$305&gt;=AE$4+6)))</f>
        <v>0</v>
      </c>
      <c r="AF7" s="67">
        <f>MAX(SUMPRODUCT((INDEX(Timeline!$P$5:$AN$305,0,MATCH($A7,Timeline!$P$4:$AN$4,0))="x")*(Timeline!$K$5:$K$305="Task")*ISNUMBER(Timeline!$I$5:$I$305)*ISNUMBER(Timeline!$J$5:$J$305)*(Timeline!$I$5:$I$305&lt;=AF$4+0)*(Timeline!$J$5:$J$305&gt;=AF$4+0)),SUMPRODUCT((INDEX(Timeline!$P$5:$AN$305,0,MATCH($A7,Timeline!$P$4:$AN$4,0))="x")*(Timeline!$K$5:$K$305="Task")*ISNUMBER(Timeline!$I$5:$I$305)*ISNUMBER(Timeline!$J$5:$J$305)*(Timeline!$I$5:$I$305&lt;=AF$4+1)*(Timeline!$J$5:$J$305&gt;=AF$4+1)),SUMPRODUCT((INDEX(Timeline!$P$5:$AN$305,0,MATCH($A7,Timeline!$P$4:$AN$4,0))="x")*(Timeline!$K$5:$K$305="Task")*ISNUMBER(Timeline!$I$5:$I$305)*ISNUMBER(Timeline!$J$5:$J$305)*(Timeline!$I$5:$I$305&lt;=AF$4+2)*(Timeline!$J$5:$J$305&gt;=AF$4+2)),SUMPRODUCT((INDEX(Timeline!$P$5:$AN$305,0,MATCH($A7,Timeline!$P$4:$AN$4,0))="x")*(Timeline!$K$5:$K$305="Task")*ISNUMBER(Timeline!$I$5:$I$305)*ISNUMBER(Timeline!$J$5:$J$305)*(Timeline!$I$5:$I$305&lt;=AF$4+3)*(Timeline!$J$5:$J$305&gt;=AF$4+3)),SUMPRODUCT((INDEX(Timeline!$P$5:$AN$305,0,MATCH($A7,Timeline!$P$4:$AN$4,0))="x")*(Timeline!$K$5:$K$305="Task")*ISNUMBER(Timeline!$I$5:$I$305)*ISNUMBER(Timeline!$J$5:$J$305)*(Timeline!$I$5:$I$305&lt;=AF$4+4)*(Timeline!$J$5:$J$305&gt;=AF$4+4)),SUMPRODUCT((INDEX(Timeline!$P$5:$AN$305,0,MATCH($A7,Timeline!$P$4:$AN$4,0))="x")*(Timeline!$K$5:$K$305="Task")*ISNUMBER(Timeline!$I$5:$I$305)*ISNUMBER(Timeline!$J$5:$J$305)*(Timeline!$I$5:$I$305&lt;=AF$4+5)*(Timeline!$J$5:$J$305&gt;=AF$4+5)),SUMPRODUCT((INDEX(Timeline!$P$5:$AN$305,0,MATCH($A7,Timeline!$P$4:$AN$4,0))="x")*(Timeline!$K$5:$K$305="Task")*ISNUMBER(Timeline!$I$5:$I$305)*ISNUMBER(Timeline!$J$5:$J$305)*(Timeline!$I$5:$I$305&lt;=AF$4+6)*(Timeline!$J$5:$J$305&gt;=AF$4+6)))</f>
        <v>0</v>
      </c>
      <c r="AG7" s="67">
        <f>MAX(SUMPRODUCT((INDEX(Timeline!$P$5:$AN$305,0,MATCH($A7,Timeline!$P$4:$AN$4,0))="x")*(Timeline!$K$5:$K$305="Task")*ISNUMBER(Timeline!$I$5:$I$305)*ISNUMBER(Timeline!$J$5:$J$305)*(Timeline!$I$5:$I$305&lt;=AG$4+0)*(Timeline!$J$5:$J$305&gt;=AG$4+0)),SUMPRODUCT((INDEX(Timeline!$P$5:$AN$305,0,MATCH($A7,Timeline!$P$4:$AN$4,0))="x")*(Timeline!$K$5:$K$305="Task")*ISNUMBER(Timeline!$I$5:$I$305)*ISNUMBER(Timeline!$J$5:$J$305)*(Timeline!$I$5:$I$305&lt;=AG$4+1)*(Timeline!$J$5:$J$305&gt;=AG$4+1)),SUMPRODUCT((INDEX(Timeline!$P$5:$AN$305,0,MATCH($A7,Timeline!$P$4:$AN$4,0))="x")*(Timeline!$K$5:$K$305="Task")*ISNUMBER(Timeline!$I$5:$I$305)*ISNUMBER(Timeline!$J$5:$J$305)*(Timeline!$I$5:$I$305&lt;=AG$4+2)*(Timeline!$J$5:$J$305&gt;=AG$4+2)),SUMPRODUCT((INDEX(Timeline!$P$5:$AN$305,0,MATCH($A7,Timeline!$P$4:$AN$4,0))="x")*(Timeline!$K$5:$K$305="Task")*ISNUMBER(Timeline!$I$5:$I$305)*ISNUMBER(Timeline!$J$5:$J$305)*(Timeline!$I$5:$I$305&lt;=AG$4+3)*(Timeline!$J$5:$J$305&gt;=AG$4+3)),SUMPRODUCT((INDEX(Timeline!$P$5:$AN$305,0,MATCH($A7,Timeline!$P$4:$AN$4,0))="x")*(Timeline!$K$5:$K$305="Task")*ISNUMBER(Timeline!$I$5:$I$305)*ISNUMBER(Timeline!$J$5:$J$305)*(Timeline!$I$5:$I$305&lt;=AG$4+4)*(Timeline!$J$5:$J$305&gt;=AG$4+4)),SUMPRODUCT((INDEX(Timeline!$P$5:$AN$305,0,MATCH($A7,Timeline!$P$4:$AN$4,0))="x")*(Timeline!$K$5:$K$305="Task")*ISNUMBER(Timeline!$I$5:$I$305)*ISNUMBER(Timeline!$J$5:$J$305)*(Timeline!$I$5:$I$305&lt;=AG$4+5)*(Timeline!$J$5:$J$305&gt;=AG$4+5)),SUMPRODUCT((INDEX(Timeline!$P$5:$AN$305,0,MATCH($A7,Timeline!$P$4:$AN$4,0))="x")*(Timeline!$K$5:$K$305="Task")*ISNUMBER(Timeline!$I$5:$I$305)*ISNUMBER(Timeline!$J$5:$J$305)*(Timeline!$I$5:$I$305&lt;=AG$4+6)*(Timeline!$J$5:$J$305&gt;=AG$4+6)))</f>
        <v>0</v>
      </c>
      <c r="AH7" s="67">
        <f>MAX(SUMPRODUCT((INDEX(Timeline!$P$5:$AN$305,0,MATCH($A7,Timeline!$P$4:$AN$4,0))="x")*(Timeline!$K$5:$K$305="Task")*ISNUMBER(Timeline!$I$5:$I$305)*ISNUMBER(Timeline!$J$5:$J$305)*(Timeline!$I$5:$I$305&lt;=AH$4+0)*(Timeline!$J$5:$J$305&gt;=AH$4+0)),SUMPRODUCT((INDEX(Timeline!$P$5:$AN$305,0,MATCH($A7,Timeline!$P$4:$AN$4,0))="x")*(Timeline!$K$5:$K$305="Task")*ISNUMBER(Timeline!$I$5:$I$305)*ISNUMBER(Timeline!$J$5:$J$305)*(Timeline!$I$5:$I$305&lt;=AH$4+1)*(Timeline!$J$5:$J$305&gt;=AH$4+1)),SUMPRODUCT((INDEX(Timeline!$P$5:$AN$305,0,MATCH($A7,Timeline!$P$4:$AN$4,0))="x")*(Timeline!$K$5:$K$305="Task")*ISNUMBER(Timeline!$I$5:$I$305)*ISNUMBER(Timeline!$J$5:$J$305)*(Timeline!$I$5:$I$305&lt;=AH$4+2)*(Timeline!$J$5:$J$305&gt;=AH$4+2)),SUMPRODUCT((INDEX(Timeline!$P$5:$AN$305,0,MATCH($A7,Timeline!$P$4:$AN$4,0))="x")*(Timeline!$K$5:$K$305="Task")*ISNUMBER(Timeline!$I$5:$I$305)*ISNUMBER(Timeline!$J$5:$J$305)*(Timeline!$I$5:$I$305&lt;=AH$4+3)*(Timeline!$J$5:$J$305&gt;=AH$4+3)),SUMPRODUCT((INDEX(Timeline!$P$5:$AN$305,0,MATCH($A7,Timeline!$P$4:$AN$4,0))="x")*(Timeline!$K$5:$K$305="Task")*ISNUMBER(Timeline!$I$5:$I$305)*ISNUMBER(Timeline!$J$5:$J$305)*(Timeline!$I$5:$I$305&lt;=AH$4+4)*(Timeline!$J$5:$J$305&gt;=AH$4+4)),SUMPRODUCT((INDEX(Timeline!$P$5:$AN$305,0,MATCH($A7,Timeline!$P$4:$AN$4,0))="x")*(Timeline!$K$5:$K$305="Task")*ISNUMBER(Timeline!$I$5:$I$305)*ISNUMBER(Timeline!$J$5:$J$305)*(Timeline!$I$5:$I$305&lt;=AH$4+5)*(Timeline!$J$5:$J$305&gt;=AH$4+5)),SUMPRODUCT((INDEX(Timeline!$P$5:$AN$305,0,MATCH($A7,Timeline!$P$4:$AN$4,0))="x")*(Timeline!$K$5:$K$305="Task")*ISNUMBER(Timeline!$I$5:$I$305)*ISNUMBER(Timeline!$J$5:$J$305)*(Timeline!$I$5:$I$305&lt;=AH$4+6)*(Timeline!$J$5:$J$305&gt;=AH$4+6)))</f>
        <v>0</v>
      </c>
      <c r="AI7" s="67">
        <f>MAX(SUMPRODUCT((INDEX(Timeline!$P$5:$AN$305,0,MATCH($A7,Timeline!$P$4:$AN$4,0))="x")*(Timeline!$K$5:$K$305="Task")*ISNUMBER(Timeline!$I$5:$I$305)*ISNUMBER(Timeline!$J$5:$J$305)*(Timeline!$I$5:$I$305&lt;=AI$4+0)*(Timeline!$J$5:$J$305&gt;=AI$4+0)),SUMPRODUCT((INDEX(Timeline!$P$5:$AN$305,0,MATCH($A7,Timeline!$P$4:$AN$4,0))="x")*(Timeline!$K$5:$K$305="Task")*ISNUMBER(Timeline!$I$5:$I$305)*ISNUMBER(Timeline!$J$5:$J$305)*(Timeline!$I$5:$I$305&lt;=AI$4+1)*(Timeline!$J$5:$J$305&gt;=AI$4+1)),SUMPRODUCT((INDEX(Timeline!$P$5:$AN$305,0,MATCH($A7,Timeline!$P$4:$AN$4,0))="x")*(Timeline!$K$5:$K$305="Task")*ISNUMBER(Timeline!$I$5:$I$305)*ISNUMBER(Timeline!$J$5:$J$305)*(Timeline!$I$5:$I$305&lt;=AI$4+2)*(Timeline!$J$5:$J$305&gt;=AI$4+2)),SUMPRODUCT((INDEX(Timeline!$P$5:$AN$305,0,MATCH($A7,Timeline!$P$4:$AN$4,0))="x")*(Timeline!$K$5:$K$305="Task")*ISNUMBER(Timeline!$I$5:$I$305)*ISNUMBER(Timeline!$J$5:$J$305)*(Timeline!$I$5:$I$305&lt;=AI$4+3)*(Timeline!$J$5:$J$305&gt;=AI$4+3)),SUMPRODUCT((INDEX(Timeline!$P$5:$AN$305,0,MATCH($A7,Timeline!$P$4:$AN$4,0))="x")*(Timeline!$K$5:$K$305="Task")*ISNUMBER(Timeline!$I$5:$I$305)*ISNUMBER(Timeline!$J$5:$J$305)*(Timeline!$I$5:$I$305&lt;=AI$4+4)*(Timeline!$J$5:$J$305&gt;=AI$4+4)),SUMPRODUCT((INDEX(Timeline!$P$5:$AN$305,0,MATCH($A7,Timeline!$P$4:$AN$4,0))="x")*(Timeline!$K$5:$K$305="Task")*ISNUMBER(Timeline!$I$5:$I$305)*ISNUMBER(Timeline!$J$5:$J$305)*(Timeline!$I$5:$I$305&lt;=AI$4+5)*(Timeline!$J$5:$J$305&gt;=AI$4+5)),SUMPRODUCT((INDEX(Timeline!$P$5:$AN$305,0,MATCH($A7,Timeline!$P$4:$AN$4,0))="x")*(Timeline!$K$5:$K$305="Task")*ISNUMBER(Timeline!$I$5:$I$305)*ISNUMBER(Timeline!$J$5:$J$305)*(Timeline!$I$5:$I$305&lt;=AI$4+6)*(Timeline!$J$5:$J$305&gt;=AI$4+6)))</f>
        <v>0</v>
      </c>
      <c r="AJ7" s="67">
        <f>MAX(SUMPRODUCT((INDEX(Timeline!$P$5:$AN$305,0,MATCH($A7,Timeline!$P$4:$AN$4,0))="x")*(Timeline!$K$5:$K$305="Task")*ISNUMBER(Timeline!$I$5:$I$305)*ISNUMBER(Timeline!$J$5:$J$305)*(Timeline!$I$5:$I$305&lt;=AJ$4+0)*(Timeline!$J$5:$J$305&gt;=AJ$4+0)),SUMPRODUCT((INDEX(Timeline!$P$5:$AN$305,0,MATCH($A7,Timeline!$P$4:$AN$4,0))="x")*(Timeline!$K$5:$K$305="Task")*ISNUMBER(Timeline!$I$5:$I$305)*ISNUMBER(Timeline!$J$5:$J$305)*(Timeline!$I$5:$I$305&lt;=AJ$4+1)*(Timeline!$J$5:$J$305&gt;=AJ$4+1)),SUMPRODUCT((INDEX(Timeline!$P$5:$AN$305,0,MATCH($A7,Timeline!$P$4:$AN$4,0))="x")*(Timeline!$K$5:$K$305="Task")*ISNUMBER(Timeline!$I$5:$I$305)*ISNUMBER(Timeline!$J$5:$J$305)*(Timeline!$I$5:$I$305&lt;=AJ$4+2)*(Timeline!$J$5:$J$305&gt;=AJ$4+2)),SUMPRODUCT((INDEX(Timeline!$P$5:$AN$305,0,MATCH($A7,Timeline!$P$4:$AN$4,0))="x")*(Timeline!$K$5:$K$305="Task")*ISNUMBER(Timeline!$I$5:$I$305)*ISNUMBER(Timeline!$J$5:$J$305)*(Timeline!$I$5:$I$305&lt;=AJ$4+3)*(Timeline!$J$5:$J$305&gt;=AJ$4+3)),SUMPRODUCT((INDEX(Timeline!$P$5:$AN$305,0,MATCH($A7,Timeline!$P$4:$AN$4,0))="x")*(Timeline!$K$5:$K$305="Task")*ISNUMBER(Timeline!$I$5:$I$305)*ISNUMBER(Timeline!$J$5:$J$305)*(Timeline!$I$5:$I$305&lt;=AJ$4+4)*(Timeline!$J$5:$J$305&gt;=AJ$4+4)),SUMPRODUCT((INDEX(Timeline!$P$5:$AN$305,0,MATCH($A7,Timeline!$P$4:$AN$4,0))="x")*(Timeline!$K$5:$K$305="Task")*ISNUMBER(Timeline!$I$5:$I$305)*ISNUMBER(Timeline!$J$5:$J$305)*(Timeline!$I$5:$I$305&lt;=AJ$4+5)*(Timeline!$J$5:$J$305&gt;=AJ$4+5)),SUMPRODUCT((INDEX(Timeline!$P$5:$AN$305,0,MATCH($A7,Timeline!$P$4:$AN$4,0))="x")*(Timeline!$K$5:$K$305="Task")*ISNUMBER(Timeline!$I$5:$I$305)*ISNUMBER(Timeline!$J$5:$J$305)*(Timeline!$I$5:$I$305&lt;=AJ$4+6)*(Timeline!$J$5:$J$305&gt;=AJ$4+6)))</f>
        <v>0</v>
      </c>
      <c r="AK7" s="67">
        <f>MAX(SUMPRODUCT((INDEX(Timeline!$P$5:$AN$305,0,MATCH($A7,Timeline!$P$4:$AN$4,0))="x")*(Timeline!$K$5:$K$305="Task")*ISNUMBER(Timeline!$I$5:$I$305)*ISNUMBER(Timeline!$J$5:$J$305)*(Timeline!$I$5:$I$305&lt;=AK$4+0)*(Timeline!$J$5:$J$305&gt;=AK$4+0)),SUMPRODUCT((INDEX(Timeline!$P$5:$AN$305,0,MATCH($A7,Timeline!$P$4:$AN$4,0))="x")*(Timeline!$K$5:$K$305="Task")*ISNUMBER(Timeline!$I$5:$I$305)*ISNUMBER(Timeline!$J$5:$J$305)*(Timeline!$I$5:$I$305&lt;=AK$4+1)*(Timeline!$J$5:$J$305&gt;=AK$4+1)),SUMPRODUCT((INDEX(Timeline!$P$5:$AN$305,0,MATCH($A7,Timeline!$P$4:$AN$4,0))="x")*(Timeline!$K$5:$K$305="Task")*ISNUMBER(Timeline!$I$5:$I$305)*ISNUMBER(Timeline!$J$5:$J$305)*(Timeline!$I$5:$I$305&lt;=AK$4+2)*(Timeline!$J$5:$J$305&gt;=AK$4+2)),SUMPRODUCT((INDEX(Timeline!$P$5:$AN$305,0,MATCH($A7,Timeline!$P$4:$AN$4,0))="x")*(Timeline!$K$5:$K$305="Task")*ISNUMBER(Timeline!$I$5:$I$305)*ISNUMBER(Timeline!$J$5:$J$305)*(Timeline!$I$5:$I$305&lt;=AK$4+3)*(Timeline!$J$5:$J$305&gt;=AK$4+3)),SUMPRODUCT((INDEX(Timeline!$P$5:$AN$305,0,MATCH($A7,Timeline!$P$4:$AN$4,0))="x")*(Timeline!$K$5:$K$305="Task")*ISNUMBER(Timeline!$I$5:$I$305)*ISNUMBER(Timeline!$J$5:$J$305)*(Timeline!$I$5:$I$305&lt;=AK$4+4)*(Timeline!$J$5:$J$305&gt;=AK$4+4)),SUMPRODUCT((INDEX(Timeline!$P$5:$AN$305,0,MATCH($A7,Timeline!$P$4:$AN$4,0))="x")*(Timeline!$K$5:$K$305="Task")*ISNUMBER(Timeline!$I$5:$I$305)*ISNUMBER(Timeline!$J$5:$J$305)*(Timeline!$I$5:$I$305&lt;=AK$4+5)*(Timeline!$J$5:$J$305&gt;=AK$4+5)),SUMPRODUCT((INDEX(Timeline!$P$5:$AN$305,0,MATCH($A7,Timeline!$P$4:$AN$4,0))="x")*(Timeline!$K$5:$K$305="Task")*ISNUMBER(Timeline!$I$5:$I$305)*ISNUMBER(Timeline!$J$5:$J$305)*(Timeline!$I$5:$I$305&lt;=AK$4+6)*(Timeline!$J$5:$J$305&gt;=AK$4+6)))</f>
        <v>0</v>
      </c>
      <c r="AL7" s="67">
        <f>MAX(SUMPRODUCT((INDEX(Timeline!$P$5:$AN$305,0,MATCH($A7,Timeline!$P$4:$AN$4,0))="x")*(Timeline!$K$5:$K$305="Task")*ISNUMBER(Timeline!$I$5:$I$305)*ISNUMBER(Timeline!$J$5:$J$305)*(Timeline!$I$5:$I$305&lt;=AL$4+0)*(Timeline!$J$5:$J$305&gt;=AL$4+0)),SUMPRODUCT((INDEX(Timeline!$P$5:$AN$305,0,MATCH($A7,Timeline!$P$4:$AN$4,0))="x")*(Timeline!$K$5:$K$305="Task")*ISNUMBER(Timeline!$I$5:$I$305)*ISNUMBER(Timeline!$J$5:$J$305)*(Timeline!$I$5:$I$305&lt;=AL$4+1)*(Timeline!$J$5:$J$305&gt;=AL$4+1)),SUMPRODUCT((INDEX(Timeline!$P$5:$AN$305,0,MATCH($A7,Timeline!$P$4:$AN$4,0))="x")*(Timeline!$K$5:$K$305="Task")*ISNUMBER(Timeline!$I$5:$I$305)*ISNUMBER(Timeline!$J$5:$J$305)*(Timeline!$I$5:$I$305&lt;=AL$4+2)*(Timeline!$J$5:$J$305&gt;=AL$4+2)),SUMPRODUCT((INDEX(Timeline!$P$5:$AN$305,0,MATCH($A7,Timeline!$P$4:$AN$4,0))="x")*(Timeline!$K$5:$K$305="Task")*ISNUMBER(Timeline!$I$5:$I$305)*ISNUMBER(Timeline!$J$5:$J$305)*(Timeline!$I$5:$I$305&lt;=AL$4+3)*(Timeline!$J$5:$J$305&gt;=AL$4+3)),SUMPRODUCT((INDEX(Timeline!$P$5:$AN$305,0,MATCH($A7,Timeline!$P$4:$AN$4,0))="x")*(Timeline!$K$5:$K$305="Task")*ISNUMBER(Timeline!$I$5:$I$305)*ISNUMBER(Timeline!$J$5:$J$305)*(Timeline!$I$5:$I$305&lt;=AL$4+4)*(Timeline!$J$5:$J$305&gt;=AL$4+4)),SUMPRODUCT((INDEX(Timeline!$P$5:$AN$305,0,MATCH($A7,Timeline!$P$4:$AN$4,0))="x")*(Timeline!$K$5:$K$305="Task")*ISNUMBER(Timeline!$I$5:$I$305)*ISNUMBER(Timeline!$J$5:$J$305)*(Timeline!$I$5:$I$305&lt;=AL$4+5)*(Timeline!$J$5:$J$305&gt;=AL$4+5)),SUMPRODUCT((INDEX(Timeline!$P$5:$AN$305,0,MATCH($A7,Timeline!$P$4:$AN$4,0))="x")*(Timeline!$K$5:$K$305="Task")*ISNUMBER(Timeline!$I$5:$I$305)*ISNUMBER(Timeline!$J$5:$J$305)*(Timeline!$I$5:$I$305&lt;=AL$4+6)*(Timeline!$J$5:$J$305&gt;=AL$4+6)))</f>
        <v>0</v>
      </c>
      <c r="AM7" s="67">
        <f>MAX(SUMPRODUCT((INDEX(Timeline!$P$5:$AN$305,0,MATCH($A7,Timeline!$P$4:$AN$4,0))="x")*(Timeline!$K$5:$K$305="Task")*ISNUMBER(Timeline!$I$5:$I$305)*ISNUMBER(Timeline!$J$5:$J$305)*(Timeline!$I$5:$I$305&lt;=AM$4+0)*(Timeline!$J$5:$J$305&gt;=AM$4+0)),SUMPRODUCT((INDEX(Timeline!$P$5:$AN$305,0,MATCH($A7,Timeline!$P$4:$AN$4,0))="x")*(Timeline!$K$5:$K$305="Task")*ISNUMBER(Timeline!$I$5:$I$305)*ISNUMBER(Timeline!$J$5:$J$305)*(Timeline!$I$5:$I$305&lt;=AM$4+1)*(Timeline!$J$5:$J$305&gt;=AM$4+1)),SUMPRODUCT((INDEX(Timeline!$P$5:$AN$305,0,MATCH($A7,Timeline!$P$4:$AN$4,0))="x")*(Timeline!$K$5:$K$305="Task")*ISNUMBER(Timeline!$I$5:$I$305)*ISNUMBER(Timeline!$J$5:$J$305)*(Timeline!$I$5:$I$305&lt;=AM$4+2)*(Timeline!$J$5:$J$305&gt;=AM$4+2)),SUMPRODUCT((INDEX(Timeline!$P$5:$AN$305,0,MATCH($A7,Timeline!$P$4:$AN$4,0))="x")*(Timeline!$K$5:$K$305="Task")*ISNUMBER(Timeline!$I$5:$I$305)*ISNUMBER(Timeline!$J$5:$J$305)*(Timeline!$I$5:$I$305&lt;=AM$4+3)*(Timeline!$J$5:$J$305&gt;=AM$4+3)),SUMPRODUCT((INDEX(Timeline!$P$5:$AN$305,0,MATCH($A7,Timeline!$P$4:$AN$4,0))="x")*(Timeline!$K$5:$K$305="Task")*ISNUMBER(Timeline!$I$5:$I$305)*ISNUMBER(Timeline!$J$5:$J$305)*(Timeline!$I$5:$I$305&lt;=AM$4+4)*(Timeline!$J$5:$J$305&gt;=AM$4+4)),SUMPRODUCT((INDEX(Timeline!$P$5:$AN$305,0,MATCH($A7,Timeline!$P$4:$AN$4,0))="x")*(Timeline!$K$5:$K$305="Task")*ISNUMBER(Timeline!$I$5:$I$305)*ISNUMBER(Timeline!$J$5:$J$305)*(Timeline!$I$5:$I$305&lt;=AM$4+5)*(Timeline!$J$5:$J$305&gt;=AM$4+5)),SUMPRODUCT((INDEX(Timeline!$P$5:$AN$305,0,MATCH($A7,Timeline!$P$4:$AN$4,0))="x")*(Timeline!$K$5:$K$305="Task")*ISNUMBER(Timeline!$I$5:$I$305)*ISNUMBER(Timeline!$J$5:$J$305)*(Timeline!$I$5:$I$305&lt;=AM$4+6)*(Timeline!$J$5:$J$305&gt;=AM$4+6)))</f>
        <v>0</v>
      </c>
      <c r="AN7" s="67">
        <f>MAX(SUMPRODUCT((INDEX(Timeline!$P$5:$AN$305,0,MATCH($A7,Timeline!$P$4:$AN$4,0))="x")*(Timeline!$K$5:$K$305="Task")*ISNUMBER(Timeline!$I$5:$I$305)*ISNUMBER(Timeline!$J$5:$J$305)*(Timeline!$I$5:$I$305&lt;=AN$4+0)*(Timeline!$J$5:$J$305&gt;=AN$4+0)),SUMPRODUCT((INDEX(Timeline!$P$5:$AN$305,0,MATCH($A7,Timeline!$P$4:$AN$4,0))="x")*(Timeline!$K$5:$K$305="Task")*ISNUMBER(Timeline!$I$5:$I$305)*ISNUMBER(Timeline!$J$5:$J$305)*(Timeline!$I$5:$I$305&lt;=AN$4+1)*(Timeline!$J$5:$J$305&gt;=AN$4+1)),SUMPRODUCT((INDEX(Timeline!$P$5:$AN$305,0,MATCH($A7,Timeline!$P$4:$AN$4,0))="x")*(Timeline!$K$5:$K$305="Task")*ISNUMBER(Timeline!$I$5:$I$305)*ISNUMBER(Timeline!$J$5:$J$305)*(Timeline!$I$5:$I$305&lt;=AN$4+2)*(Timeline!$J$5:$J$305&gt;=AN$4+2)),SUMPRODUCT((INDEX(Timeline!$P$5:$AN$305,0,MATCH($A7,Timeline!$P$4:$AN$4,0))="x")*(Timeline!$K$5:$K$305="Task")*ISNUMBER(Timeline!$I$5:$I$305)*ISNUMBER(Timeline!$J$5:$J$305)*(Timeline!$I$5:$I$305&lt;=AN$4+3)*(Timeline!$J$5:$J$305&gt;=AN$4+3)),SUMPRODUCT((INDEX(Timeline!$P$5:$AN$305,0,MATCH($A7,Timeline!$P$4:$AN$4,0))="x")*(Timeline!$K$5:$K$305="Task")*ISNUMBER(Timeline!$I$5:$I$305)*ISNUMBER(Timeline!$J$5:$J$305)*(Timeline!$I$5:$I$305&lt;=AN$4+4)*(Timeline!$J$5:$J$305&gt;=AN$4+4)),SUMPRODUCT((INDEX(Timeline!$P$5:$AN$305,0,MATCH($A7,Timeline!$P$4:$AN$4,0))="x")*(Timeline!$K$5:$K$305="Task")*ISNUMBER(Timeline!$I$5:$I$305)*ISNUMBER(Timeline!$J$5:$J$305)*(Timeline!$I$5:$I$305&lt;=AN$4+5)*(Timeline!$J$5:$J$305&gt;=AN$4+5)),SUMPRODUCT((INDEX(Timeline!$P$5:$AN$305,0,MATCH($A7,Timeline!$P$4:$AN$4,0))="x")*(Timeline!$K$5:$K$305="Task")*ISNUMBER(Timeline!$I$5:$I$305)*ISNUMBER(Timeline!$J$5:$J$305)*(Timeline!$I$5:$I$305&lt;=AN$4+6)*(Timeline!$J$5:$J$305&gt;=AN$4+6)))</f>
        <v>0</v>
      </c>
      <c r="AO7" s="67">
        <f>MAX(SUMPRODUCT((INDEX(Timeline!$P$5:$AN$305,0,MATCH($A7,Timeline!$P$4:$AN$4,0))="x")*(Timeline!$K$5:$K$305="Task")*ISNUMBER(Timeline!$I$5:$I$305)*ISNUMBER(Timeline!$J$5:$J$305)*(Timeline!$I$5:$I$305&lt;=AO$4+0)*(Timeline!$J$5:$J$305&gt;=AO$4+0)),SUMPRODUCT((INDEX(Timeline!$P$5:$AN$305,0,MATCH($A7,Timeline!$P$4:$AN$4,0))="x")*(Timeline!$K$5:$K$305="Task")*ISNUMBER(Timeline!$I$5:$I$305)*ISNUMBER(Timeline!$J$5:$J$305)*(Timeline!$I$5:$I$305&lt;=AO$4+1)*(Timeline!$J$5:$J$305&gt;=AO$4+1)),SUMPRODUCT((INDEX(Timeline!$P$5:$AN$305,0,MATCH($A7,Timeline!$P$4:$AN$4,0))="x")*(Timeline!$K$5:$K$305="Task")*ISNUMBER(Timeline!$I$5:$I$305)*ISNUMBER(Timeline!$J$5:$J$305)*(Timeline!$I$5:$I$305&lt;=AO$4+2)*(Timeline!$J$5:$J$305&gt;=AO$4+2)),SUMPRODUCT((INDEX(Timeline!$P$5:$AN$305,0,MATCH($A7,Timeline!$P$4:$AN$4,0))="x")*(Timeline!$K$5:$K$305="Task")*ISNUMBER(Timeline!$I$5:$I$305)*ISNUMBER(Timeline!$J$5:$J$305)*(Timeline!$I$5:$I$305&lt;=AO$4+3)*(Timeline!$J$5:$J$305&gt;=AO$4+3)),SUMPRODUCT((INDEX(Timeline!$P$5:$AN$305,0,MATCH($A7,Timeline!$P$4:$AN$4,0))="x")*(Timeline!$K$5:$K$305="Task")*ISNUMBER(Timeline!$I$5:$I$305)*ISNUMBER(Timeline!$J$5:$J$305)*(Timeline!$I$5:$I$305&lt;=AO$4+4)*(Timeline!$J$5:$J$305&gt;=AO$4+4)),SUMPRODUCT((INDEX(Timeline!$P$5:$AN$305,0,MATCH($A7,Timeline!$P$4:$AN$4,0))="x")*(Timeline!$K$5:$K$305="Task")*ISNUMBER(Timeline!$I$5:$I$305)*ISNUMBER(Timeline!$J$5:$J$305)*(Timeline!$I$5:$I$305&lt;=AO$4+5)*(Timeline!$J$5:$J$305&gt;=AO$4+5)),SUMPRODUCT((INDEX(Timeline!$P$5:$AN$305,0,MATCH($A7,Timeline!$P$4:$AN$4,0))="x")*(Timeline!$K$5:$K$305="Task")*ISNUMBER(Timeline!$I$5:$I$305)*ISNUMBER(Timeline!$J$5:$J$305)*(Timeline!$I$5:$I$305&lt;=AO$4+6)*(Timeline!$J$5:$J$305&gt;=AO$4+6)))</f>
        <v>0</v>
      </c>
      <c r="AP7" s="67">
        <f>MAX(SUMPRODUCT((INDEX(Timeline!$P$5:$AN$305,0,MATCH($A7,Timeline!$P$4:$AN$4,0))="x")*(Timeline!$K$5:$K$305="Task")*ISNUMBER(Timeline!$I$5:$I$305)*ISNUMBER(Timeline!$J$5:$J$305)*(Timeline!$I$5:$I$305&lt;=AP$4+0)*(Timeline!$J$5:$J$305&gt;=AP$4+0)),SUMPRODUCT((INDEX(Timeline!$P$5:$AN$305,0,MATCH($A7,Timeline!$P$4:$AN$4,0))="x")*(Timeline!$K$5:$K$305="Task")*ISNUMBER(Timeline!$I$5:$I$305)*ISNUMBER(Timeline!$J$5:$J$305)*(Timeline!$I$5:$I$305&lt;=AP$4+1)*(Timeline!$J$5:$J$305&gt;=AP$4+1)),SUMPRODUCT((INDEX(Timeline!$P$5:$AN$305,0,MATCH($A7,Timeline!$P$4:$AN$4,0))="x")*(Timeline!$K$5:$K$305="Task")*ISNUMBER(Timeline!$I$5:$I$305)*ISNUMBER(Timeline!$J$5:$J$305)*(Timeline!$I$5:$I$305&lt;=AP$4+2)*(Timeline!$J$5:$J$305&gt;=AP$4+2)),SUMPRODUCT((INDEX(Timeline!$P$5:$AN$305,0,MATCH($A7,Timeline!$P$4:$AN$4,0))="x")*(Timeline!$K$5:$K$305="Task")*ISNUMBER(Timeline!$I$5:$I$305)*ISNUMBER(Timeline!$J$5:$J$305)*(Timeline!$I$5:$I$305&lt;=AP$4+3)*(Timeline!$J$5:$J$305&gt;=AP$4+3)),SUMPRODUCT((INDEX(Timeline!$P$5:$AN$305,0,MATCH($A7,Timeline!$P$4:$AN$4,0))="x")*(Timeline!$K$5:$K$305="Task")*ISNUMBER(Timeline!$I$5:$I$305)*ISNUMBER(Timeline!$J$5:$J$305)*(Timeline!$I$5:$I$305&lt;=AP$4+4)*(Timeline!$J$5:$J$305&gt;=AP$4+4)),SUMPRODUCT((INDEX(Timeline!$P$5:$AN$305,0,MATCH($A7,Timeline!$P$4:$AN$4,0))="x")*(Timeline!$K$5:$K$305="Task")*ISNUMBER(Timeline!$I$5:$I$305)*ISNUMBER(Timeline!$J$5:$J$305)*(Timeline!$I$5:$I$305&lt;=AP$4+5)*(Timeline!$J$5:$J$305&gt;=AP$4+5)),SUMPRODUCT((INDEX(Timeline!$P$5:$AN$305,0,MATCH($A7,Timeline!$P$4:$AN$4,0))="x")*(Timeline!$K$5:$K$305="Task")*ISNUMBER(Timeline!$I$5:$I$305)*ISNUMBER(Timeline!$J$5:$J$305)*(Timeline!$I$5:$I$305&lt;=AP$4+6)*(Timeline!$J$5:$J$305&gt;=AP$4+6)))</f>
        <v>0</v>
      </c>
      <c r="AQ7" s="67">
        <f>MAX(SUMPRODUCT((INDEX(Timeline!$P$5:$AN$305,0,MATCH($A7,Timeline!$P$4:$AN$4,0))="x")*(Timeline!$K$5:$K$305="Task")*ISNUMBER(Timeline!$I$5:$I$305)*ISNUMBER(Timeline!$J$5:$J$305)*(Timeline!$I$5:$I$305&lt;=AQ$4+0)*(Timeline!$J$5:$J$305&gt;=AQ$4+0)),SUMPRODUCT((INDEX(Timeline!$P$5:$AN$305,0,MATCH($A7,Timeline!$P$4:$AN$4,0))="x")*(Timeline!$K$5:$K$305="Task")*ISNUMBER(Timeline!$I$5:$I$305)*ISNUMBER(Timeline!$J$5:$J$305)*(Timeline!$I$5:$I$305&lt;=AQ$4+1)*(Timeline!$J$5:$J$305&gt;=AQ$4+1)),SUMPRODUCT((INDEX(Timeline!$P$5:$AN$305,0,MATCH($A7,Timeline!$P$4:$AN$4,0))="x")*(Timeline!$K$5:$K$305="Task")*ISNUMBER(Timeline!$I$5:$I$305)*ISNUMBER(Timeline!$J$5:$J$305)*(Timeline!$I$5:$I$305&lt;=AQ$4+2)*(Timeline!$J$5:$J$305&gt;=AQ$4+2)),SUMPRODUCT((INDEX(Timeline!$P$5:$AN$305,0,MATCH($A7,Timeline!$P$4:$AN$4,0))="x")*(Timeline!$K$5:$K$305="Task")*ISNUMBER(Timeline!$I$5:$I$305)*ISNUMBER(Timeline!$J$5:$J$305)*(Timeline!$I$5:$I$305&lt;=AQ$4+3)*(Timeline!$J$5:$J$305&gt;=AQ$4+3)),SUMPRODUCT((INDEX(Timeline!$P$5:$AN$305,0,MATCH($A7,Timeline!$P$4:$AN$4,0))="x")*(Timeline!$K$5:$K$305="Task")*ISNUMBER(Timeline!$I$5:$I$305)*ISNUMBER(Timeline!$J$5:$J$305)*(Timeline!$I$5:$I$305&lt;=AQ$4+4)*(Timeline!$J$5:$J$305&gt;=AQ$4+4)),SUMPRODUCT((INDEX(Timeline!$P$5:$AN$305,0,MATCH($A7,Timeline!$P$4:$AN$4,0))="x")*(Timeline!$K$5:$K$305="Task")*ISNUMBER(Timeline!$I$5:$I$305)*ISNUMBER(Timeline!$J$5:$J$305)*(Timeline!$I$5:$I$305&lt;=AQ$4+5)*(Timeline!$J$5:$J$305&gt;=AQ$4+5)),SUMPRODUCT((INDEX(Timeline!$P$5:$AN$305,0,MATCH($A7,Timeline!$P$4:$AN$4,0))="x")*(Timeline!$K$5:$K$305="Task")*ISNUMBER(Timeline!$I$5:$I$305)*ISNUMBER(Timeline!$J$5:$J$305)*(Timeline!$I$5:$I$305&lt;=AQ$4+6)*(Timeline!$J$5:$J$305&gt;=AQ$4+6)))</f>
        <v>0</v>
      </c>
      <c r="AR7" s="67">
        <f>MAX(SUMPRODUCT((INDEX(Timeline!$P$5:$AN$305,0,MATCH($A7,Timeline!$P$4:$AN$4,0))="x")*(Timeline!$K$5:$K$305="Task")*ISNUMBER(Timeline!$I$5:$I$305)*ISNUMBER(Timeline!$J$5:$J$305)*(Timeline!$I$5:$I$305&lt;=AR$4+0)*(Timeline!$J$5:$J$305&gt;=AR$4+0)),SUMPRODUCT((INDEX(Timeline!$P$5:$AN$305,0,MATCH($A7,Timeline!$P$4:$AN$4,0))="x")*(Timeline!$K$5:$K$305="Task")*ISNUMBER(Timeline!$I$5:$I$305)*ISNUMBER(Timeline!$J$5:$J$305)*(Timeline!$I$5:$I$305&lt;=AR$4+1)*(Timeline!$J$5:$J$305&gt;=AR$4+1)),SUMPRODUCT((INDEX(Timeline!$P$5:$AN$305,0,MATCH($A7,Timeline!$P$4:$AN$4,0))="x")*(Timeline!$K$5:$K$305="Task")*ISNUMBER(Timeline!$I$5:$I$305)*ISNUMBER(Timeline!$J$5:$J$305)*(Timeline!$I$5:$I$305&lt;=AR$4+2)*(Timeline!$J$5:$J$305&gt;=AR$4+2)),SUMPRODUCT((INDEX(Timeline!$P$5:$AN$305,0,MATCH($A7,Timeline!$P$4:$AN$4,0))="x")*(Timeline!$K$5:$K$305="Task")*ISNUMBER(Timeline!$I$5:$I$305)*ISNUMBER(Timeline!$J$5:$J$305)*(Timeline!$I$5:$I$305&lt;=AR$4+3)*(Timeline!$J$5:$J$305&gt;=AR$4+3)),SUMPRODUCT((INDEX(Timeline!$P$5:$AN$305,0,MATCH($A7,Timeline!$P$4:$AN$4,0))="x")*(Timeline!$K$5:$K$305="Task")*ISNUMBER(Timeline!$I$5:$I$305)*ISNUMBER(Timeline!$J$5:$J$305)*(Timeline!$I$5:$I$305&lt;=AR$4+4)*(Timeline!$J$5:$J$305&gt;=AR$4+4)),SUMPRODUCT((INDEX(Timeline!$P$5:$AN$305,0,MATCH($A7,Timeline!$P$4:$AN$4,0))="x")*(Timeline!$K$5:$K$305="Task")*ISNUMBER(Timeline!$I$5:$I$305)*ISNUMBER(Timeline!$J$5:$J$305)*(Timeline!$I$5:$I$305&lt;=AR$4+5)*(Timeline!$J$5:$J$305&gt;=AR$4+5)),SUMPRODUCT((INDEX(Timeline!$P$5:$AN$305,0,MATCH($A7,Timeline!$P$4:$AN$4,0))="x")*(Timeline!$K$5:$K$305="Task")*ISNUMBER(Timeline!$I$5:$I$305)*ISNUMBER(Timeline!$J$5:$J$305)*(Timeline!$I$5:$I$305&lt;=AR$4+6)*(Timeline!$J$5:$J$305&gt;=AR$4+6)))</f>
        <v>0</v>
      </c>
      <c r="AS7" s="67">
        <f>MAX(SUMPRODUCT((INDEX(Timeline!$P$5:$AN$305,0,MATCH($A7,Timeline!$P$4:$AN$4,0))="x")*(Timeline!$K$5:$K$305="Task")*ISNUMBER(Timeline!$I$5:$I$305)*ISNUMBER(Timeline!$J$5:$J$305)*(Timeline!$I$5:$I$305&lt;=AS$4+0)*(Timeline!$J$5:$J$305&gt;=AS$4+0)),SUMPRODUCT((INDEX(Timeline!$P$5:$AN$305,0,MATCH($A7,Timeline!$P$4:$AN$4,0))="x")*(Timeline!$K$5:$K$305="Task")*ISNUMBER(Timeline!$I$5:$I$305)*ISNUMBER(Timeline!$J$5:$J$305)*(Timeline!$I$5:$I$305&lt;=AS$4+1)*(Timeline!$J$5:$J$305&gt;=AS$4+1)),SUMPRODUCT((INDEX(Timeline!$P$5:$AN$305,0,MATCH($A7,Timeline!$P$4:$AN$4,0))="x")*(Timeline!$K$5:$K$305="Task")*ISNUMBER(Timeline!$I$5:$I$305)*ISNUMBER(Timeline!$J$5:$J$305)*(Timeline!$I$5:$I$305&lt;=AS$4+2)*(Timeline!$J$5:$J$305&gt;=AS$4+2)),SUMPRODUCT((INDEX(Timeline!$P$5:$AN$305,0,MATCH($A7,Timeline!$P$4:$AN$4,0))="x")*(Timeline!$K$5:$K$305="Task")*ISNUMBER(Timeline!$I$5:$I$305)*ISNUMBER(Timeline!$J$5:$J$305)*(Timeline!$I$5:$I$305&lt;=AS$4+3)*(Timeline!$J$5:$J$305&gt;=AS$4+3)),SUMPRODUCT((INDEX(Timeline!$P$5:$AN$305,0,MATCH($A7,Timeline!$P$4:$AN$4,0))="x")*(Timeline!$K$5:$K$305="Task")*ISNUMBER(Timeline!$I$5:$I$305)*ISNUMBER(Timeline!$J$5:$J$305)*(Timeline!$I$5:$I$305&lt;=AS$4+4)*(Timeline!$J$5:$J$305&gt;=AS$4+4)),SUMPRODUCT((INDEX(Timeline!$P$5:$AN$305,0,MATCH($A7,Timeline!$P$4:$AN$4,0))="x")*(Timeline!$K$5:$K$305="Task")*ISNUMBER(Timeline!$I$5:$I$305)*ISNUMBER(Timeline!$J$5:$J$305)*(Timeline!$I$5:$I$305&lt;=AS$4+5)*(Timeline!$J$5:$J$305&gt;=AS$4+5)),SUMPRODUCT((INDEX(Timeline!$P$5:$AN$305,0,MATCH($A7,Timeline!$P$4:$AN$4,0))="x")*(Timeline!$K$5:$K$305="Task")*ISNUMBER(Timeline!$I$5:$I$305)*ISNUMBER(Timeline!$J$5:$J$305)*(Timeline!$I$5:$I$305&lt;=AS$4+6)*(Timeline!$J$5:$J$305&gt;=AS$4+6)))</f>
        <v>0</v>
      </c>
      <c r="AT7" s="67">
        <f>MAX(SUMPRODUCT((INDEX(Timeline!$P$5:$AN$305,0,MATCH($A7,Timeline!$P$4:$AN$4,0))="x")*(Timeline!$K$5:$K$305="Task")*ISNUMBER(Timeline!$I$5:$I$305)*ISNUMBER(Timeline!$J$5:$J$305)*(Timeline!$I$5:$I$305&lt;=AT$4+0)*(Timeline!$J$5:$J$305&gt;=AT$4+0)),SUMPRODUCT((INDEX(Timeline!$P$5:$AN$305,0,MATCH($A7,Timeline!$P$4:$AN$4,0))="x")*(Timeline!$K$5:$K$305="Task")*ISNUMBER(Timeline!$I$5:$I$305)*ISNUMBER(Timeline!$J$5:$J$305)*(Timeline!$I$5:$I$305&lt;=AT$4+1)*(Timeline!$J$5:$J$305&gt;=AT$4+1)),SUMPRODUCT((INDEX(Timeline!$P$5:$AN$305,0,MATCH($A7,Timeline!$P$4:$AN$4,0))="x")*(Timeline!$K$5:$K$305="Task")*ISNUMBER(Timeline!$I$5:$I$305)*ISNUMBER(Timeline!$J$5:$J$305)*(Timeline!$I$5:$I$305&lt;=AT$4+2)*(Timeline!$J$5:$J$305&gt;=AT$4+2)),SUMPRODUCT((INDEX(Timeline!$P$5:$AN$305,0,MATCH($A7,Timeline!$P$4:$AN$4,0))="x")*(Timeline!$K$5:$K$305="Task")*ISNUMBER(Timeline!$I$5:$I$305)*ISNUMBER(Timeline!$J$5:$J$305)*(Timeline!$I$5:$I$305&lt;=AT$4+3)*(Timeline!$J$5:$J$305&gt;=AT$4+3)),SUMPRODUCT((INDEX(Timeline!$P$5:$AN$305,0,MATCH($A7,Timeline!$P$4:$AN$4,0))="x")*(Timeline!$K$5:$K$305="Task")*ISNUMBER(Timeline!$I$5:$I$305)*ISNUMBER(Timeline!$J$5:$J$305)*(Timeline!$I$5:$I$305&lt;=AT$4+4)*(Timeline!$J$5:$J$305&gt;=AT$4+4)),SUMPRODUCT((INDEX(Timeline!$P$5:$AN$305,0,MATCH($A7,Timeline!$P$4:$AN$4,0))="x")*(Timeline!$K$5:$K$305="Task")*ISNUMBER(Timeline!$I$5:$I$305)*ISNUMBER(Timeline!$J$5:$J$305)*(Timeline!$I$5:$I$305&lt;=AT$4+5)*(Timeline!$J$5:$J$305&gt;=AT$4+5)),SUMPRODUCT((INDEX(Timeline!$P$5:$AN$305,0,MATCH($A7,Timeline!$P$4:$AN$4,0))="x")*(Timeline!$K$5:$K$305="Task")*ISNUMBER(Timeline!$I$5:$I$305)*ISNUMBER(Timeline!$J$5:$J$305)*(Timeline!$I$5:$I$305&lt;=AT$4+6)*(Timeline!$J$5:$J$305&gt;=AT$4+6)))</f>
        <v>0</v>
      </c>
      <c r="AU7" s="67">
        <f>MAX(SUMPRODUCT((INDEX(Timeline!$P$5:$AN$305,0,MATCH($A7,Timeline!$P$4:$AN$4,0))="x")*(Timeline!$K$5:$K$305="Task")*ISNUMBER(Timeline!$I$5:$I$305)*ISNUMBER(Timeline!$J$5:$J$305)*(Timeline!$I$5:$I$305&lt;=AU$4+0)*(Timeline!$J$5:$J$305&gt;=AU$4+0)),SUMPRODUCT((INDEX(Timeline!$P$5:$AN$305,0,MATCH($A7,Timeline!$P$4:$AN$4,0))="x")*(Timeline!$K$5:$K$305="Task")*ISNUMBER(Timeline!$I$5:$I$305)*ISNUMBER(Timeline!$J$5:$J$305)*(Timeline!$I$5:$I$305&lt;=AU$4+1)*(Timeline!$J$5:$J$305&gt;=AU$4+1)),SUMPRODUCT((INDEX(Timeline!$P$5:$AN$305,0,MATCH($A7,Timeline!$P$4:$AN$4,0))="x")*(Timeline!$K$5:$K$305="Task")*ISNUMBER(Timeline!$I$5:$I$305)*ISNUMBER(Timeline!$J$5:$J$305)*(Timeline!$I$5:$I$305&lt;=AU$4+2)*(Timeline!$J$5:$J$305&gt;=AU$4+2)),SUMPRODUCT((INDEX(Timeline!$P$5:$AN$305,0,MATCH($A7,Timeline!$P$4:$AN$4,0))="x")*(Timeline!$K$5:$K$305="Task")*ISNUMBER(Timeline!$I$5:$I$305)*ISNUMBER(Timeline!$J$5:$J$305)*(Timeline!$I$5:$I$305&lt;=AU$4+3)*(Timeline!$J$5:$J$305&gt;=AU$4+3)),SUMPRODUCT((INDEX(Timeline!$P$5:$AN$305,0,MATCH($A7,Timeline!$P$4:$AN$4,0))="x")*(Timeline!$K$5:$K$305="Task")*ISNUMBER(Timeline!$I$5:$I$305)*ISNUMBER(Timeline!$J$5:$J$305)*(Timeline!$I$5:$I$305&lt;=AU$4+4)*(Timeline!$J$5:$J$305&gt;=AU$4+4)),SUMPRODUCT((INDEX(Timeline!$P$5:$AN$305,0,MATCH($A7,Timeline!$P$4:$AN$4,0))="x")*(Timeline!$K$5:$K$305="Task")*ISNUMBER(Timeline!$I$5:$I$305)*ISNUMBER(Timeline!$J$5:$J$305)*(Timeline!$I$5:$I$305&lt;=AU$4+5)*(Timeline!$J$5:$J$305&gt;=AU$4+5)),SUMPRODUCT((INDEX(Timeline!$P$5:$AN$305,0,MATCH($A7,Timeline!$P$4:$AN$4,0))="x")*(Timeline!$K$5:$K$305="Task")*ISNUMBER(Timeline!$I$5:$I$305)*ISNUMBER(Timeline!$J$5:$J$305)*(Timeline!$I$5:$I$305&lt;=AU$4+6)*(Timeline!$J$5:$J$305&gt;=AU$4+6)))</f>
        <v>0</v>
      </c>
      <c r="AV7" s="67">
        <f>MAX(SUMPRODUCT((INDEX(Timeline!$P$5:$AN$305,0,MATCH($A7,Timeline!$P$4:$AN$4,0))="x")*(Timeline!$K$5:$K$305="Task")*ISNUMBER(Timeline!$I$5:$I$305)*ISNUMBER(Timeline!$J$5:$J$305)*(Timeline!$I$5:$I$305&lt;=AV$4+0)*(Timeline!$J$5:$J$305&gt;=AV$4+0)),SUMPRODUCT((INDEX(Timeline!$P$5:$AN$305,0,MATCH($A7,Timeline!$P$4:$AN$4,0))="x")*(Timeline!$K$5:$K$305="Task")*ISNUMBER(Timeline!$I$5:$I$305)*ISNUMBER(Timeline!$J$5:$J$305)*(Timeline!$I$5:$I$305&lt;=AV$4+1)*(Timeline!$J$5:$J$305&gt;=AV$4+1)),SUMPRODUCT((INDEX(Timeline!$P$5:$AN$305,0,MATCH($A7,Timeline!$P$4:$AN$4,0))="x")*(Timeline!$K$5:$K$305="Task")*ISNUMBER(Timeline!$I$5:$I$305)*ISNUMBER(Timeline!$J$5:$J$305)*(Timeline!$I$5:$I$305&lt;=AV$4+2)*(Timeline!$J$5:$J$305&gt;=AV$4+2)),SUMPRODUCT((INDEX(Timeline!$P$5:$AN$305,0,MATCH($A7,Timeline!$P$4:$AN$4,0))="x")*(Timeline!$K$5:$K$305="Task")*ISNUMBER(Timeline!$I$5:$I$305)*ISNUMBER(Timeline!$J$5:$J$305)*(Timeline!$I$5:$I$305&lt;=AV$4+3)*(Timeline!$J$5:$J$305&gt;=AV$4+3)),SUMPRODUCT((INDEX(Timeline!$P$5:$AN$305,0,MATCH($A7,Timeline!$P$4:$AN$4,0))="x")*(Timeline!$K$5:$K$305="Task")*ISNUMBER(Timeline!$I$5:$I$305)*ISNUMBER(Timeline!$J$5:$J$305)*(Timeline!$I$5:$I$305&lt;=AV$4+4)*(Timeline!$J$5:$J$305&gt;=AV$4+4)),SUMPRODUCT((INDEX(Timeline!$P$5:$AN$305,0,MATCH($A7,Timeline!$P$4:$AN$4,0))="x")*(Timeline!$K$5:$K$305="Task")*ISNUMBER(Timeline!$I$5:$I$305)*ISNUMBER(Timeline!$J$5:$J$305)*(Timeline!$I$5:$I$305&lt;=AV$4+5)*(Timeline!$J$5:$J$305&gt;=AV$4+5)),SUMPRODUCT((INDEX(Timeline!$P$5:$AN$305,0,MATCH($A7,Timeline!$P$4:$AN$4,0))="x")*(Timeline!$K$5:$K$305="Task")*ISNUMBER(Timeline!$I$5:$I$305)*ISNUMBER(Timeline!$J$5:$J$305)*(Timeline!$I$5:$I$305&lt;=AV$4+6)*(Timeline!$J$5:$J$305&gt;=AV$4+6)))</f>
        <v>0</v>
      </c>
      <c r="AW7" s="67">
        <f>MAX(SUMPRODUCT((INDEX(Timeline!$P$5:$AN$305,0,MATCH($A7,Timeline!$P$4:$AN$4,0))="x")*(Timeline!$K$5:$K$305="Task")*ISNUMBER(Timeline!$I$5:$I$305)*ISNUMBER(Timeline!$J$5:$J$305)*(Timeline!$I$5:$I$305&lt;=AW$4+0)*(Timeline!$J$5:$J$305&gt;=AW$4+0)),SUMPRODUCT((INDEX(Timeline!$P$5:$AN$305,0,MATCH($A7,Timeline!$P$4:$AN$4,0))="x")*(Timeline!$K$5:$K$305="Task")*ISNUMBER(Timeline!$I$5:$I$305)*ISNUMBER(Timeline!$J$5:$J$305)*(Timeline!$I$5:$I$305&lt;=AW$4+1)*(Timeline!$J$5:$J$305&gt;=AW$4+1)),SUMPRODUCT((INDEX(Timeline!$P$5:$AN$305,0,MATCH($A7,Timeline!$P$4:$AN$4,0))="x")*(Timeline!$K$5:$K$305="Task")*ISNUMBER(Timeline!$I$5:$I$305)*ISNUMBER(Timeline!$J$5:$J$305)*(Timeline!$I$5:$I$305&lt;=AW$4+2)*(Timeline!$J$5:$J$305&gt;=AW$4+2)),SUMPRODUCT((INDEX(Timeline!$P$5:$AN$305,0,MATCH($A7,Timeline!$P$4:$AN$4,0))="x")*(Timeline!$K$5:$K$305="Task")*ISNUMBER(Timeline!$I$5:$I$305)*ISNUMBER(Timeline!$J$5:$J$305)*(Timeline!$I$5:$I$305&lt;=AW$4+3)*(Timeline!$J$5:$J$305&gt;=AW$4+3)),SUMPRODUCT((INDEX(Timeline!$P$5:$AN$305,0,MATCH($A7,Timeline!$P$4:$AN$4,0))="x")*(Timeline!$K$5:$K$305="Task")*ISNUMBER(Timeline!$I$5:$I$305)*ISNUMBER(Timeline!$J$5:$J$305)*(Timeline!$I$5:$I$305&lt;=AW$4+4)*(Timeline!$J$5:$J$305&gt;=AW$4+4)),SUMPRODUCT((INDEX(Timeline!$P$5:$AN$305,0,MATCH($A7,Timeline!$P$4:$AN$4,0))="x")*(Timeline!$K$5:$K$305="Task")*ISNUMBER(Timeline!$I$5:$I$305)*ISNUMBER(Timeline!$J$5:$J$305)*(Timeline!$I$5:$I$305&lt;=AW$4+5)*(Timeline!$J$5:$J$305&gt;=AW$4+5)),SUMPRODUCT((INDEX(Timeline!$P$5:$AN$305,0,MATCH($A7,Timeline!$P$4:$AN$4,0))="x")*(Timeline!$K$5:$K$305="Task")*ISNUMBER(Timeline!$I$5:$I$305)*ISNUMBER(Timeline!$J$5:$J$305)*(Timeline!$I$5:$I$305&lt;=AW$4+6)*(Timeline!$J$5:$J$305&gt;=AW$4+6)))</f>
        <v>0</v>
      </c>
      <c r="AX7" s="67">
        <f>MAX(SUMPRODUCT((INDEX(Timeline!$P$5:$AN$305,0,MATCH($A7,Timeline!$P$4:$AN$4,0))="x")*(Timeline!$K$5:$K$305="Task")*ISNUMBER(Timeline!$I$5:$I$305)*ISNUMBER(Timeline!$J$5:$J$305)*(Timeline!$I$5:$I$305&lt;=AX$4+0)*(Timeline!$J$5:$J$305&gt;=AX$4+0)),SUMPRODUCT((INDEX(Timeline!$P$5:$AN$305,0,MATCH($A7,Timeline!$P$4:$AN$4,0))="x")*(Timeline!$K$5:$K$305="Task")*ISNUMBER(Timeline!$I$5:$I$305)*ISNUMBER(Timeline!$J$5:$J$305)*(Timeline!$I$5:$I$305&lt;=AX$4+1)*(Timeline!$J$5:$J$305&gt;=AX$4+1)),SUMPRODUCT((INDEX(Timeline!$P$5:$AN$305,0,MATCH($A7,Timeline!$P$4:$AN$4,0))="x")*(Timeline!$K$5:$K$305="Task")*ISNUMBER(Timeline!$I$5:$I$305)*ISNUMBER(Timeline!$J$5:$J$305)*(Timeline!$I$5:$I$305&lt;=AX$4+2)*(Timeline!$J$5:$J$305&gt;=AX$4+2)),SUMPRODUCT((INDEX(Timeline!$P$5:$AN$305,0,MATCH($A7,Timeline!$P$4:$AN$4,0))="x")*(Timeline!$K$5:$K$305="Task")*ISNUMBER(Timeline!$I$5:$I$305)*ISNUMBER(Timeline!$J$5:$J$305)*(Timeline!$I$5:$I$305&lt;=AX$4+3)*(Timeline!$J$5:$J$305&gt;=AX$4+3)),SUMPRODUCT((INDEX(Timeline!$P$5:$AN$305,0,MATCH($A7,Timeline!$P$4:$AN$4,0))="x")*(Timeline!$K$5:$K$305="Task")*ISNUMBER(Timeline!$I$5:$I$305)*ISNUMBER(Timeline!$J$5:$J$305)*(Timeline!$I$5:$I$305&lt;=AX$4+4)*(Timeline!$J$5:$J$305&gt;=AX$4+4)),SUMPRODUCT((INDEX(Timeline!$P$5:$AN$305,0,MATCH($A7,Timeline!$P$4:$AN$4,0))="x")*(Timeline!$K$5:$K$305="Task")*ISNUMBER(Timeline!$I$5:$I$305)*ISNUMBER(Timeline!$J$5:$J$305)*(Timeline!$I$5:$I$305&lt;=AX$4+5)*(Timeline!$J$5:$J$305&gt;=AX$4+5)),SUMPRODUCT((INDEX(Timeline!$P$5:$AN$305,0,MATCH($A7,Timeline!$P$4:$AN$4,0))="x")*(Timeline!$K$5:$K$305="Task")*ISNUMBER(Timeline!$I$5:$I$305)*ISNUMBER(Timeline!$J$5:$J$305)*(Timeline!$I$5:$I$305&lt;=AX$4+6)*(Timeline!$J$5:$J$305&gt;=AX$4+6)))</f>
        <v>0</v>
      </c>
      <c r="AY7" s="67">
        <f>MAX(SUMPRODUCT((INDEX(Timeline!$P$5:$AN$305,0,MATCH($A7,Timeline!$P$4:$AN$4,0))="x")*(Timeline!$K$5:$K$305="Task")*ISNUMBER(Timeline!$I$5:$I$305)*ISNUMBER(Timeline!$J$5:$J$305)*(Timeline!$I$5:$I$305&lt;=AY$4+0)*(Timeline!$J$5:$J$305&gt;=AY$4+0)),SUMPRODUCT((INDEX(Timeline!$P$5:$AN$305,0,MATCH($A7,Timeline!$P$4:$AN$4,0))="x")*(Timeline!$K$5:$K$305="Task")*ISNUMBER(Timeline!$I$5:$I$305)*ISNUMBER(Timeline!$J$5:$J$305)*(Timeline!$I$5:$I$305&lt;=AY$4+1)*(Timeline!$J$5:$J$305&gt;=AY$4+1)),SUMPRODUCT((INDEX(Timeline!$P$5:$AN$305,0,MATCH($A7,Timeline!$P$4:$AN$4,0))="x")*(Timeline!$K$5:$K$305="Task")*ISNUMBER(Timeline!$I$5:$I$305)*ISNUMBER(Timeline!$J$5:$J$305)*(Timeline!$I$5:$I$305&lt;=AY$4+2)*(Timeline!$J$5:$J$305&gt;=AY$4+2)),SUMPRODUCT((INDEX(Timeline!$P$5:$AN$305,0,MATCH($A7,Timeline!$P$4:$AN$4,0))="x")*(Timeline!$K$5:$K$305="Task")*ISNUMBER(Timeline!$I$5:$I$305)*ISNUMBER(Timeline!$J$5:$J$305)*(Timeline!$I$5:$I$305&lt;=AY$4+3)*(Timeline!$J$5:$J$305&gt;=AY$4+3)),SUMPRODUCT((INDEX(Timeline!$P$5:$AN$305,0,MATCH($A7,Timeline!$P$4:$AN$4,0))="x")*(Timeline!$K$5:$K$305="Task")*ISNUMBER(Timeline!$I$5:$I$305)*ISNUMBER(Timeline!$J$5:$J$305)*(Timeline!$I$5:$I$305&lt;=AY$4+4)*(Timeline!$J$5:$J$305&gt;=AY$4+4)),SUMPRODUCT((INDEX(Timeline!$P$5:$AN$305,0,MATCH($A7,Timeline!$P$4:$AN$4,0))="x")*(Timeline!$K$5:$K$305="Task")*ISNUMBER(Timeline!$I$5:$I$305)*ISNUMBER(Timeline!$J$5:$J$305)*(Timeline!$I$5:$I$305&lt;=AY$4+5)*(Timeline!$J$5:$J$305&gt;=AY$4+5)),SUMPRODUCT((INDEX(Timeline!$P$5:$AN$305,0,MATCH($A7,Timeline!$P$4:$AN$4,0))="x")*(Timeline!$K$5:$K$305="Task")*ISNUMBER(Timeline!$I$5:$I$305)*ISNUMBER(Timeline!$J$5:$J$305)*(Timeline!$I$5:$I$305&lt;=AY$4+6)*(Timeline!$J$5:$J$305&gt;=AY$4+6)))</f>
        <v>0</v>
      </c>
      <c r="AZ7" s="67">
        <f>MAX(SUMPRODUCT((INDEX(Timeline!$P$5:$AN$305,0,MATCH($A7,Timeline!$P$4:$AN$4,0))="x")*(Timeline!$K$5:$K$305="Task")*ISNUMBER(Timeline!$I$5:$I$305)*ISNUMBER(Timeline!$J$5:$J$305)*(Timeline!$I$5:$I$305&lt;=AZ$4+0)*(Timeline!$J$5:$J$305&gt;=AZ$4+0)),SUMPRODUCT((INDEX(Timeline!$P$5:$AN$305,0,MATCH($A7,Timeline!$P$4:$AN$4,0))="x")*(Timeline!$K$5:$K$305="Task")*ISNUMBER(Timeline!$I$5:$I$305)*ISNUMBER(Timeline!$J$5:$J$305)*(Timeline!$I$5:$I$305&lt;=AZ$4+1)*(Timeline!$J$5:$J$305&gt;=AZ$4+1)),SUMPRODUCT((INDEX(Timeline!$P$5:$AN$305,0,MATCH($A7,Timeline!$P$4:$AN$4,0))="x")*(Timeline!$K$5:$K$305="Task")*ISNUMBER(Timeline!$I$5:$I$305)*ISNUMBER(Timeline!$J$5:$J$305)*(Timeline!$I$5:$I$305&lt;=AZ$4+2)*(Timeline!$J$5:$J$305&gt;=AZ$4+2)),SUMPRODUCT((INDEX(Timeline!$P$5:$AN$305,0,MATCH($A7,Timeline!$P$4:$AN$4,0))="x")*(Timeline!$K$5:$K$305="Task")*ISNUMBER(Timeline!$I$5:$I$305)*ISNUMBER(Timeline!$J$5:$J$305)*(Timeline!$I$5:$I$305&lt;=AZ$4+3)*(Timeline!$J$5:$J$305&gt;=AZ$4+3)),SUMPRODUCT((INDEX(Timeline!$P$5:$AN$305,0,MATCH($A7,Timeline!$P$4:$AN$4,0))="x")*(Timeline!$K$5:$K$305="Task")*ISNUMBER(Timeline!$I$5:$I$305)*ISNUMBER(Timeline!$J$5:$J$305)*(Timeline!$I$5:$I$305&lt;=AZ$4+4)*(Timeline!$J$5:$J$305&gt;=AZ$4+4)),SUMPRODUCT((INDEX(Timeline!$P$5:$AN$305,0,MATCH($A7,Timeline!$P$4:$AN$4,0))="x")*(Timeline!$K$5:$K$305="Task")*ISNUMBER(Timeline!$I$5:$I$305)*ISNUMBER(Timeline!$J$5:$J$305)*(Timeline!$I$5:$I$305&lt;=AZ$4+5)*(Timeline!$J$5:$J$305&gt;=AZ$4+5)),SUMPRODUCT((INDEX(Timeline!$P$5:$AN$305,0,MATCH($A7,Timeline!$P$4:$AN$4,0))="x")*(Timeline!$K$5:$K$305="Task")*ISNUMBER(Timeline!$I$5:$I$305)*ISNUMBER(Timeline!$J$5:$J$305)*(Timeline!$I$5:$I$305&lt;=AZ$4+6)*(Timeline!$J$5:$J$305&gt;=AZ$4+6)))</f>
        <v>0</v>
      </c>
      <c r="BA7" s="67">
        <f>MAX(SUMPRODUCT((INDEX(Timeline!$P$5:$AN$305,0,MATCH($A7,Timeline!$P$4:$AN$4,0))="x")*(Timeline!$K$5:$K$305="Task")*ISNUMBER(Timeline!$I$5:$I$305)*ISNUMBER(Timeline!$J$5:$J$305)*(Timeline!$I$5:$I$305&lt;=BA$4+0)*(Timeline!$J$5:$J$305&gt;=BA$4+0)),SUMPRODUCT((INDEX(Timeline!$P$5:$AN$305,0,MATCH($A7,Timeline!$P$4:$AN$4,0))="x")*(Timeline!$K$5:$K$305="Task")*ISNUMBER(Timeline!$I$5:$I$305)*ISNUMBER(Timeline!$J$5:$J$305)*(Timeline!$I$5:$I$305&lt;=BA$4+1)*(Timeline!$J$5:$J$305&gt;=BA$4+1)),SUMPRODUCT((INDEX(Timeline!$P$5:$AN$305,0,MATCH($A7,Timeline!$P$4:$AN$4,0))="x")*(Timeline!$K$5:$K$305="Task")*ISNUMBER(Timeline!$I$5:$I$305)*ISNUMBER(Timeline!$J$5:$J$305)*(Timeline!$I$5:$I$305&lt;=BA$4+2)*(Timeline!$J$5:$J$305&gt;=BA$4+2)),SUMPRODUCT((INDEX(Timeline!$P$5:$AN$305,0,MATCH($A7,Timeline!$P$4:$AN$4,0))="x")*(Timeline!$K$5:$K$305="Task")*ISNUMBER(Timeline!$I$5:$I$305)*ISNUMBER(Timeline!$J$5:$J$305)*(Timeline!$I$5:$I$305&lt;=BA$4+3)*(Timeline!$J$5:$J$305&gt;=BA$4+3)),SUMPRODUCT((INDEX(Timeline!$P$5:$AN$305,0,MATCH($A7,Timeline!$P$4:$AN$4,0))="x")*(Timeline!$K$5:$K$305="Task")*ISNUMBER(Timeline!$I$5:$I$305)*ISNUMBER(Timeline!$J$5:$J$305)*(Timeline!$I$5:$I$305&lt;=BA$4+4)*(Timeline!$J$5:$J$305&gt;=BA$4+4)),SUMPRODUCT((INDEX(Timeline!$P$5:$AN$305,0,MATCH($A7,Timeline!$P$4:$AN$4,0))="x")*(Timeline!$K$5:$K$305="Task")*ISNUMBER(Timeline!$I$5:$I$305)*ISNUMBER(Timeline!$J$5:$J$305)*(Timeline!$I$5:$I$305&lt;=BA$4+5)*(Timeline!$J$5:$J$305&gt;=BA$4+5)),SUMPRODUCT((INDEX(Timeline!$P$5:$AN$305,0,MATCH($A7,Timeline!$P$4:$AN$4,0))="x")*(Timeline!$K$5:$K$305="Task")*ISNUMBER(Timeline!$I$5:$I$305)*ISNUMBER(Timeline!$J$5:$J$305)*(Timeline!$I$5:$I$305&lt;=BA$4+6)*(Timeline!$J$5:$J$305&gt;=BA$4+6)))</f>
        <v>0</v>
      </c>
    </row>
    <row r="8" spans="1:53" ht="15" customHeight="1">
      <c r="A8" s="66" t="s">
        <v>39</v>
      </c>
      <c r="B8" s="66" t="s">
        <v>7</v>
      </c>
      <c r="C8" s="67">
        <f>MAX(SUMPRODUCT((INDEX(Timeline!$P$5:$AN$305,0,MATCH($A8,Timeline!$P$4:$AN$4,0))="x")*(Timeline!$K$5:$K$305="Task")*ISNUMBER(Timeline!$I$5:$I$305)*ISNUMBER(Timeline!$J$5:$J$305)*(Timeline!$I$5:$I$305&lt;=C$4+0)*(Timeline!$J$5:$J$305&gt;=C$4+0)),SUMPRODUCT((INDEX(Timeline!$P$5:$AN$305,0,MATCH($A8,Timeline!$P$4:$AN$4,0))="x")*(Timeline!$K$5:$K$305="Task")*ISNUMBER(Timeline!$I$5:$I$305)*ISNUMBER(Timeline!$J$5:$J$305)*(Timeline!$I$5:$I$305&lt;=C$4+1)*(Timeline!$J$5:$J$305&gt;=C$4+1)),SUMPRODUCT((INDEX(Timeline!$P$5:$AN$305,0,MATCH($A8,Timeline!$P$4:$AN$4,0))="x")*(Timeline!$K$5:$K$305="Task")*ISNUMBER(Timeline!$I$5:$I$305)*ISNUMBER(Timeline!$J$5:$J$305)*(Timeline!$I$5:$I$305&lt;=C$4+2)*(Timeline!$J$5:$J$305&gt;=C$4+2)),SUMPRODUCT((INDEX(Timeline!$P$5:$AN$305,0,MATCH($A8,Timeline!$P$4:$AN$4,0))="x")*(Timeline!$K$5:$K$305="Task")*ISNUMBER(Timeline!$I$5:$I$305)*ISNUMBER(Timeline!$J$5:$J$305)*(Timeline!$I$5:$I$305&lt;=C$4+3)*(Timeline!$J$5:$J$305&gt;=C$4+3)),SUMPRODUCT((INDEX(Timeline!$P$5:$AN$305,0,MATCH($A8,Timeline!$P$4:$AN$4,0))="x")*(Timeline!$K$5:$K$305="Task")*ISNUMBER(Timeline!$I$5:$I$305)*ISNUMBER(Timeline!$J$5:$J$305)*(Timeline!$I$5:$I$305&lt;=C$4+4)*(Timeline!$J$5:$J$305&gt;=C$4+4)),SUMPRODUCT((INDEX(Timeline!$P$5:$AN$305,0,MATCH($A8,Timeline!$P$4:$AN$4,0))="x")*(Timeline!$K$5:$K$305="Task")*ISNUMBER(Timeline!$I$5:$I$305)*ISNUMBER(Timeline!$J$5:$J$305)*(Timeline!$I$5:$I$305&lt;=C$4+5)*(Timeline!$J$5:$J$305&gt;=C$4+5)),SUMPRODUCT((INDEX(Timeline!$P$5:$AN$305,0,MATCH($A8,Timeline!$P$4:$AN$4,0))="x")*(Timeline!$K$5:$K$305="Task")*ISNUMBER(Timeline!$I$5:$I$305)*ISNUMBER(Timeline!$J$5:$J$305)*(Timeline!$I$5:$I$305&lt;=C$4+6)*(Timeline!$J$5:$J$305&gt;=C$4+6)))</f>
        <v>0</v>
      </c>
      <c r="D8" s="67">
        <f>MAX(SUMPRODUCT((INDEX(Timeline!$P$5:$AN$305,0,MATCH($A8,Timeline!$P$4:$AN$4,0))="x")*(Timeline!$K$5:$K$305="Task")*ISNUMBER(Timeline!$I$5:$I$305)*ISNUMBER(Timeline!$J$5:$J$305)*(Timeline!$I$5:$I$305&lt;=D$4+0)*(Timeline!$J$5:$J$305&gt;=D$4+0)),SUMPRODUCT((INDEX(Timeline!$P$5:$AN$305,0,MATCH($A8,Timeline!$P$4:$AN$4,0))="x")*(Timeline!$K$5:$K$305="Task")*ISNUMBER(Timeline!$I$5:$I$305)*ISNUMBER(Timeline!$J$5:$J$305)*(Timeline!$I$5:$I$305&lt;=D$4+1)*(Timeline!$J$5:$J$305&gt;=D$4+1)),SUMPRODUCT((INDEX(Timeline!$P$5:$AN$305,0,MATCH($A8,Timeline!$P$4:$AN$4,0))="x")*(Timeline!$K$5:$K$305="Task")*ISNUMBER(Timeline!$I$5:$I$305)*ISNUMBER(Timeline!$J$5:$J$305)*(Timeline!$I$5:$I$305&lt;=D$4+2)*(Timeline!$J$5:$J$305&gt;=D$4+2)),SUMPRODUCT((INDEX(Timeline!$P$5:$AN$305,0,MATCH($A8,Timeline!$P$4:$AN$4,0))="x")*(Timeline!$K$5:$K$305="Task")*ISNUMBER(Timeline!$I$5:$I$305)*ISNUMBER(Timeline!$J$5:$J$305)*(Timeline!$I$5:$I$305&lt;=D$4+3)*(Timeline!$J$5:$J$305&gt;=D$4+3)),SUMPRODUCT((INDEX(Timeline!$P$5:$AN$305,0,MATCH($A8,Timeline!$P$4:$AN$4,0))="x")*(Timeline!$K$5:$K$305="Task")*ISNUMBER(Timeline!$I$5:$I$305)*ISNUMBER(Timeline!$J$5:$J$305)*(Timeline!$I$5:$I$305&lt;=D$4+4)*(Timeline!$J$5:$J$305&gt;=D$4+4)),SUMPRODUCT((INDEX(Timeline!$P$5:$AN$305,0,MATCH($A8,Timeline!$P$4:$AN$4,0))="x")*(Timeline!$K$5:$K$305="Task")*ISNUMBER(Timeline!$I$5:$I$305)*ISNUMBER(Timeline!$J$5:$J$305)*(Timeline!$I$5:$I$305&lt;=D$4+5)*(Timeline!$J$5:$J$305&gt;=D$4+5)),SUMPRODUCT((INDEX(Timeline!$P$5:$AN$305,0,MATCH($A8,Timeline!$P$4:$AN$4,0))="x")*(Timeline!$K$5:$K$305="Task")*ISNUMBER(Timeline!$I$5:$I$305)*ISNUMBER(Timeline!$J$5:$J$305)*(Timeline!$I$5:$I$305&lt;=D$4+6)*(Timeline!$J$5:$J$305&gt;=D$4+6)))</f>
        <v>0</v>
      </c>
      <c r="E8" s="67">
        <f>MAX(SUMPRODUCT((INDEX(Timeline!$P$5:$AN$305,0,MATCH($A8,Timeline!$P$4:$AN$4,0))="x")*(Timeline!$K$5:$K$305="Task")*ISNUMBER(Timeline!$I$5:$I$305)*ISNUMBER(Timeline!$J$5:$J$305)*(Timeline!$I$5:$I$305&lt;=E$4+0)*(Timeline!$J$5:$J$305&gt;=E$4+0)),SUMPRODUCT((INDEX(Timeline!$P$5:$AN$305,0,MATCH($A8,Timeline!$P$4:$AN$4,0))="x")*(Timeline!$K$5:$K$305="Task")*ISNUMBER(Timeline!$I$5:$I$305)*ISNUMBER(Timeline!$J$5:$J$305)*(Timeline!$I$5:$I$305&lt;=E$4+1)*(Timeline!$J$5:$J$305&gt;=E$4+1)),SUMPRODUCT((INDEX(Timeline!$P$5:$AN$305,0,MATCH($A8,Timeline!$P$4:$AN$4,0))="x")*(Timeline!$K$5:$K$305="Task")*ISNUMBER(Timeline!$I$5:$I$305)*ISNUMBER(Timeline!$J$5:$J$305)*(Timeline!$I$5:$I$305&lt;=E$4+2)*(Timeline!$J$5:$J$305&gt;=E$4+2)),SUMPRODUCT((INDEX(Timeline!$P$5:$AN$305,0,MATCH($A8,Timeline!$P$4:$AN$4,0))="x")*(Timeline!$K$5:$K$305="Task")*ISNUMBER(Timeline!$I$5:$I$305)*ISNUMBER(Timeline!$J$5:$J$305)*(Timeline!$I$5:$I$305&lt;=E$4+3)*(Timeline!$J$5:$J$305&gt;=E$4+3)),SUMPRODUCT((INDEX(Timeline!$P$5:$AN$305,0,MATCH($A8,Timeline!$P$4:$AN$4,0))="x")*(Timeline!$K$5:$K$305="Task")*ISNUMBER(Timeline!$I$5:$I$305)*ISNUMBER(Timeline!$J$5:$J$305)*(Timeline!$I$5:$I$305&lt;=E$4+4)*(Timeline!$J$5:$J$305&gt;=E$4+4)),SUMPRODUCT((INDEX(Timeline!$P$5:$AN$305,0,MATCH($A8,Timeline!$P$4:$AN$4,0))="x")*(Timeline!$K$5:$K$305="Task")*ISNUMBER(Timeline!$I$5:$I$305)*ISNUMBER(Timeline!$J$5:$J$305)*(Timeline!$I$5:$I$305&lt;=E$4+5)*(Timeline!$J$5:$J$305&gt;=E$4+5)),SUMPRODUCT((INDEX(Timeline!$P$5:$AN$305,0,MATCH($A8,Timeline!$P$4:$AN$4,0))="x")*(Timeline!$K$5:$K$305="Task")*ISNUMBER(Timeline!$I$5:$I$305)*ISNUMBER(Timeline!$J$5:$J$305)*(Timeline!$I$5:$I$305&lt;=E$4+6)*(Timeline!$J$5:$J$305&gt;=E$4+6)))</f>
        <v>0</v>
      </c>
      <c r="F8" s="67">
        <f>MAX(SUMPRODUCT((INDEX(Timeline!$P$5:$AN$305,0,MATCH($A8,Timeline!$P$4:$AN$4,0))="x")*(Timeline!$K$5:$K$305="Task")*ISNUMBER(Timeline!$I$5:$I$305)*ISNUMBER(Timeline!$J$5:$J$305)*(Timeline!$I$5:$I$305&lt;=F$4+0)*(Timeline!$J$5:$J$305&gt;=F$4+0)),SUMPRODUCT((INDEX(Timeline!$P$5:$AN$305,0,MATCH($A8,Timeline!$P$4:$AN$4,0))="x")*(Timeline!$K$5:$K$305="Task")*ISNUMBER(Timeline!$I$5:$I$305)*ISNUMBER(Timeline!$J$5:$J$305)*(Timeline!$I$5:$I$305&lt;=F$4+1)*(Timeline!$J$5:$J$305&gt;=F$4+1)),SUMPRODUCT((INDEX(Timeline!$P$5:$AN$305,0,MATCH($A8,Timeline!$P$4:$AN$4,0))="x")*(Timeline!$K$5:$K$305="Task")*ISNUMBER(Timeline!$I$5:$I$305)*ISNUMBER(Timeline!$J$5:$J$305)*(Timeline!$I$5:$I$305&lt;=F$4+2)*(Timeline!$J$5:$J$305&gt;=F$4+2)),SUMPRODUCT((INDEX(Timeline!$P$5:$AN$305,0,MATCH($A8,Timeline!$P$4:$AN$4,0))="x")*(Timeline!$K$5:$K$305="Task")*ISNUMBER(Timeline!$I$5:$I$305)*ISNUMBER(Timeline!$J$5:$J$305)*(Timeline!$I$5:$I$305&lt;=F$4+3)*(Timeline!$J$5:$J$305&gt;=F$4+3)),SUMPRODUCT((INDEX(Timeline!$P$5:$AN$305,0,MATCH($A8,Timeline!$P$4:$AN$4,0))="x")*(Timeline!$K$5:$K$305="Task")*ISNUMBER(Timeline!$I$5:$I$305)*ISNUMBER(Timeline!$J$5:$J$305)*(Timeline!$I$5:$I$305&lt;=F$4+4)*(Timeline!$J$5:$J$305&gt;=F$4+4)),SUMPRODUCT((INDEX(Timeline!$P$5:$AN$305,0,MATCH($A8,Timeline!$P$4:$AN$4,0))="x")*(Timeline!$K$5:$K$305="Task")*ISNUMBER(Timeline!$I$5:$I$305)*ISNUMBER(Timeline!$J$5:$J$305)*(Timeline!$I$5:$I$305&lt;=F$4+5)*(Timeline!$J$5:$J$305&gt;=F$4+5)),SUMPRODUCT((INDEX(Timeline!$P$5:$AN$305,0,MATCH($A8,Timeline!$P$4:$AN$4,0))="x")*(Timeline!$K$5:$K$305="Task")*ISNUMBER(Timeline!$I$5:$I$305)*ISNUMBER(Timeline!$J$5:$J$305)*(Timeline!$I$5:$I$305&lt;=F$4+6)*(Timeline!$J$5:$J$305&gt;=F$4+6)))</f>
        <v>0</v>
      </c>
      <c r="G8" s="67">
        <f>MAX(SUMPRODUCT((INDEX(Timeline!$P$5:$AN$305,0,MATCH($A8,Timeline!$P$4:$AN$4,0))="x")*(Timeline!$K$5:$K$305="Task")*ISNUMBER(Timeline!$I$5:$I$305)*ISNUMBER(Timeline!$J$5:$J$305)*(Timeline!$I$5:$I$305&lt;=G$4+0)*(Timeline!$J$5:$J$305&gt;=G$4+0)),SUMPRODUCT((INDEX(Timeline!$P$5:$AN$305,0,MATCH($A8,Timeline!$P$4:$AN$4,0))="x")*(Timeline!$K$5:$K$305="Task")*ISNUMBER(Timeline!$I$5:$I$305)*ISNUMBER(Timeline!$J$5:$J$305)*(Timeline!$I$5:$I$305&lt;=G$4+1)*(Timeline!$J$5:$J$305&gt;=G$4+1)),SUMPRODUCT((INDEX(Timeline!$P$5:$AN$305,0,MATCH($A8,Timeline!$P$4:$AN$4,0))="x")*(Timeline!$K$5:$K$305="Task")*ISNUMBER(Timeline!$I$5:$I$305)*ISNUMBER(Timeline!$J$5:$J$305)*(Timeline!$I$5:$I$305&lt;=G$4+2)*(Timeline!$J$5:$J$305&gt;=G$4+2)),SUMPRODUCT((INDEX(Timeline!$P$5:$AN$305,0,MATCH($A8,Timeline!$P$4:$AN$4,0))="x")*(Timeline!$K$5:$K$305="Task")*ISNUMBER(Timeline!$I$5:$I$305)*ISNUMBER(Timeline!$J$5:$J$305)*(Timeline!$I$5:$I$305&lt;=G$4+3)*(Timeline!$J$5:$J$305&gt;=G$4+3)),SUMPRODUCT((INDEX(Timeline!$P$5:$AN$305,0,MATCH($A8,Timeline!$P$4:$AN$4,0))="x")*(Timeline!$K$5:$K$305="Task")*ISNUMBER(Timeline!$I$5:$I$305)*ISNUMBER(Timeline!$J$5:$J$305)*(Timeline!$I$5:$I$305&lt;=G$4+4)*(Timeline!$J$5:$J$305&gt;=G$4+4)),SUMPRODUCT((INDEX(Timeline!$P$5:$AN$305,0,MATCH($A8,Timeline!$P$4:$AN$4,0))="x")*(Timeline!$K$5:$K$305="Task")*ISNUMBER(Timeline!$I$5:$I$305)*ISNUMBER(Timeline!$J$5:$J$305)*(Timeline!$I$5:$I$305&lt;=G$4+5)*(Timeline!$J$5:$J$305&gt;=G$4+5)),SUMPRODUCT((INDEX(Timeline!$P$5:$AN$305,0,MATCH($A8,Timeline!$P$4:$AN$4,0))="x")*(Timeline!$K$5:$K$305="Task")*ISNUMBER(Timeline!$I$5:$I$305)*ISNUMBER(Timeline!$J$5:$J$305)*(Timeline!$I$5:$I$305&lt;=G$4+6)*(Timeline!$J$5:$J$305&gt;=G$4+6)))</f>
        <v>1</v>
      </c>
      <c r="H8" s="67">
        <f>MAX(SUMPRODUCT((INDEX(Timeline!$P$5:$AN$305,0,MATCH($A8,Timeline!$P$4:$AN$4,0))="x")*(Timeline!$K$5:$K$305="Task")*ISNUMBER(Timeline!$I$5:$I$305)*ISNUMBER(Timeline!$J$5:$J$305)*(Timeline!$I$5:$I$305&lt;=H$4+0)*(Timeline!$J$5:$J$305&gt;=H$4+0)),SUMPRODUCT((INDEX(Timeline!$P$5:$AN$305,0,MATCH($A8,Timeline!$P$4:$AN$4,0))="x")*(Timeline!$K$5:$K$305="Task")*ISNUMBER(Timeline!$I$5:$I$305)*ISNUMBER(Timeline!$J$5:$J$305)*(Timeline!$I$5:$I$305&lt;=H$4+1)*(Timeline!$J$5:$J$305&gt;=H$4+1)),SUMPRODUCT((INDEX(Timeline!$P$5:$AN$305,0,MATCH($A8,Timeline!$P$4:$AN$4,0))="x")*(Timeline!$K$5:$K$305="Task")*ISNUMBER(Timeline!$I$5:$I$305)*ISNUMBER(Timeline!$J$5:$J$305)*(Timeline!$I$5:$I$305&lt;=H$4+2)*(Timeline!$J$5:$J$305&gt;=H$4+2)),SUMPRODUCT((INDEX(Timeline!$P$5:$AN$305,0,MATCH($A8,Timeline!$P$4:$AN$4,0))="x")*(Timeline!$K$5:$K$305="Task")*ISNUMBER(Timeline!$I$5:$I$305)*ISNUMBER(Timeline!$J$5:$J$305)*(Timeline!$I$5:$I$305&lt;=H$4+3)*(Timeline!$J$5:$J$305&gt;=H$4+3)),SUMPRODUCT((INDEX(Timeline!$P$5:$AN$305,0,MATCH($A8,Timeline!$P$4:$AN$4,0))="x")*(Timeline!$K$5:$K$305="Task")*ISNUMBER(Timeline!$I$5:$I$305)*ISNUMBER(Timeline!$J$5:$J$305)*(Timeline!$I$5:$I$305&lt;=H$4+4)*(Timeline!$J$5:$J$305&gt;=H$4+4)),SUMPRODUCT((INDEX(Timeline!$P$5:$AN$305,0,MATCH($A8,Timeline!$P$4:$AN$4,0))="x")*(Timeline!$K$5:$K$305="Task")*ISNUMBER(Timeline!$I$5:$I$305)*ISNUMBER(Timeline!$J$5:$J$305)*(Timeline!$I$5:$I$305&lt;=H$4+5)*(Timeline!$J$5:$J$305&gt;=H$4+5)),SUMPRODUCT((INDEX(Timeline!$P$5:$AN$305,0,MATCH($A8,Timeline!$P$4:$AN$4,0))="x")*(Timeline!$K$5:$K$305="Task")*ISNUMBER(Timeline!$I$5:$I$305)*ISNUMBER(Timeline!$J$5:$J$305)*(Timeline!$I$5:$I$305&lt;=H$4+6)*(Timeline!$J$5:$J$305&gt;=H$4+6)))</f>
        <v>1</v>
      </c>
      <c r="I8" s="67">
        <f>MAX(SUMPRODUCT((INDEX(Timeline!$P$5:$AN$305,0,MATCH($A8,Timeline!$P$4:$AN$4,0))="x")*(Timeline!$K$5:$K$305="Task")*ISNUMBER(Timeline!$I$5:$I$305)*ISNUMBER(Timeline!$J$5:$J$305)*(Timeline!$I$5:$I$305&lt;=I$4+0)*(Timeline!$J$5:$J$305&gt;=I$4+0)),SUMPRODUCT((INDEX(Timeline!$P$5:$AN$305,0,MATCH($A8,Timeline!$P$4:$AN$4,0))="x")*(Timeline!$K$5:$K$305="Task")*ISNUMBER(Timeline!$I$5:$I$305)*ISNUMBER(Timeline!$J$5:$J$305)*(Timeline!$I$5:$I$305&lt;=I$4+1)*(Timeline!$J$5:$J$305&gt;=I$4+1)),SUMPRODUCT((INDEX(Timeline!$P$5:$AN$305,0,MATCH($A8,Timeline!$P$4:$AN$4,0))="x")*(Timeline!$K$5:$K$305="Task")*ISNUMBER(Timeline!$I$5:$I$305)*ISNUMBER(Timeline!$J$5:$J$305)*(Timeline!$I$5:$I$305&lt;=I$4+2)*(Timeline!$J$5:$J$305&gt;=I$4+2)),SUMPRODUCT((INDEX(Timeline!$P$5:$AN$305,0,MATCH($A8,Timeline!$P$4:$AN$4,0))="x")*(Timeline!$K$5:$K$305="Task")*ISNUMBER(Timeline!$I$5:$I$305)*ISNUMBER(Timeline!$J$5:$J$305)*(Timeline!$I$5:$I$305&lt;=I$4+3)*(Timeline!$J$5:$J$305&gt;=I$4+3)),SUMPRODUCT((INDEX(Timeline!$P$5:$AN$305,0,MATCH($A8,Timeline!$P$4:$AN$4,0))="x")*(Timeline!$K$5:$K$305="Task")*ISNUMBER(Timeline!$I$5:$I$305)*ISNUMBER(Timeline!$J$5:$J$305)*(Timeline!$I$5:$I$305&lt;=I$4+4)*(Timeline!$J$5:$J$305&gt;=I$4+4)),SUMPRODUCT((INDEX(Timeline!$P$5:$AN$305,0,MATCH($A8,Timeline!$P$4:$AN$4,0))="x")*(Timeline!$K$5:$K$305="Task")*ISNUMBER(Timeline!$I$5:$I$305)*ISNUMBER(Timeline!$J$5:$J$305)*(Timeline!$I$5:$I$305&lt;=I$4+5)*(Timeline!$J$5:$J$305&gt;=I$4+5)),SUMPRODUCT((INDEX(Timeline!$P$5:$AN$305,0,MATCH($A8,Timeline!$P$4:$AN$4,0))="x")*(Timeline!$K$5:$K$305="Task")*ISNUMBER(Timeline!$I$5:$I$305)*ISNUMBER(Timeline!$J$5:$J$305)*(Timeline!$I$5:$I$305&lt;=I$4+6)*(Timeline!$J$5:$J$305&gt;=I$4+6)))</f>
        <v>1</v>
      </c>
      <c r="J8" s="67">
        <f>MAX(SUMPRODUCT((INDEX(Timeline!$P$5:$AN$305,0,MATCH($A8,Timeline!$P$4:$AN$4,0))="x")*(Timeline!$K$5:$K$305="Task")*ISNUMBER(Timeline!$I$5:$I$305)*ISNUMBER(Timeline!$J$5:$J$305)*(Timeline!$I$5:$I$305&lt;=J$4+0)*(Timeline!$J$5:$J$305&gt;=J$4+0)),SUMPRODUCT((INDEX(Timeline!$P$5:$AN$305,0,MATCH($A8,Timeline!$P$4:$AN$4,0))="x")*(Timeline!$K$5:$K$305="Task")*ISNUMBER(Timeline!$I$5:$I$305)*ISNUMBER(Timeline!$J$5:$J$305)*(Timeline!$I$5:$I$305&lt;=J$4+1)*(Timeline!$J$5:$J$305&gt;=J$4+1)),SUMPRODUCT((INDEX(Timeline!$P$5:$AN$305,0,MATCH($A8,Timeline!$P$4:$AN$4,0))="x")*(Timeline!$K$5:$K$305="Task")*ISNUMBER(Timeline!$I$5:$I$305)*ISNUMBER(Timeline!$J$5:$J$305)*(Timeline!$I$5:$I$305&lt;=J$4+2)*(Timeline!$J$5:$J$305&gt;=J$4+2)),SUMPRODUCT((INDEX(Timeline!$P$5:$AN$305,0,MATCH($A8,Timeline!$P$4:$AN$4,0))="x")*(Timeline!$K$5:$K$305="Task")*ISNUMBER(Timeline!$I$5:$I$305)*ISNUMBER(Timeline!$J$5:$J$305)*(Timeline!$I$5:$I$305&lt;=J$4+3)*(Timeline!$J$5:$J$305&gt;=J$4+3)),SUMPRODUCT((INDEX(Timeline!$P$5:$AN$305,0,MATCH($A8,Timeline!$P$4:$AN$4,0))="x")*(Timeline!$K$5:$K$305="Task")*ISNUMBER(Timeline!$I$5:$I$305)*ISNUMBER(Timeline!$J$5:$J$305)*(Timeline!$I$5:$I$305&lt;=J$4+4)*(Timeline!$J$5:$J$305&gt;=J$4+4)),SUMPRODUCT((INDEX(Timeline!$P$5:$AN$305,0,MATCH($A8,Timeline!$P$4:$AN$4,0))="x")*(Timeline!$K$5:$K$305="Task")*ISNUMBER(Timeline!$I$5:$I$305)*ISNUMBER(Timeline!$J$5:$J$305)*(Timeline!$I$5:$I$305&lt;=J$4+5)*(Timeline!$J$5:$J$305&gt;=J$4+5)),SUMPRODUCT((INDEX(Timeline!$P$5:$AN$305,0,MATCH($A8,Timeline!$P$4:$AN$4,0))="x")*(Timeline!$K$5:$K$305="Task")*ISNUMBER(Timeline!$I$5:$I$305)*ISNUMBER(Timeline!$J$5:$J$305)*(Timeline!$I$5:$I$305&lt;=J$4+6)*(Timeline!$J$5:$J$305&gt;=J$4+6)))</f>
        <v>1</v>
      </c>
      <c r="K8" s="67">
        <f>MAX(SUMPRODUCT((INDEX(Timeline!$P$5:$AN$305,0,MATCH($A8,Timeline!$P$4:$AN$4,0))="x")*(Timeline!$K$5:$K$305="Task")*ISNUMBER(Timeline!$I$5:$I$305)*ISNUMBER(Timeline!$J$5:$J$305)*(Timeline!$I$5:$I$305&lt;=K$4+0)*(Timeline!$J$5:$J$305&gt;=K$4+0)),SUMPRODUCT((INDEX(Timeline!$P$5:$AN$305,0,MATCH($A8,Timeline!$P$4:$AN$4,0))="x")*(Timeline!$K$5:$K$305="Task")*ISNUMBER(Timeline!$I$5:$I$305)*ISNUMBER(Timeline!$J$5:$J$305)*(Timeline!$I$5:$I$305&lt;=K$4+1)*(Timeline!$J$5:$J$305&gt;=K$4+1)),SUMPRODUCT((INDEX(Timeline!$P$5:$AN$305,0,MATCH($A8,Timeline!$P$4:$AN$4,0))="x")*(Timeline!$K$5:$K$305="Task")*ISNUMBER(Timeline!$I$5:$I$305)*ISNUMBER(Timeline!$J$5:$J$305)*(Timeline!$I$5:$I$305&lt;=K$4+2)*(Timeline!$J$5:$J$305&gt;=K$4+2)),SUMPRODUCT((INDEX(Timeline!$P$5:$AN$305,0,MATCH($A8,Timeline!$P$4:$AN$4,0))="x")*(Timeline!$K$5:$K$305="Task")*ISNUMBER(Timeline!$I$5:$I$305)*ISNUMBER(Timeline!$J$5:$J$305)*(Timeline!$I$5:$I$305&lt;=K$4+3)*(Timeline!$J$5:$J$305&gt;=K$4+3)),SUMPRODUCT((INDEX(Timeline!$P$5:$AN$305,0,MATCH($A8,Timeline!$P$4:$AN$4,0))="x")*(Timeline!$K$5:$K$305="Task")*ISNUMBER(Timeline!$I$5:$I$305)*ISNUMBER(Timeline!$J$5:$J$305)*(Timeline!$I$5:$I$305&lt;=K$4+4)*(Timeline!$J$5:$J$305&gt;=K$4+4)),SUMPRODUCT((INDEX(Timeline!$P$5:$AN$305,0,MATCH($A8,Timeline!$P$4:$AN$4,0))="x")*(Timeline!$K$5:$K$305="Task")*ISNUMBER(Timeline!$I$5:$I$305)*ISNUMBER(Timeline!$J$5:$J$305)*(Timeline!$I$5:$I$305&lt;=K$4+5)*(Timeline!$J$5:$J$305&gt;=K$4+5)),SUMPRODUCT((INDEX(Timeline!$P$5:$AN$305,0,MATCH($A8,Timeline!$P$4:$AN$4,0))="x")*(Timeline!$K$5:$K$305="Task")*ISNUMBER(Timeline!$I$5:$I$305)*ISNUMBER(Timeline!$J$5:$J$305)*(Timeline!$I$5:$I$305&lt;=K$4+6)*(Timeline!$J$5:$J$305&gt;=K$4+6)))</f>
        <v>1</v>
      </c>
      <c r="L8" s="67">
        <f>MAX(SUMPRODUCT((INDEX(Timeline!$P$5:$AN$305,0,MATCH($A8,Timeline!$P$4:$AN$4,0))="x")*(Timeline!$K$5:$K$305="Task")*ISNUMBER(Timeline!$I$5:$I$305)*ISNUMBER(Timeline!$J$5:$J$305)*(Timeline!$I$5:$I$305&lt;=L$4+0)*(Timeline!$J$5:$J$305&gt;=L$4+0)),SUMPRODUCT((INDEX(Timeline!$P$5:$AN$305,0,MATCH($A8,Timeline!$P$4:$AN$4,0))="x")*(Timeline!$K$5:$K$305="Task")*ISNUMBER(Timeline!$I$5:$I$305)*ISNUMBER(Timeline!$J$5:$J$305)*(Timeline!$I$5:$I$305&lt;=L$4+1)*(Timeline!$J$5:$J$305&gt;=L$4+1)),SUMPRODUCT((INDEX(Timeline!$P$5:$AN$305,0,MATCH($A8,Timeline!$P$4:$AN$4,0))="x")*(Timeline!$K$5:$K$305="Task")*ISNUMBER(Timeline!$I$5:$I$305)*ISNUMBER(Timeline!$J$5:$J$305)*(Timeline!$I$5:$I$305&lt;=L$4+2)*(Timeline!$J$5:$J$305&gt;=L$4+2)),SUMPRODUCT((INDEX(Timeline!$P$5:$AN$305,0,MATCH($A8,Timeline!$P$4:$AN$4,0))="x")*(Timeline!$K$5:$K$305="Task")*ISNUMBER(Timeline!$I$5:$I$305)*ISNUMBER(Timeline!$J$5:$J$305)*(Timeline!$I$5:$I$305&lt;=L$4+3)*(Timeline!$J$5:$J$305&gt;=L$4+3)),SUMPRODUCT((INDEX(Timeline!$P$5:$AN$305,0,MATCH($A8,Timeline!$P$4:$AN$4,0))="x")*(Timeline!$K$5:$K$305="Task")*ISNUMBER(Timeline!$I$5:$I$305)*ISNUMBER(Timeline!$J$5:$J$305)*(Timeline!$I$5:$I$305&lt;=L$4+4)*(Timeline!$J$5:$J$305&gt;=L$4+4)),SUMPRODUCT((INDEX(Timeline!$P$5:$AN$305,0,MATCH($A8,Timeline!$P$4:$AN$4,0))="x")*(Timeline!$K$5:$K$305="Task")*ISNUMBER(Timeline!$I$5:$I$305)*ISNUMBER(Timeline!$J$5:$J$305)*(Timeline!$I$5:$I$305&lt;=L$4+5)*(Timeline!$J$5:$J$305&gt;=L$4+5)),SUMPRODUCT((INDEX(Timeline!$P$5:$AN$305,0,MATCH($A8,Timeline!$P$4:$AN$4,0))="x")*(Timeline!$K$5:$K$305="Task")*ISNUMBER(Timeline!$I$5:$I$305)*ISNUMBER(Timeline!$J$5:$J$305)*(Timeline!$I$5:$I$305&lt;=L$4+6)*(Timeline!$J$5:$J$305&gt;=L$4+6)))</f>
        <v>1</v>
      </c>
      <c r="M8" s="67">
        <f>MAX(SUMPRODUCT((INDEX(Timeline!$P$5:$AN$305,0,MATCH($A8,Timeline!$P$4:$AN$4,0))="x")*(Timeline!$K$5:$K$305="Task")*ISNUMBER(Timeline!$I$5:$I$305)*ISNUMBER(Timeline!$J$5:$J$305)*(Timeline!$I$5:$I$305&lt;=M$4+0)*(Timeline!$J$5:$J$305&gt;=M$4+0)),SUMPRODUCT((INDEX(Timeline!$P$5:$AN$305,0,MATCH($A8,Timeline!$P$4:$AN$4,0))="x")*(Timeline!$K$5:$K$305="Task")*ISNUMBER(Timeline!$I$5:$I$305)*ISNUMBER(Timeline!$J$5:$J$305)*(Timeline!$I$5:$I$305&lt;=M$4+1)*(Timeline!$J$5:$J$305&gt;=M$4+1)),SUMPRODUCT((INDEX(Timeline!$P$5:$AN$305,0,MATCH($A8,Timeline!$P$4:$AN$4,0))="x")*(Timeline!$K$5:$K$305="Task")*ISNUMBER(Timeline!$I$5:$I$305)*ISNUMBER(Timeline!$J$5:$J$305)*(Timeline!$I$5:$I$305&lt;=M$4+2)*(Timeline!$J$5:$J$305&gt;=M$4+2)),SUMPRODUCT((INDEX(Timeline!$P$5:$AN$305,0,MATCH($A8,Timeline!$P$4:$AN$4,0))="x")*(Timeline!$K$5:$K$305="Task")*ISNUMBER(Timeline!$I$5:$I$305)*ISNUMBER(Timeline!$J$5:$J$305)*(Timeline!$I$5:$I$305&lt;=M$4+3)*(Timeline!$J$5:$J$305&gt;=M$4+3)),SUMPRODUCT((INDEX(Timeline!$P$5:$AN$305,0,MATCH($A8,Timeline!$P$4:$AN$4,0))="x")*(Timeline!$K$5:$K$305="Task")*ISNUMBER(Timeline!$I$5:$I$305)*ISNUMBER(Timeline!$J$5:$J$305)*(Timeline!$I$5:$I$305&lt;=M$4+4)*(Timeline!$J$5:$J$305&gt;=M$4+4)),SUMPRODUCT((INDEX(Timeline!$P$5:$AN$305,0,MATCH($A8,Timeline!$P$4:$AN$4,0))="x")*(Timeline!$K$5:$K$305="Task")*ISNUMBER(Timeline!$I$5:$I$305)*ISNUMBER(Timeline!$J$5:$J$305)*(Timeline!$I$5:$I$305&lt;=M$4+5)*(Timeline!$J$5:$J$305&gt;=M$4+5)),SUMPRODUCT((INDEX(Timeline!$P$5:$AN$305,0,MATCH($A8,Timeline!$P$4:$AN$4,0))="x")*(Timeline!$K$5:$K$305="Task")*ISNUMBER(Timeline!$I$5:$I$305)*ISNUMBER(Timeline!$J$5:$J$305)*(Timeline!$I$5:$I$305&lt;=M$4+6)*(Timeline!$J$5:$J$305&gt;=M$4+6)))</f>
        <v>1</v>
      </c>
      <c r="N8" s="67">
        <f>MAX(SUMPRODUCT((INDEX(Timeline!$P$5:$AN$305,0,MATCH($A8,Timeline!$P$4:$AN$4,0))="x")*(Timeline!$K$5:$K$305="Task")*ISNUMBER(Timeline!$I$5:$I$305)*ISNUMBER(Timeline!$J$5:$J$305)*(Timeline!$I$5:$I$305&lt;=N$4+0)*(Timeline!$J$5:$J$305&gt;=N$4+0)),SUMPRODUCT((INDEX(Timeline!$P$5:$AN$305,0,MATCH($A8,Timeline!$P$4:$AN$4,0))="x")*(Timeline!$K$5:$K$305="Task")*ISNUMBER(Timeline!$I$5:$I$305)*ISNUMBER(Timeline!$J$5:$J$305)*(Timeline!$I$5:$I$305&lt;=N$4+1)*(Timeline!$J$5:$J$305&gt;=N$4+1)),SUMPRODUCT((INDEX(Timeline!$P$5:$AN$305,0,MATCH($A8,Timeline!$P$4:$AN$4,0))="x")*(Timeline!$K$5:$K$305="Task")*ISNUMBER(Timeline!$I$5:$I$305)*ISNUMBER(Timeline!$J$5:$J$305)*(Timeline!$I$5:$I$305&lt;=N$4+2)*(Timeline!$J$5:$J$305&gt;=N$4+2)),SUMPRODUCT((INDEX(Timeline!$P$5:$AN$305,0,MATCH($A8,Timeline!$P$4:$AN$4,0))="x")*(Timeline!$K$5:$K$305="Task")*ISNUMBER(Timeline!$I$5:$I$305)*ISNUMBER(Timeline!$J$5:$J$305)*(Timeline!$I$5:$I$305&lt;=N$4+3)*(Timeline!$J$5:$J$305&gt;=N$4+3)),SUMPRODUCT((INDEX(Timeline!$P$5:$AN$305,0,MATCH($A8,Timeline!$P$4:$AN$4,0))="x")*(Timeline!$K$5:$K$305="Task")*ISNUMBER(Timeline!$I$5:$I$305)*ISNUMBER(Timeline!$J$5:$J$305)*(Timeline!$I$5:$I$305&lt;=N$4+4)*(Timeline!$J$5:$J$305&gt;=N$4+4)),SUMPRODUCT((INDEX(Timeline!$P$5:$AN$305,0,MATCH($A8,Timeline!$P$4:$AN$4,0))="x")*(Timeline!$K$5:$K$305="Task")*ISNUMBER(Timeline!$I$5:$I$305)*ISNUMBER(Timeline!$J$5:$J$305)*(Timeline!$I$5:$I$305&lt;=N$4+5)*(Timeline!$J$5:$J$305&gt;=N$4+5)),SUMPRODUCT((INDEX(Timeline!$P$5:$AN$305,0,MATCH($A8,Timeline!$P$4:$AN$4,0))="x")*(Timeline!$K$5:$K$305="Task")*ISNUMBER(Timeline!$I$5:$I$305)*ISNUMBER(Timeline!$J$5:$J$305)*(Timeline!$I$5:$I$305&lt;=N$4+6)*(Timeline!$J$5:$J$305&gt;=N$4+6)))</f>
        <v>1</v>
      </c>
      <c r="O8" s="67">
        <f>MAX(SUMPRODUCT((INDEX(Timeline!$P$5:$AN$305,0,MATCH($A8,Timeline!$P$4:$AN$4,0))="x")*(Timeline!$K$5:$K$305="Task")*ISNUMBER(Timeline!$I$5:$I$305)*ISNUMBER(Timeline!$J$5:$J$305)*(Timeline!$I$5:$I$305&lt;=O$4+0)*(Timeline!$J$5:$J$305&gt;=O$4+0)),SUMPRODUCT((INDEX(Timeline!$P$5:$AN$305,0,MATCH($A8,Timeline!$P$4:$AN$4,0))="x")*(Timeline!$K$5:$K$305="Task")*ISNUMBER(Timeline!$I$5:$I$305)*ISNUMBER(Timeline!$J$5:$J$305)*(Timeline!$I$5:$I$305&lt;=O$4+1)*(Timeline!$J$5:$J$305&gt;=O$4+1)),SUMPRODUCT((INDEX(Timeline!$P$5:$AN$305,0,MATCH($A8,Timeline!$P$4:$AN$4,0))="x")*(Timeline!$K$5:$K$305="Task")*ISNUMBER(Timeline!$I$5:$I$305)*ISNUMBER(Timeline!$J$5:$J$305)*(Timeline!$I$5:$I$305&lt;=O$4+2)*(Timeline!$J$5:$J$305&gt;=O$4+2)),SUMPRODUCT((INDEX(Timeline!$P$5:$AN$305,0,MATCH($A8,Timeline!$P$4:$AN$4,0))="x")*(Timeline!$K$5:$K$305="Task")*ISNUMBER(Timeline!$I$5:$I$305)*ISNUMBER(Timeline!$J$5:$J$305)*(Timeline!$I$5:$I$305&lt;=O$4+3)*(Timeline!$J$5:$J$305&gt;=O$4+3)),SUMPRODUCT((INDEX(Timeline!$P$5:$AN$305,0,MATCH($A8,Timeline!$P$4:$AN$4,0))="x")*(Timeline!$K$5:$K$305="Task")*ISNUMBER(Timeline!$I$5:$I$305)*ISNUMBER(Timeline!$J$5:$J$305)*(Timeline!$I$5:$I$305&lt;=O$4+4)*(Timeline!$J$5:$J$305&gt;=O$4+4)),SUMPRODUCT((INDEX(Timeline!$P$5:$AN$305,0,MATCH($A8,Timeline!$P$4:$AN$4,0))="x")*(Timeline!$K$5:$K$305="Task")*ISNUMBER(Timeline!$I$5:$I$305)*ISNUMBER(Timeline!$J$5:$J$305)*(Timeline!$I$5:$I$305&lt;=O$4+5)*(Timeline!$J$5:$J$305&gt;=O$4+5)),SUMPRODUCT((INDEX(Timeline!$P$5:$AN$305,0,MATCH($A8,Timeline!$P$4:$AN$4,0))="x")*(Timeline!$K$5:$K$305="Task")*ISNUMBER(Timeline!$I$5:$I$305)*ISNUMBER(Timeline!$J$5:$J$305)*(Timeline!$I$5:$I$305&lt;=O$4+6)*(Timeline!$J$5:$J$305&gt;=O$4+6)))</f>
        <v>1</v>
      </c>
      <c r="P8" s="67">
        <f>MAX(SUMPRODUCT((INDEX(Timeline!$P$5:$AN$305,0,MATCH($A8,Timeline!$P$4:$AN$4,0))="x")*(Timeline!$K$5:$K$305="Task")*ISNUMBER(Timeline!$I$5:$I$305)*ISNUMBER(Timeline!$J$5:$J$305)*(Timeline!$I$5:$I$305&lt;=P$4+0)*(Timeline!$J$5:$J$305&gt;=P$4+0)),SUMPRODUCT((INDEX(Timeline!$P$5:$AN$305,0,MATCH($A8,Timeline!$P$4:$AN$4,0))="x")*(Timeline!$K$5:$K$305="Task")*ISNUMBER(Timeline!$I$5:$I$305)*ISNUMBER(Timeline!$J$5:$J$305)*(Timeline!$I$5:$I$305&lt;=P$4+1)*(Timeline!$J$5:$J$305&gt;=P$4+1)),SUMPRODUCT((INDEX(Timeline!$P$5:$AN$305,0,MATCH($A8,Timeline!$P$4:$AN$4,0))="x")*(Timeline!$K$5:$K$305="Task")*ISNUMBER(Timeline!$I$5:$I$305)*ISNUMBER(Timeline!$J$5:$J$305)*(Timeline!$I$5:$I$305&lt;=P$4+2)*(Timeline!$J$5:$J$305&gt;=P$4+2)),SUMPRODUCT((INDEX(Timeline!$P$5:$AN$305,0,MATCH($A8,Timeline!$P$4:$AN$4,0))="x")*(Timeline!$K$5:$K$305="Task")*ISNUMBER(Timeline!$I$5:$I$305)*ISNUMBER(Timeline!$J$5:$J$305)*(Timeline!$I$5:$I$305&lt;=P$4+3)*(Timeline!$J$5:$J$305&gt;=P$4+3)),SUMPRODUCT((INDEX(Timeline!$P$5:$AN$305,0,MATCH($A8,Timeline!$P$4:$AN$4,0))="x")*(Timeline!$K$5:$K$305="Task")*ISNUMBER(Timeline!$I$5:$I$305)*ISNUMBER(Timeline!$J$5:$J$305)*(Timeline!$I$5:$I$305&lt;=P$4+4)*(Timeline!$J$5:$J$305&gt;=P$4+4)),SUMPRODUCT((INDEX(Timeline!$P$5:$AN$305,0,MATCH($A8,Timeline!$P$4:$AN$4,0))="x")*(Timeline!$K$5:$K$305="Task")*ISNUMBER(Timeline!$I$5:$I$305)*ISNUMBER(Timeline!$J$5:$J$305)*(Timeline!$I$5:$I$305&lt;=P$4+5)*(Timeline!$J$5:$J$305&gt;=P$4+5)),SUMPRODUCT((INDEX(Timeline!$P$5:$AN$305,0,MATCH($A8,Timeline!$P$4:$AN$4,0))="x")*(Timeline!$K$5:$K$305="Task")*ISNUMBER(Timeline!$I$5:$I$305)*ISNUMBER(Timeline!$J$5:$J$305)*(Timeline!$I$5:$I$305&lt;=P$4+6)*(Timeline!$J$5:$J$305&gt;=P$4+6)))</f>
        <v>1</v>
      </c>
      <c r="Q8" s="67">
        <f>MAX(SUMPRODUCT((INDEX(Timeline!$P$5:$AN$305,0,MATCH($A8,Timeline!$P$4:$AN$4,0))="x")*(Timeline!$K$5:$K$305="Task")*ISNUMBER(Timeline!$I$5:$I$305)*ISNUMBER(Timeline!$J$5:$J$305)*(Timeline!$I$5:$I$305&lt;=Q$4+0)*(Timeline!$J$5:$J$305&gt;=Q$4+0)),SUMPRODUCT((INDEX(Timeline!$P$5:$AN$305,0,MATCH($A8,Timeline!$P$4:$AN$4,0))="x")*(Timeline!$K$5:$K$305="Task")*ISNUMBER(Timeline!$I$5:$I$305)*ISNUMBER(Timeline!$J$5:$J$305)*(Timeline!$I$5:$I$305&lt;=Q$4+1)*(Timeline!$J$5:$J$305&gt;=Q$4+1)),SUMPRODUCT((INDEX(Timeline!$P$5:$AN$305,0,MATCH($A8,Timeline!$P$4:$AN$4,0))="x")*(Timeline!$K$5:$K$305="Task")*ISNUMBER(Timeline!$I$5:$I$305)*ISNUMBER(Timeline!$J$5:$J$305)*(Timeline!$I$5:$I$305&lt;=Q$4+2)*(Timeline!$J$5:$J$305&gt;=Q$4+2)),SUMPRODUCT((INDEX(Timeline!$P$5:$AN$305,0,MATCH($A8,Timeline!$P$4:$AN$4,0))="x")*(Timeline!$K$5:$K$305="Task")*ISNUMBER(Timeline!$I$5:$I$305)*ISNUMBER(Timeline!$J$5:$J$305)*(Timeline!$I$5:$I$305&lt;=Q$4+3)*(Timeline!$J$5:$J$305&gt;=Q$4+3)),SUMPRODUCT((INDEX(Timeline!$P$5:$AN$305,0,MATCH($A8,Timeline!$P$4:$AN$4,0))="x")*(Timeline!$K$5:$K$305="Task")*ISNUMBER(Timeline!$I$5:$I$305)*ISNUMBER(Timeline!$J$5:$J$305)*(Timeline!$I$5:$I$305&lt;=Q$4+4)*(Timeline!$J$5:$J$305&gt;=Q$4+4)),SUMPRODUCT((INDEX(Timeline!$P$5:$AN$305,0,MATCH($A8,Timeline!$P$4:$AN$4,0))="x")*(Timeline!$K$5:$K$305="Task")*ISNUMBER(Timeline!$I$5:$I$305)*ISNUMBER(Timeline!$J$5:$J$305)*(Timeline!$I$5:$I$305&lt;=Q$4+5)*(Timeline!$J$5:$J$305&gt;=Q$4+5)),SUMPRODUCT((INDEX(Timeline!$P$5:$AN$305,0,MATCH($A8,Timeline!$P$4:$AN$4,0))="x")*(Timeline!$K$5:$K$305="Task")*ISNUMBER(Timeline!$I$5:$I$305)*ISNUMBER(Timeline!$J$5:$J$305)*(Timeline!$I$5:$I$305&lt;=Q$4+6)*(Timeline!$J$5:$J$305&gt;=Q$4+6)))</f>
        <v>1</v>
      </c>
      <c r="R8" s="67">
        <f>MAX(SUMPRODUCT((INDEX(Timeline!$P$5:$AN$305,0,MATCH($A8,Timeline!$P$4:$AN$4,0))="x")*(Timeline!$K$5:$K$305="Task")*ISNUMBER(Timeline!$I$5:$I$305)*ISNUMBER(Timeline!$J$5:$J$305)*(Timeline!$I$5:$I$305&lt;=R$4+0)*(Timeline!$J$5:$J$305&gt;=R$4+0)),SUMPRODUCT((INDEX(Timeline!$P$5:$AN$305,0,MATCH($A8,Timeline!$P$4:$AN$4,0))="x")*(Timeline!$K$5:$K$305="Task")*ISNUMBER(Timeline!$I$5:$I$305)*ISNUMBER(Timeline!$J$5:$J$305)*(Timeline!$I$5:$I$305&lt;=R$4+1)*(Timeline!$J$5:$J$305&gt;=R$4+1)),SUMPRODUCT((INDEX(Timeline!$P$5:$AN$305,0,MATCH($A8,Timeline!$P$4:$AN$4,0))="x")*(Timeline!$K$5:$K$305="Task")*ISNUMBER(Timeline!$I$5:$I$305)*ISNUMBER(Timeline!$J$5:$J$305)*(Timeline!$I$5:$I$305&lt;=R$4+2)*(Timeline!$J$5:$J$305&gt;=R$4+2)),SUMPRODUCT((INDEX(Timeline!$P$5:$AN$305,0,MATCH($A8,Timeline!$P$4:$AN$4,0))="x")*(Timeline!$K$5:$K$305="Task")*ISNUMBER(Timeline!$I$5:$I$305)*ISNUMBER(Timeline!$J$5:$J$305)*(Timeline!$I$5:$I$305&lt;=R$4+3)*(Timeline!$J$5:$J$305&gt;=R$4+3)),SUMPRODUCT((INDEX(Timeline!$P$5:$AN$305,0,MATCH($A8,Timeline!$P$4:$AN$4,0))="x")*(Timeline!$K$5:$K$305="Task")*ISNUMBER(Timeline!$I$5:$I$305)*ISNUMBER(Timeline!$J$5:$J$305)*(Timeline!$I$5:$I$305&lt;=R$4+4)*(Timeline!$J$5:$J$305&gt;=R$4+4)),SUMPRODUCT((INDEX(Timeline!$P$5:$AN$305,0,MATCH($A8,Timeline!$P$4:$AN$4,0))="x")*(Timeline!$K$5:$K$305="Task")*ISNUMBER(Timeline!$I$5:$I$305)*ISNUMBER(Timeline!$J$5:$J$305)*(Timeline!$I$5:$I$305&lt;=R$4+5)*(Timeline!$J$5:$J$305&gt;=R$4+5)),SUMPRODUCT((INDEX(Timeline!$P$5:$AN$305,0,MATCH($A8,Timeline!$P$4:$AN$4,0))="x")*(Timeline!$K$5:$K$305="Task")*ISNUMBER(Timeline!$I$5:$I$305)*ISNUMBER(Timeline!$J$5:$J$305)*(Timeline!$I$5:$I$305&lt;=R$4+6)*(Timeline!$J$5:$J$305&gt;=R$4+6)))</f>
        <v>1</v>
      </c>
      <c r="S8" s="67">
        <f>MAX(SUMPRODUCT((INDEX(Timeline!$P$5:$AN$305,0,MATCH($A8,Timeline!$P$4:$AN$4,0))="x")*(Timeline!$K$5:$K$305="Task")*ISNUMBER(Timeline!$I$5:$I$305)*ISNUMBER(Timeline!$J$5:$J$305)*(Timeline!$I$5:$I$305&lt;=S$4+0)*(Timeline!$J$5:$J$305&gt;=S$4+0)),SUMPRODUCT((INDEX(Timeline!$P$5:$AN$305,0,MATCH($A8,Timeline!$P$4:$AN$4,0))="x")*(Timeline!$K$5:$K$305="Task")*ISNUMBER(Timeline!$I$5:$I$305)*ISNUMBER(Timeline!$J$5:$J$305)*(Timeline!$I$5:$I$305&lt;=S$4+1)*(Timeline!$J$5:$J$305&gt;=S$4+1)),SUMPRODUCT((INDEX(Timeline!$P$5:$AN$305,0,MATCH($A8,Timeline!$P$4:$AN$4,0))="x")*(Timeline!$K$5:$K$305="Task")*ISNUMBER(Timeline!$I$5:$I$305)*ISNUMBER(Timeline!$J$5:$J$305)*(Timeline!$I$5:$I$305&lt;=S$4+2)*(Timeline!$J$5:$J$305&gt;=S$4+2)),SUMPRODUCT((INDEX(Timeline!$P$5:$AN$305,0,MATCH($A8,Timeline!$P$4:$AN$4,0))="x")*(Timeline!$K$5:$K$305="Task")*ISNUMBER(Timeline!$I$5:$I$305)*ISNUMBER(Timeline!$J$5:$J$305)*(Timeline!$I$5:$I$305&lt;=S$4+3)*(Timeline!$J$5:$J$305&gt;=S$4+3)),SUMPRODUCT((INDEX(Timeline!$P$5:$AN$305,0,MATCH($A8,Timeline!$P$4:$AN$4,0))="x")*(Timeline!$K$5:$K$305="Task")*ISNUMBER(Timeline!$I$5:$I$305)*ISNUMBER(Timeline!$J$5:$J$305)*(Timeline!$I$5:$I$305&lt;=S$4+4)*(Timeline!$J$5:$J$305&gt;=S$4+4)),SUMPRODUCT((INDEX(Timeline!$P$5:$AN$305,0,MATCH($A8,Timeline!$P$4:$AN$4,0))="x")*(Timeline!$K$5:$K$305="Task")*ISNUMBER(Timeline!$I$5:$I$305)*ISNUMBER(Timeline!$J$5:$J$305)*(Timeline!$I$5:$I$305&lt;=S$4+5)*(Timeline!$J$5:$J$305&gt;=S$4+5)),SUMPRODUCT((INDEX(Timeline!$P$5:$AN$305,0,MATCH($A8,Timeline!$P$4:$AN$4,0))="x")*(Timeline!$K$5:$K$305="Task")*ISNUMBER(Timeline!$I$5:$I$305)*ISNUMBER(Timeline!$J$5:$J$305)*(Timeline!$I$5:$I$305&lt;=S$4+6)*(Timeline!$J$5:$J$305&gt;=S$4+6)))</f>
        <v>0</v>
      </c>
      <c r="T8" s="67">
        <f>MAX(SUMPRODUCT((INDEX(Timeline!$P$5:$AN$305,0,MATCH($A8,Timeline!$P$4:$AN$4,0))="x")*(Timeline!$K$5:$K$305="Task")*ISNUMBER(Timeline!$I$5:$I$305)*ISNUMBER(Timeline!$J$5:$J$305)*(Timeline!$I$5:$I$305&lt;=T$4+0)*(Timeline!$J$5:$J$305&gt;=T$4+0)),SUMPRODUCT((INDEX(Timeline!$P$5:$AN$305,0,MATCH($A8,Timeline!$P$4:$AN$4,0))="x")*(Timeline!$K$5:$K$305="Task")*ISNUMBER(Timeline!$I$5:$I$305)*ISNUMBER(Timeline!$J$5:$J$305)*(Timeline!$I$5:$I$305&lt;=T$4+1)*(Timeline!$J$5:$J$305&gt;=T$4+1)),SUMPRODUCT((INDEX(Timeline!$P$5:$AN$305,0,MATCH($A8,Timeline!$P$4:$AN$4,0))="x")*(Timeline!$K$5:$K$305="Task")*ISNUMBER(Timeline!$I$5:$I$305)*ISNUMBER(Timeline!$J$5:$J$305)*(Timeline!$I$5:$I$305&lt;=T$4+2)*(Timeline!$J$5:$J$305&gt;=T$4+2)),SUMPRODUCT((INDEX(Timeline!$P$5:$AN$305,0,MATCH($A8,Timeline!$P$4:$AN$4,0))="x")*(Timeline!$K$5:$K$305="Task")*ISNUMBER(Timeline!$I$5:$I$305)*ISNUMBER(Timeline!$J$5:$J$305)*(Timeline!$I$5:$I$305&lt;=T$4+3)*(Timeline!$J$5:$J$305&gt;=T$4+3)),SUMPRODUCT((INDEX(Timeline!$P$5:$AN$305,0,MATCH($A8,Timeline!$P$4:$AN$4,0))="x")*(Timeline!$K$5:$K$305="Task")*ISNUMBER(Timeline!$I$5:$I$305)*ISNUMBER(Timeline!$J$5:$J$305)*(Timeline!$I$5:$I$305&lt;=T$4+4)*(Timeline!$J$5:$J$305&gt;=T$4+4)),SUMPRODUCT((INDEX(Timeline!$P$5:$AN$305,0,MATCH($A8,Timeline!$P$4:$AN$4,0))="x")*(Timeline!$K$5:$K$305="Task")*ISNUMBER(Timeline!$I$5:$I$305)*ISNUMBER(Timeline!$J$5:$J$305)*(Timeline!$I$5:$I$305&lt;=T$4+5)*(Timeline!$J$5:$J$305&gt;=T$4+5)),SUMPRODUCT((INDEX(Timeline!$P$5:$AN$305,0,MATCH($A8,Timeline!$P$4:$AN$4,0))="x")*(Timeline!$K$5:$K$305="Task")*ISNUMBER(Timeline!$I$5:$I$305)*ISNUMBER(Timeline!$J$5:$J$305)*(Timeline!$I$5:$I$305&lt;=T$4+6)*(Timeline!$J$5:$J$305&gt;=T$4+6)))</f>
        <v>0</v>
      </c>
      <c r="U8" s="67">
        <f>MAX(SUMPRODUCT((INDEX(Timeline!$P$5:$AN$305,0,MATCH($A8,Timeline!$P$4:$AN$4,0))="x")*(Timeline!$K$5:$K$305="Task")*ISNUMBER(Timeline!$I$5:$I$305)*ISNUMBER(Timeline!$J$5:$J$305)*(Timeline!$I$5:$I$305&lt;=U$4+0)*(Timeline!$J$5:$J$305&gt;=U$4+0)),SUMPRODUCT((INDEX(Timeline!$P$5:$AN$305,0,MATCH($A8,Timeline!$P$4:$AN$4,0))="x")*(Timeline!$K$5:$K$305="Task")*ISNUMBER(Timeline!$I$5:$I$305)*ISNUMBER(Timeline!$J$5:$J$305)*(Timeline!$I$5:$I$305&lt;=U$4+1)*(Timeline!$J$5:$J$305&gt;=U$4+1)),SUMPRODUCT((INDEX(Timeline!$P$5:$AN$305,0,MATCH($A8,Timeline!$P$4:$AN$4,0))="x")*(Timeline!$K$5:$K$305="Task")*ISNUMBER(Timeline!$I$5:$I$305)*ISNUMBER(Timeline!$J$5:$J$305)*(Timeline!$I$5:$I$305&lt;=U$4+2)*(Timeline!$J$5:$J$305&gt;=U$4+2)),SUMPRODUCT((INDEX(Timeline!$P$5:$AN$305,0,MATCH($A8,Timeline!$P$4:$AN$4,0))="x")*(Timeline!$K$5:$K$305="Task")*ISNUMBER(Timeline!$I$5:$I$305)*ISNUMBER(Timeline!$J$5:$J$305)*(Timeline!$I$5:$I$305&lt;=U$4+3)*(Timeline!$J$5:$J$305&gt;=U$4+3)),SUMPRODUCT((INDEX(Timeline!$P$5:$AN$305,0,MATCH($A8,Timeline!$P$4:$AN$4,0))="x")*(Timeline!$K$5:$K$305="Task")*ISNUMBER(Timeline!$I$5:$I$305)*ISNUMBER(Timeline!$J$5:$J$305)*(Timeline!$I$5:$I$305&lt;=U$4+4)*(Timeline!$J$5:$J$305&gt;=U$4+4)),SUMPRODUCT((INDEX(Timeline!$P$5:$AN$305,0,MATCH($A8,Timeline!$P$4:$AN$4,0))="x")*(Timeline!$K$5:$K$305="Task")*ISNUMBER(Timeline!$I$5:$I$305)*ISNUMBER(Timeline!$J$5:$J$305)*(Timeline!$I$5:$I$305&lt;=U$4+5)*(Timeline!$J$5:$J$305&gt;=U$4+5)),SUMPRODUCT((INDEX(Timeline!$P$5:$AN$305,0,MATCH($A8,Timeline!$P$4:$AN$4,0))="x")*(Timeline!$K$5:$K$305="Task")*ISNUMBER(Timeline!$I$5:$I$305)*ISNUMBER(Timeline!$J$5:$J$305)*(Timeline!$I$5:$I$305&lt;=U$4+6)*(Timeline!$J$5:$J$305&gt;=U$4+6)))</f>
        <v>1</v>
      </c>
      <c r="V8" s="67">
        <f>MAX(SUMPRODUCT((INDEX(Timeline!$P$5:$AN$305,0,MATCH($A8,Timeline!$P$4:$AN$4,0))="x")*(Timeline!$K$5:$K$305="Task")*ISNUMBER(Timeline!$I$5:$I$305)*ISNUMBER(Timeline!$J$5:$J$305)*(Timeline!$I$5:$I$305&lt;=V$4+0)*(Timeline!$J$5:$J$305&gt;=V$4+0)),SUMPRODUCT((INDEX(Timeline!$P$5:$AN$305,0,MATCH($A8,Timeline!$P$4:$AN$4,0))="x")*(Timeline!$K$5:$K$305="Task")*ISNUMBER(Timeline!$I$5:$I$305)*ISNUMBER(Timeline!$J$5:$J$305)*(Timeline!$I$5:$I$305&lt;=V$4+1)*(Timeline!$J$5:$J$305&gt;=V$4+1)),SUMPRODUCT((INDEX(Timeline!$P$5:$AN$305,0,MATCH($A8,Timeline!$P$4:$AN$4,0))="x")*(Timeline!$K$5:$K$305="Task")*ISNUMBER(Timeline!$I$5:$I$305)*ISNUMBER(Timeline!$J$5:$J$305)*(Timeline!$I$5:$I$305&lt;=V$4+2)*(Timeline!$J$5:$J$305&gt;=V$4+2)),SUMPRODUCT((INDEX(Timeline!$P$5:$AN$305,0,MATCH($A8,Timeline!$P$4:$AN$4,0))="x")*(Timeline!$K$5:$K$305="Task")*ISNUMBER(Timeline!$I$5:$I$305)*ISNUMBER(Timeline!$J$5:$J$305)*(Timeline!$I$5:$I$305&lt;=V$4+3)*(Timeline!$J$5:$J$305&gt;=V$4+3)),SUMPRODUCT((INDEX(Timeline!$P$5:$AN$305,0,MATCH($A8,Timeline!$P$4:$AN$4,0))="x")*(Timeline!$K$5:$K$305="Task")*ISNUMBER(Timeline!$I$5:$I$305)*ISNUMBER(Timeline!$J$5:$J$305)*(Timeline!$I$5:$I$305&lt;=V$4+4)*(Timeline!$J$5:$J$305&gt;=V$4+4)),SUMPRODUCT((INDEX(Timeline!$P$5:$AN$305,0,MATCH($A8,Timeline!$P$4:$AN$4,0))="x")*(Timeline!$K$5:$K$305="Task")*ISNUMBER(Timeline!$I$5:$I$305)*ISNUMBER(Timeline!$J$5:$J$305)*(Timeline!$I$5:$I$305&lt;=V$4+5)*(Timeline!$J$5:$J$305&gt;=V$4+5)),SUMPRODUCT((INDEX(Timeline!$P$5:$AN$305,0,MATCH($A8,Timeline!$P$4:$AN$4,0))="x")*(Timeline!$K$5:$K$305="Task")*ISNUMBER(Timeline!$I$5:$I$305)*ISNUMBER(Timeline!$J$5:$J$305)*(Timeline!$I$5:$I$305&lt;=V$4+6)*(Timeline!$J$5:$J$305&gt;=V$4+6)))</f>
        <v>1</v>
      </c>
      <c r="W8" s="67">
        <f>MAX(SUMPRODUCT((INDEX(Timeline!$P$5:$AN$305,0,MATCH($A8,Timeline!$P$4:$AN$4,0))="x")*(Timeline!$K$5:$K$305="Task")*ISNUMBER(Timeline!$I$5:$I$305)*ISNUMBER(Timeline!$J$5:$J$305)*(Timeline!$I$5:$I$305&lt;=W$4+0)*(Timeline!$J$5:$J$305&gt;=W$4+0)),SUMPRODUCT((INDEX(Timeline!$P$5:$AN$305,0,MATCH($A8,Timeline!$P$4:$AN$4,0))="x")*(Timeline!$K$5:$K$305="Task")*ISNUMBER(Timeline!$I$5:$I$305)*ISNUMBER(Timeline!$J$5:$J$305)*(Timeline!$I$5:$I$305&lt;=W$4+1)*(Timeline!$J$5:$J$305&gt;=W$4+1)),SUMPRODUCT((INDEX(Timeline!$P$5:$AN$305,0,MATCH($A8,Timeline!$P$4:$AN$4,0))="x")*(Timeline!$K$5:$K$305="Task")*ISNUMBER(Timeline!$I$5:$I$305)*ISNUMBER(Timeline!$J$5:$J$305)*(Timeline!$I$5:$I$305&lt;=W$4+2)*(Timeline!$J$5:$J$305&gt;=W$4+2)),SUMPRODUCT((INDEX(Timeline!$P$5:$AN$305,0,MATCH($A8,Timeline!$P$4:$AN$4,0))="x")*(Timeline!$K$5:$K$305="Task")*ISNUMBER(Timeline!$I$5:$I$305)*ISNUMBER(Timeline!$J$5:$J$305)*(Timeline!$I$5:$I$305&lt;=W$4+3)*(Timeline!$J$5:$J$305&gt;=W$4+3)),SUMPRODUCT((INDEX(Timeline!$P$5:$AN$305,0,MATCH($A8,Timeline!$P$4:$AN$4,0))="x")*(Timeline!$K$5:$K$305="Task")*ISNUMBER(Timeline!$I$5:$I$305)*ISNUMBER(Timeline!$J$5:$J$305)*(Timeline!$I$5:$I$305&lt;=W$4+4)*(Timeline!$J$5:$J$305&gt;=W$4+4)),SUMPRODUCT((INDEX(Timeline!$P$5:$AN$305,0,MATCH($A8,Timeline!$P$4:$AN$4,0))="x")*(Timeline!$K$5:$K$305="Task")*ISNUMBER(Timeline!$I$5:$I$305)*ISNUMBER(Timeline!$J$5:$J$305)*(Timeline!$I$5:$I$305&lt;=W$4+5)*(Timeline!$J$5:$J$305&gt;=W$4+5)),SUMPRODUCT((INDEX(Timeline!$P$5:$AN$305,0,MATCH($A8,Timeline!$P$4:$AN$4,0))="x")*(Timeline!$K$5:$K$305="Task")*ISNUMBER(Timeline!$I$5:$I$305)*ISNUMBER(Timeline!$J$5:$J$305)*(Timeline!$I$5:$I$305&lt;=W$4+6)*(Timeline!$J$5:$J$305&gt;=W$4+6)))</f>
        <v>0</v>
      </c>
      <c r="X8" s="67">
        <f>MAX(SUMPRODUCT((INDEX(Timeline!$P$5:$AN$305,0,MATCH($A8,Timeline!$P$4:$AN$4,0))="x")*(Timeline!$K$5:$K$305="Task")*ISNUMBER(Timeline!$I$5:$I$305)*ISNUMBER(Timeline!$J$5:$J$305)*(Timeline!$I$5:$I$305&lt;=X$4+0)*(Timeline!$J$5:$J$305&gt;=X$4+0)),SUMPRODUCT((INDEX(Timeline!$P$5:$AN$305,0,MATCH($A8,Timeline!$P$4:$AN$4,0))="x")*(Timeline!$K$5:$K$305="Task")*ISNUMBER(Timeline!$I$5:$I$305)*ISNUMBER(Timeline!$J$5:$J$305)*(Timeline!$I$5:$I$305&lt;=X$4+1)*(Timeline!$J$5:$J$305&gt;=X$4+1)),SUMPRODUCT((INDEX(Timeline!$P$5:$AN$305,0,MATCH($A8,Timeline!$P$4:$AN$4,0))="x")*(Timeline!$K$5:$K$305="Task")*ISNUMBER(Timeline!$I$5:$I$305)*ISNUMBER(Timeline!$J$5:$J$305)*(Timeline!$I$5:$I$305&lt;=X$4+2)*(Timeline!$J$5:$J$305&gt;=X$4+2)),SUMPRODUCT((INDEX(Timeline!$P$5:$AN$305,0,MATCH($A8,Timeline!$P$4:$AN$4,0))="x")*(Timeline!$K$5:$K$305="Task")*ISNUMBER(Timeline!$I$5:$I$305)*ISNUMBER(Timeline!$J$5:$J$305)*(Timeline!$I$5:$I$305&lt;=X$4+3)*(Timeline!$J$5:$J$305&gt;=X$4+3)),SUMPRODUCT((INDEX(Timeline!$P$5:$AN$305,0,MATCH($A8,Timeline!$P$4:$AN$4,0))="x")*(Timeline!$K$5:$K$305="Task")*ISNUMBER(Timeline!$I$5:$I$305)*ISNUMBER(Timeline!$J$5:$J$305)*(Timeline!$I$5:$I$305&lt;=X$4+4)*(Timeline!$J$5:$J$305&gt;=X$4+4)),SUMPRODUCT((INDEX(Timeline!$P$5:$AN$305,0,MATCH($A8,Timeline!$P$4:$AN$4,0))="x")*(Timeline!$K$5:$K$305="Task")*ISNUMBER(Timeline!$I$5:$I$305)*ISNUMBER(Timeline!$J$5:$J$305)*(Timeline!$I$5:$I$305&lt;=X$4+5)*(Timeline!$J$5:$J$305&gt;=X$4+5)),SUMPRODUCT((INDEX(Timeline!$P$5:$AN$305,0,MATCH($A8,Timeline!$P$4:$AN$4,0))="x")*(Timeline!$K$5:$K$305="Task")*ISNUMBER(Timeline!$I$5:$I$305)*ISNUMBER(Timeline!$J$5:$J$305)*(Timeline!$I$5:$I$305&lt;=X$4+6)*(Timeline!$J$5:$J$305&gt;=X$4+6)))</f>
        <v>1</v>
      </c>
      <c r="Y8" s="67">
        <f>MAX(SUMPRODUCT((INDEX(Timeline!$P$5:$AN$305,0,MATCH($A8,Timeline!$P$4:$AN$4,0))="x")*(Timeline!$K$5:$K$305="Task")*ISNUMBER(Timeline!$I$5:$I$305)*ISNUMBER(Timeline!$J$5:$J$305)*(Timeline!$I$5:$I$305&lt;=Y$4+0)*(Timeline!$J$5:$J$305&gt;=Y$4+0)),SUMPRODUCT((INDEX(Timeline!$P$5:$AN$305,0,MATCH($A8,Timeline!$P$4:$AN$4,0))="x")*(Timeline!$K$5:$K$305="Task")*ISNUMBER(Timeline!$I$5:$I$305)*ISNUMBER(Timeline!$J$5:$J$305)*(Timeline!$I$5:$I$305&lt;=Y$4+1)*(Timeline!$J$5:$J$305&gt;=Y$4+1)),SUMPRODUCT((INDEX(Timeline!$P$5:$AN$305,0,MATCH($A8,Timeline!$P$4:$AN$4,0))="x")*(Timeline!$K$5:$K$305="Task")*ISNUMBER(Timeline!$I$5:$I$305)*ISNUMBER(Timeline!$J$5:$J$305)*(Timeline!$I$5:$I$305&lt;=Y$4+2)*(Timeline!$J$5:$J$305&gt;=Y$4+2)),SUMPRODUCT((INDEX(Timeline!$P$5:$AN$305,0,MATCH($A8,Timeline!$P$4:$AN$4,0))="x")*(Timeline!$K$5:$K$305="Task")*ISNUMBER(Timeline!$I$5:$I$305)*ISNUMBER(Timeline!$J$5:$J$305)*(Timeline!$I$5:$I$305&lt;=Y$4+3)*(Timeline!$J$5:$J$305&gt;=Y$4+3)),SUMPRODUCT((INDEX(Timeline!$P$5:$AN$305,0,MATCH($A8,Timeline!$P$4:$AN$4,0))="x")*(Timeline!$K$5:$K$305="Task")*ISNUMBER(Timeline!$I$5:$I$305)*ISNUMBER(Timeline!$J$5:$J$305)*(Timeline!$I$5:$I$305&lt;=Y$4+4)*(Timeline!$J$5:$J$305&gt;=Y$4+4)),SUMPRODUCT((INDEX(Timeline!$P$5:$AN$305,0,MATCH($A8,Timeline!$P$4:$AN$4,0))="x")*(Timeline!$K$5:$K$305="Task")*ISNUMBER(Timeline!$I$5:$I$305)*ISNUMBER(Timeline!$J$5:$J$305)*(Timeline!$I$5:$I$305&lt;=Y$4+5)*(Timeline!$J$5:$J$305&gt;=Y$4+5)),SUMPRODUCT((INDEX(Timeline!$P$5:$AN$305,0,MATCH($A8,Timeline!$P$4:$AN$4,0))="x")*(Timeline!$K$5:$K$305="Task")*ISNUMBER(Timeline!$I$5:$I$305)*ISNUMBER(Timeline!$J$5:$J$305)*(Timeline!$I$5:$I$305&lt;=Y$4+6)*(Timeline!$J$5:$J$305&gt;=Y$4+6)))</f>
        <v>1</v>
      </c>
      <c r="Z8" s="67">
        <f>MAX(SUMPRODUCT((INDEX(Timeline!$P$5:$AN$305,0,MATCH($A8,Timeline!$P$4:$AN$4,0))="x")*(Timeline!$K$5:$K$305="Task")*ISNUMBER(Timeline!$I$5:$I$305)*ISNUMBER(Timeline!$J$5:$J$305)*(Timeline!$I$5:$I$305&lt;=Z$4+0)*(Timeline!$J$5:$J$305&gt;=Z$4+0)),SUMPRODUCT((INDEX(Timeline!$P$5:$AN$305,0,MATCH($A8,Timeline!$P$4:$AN$4,0))="x")*(Timeline!$K$5:$K$305="Task")*ISNUMBER(Timeline!$I$5:$I$305)*ISNUMBER(Timeline!$J$5:$J$305)*(Timeline!$I$5:$I$305&lt;=Z$4+1)*(Timeline!$J$5:$J$305&gt;=Z$4+1)),SUMPRODUCT((INDEX(Timeline!$P$5:$AN$305,0,MATCH($A8,Timeline!$P$4:$AN$4,0))="x")*(Timeline!$K$5:$K$305="Task")*ISNUMBER(Timeline!$I$5:$I$305)*ISNUMBER(Timeline!$J$5:$J$305)*(Timeline!$I$5:$I$305&lt;=Z$4+2)*(Timeline!$J$5:$J$305&gt;=Z$4+2)),SUMPRODUCT((INDEX(Timeline!$P$5:$AN$305,0,MATCH($A8,Timeline!$P$4:$AN$4,0))="x")*(Timeline!$K$5:$K$305="Task")*ISNUMBER(Timeline!$I$5:$I$305)*ISNUMBER(Timeline!$J$5:$J$305)*(Timeline!$I$5:$I$305&lt;=Z$4+3)*(Timeline!$J$5:$J$305&gt;=Z$4+3)),SUMPRODUCT((INDEX(Timeline!$P$5:$AN$305,0,MATCH($A8,Timeline!$P$4:$AN$4,0))="x")*(Timeline!$K$5:$K$305="Task")*ISNUMBER(Timeline!$I$5:$I$305)*ISNUMBER(Timeline!$J$5:$J$305)*(Timeline!$I$5:$I$305&lt;=Z$4+4)*(Timeline!$J$5:$J$305&gt;=Z$4+4)),SUMPRODUCT((INDEX(Timeline!$P$5:$AN$305,0,MATCH($A8,Timeline!$P$4:$AN$4,0))="x")*(Timeline!$K$5:$K$305="Task")*ISNUMBER(Timeline!$I$5:$I$305)*ISNUMBER(Timeline!$J$5:$J$305)*(Timeline!$I$5:$I$305&lt;=Z$4+5)*(Timeline!$J$5:$J$305&gt;=Z$4+5)),SUMPRODUCT((INDEX(Timeline!$P$5:$AN$305,0,MATCH($A8,Timeline!$P$4:$AN$4,0))="x")*(Timeline!$K$5:$K$305="Task")*ISNUMBER(Timeline!$I$5:$I$305)*ISNUMBER(Timeline!$J$5:$J$305)*(Timeline!$I$5:$I$305&lt;=Z$4+6)*(Timeline!$J$5:$J$305&gt;=Z$4+6)))</f>
        <v>1</v>
      </c>
      <c r="AA8" s="67">
        <f>MAX(SUMPRODUCT((INDEX(Timeline!$P$5:$AN$305,0,MATCH($A8,Timeline!$P$4:$AN$4,0))="x")*(Timeline!$K$5:$K$305="Task")*ISNUMBER(Timeline!$I$5:$I$305)*ISNUMBER(Timeline!$J$5:$J$305)*(Timeline!$I$5:$I$305&lt;=AA$4+0)*(Timeline!$J$5:$J$305&gt;=AA$4+0)),SUMPRODUCT((INDEX(Timeline!$P$5:$AN$305,0,MATCH($A8,Timeline!$P$4:$AN$4,0))="x")*(Timeline!$K$5:$K$305="Task")*ISNUMBER(Timeline!$I$5:$I$305)*ISNUMBER(Timeline!$J$5:$J$305)*(Timeline!$I$5:$I$305&lt;=AA$4+1)*(Timeline!$J$5:$J$305&gt;=AA$4+1)),SUMPRODUCT((INDEX(Timeline!$P$5:$AN$305,0,MATCH($A8,Timeline!$P$4:$AN$4,0))="x")*(Timeline!$K$5:$K$305="Task")*ISNUMBER(Timeline!$I$5:$I$305)*ISNUMBER(Timeline!$J$5:$J$305)*(Timeline!$I$5:$I$305&lt;=AA$4+2)*(Timeline!$J$5:$J$305&gt;=AA$4+2)),SUMPRODUCT((INDEX(Timeline!$P$5:$AN$305,0,MATCH($A8,Timeline!$P$4:$AN$4,0))="x")*(Timeline!$K$5:$K$305="Task")*ISNUMBER(Timeline!$I$5:$I$305)*ISNUMBER(Timeline!$J$5:$J$305)*(Timeline!$I$5:$I$305&lt;=AA$4+3)*(Timeline!$J$5:$J$305&gt;=AA$4+3)),SUMPRODUCT((INDEX(Timeline!$P$5:$AN$305,0,MATCH($A8,Timeline!$P$4:$AN$4,0))="x")*(Timeline!$K$5:$K$305="Task")*ISNUMBER(Timeline!$I$5:$I$305)*ISNUMBER(Timeline!$J$5:$J$305)*(Timeline!$I$5:$I$305&lt;=AA$4+4)*(Timeline!$J$5:$J$305&gt;=AA$4+4)),SUMPRODUCT((INDEX(Timeline!$P$5:$AN$305,0,MATCH($A8,Timeline!$P$4:$AN$4,0))="x")*(Timeline!$K$5:$K$305="Task")*ISNUMBER(Timeline!$I$5:$I$305)*ISNUMBER(Timeline!$J$5:$J$305)*(Timeline!$I$5:$I$305&lt;=AA$4+5)*(Timeline!$J$5:$J$305&gt;=AA$4+5)),SUMPRODUCT((INDEX(Timeline!$P$5:$AN$305,0,MATCH($A8,Timeline!$P$4:$AN$4,0))="x")*(Timeline!$K$5:$K$305="Task")*ISNUMBER(Timeline!$I$5:$I$305)*ISNUMBER(Timeline!$J$5:$J$305)*(Timeline!$I$5:$I$305&lt;=AA$4+6)*(Timeline!$J$5:$J$305&gt;=AA$4+6)))</f>
        <v>1</v>
      </c>
      <c r="AB8" s="67">
        <f>MAX(SUMPRODUCT((INDEX(Timeline!$P$5:$AN$305,0,MATCH($A8,Timeline!$P$4:$AN$4,0))="x")*(Timeline!$K$5:$K$305="Task")*ISNUMBER(Timeline!$I$5:$I$305)*ISNUMBER(Timeline!$J$5:$J$305)*(Timeline!$I$5:$I$305&lt;=AB$4+0)*(Timeline!$J$5:$J$305&gt;=AB$4+0)),SUMPRODUCT((INDEX(Timeline!$P$5:$AN$305,0,MATCH($A8,Timeline!$P$4:$AN$4,0))="x")*(Timeline!$K$5:$K$305="Task")*ISNUMBER(Timeline!$I$5:$I$305)*ISNUMBER(Timeline!$J$5:$J$305)*(Timeline!$I$5:$I$305&lt;=AB$4+1)*(Timeline!$J$5:$J$305&gt;=AB$4+1)),SUMPRODUCT((INDEX(Timeline!$P$5:$AN$305,0,MATCH($A8,Timeline!$P$4:$AN$4,0))="x")*(Timeline!$K$5:$K$305="Task")*ISNUMBER(Timeline!$I$5:$I$305)*ISNUMBER(Timeline!$J$5:$J$305)*(Timeline!$I$5:$I$305&lt;=AB$4+2)*(Timeline!$J$5:$J$305&gt;=AB$4+2)),SUMPRODUCT((INDEX(Timeline!$P$5:$AN$305,0,MATCH($A8,Timeline!$P$4:$AN$4,0))="x")*(Timeline!$K$5:$K$305="Task")*ISNUMBER(Timeline!$I$5:$I$305)*ISNUMBER(Timeline!$J$5:$J$305)*(Timeline!$I$5:$I$305&lt;=AB$4+3)*(Timeline!$J$5:$J$305&gt;=AB$4+3)),SUMPRODUCT((INDEX(Timeline!$P$5:$AN$305,0,MATCH($A8,Timeline!$P$4:$AN$4,0))="x")*(Timeline!$K$5:$K$305="Task")*ISNUMBER(Timeline!$I$5:$I$305)*ISNUMBER(Timeline!$J$5:$J$305)*(Timeline!$I$5:$I$305&lt;=AB$4+4)*(Timeline!$J$5:$J$305&gt;=AB$4+4)),SUMPRODUCT((INDEX(Timeline!$P$5:$AN$305,0,MATCH($A8,Timeline!$P$4:$AN$4,0))="x")*(Timeline!$K$5:$K$305="Task")*ISNUMBER(Timeline!$I$5:$I$305)*ISNUMBER(Timeline!$J$5:$J$305)*(Timeline!$I$5:$I$305&lt;=AB$4+5)*(Timeline!$J$5:$J$305&gt;=AB$4+5)),SUMPRODUCT((INDEX(Timeline!$P$5:$AN$305,0,MATCH($A8,Timeline!$P$4:$AN$4,0))="x")*(Timeline!$K$5:$K$305="Task")*ISNUMBER(Timeline!$I$5:$I$305)*ISNUMBER(Timeline!$J$5:$J$305)*(Timeline!$I$5:$I$305&lt;=AB$4+6)*(Timeline!$J$5:$J$305&gt;=AB$4+6)))</f>
        <v>1</v>
      </c>
      <c r="AC8" s="67">
        <f>MAX(SUMPRODUCT((INDEX(Timeline!$P$5:$AN$305,0,MATCH($A8,Timeline!$P$4:$AN$4,0))="x")*(Timeline!$K$5:$K$305="Task")*ISNUMBER(Timeline!$I$5:$I$305)*ISNUMBER(Timeline!$J$5:$J$305)*(Timeline!$I$5:$I$305&lt;=AC$4+0)*(Timeline!$J$5:$J$305&gt;=AC$4+0)),SUMPRODUCT((INDEX(Timeline!$P$5:$AN$305,0,MATCH($A8,Timeline!$P$4:$AN$4,0))="x")*(Timeline!$K$5:$K$305="Task")*ISNUMBER(Timeline!$I$5:$I$305)*ISNUMBER(Timeline!$J$5:$J$305)*(Timeline!$I$5:$I$305&lt;=AC$4+1)*(Timeline!$J$5:$J$305&gt;=AC$4+1)),SUMPRODUCT((INDEX(Timeline!$P$5:$AN$305,0,MATCH($A8,Timeline!$P$4:$AN$4,0))="x")*(Timeline!$K$5:$K$305="Task")*ISNUMBER(Timeline!$I$5:$I$305)*ISNUMBER(Timeline!$J$5:$J$305)*(Timeline!$I$5:$I$305&lt;=AC$4+2)*(Timeline!$J$5:$J$305&gt;=AC$4+2)),SUMPRODUCT((INDEX(Timeline!$P$5:$AN$305,0,MATCH($A8,Timeline!$P$4:$AN$4,0))="x")*(Timeline!$K$5:$K$305="Task")*ISNUMBER(Timeline!$I$5:$I$305)*ISNUMBER(Timeline!$J$5:$J$305)*(Timeline!$I$5:$I$305&lt;=AC$4+3)*(Timeline!$J$5:$J$305&gt;=AC$4+3)),SUMPRODUCT((INDEX(Timeline!$P$5:$AN$305,0,MATCH($A8,Timeline!$P$4:$AN$4,0))="x")*(Timeline!$K$5:$K$305="Task")*ISNUMBER(Timeline!$I$5:$I$305)*ISNUMBER(Timeline!$J$5:$J$305)*(Timeline!$I$5:$I$305&lt;=AC$4+4)*(Timeline!$J$5:$J$305&gt;=AC$4+4)),SUMPRODUCT((INDEX(Timeline!$P$5:$AN$305,0,MATCH($A8,Timeline!$P$4:$AN$4,0))="x")*(Timeline!$K$5:$K$305="Task")*ISNUMBER(Timeline!$I$5:$I$305)*ISNUMBER(Timeline!$J$5:$J$305)*(Timeline!$I$5:$I$305&lt;=AC$4+5)*(Timeline!$J$5:$J$305&gt;=AC$4+5)),SUMPRODUCT((INDEX(Timeline!$P$5:$AN$305,0,MATCH($A8,Timeline!$P$4:$AN$4,0))="x")*(Timeline!$K$5:$K$305="Task")*ISNUMBER(Timeline!$I$5:$I$305)*ISNUMBER(Timeline!$J$5:$J$305)*(Timeline!$I$5:$I$305&lt;=AC$4+6)*(Timeline!$J$5:$J$305&gt;=AC$4+6)))</f>
        <v>1</v>
      </c>
      <c r="AD8" s="67">
        <f>MAX(SUMPRODUCT((INDEX(Timeline!$P$5:$AN$305,0,MATCH($A8,Timeline!$P$4:$AN$4,0))="x")*(Timeline!$K$5:$K$305="Task")*ISNUMBER(Timeline!$I$5:$I$305)*ISNUMBER(Timeline!$J$5:$J$305)*(Timeline!$I$5:$I$305&lt;=AD$4+0)*(Timeline!$J$5:$J$305&gt;=AD$4+0)),SUMPRODUCT((INDEX(Timeline!$P$5:$AN$305,0,MATCH($A8,Timeline!$P$4:$AN$4,0))="x")*(Timeline!$K$5:$K$305="Task")*ISNUMBER(Timeline!$I$5:$I$305)*ISNUMBER(Timeline!$J$5:$J$305)*(Timeline!$I$5:$I$305&lt;=AD$4+1)*(Timeline!$J$5:$J$305&gt;=AD$4+1)),SUMPRODUCT((INDEX(Timeline!$P$5:$AN$305,0,MATCH($A8,Timeline!$P$4:$AN$4,0))="x")*(Timeline!$K$5:$K$305="Task")*ISNUMBER(Timeline!$I$5:$I$305)*ISNUMBER(Timeline!$J$5:$J$305)*(Timeline!$I$5:$I$305&lt;=AD$4+2)*(Timeline!$J$5:$J$305&gt;=AD$4+2)),SUMPRODUCT((INDEX(Timeline!$P$5:$AN$305,0,MATCH($A8,Timeline!$P$4:$AN$4,0))="x")*(Timeline!$K$5:$K$305="Task")*ISNUMBER(Timeline!$I$5:$I$305)*ISNUMBER(Timeline!$J$5:$J$305)*(Timeline!$I$5:$I$305&lt;=AD$4+3)*(Timeline!$J$5:$J$305&gt;=AD$4+3)),SUMPRODUCT((INDEX(Timeline!$P$5:$AN$305,0,MATCH($A8,Timeline!$P$4:$AN$4,0))="x")*(Timeline!$K$5:$K$305="Task")*ISNUMBER(Timeline!$I$5:$I$305)*ISNUMBER(Timeline!$J$5:$J$305)*(Timeline!$I$5:$I$305&lt;=AD$4+4)*(Timeline!$J$5:$J$305&gt;=AD$4+4)),SUMPRODUCT((INDEX(Timeline!$P$5:$AN$305,0,MATCH($A8,Timeline!$P$4:$AN$4,0))="x")*(Timeline!$K$5:$K$305="Task")*ISNUMBER(Timeline!$I$5:$I$305)*ISNUMBER(Timeline!$J$5:$J$305)*(Timeline!$I$5:$I$305&lt;=AD$4+5)*(Timeline!$J$5:$J$305&gt;=AD$4+5)),SUMPRODUCT((INDEX(Timeline!$P$5:$AN$305,0,MATCH($A8,Timeline!$P$4:$AN$4,0))="x")*(Timeline!$K$5:$K$305="Task")*ISNUMBER(Timeline!$I$5:$I$305)*ISNUMBER(Timeline!$J$5:$J$305)*(Timeline!$I$5:$I$305&lt;=AD$4+6)*(Timeline!$J$5:$J$305&gt;=AD$4+6)))</f>
        <v>1</v>
      </c>
      <c r="AE8" s="67">
        <f>MAX(SUMPRODUCT((INDEX(Timeline!$P$5:$AN$305,0,MATCH($A8,Timeline!$P$4:$AN$4,0))="x")*(Timeline!$K$5:$K$305="Task")*ISNUMBER(Timeline!$I$5:$I$305)*ISNUMBER(Timeline!$J$5:$J$305)*(Timeline!$I$5:$I$305&lt;=AE$4+0)*(Timeline!$J$5:$J$305&gt;=AE$4+0)),SUMPRODUCT((INDEX(Timeline!$P$5:$AN$305,0,MATCH($A8,Timeline!$P$4:$AN$4,0))="x")*(Timeline!$K$5:$K$305="Task")*ISNUMBER(Timeline!$I$5:$I$305)*ISNUMBER(Timeline!$J$5:$J$305)*(Timeline!$I$5:$I$305&lt;=AE$4+1)*(Timeline!$J$5:$J$305&gt;=AE$4+1)),SUMPRODUCT((INDEX(Timeline!$P$5:$AN$305,0,MATCH($A8,Timeline!$P$4:$AN$4,0))="x")*(Timeline!$K$5:$K$305="Task")*ISNUMBER(Timeline!$I$5:$I$305)*ISNUMBER(Timeline!$J$5:$J$305)*(Timeline!$I$5:$I$305&lt;=AE$4+2)*(Timeline!$J$5:$J$305&gt;=AE$4+2)),SUMPRODUCT((INDEX(Timeline!$P$5:$AN$305,0,MATCH($A8,Timeline!$P$4:$AN$4,0))="x")*(Timeline!$K$5:$K$305="Task")*ISNUMBER(Timeline!$I$5:$I$305)*ISNUMBER(Timeline!$J$5:$J$305)*(Timeline!$I$5:$I$305&lt;=AE$4+3)*(Timeline!$J$5:$J$305&gt;=AE$4+3)),SUMPRODUCT((INDEX(Timeline!$P$5:$AN$305,0,MATCH($A8,Timeline!$P$4:$AN$4,0))="x")*(Timeline!$K$5:$K$305="Task")*ISNUMBER(Timeline!$I$5:$I$305)*ISNUMBER(Timeline!$J$5:$J$305)*(Timeline!$I$5:$I$305&lt;=AE$4+4)*(Timeline!$J$5:$J$305&gt;=AE$4+4)),SUMPRODUCT((INDEX(Timeline!$P$5:$AN$305,0,MATCH($A8,Timeline!$P$4:$AN$4,0))="x")*(Timeline!$K$5:$K$305="Task")*ISNUMBER(Timeline!$I$5:$I$305)*ISNUMBER(Timeline!$J$5:$J$305)*(Timeline!$I$5:$I$305&lt;=AE$4+5)*(Timeline!$J$5:$J$305&gt;=AE$4+5)),SUMPRODUCT((INDEX(Timeline!$P$5:$AN$305,0,MATCH($A8,Timeline!$P$4:$AN$4,0))="x")*(Timeline!$K$5:$K$305="Task")*ISNUMBER(Timeline!$I$5:$I$305)*ISNUMBER(Timeline!$J$5:$J$305)*(Timeline!$I$5:$I$305&lt;=AE$4+6)*(Timeline!$J$5:$J$305&gt;=AE$4+6)))</f>
        <v>1</v>
      </c>
      <c r="AF8" s="67">
        <f>MAX(SUMPRODUCT((INDEX(Timeline!$P$5:$AN$305,0,MATCH($A8,Timeline!$P$4:$AN$4,0))="x")*(Timeline!$K$5:$K$305="Task")*ISNUMBER(Timeline!$I$5:$I$305)*ISNUMBER(Timeline!$J$5:$J$305)*(Timeline!$I$5:$I$305&lt;=AF$4+0)*(Timeline!$J$5:$J$305&gt;=AF$4+0)),SUMPRODUCT((INDEX(Timeline!$P$5:$AN$305,0,MATCH($A8,Timeline!$P$4:$AN$4,0))="x")*(Timeline!$K$5:$K$305="Task")*ISNUMBER(Timeline!$I$5:$I$305)*ISNUMBER(Timeline!$J$5:$J$305)*(Timeline!$I$5:$I$305&lt;=AF$4+1)*(Timeline!$J$5:$J$305&gt;=AF$4+1)),SUMPRODUCT((INDEX(Timeline!$P$5:$AN$305,0,MATCH($A8,Timeline!$P$4:$AN$4,0))="x")*(Timeline!$K$5:$K$305="Task")*ISNUMBER(Timeline!$I$5:$I$305)*ISNUMBER(Timeline!$J$5:$J$305)*(Timeline!$I$5:$I$305&lt;=AF$4+2)*(Timeline!$J$5:$J$305&gt;=AF$4+2)),SUMPRODUCT((INDEX(Timeline!$P$5:$AN$305,0,MATCH($A8,Timeline!$P$4:$AN$4,0))="x")*(Timeline!$K$5:$K$305="Task")*ISNUMBER(Timeline!$I$5:$I$305)*ISNUMBER(Timeline!$J$5:$J$305)*(Timeline!$I$5:$I$305&lt;=AF$4+3)*(Timeline!$J$5:$J$305&gt;=AF$4+3)),SUMPRODUCT((INDEX(Timeline!$P$5:$AN$305,0,MATCH($A8,Timeline!$P$4:$AN$4,0))="x")*(Timeline!$K$5:$K$305="Task")*ISNUMBER(Timeline!$I$5:$I$305)*ISNUMBER(Timeline!$J$5:$J$305)*(Timeline!$I$5:$I$305&lt;=AF$4+4)*(Timeline!$J$5:$J$305&gt;=AF$4+4)),SUMPRODUCT((INDEX(Timeline!$P$5:$AN$305,0,MATCH($A8,Timeline!$P$4:$AN$4,0))="x")*(Timeline!$K$5:$K$305="Task")*ISNUMBER(Timeline!$I$5:$I$305)*ISNUMBER(Timeline!$J$5:$J$305)*(Timeline!$I$5:$I$305&lt;=AF$4+5)*(Timeline!$J$5:$J$305&gt;=AF$4+5)),SUMPRODUCT((INDEX(Timeline!$P$5:$AN$305,0,MATCH($A8,Timeline!$P$4:$AN$4,0))="x")*(Timeline!$K$5:$K$305="Task")*ISNUMBER(Timeline!$I$5:$I$305)*ISNUMBER(Timeline!$J$5:$J$305)*(Timeline!$I$5:$I$305&lt;=AF$4+6)*(Timeline!$J$5:$J$305&gt;=AF$4+6)))</f>
        <v>1</v>
      </c>
      <c r="AG8" s="67">
        <f>MAX(SUMPRODUCT((INDEX(Timeline!$P$5:$AN$305,0,MATCH($A8,Timeline!$P$4:$AN$4,0))="x")*(Timeline!$K$5:$K$305="Task")*ISNUMBER(Timeline!$I$5:$I$305)*ISNUMBER(Timeline!$J$5:$J$305)*(Timeline!$I$5:$I$305&lt;=AG$4+0)*(Timeline!$J$5:$J$305&gt;=AG$4+0)),SUMPRODUCT((INDEX(Timeline!$P$5:$AN$305,0,MATCH($A8,Timeline!$P$4:$AN$4,0))="x")*(Timeline!$K$5:$K$305="Task")*ISNUMBER(Timeline!$I$5:$I$305)*ISNUMBER(Timeline!$J$5:$J$305)*(Timeline!$I$5:$I$305&lt;=AG$4+1)*(Timeline!$J$5:$J$305&gt;=AG$4+1)),SUMPRODUCT((INDEX(Timeline!$P$5:$AN$305,0,MATCH($A8,Timeline!$P$4:$AN$4,0))="x")*(Timeline!$K$5:$K$305="Task")*ISNUMBER(Timeline!$I$5:$I$305)*ISNUMBER(Timeline!$J$5:$J$305)*(Timeline!$I$5:$I$305&lt;=AG$4+2)*(Timeline!$J$5:$J$305&gt;=AG$4+2)),SUMPRODUCT((INDEX(Timeline!$P$5:$AN$305,0,MATCH($A8,Timeline!$P$4:$AN$4,0))="x")*(Timeline!$K$5:$K$305="Task")*ISNUMBER(Timeline!$I$5:$I$305)*ISNUMBER(Timeline!$J$5:$J$305)*(Timeline!$I$5:$I$305&lt;=AG$4+3)*(Timeline!$J$5:$J$305&gt;=AG$4+3)),SUMPRODUCT((INDEX(Timeline!$P$5:$AN$305,0,MATCH($A8,Timeline!$P$4:$AN$4,0))="x")*(Timeline!$K$5:$K$305="Task")*ISNUMBER(Timeline!$I$5:$I$305)*ISNUMBER(Timeline!$J$5:$J$305)*(Timeline!$I$5:$I$305&lt;=AG$4+4)*(Timeline!$J$5:$J$305&gt;=AG$4+4)),SUMPRODUCT((INDEX(Timeline!$P$5:$AN$305,0,MATCH($A8,Timeline!$P$4:$AN$4,0))="x")*(Timeline!$K$5:$K$305="Task")*ISNUMBER(Timeline!$I$5:$I$305)*ISNUMBER(Timeline!$J$5:$J$305)*(Timeline!$I$5:$I$305&lt;=AG$4+5)*(Timeline!$J$5:$J$305&gt;=AG$4+5)),SUMPRODUCT((INDEX(Timeline!$P$5:$AN$305,0,MATCH($A8,Timeline!$P$4:$AN$4,0))="x")*(Timeline!$K$5:$K$305="Task")*ISNUMBER(Timeline!$I$5:$I$305)*ISNUMBER(Timeline!$J$5:$J$305)*(Timeline!$I$5:$I$305&lt;=AG$4+6)*(Timeline!$J$5:$J$305&gt;=AG$4+6)))</f>
        <v>1</v>
      </c>
      <c r="AH8" s="67">
        <f>MAX(SUMPRODUCT((INDEX(Timeline!$P$5:$AN$305,0,MATCH($A8,Timeline!$P$4:$AN$4,0))="x")*(Timeline!$K$5:$K$305="Task")*ISNUMBER(Timeline!$I$5:$I$305)*ISNUMBER(Timeline!$J$5:$J$305)*(Timeline!$I$5:$I$305&lt;=AH$4+0)*(Timeline!$J$5:$J$305&gt;=AH$4+0)),SUMPRODUCT((INDEX(Timeline!$P$5:$AN$305,0,MATCH($A8,Timeline!$P$4:$AN$4,0))="x")*(Timeline!$K$5:$K$305="Task")*ISNUMBER(Timeline!$I$5:$I$305)*ISNUMBER(Timeline!$J$5:$J$305)*(Timeline!$I$5:$I$305&lt;=AH$4+1)*(Timeline!$J$5:$J$305&gt;=AH$4+1)),SUMPRODUCT((INDEX(Timeline!$P$5:$AN$305,0,MATCH($A8,Timeline!$P$4:$AN$4,0))="x")*(Timeline!$K$5:$K$305="Task")*ISNUMBER(Timeline!$I$5:$I$305)*ISNUMBER(Timeline!$J$5:$J$305)*(Timeline!$I$5:$I$305&lt;=AH$4+2)*(Timeline!$J$5:$J$305&gt;=AH$4+2)),SUMPRODUCT((INDEX(Timeline!$P$5:$AN$305,0,MATCH($A8,Timeline!$P$4:$AN$4,0))="x")*(Timeline!$K$5:$K$305="Task")*ISNUMBER(Timeline!$I$5:$I$305)*ISNUMBER(Timeline!$J$5:$J$305)*(Timeline!$I$5:$I$305&lt;=AH$4+3)*(Timeline!$J$5:$J$305&gt;=AH$4+3)),SUMPRODUCT((INDEX(Timeline!$P$5:$AN$305,0,MATCH($A8,Timeline!$P$4:$AN$4,0))="x")*(Timeline!$K$5:$K$305="Task")*ISNUMBER(Timeline!$I$5:$I$305)*ISNUMBER(Timeline!$J$5:$J$305)*(Timeline!$I$5:$I$305&lt;=AH$4+4)*(Timeline!$J$5:$J$305&gt;=AH$4+4)),SUMPRODUCT((INDEX(Timeline!$P$5:$AN$305,0,MATCH($A8,Timeline!$P$4:$AN$4,0))="x")*(Timeline!$K$5:$K$305="Task")*ISNUMBER(Timeline!$I$5:$I$305)*ISNUMBER(Timeline!$J$5:$J$305)*(Timeline!$I$5:$I$305&lt;=AH$4+5)*(Timeline!$J$5:$J$305&gt;=AH$4+5)),SUMPRODUCT((INDEX(Timeline!$P$5:$AN$305,0,MATCH($A8,Timeline!$P$4:$AN$4,0))="x")*(Timeline!$K$5:$K$305="Task")*ISNUMBER(Timeline!$I$5:$I$305)*ISNUMBER(Timeline!$J$5:$J$305)*(Timeline!$I$5:$I$305&lt;=AH$4+6)*(Timeline!$J$5:$J$305&gt;=AH$4+6)))</f>
        <v>1</v>
      </c>
      <c r="AI8" s="67">
        <f>MAX(SUMPRODUCT((INDEX(Timeline!$P$5:$AN$305,0,MATCH($A8,Timeline!$P$4:$AN$4,0))="x")*(Timeline!$K$5:$K$305="Task")*ISNUMBER(Timeline!$I$5:$I$305)*ISNUMBER(Timeline!$J$5:$J$305)*(Timeline!$I$5:$I$305&lt;=AI$4+0)*(Timeline!$J$5:$J$305&gt;=AI$4+0)),SUMPRODUCT((INDEX(Timeline!$P$5:$AN$305,0,MATCH($A8,Timeline!$P$4:$AN$4,0))="x")*(Timeline!$K$5:$K$305="Task")*ISNUMBER(Timeline!$I$5:$I$305)*ISNUMBER(Timeline!$J$5:$J$305)*(Timeline!$I$5:$I$305&lt;=AI$4+1)*(Timeline!$J$5:$J$305&gt;=AI$4+1)),SUMPRODUCT((INDEX(Timeline!$P$5:$AN$305,0,MATCH($A8,Timeline!$P$4:$AN$4,0))="x")*(Timeline!$K$5:$K$305="Task")*ISNUMBER(Timeline!$I$5:$I$305)*ISNUMBER(Timeline!$J$5:$J$305)*(Timeline!$I$5:$I$305&lt;=AI$4+2)*(Timeline!$J$5:$J$305&gt;=AI$4+2)),SUMPRODUCT((INDEX(Timeline!$P$5:$AN$305,0,MATCH($A8,Timeline!$P$4:$AN$4,0))="x")*(Timeline!$K$5:$K$305="Task")*ISNUMBER(Timeline!$I$5:$I$305)*ISNUMBER(Timeline!$J$5:$J$305)*(Timeline!$I$5:$I$305&lt;=AI$4+3)*(Timeline!$J$5:$J$305&gt;=AI$4+3)),SUMPRODUCT((INDEX(Timeline!$P$5:$AN$305,0,MATCH($A8,Timeline!$P$4:$AN$4,0))="x")*(Timeline!$K$5:$K$305="Task")*ISNUMBER(Timeline!$I$5:$I$305)*ISNUMBER(Timeline!$J$5:$J$305)*(Timeline!$I$5:$I$305&lt;=AI$4+4)*(Timeline!$J$5:$J$305&gt;=AI$4+4)),SUMPRODUCT((INDEX(Timeline!$P$5:$AN$305,0,MATCH($A8,Timeline!$P$4:$AN$4,0))="x")*(Timeline!$K$5:$K$305="Task")*ISNUMBER(Timeline!$I$5:$I$305)*ISNUMBER(Timeline!$J$5:$J$305)*(Timeline!$I$5:$I$305&lt;=AI$4+5)*(Timeline!$J$5:$J$305&gt;=AI$4+5)),SUMPRODUCT((INDEX(Timeline!$P$5:$AN$305,0,MATCH($A8,Timeline!$P$4:$AN$4,0))="x")*(Timeline!$K$5:$K$305="Task")*ISNUMBER(Timeline!$I$5:$I$305)*ISNUMBER(Timeline!$J$5:$J$305)*(Timeline!$I$5:$I$305&lt;=AI$4+6)*(Timeline!$J$5:$J$305&gt;=AI$4+6)))</f>
        <v>1</v>
      </c>
      <c r="AJ8" s="67">
        <f>MAX(SUMPRODUCT((INDEX(Timeline!$P$5:$AN$305,0,MATCH($A8,Timeline!$P$4:$AN$4,0))="x")*(Timeline!$K$5:$K$305="Task")*ISNUMBER(Timeline!$I$5:$I$305)*ISNUMBER(Timeline!$J$5:$J$305)*(Timeline!$I$5:$I$305&lt;=AJ$4+0)*(Timeline!$J$5:$J$305&gt;=AJ$4+0)),SUMPRODUCT((INDEX(Timeline!$P$5:$AN$305,0,MATCH($A8,Timeline!$P$4:$AN$4,0))="x")*(Timeline!$K$5:$K$305="Task")*ISNUMBER(Timeline!$I$5:$I$305)*ISNUMBER(Timeline!$J$5:$J$305)*(Timeline!$I$5:$I$305&lt;=AJ$4+1)*(Timeline!$J$5:$J$305&gt;=AJ$4+1)),SUMPRODUCT((INDEX(Timeline!$P$5:$AN$305,0,MATCH($A8,Timeline!$P$4:$AN$4,0))="x")*(Timeline!$K$5:$K$305="Task")*ISNUMBER(Timeline!$I$5:$I$305)*ISNUMBER(Timeline!$J$5:$J$305)*(Timeline!$I$5:$I$305&lt;=AJ$4+2)*(Timeline!$J$5:$J$305&gt;=AJ$4+2)),SUMPRODUCT((INDEX(Timeline!$P$5:$AN$305,0,MATCH($A8,Timeline!$P$4:$AN$4,0))="x")*(Timeline!$K$5:$K$305="Task")*ISNUMBER(Timeline!$I$5:$I$305)*ISNUMBER(Timeline!$J$5:$J$305)*(Timeline!$I$5:$I$305&lt;=AJ$4+3)*(Timeline!$J$5:$J$305&gt;=AJ$4+3)),SUMPRODUCT((INDEX(Timeline!$P$5:$AN$305,0,MATCH($A8,Timeline!$P$4:$AN$4,0))="x")*(Timeline!$K$5:$K$305="Task")*ISNUMBER(Timeline!$I$5:$I$305)*ISNUMBER(Timeline!$J$5:$J$305)*(Timeline!$I$5:$I$305&lt;=AJ$4+4)*(Timeline!$J$5:$J$305&gt;=AJ$4+4)),SUMPRODUCT((INDEX(Timeline!$P$5:$AN$305,0,MATCH($A8,Timeline!$P$4:$AN$4,0))="x")*(Timeline!$K$5:$K$305="Task")*ISNUMBER(Timeline!$I$5:$I$305)*ISNUMBER(Timeline!$J$5:$J$305)*(Timeline!$I$5:$I$305&lt;=AJ$4+5)*(Timeline!$J$5:$J$305&gt;=AJ$4+5)),SUMPRODUCT((INDEX(Timeline!$P$5:$AN$305,0,MATCH($A8,Timeline!$P$4:$AN$4,0))="x")*(Timeline!$K$5:$K$305="Task")*ISNUMBER(Timeline!$I$5:$I$305)*ISNUMBER(Timeline!$J$5:$J$305)*(Timeline!$I$5:$I$305&lt;=AJ$4+6)*(Timeline!$J$5:$J$305&gt;=AJ$4+6)))</f>
        <v>1</v>
      </c>
      <c r="AK8" s="67">
        <f>MAX(SUMPRODUCT((INDEX(Timeline!$P$5:$AN$305,0,MATCH($A8,Timeline!$P$4:$AN$4,0))="x")*(Timeline!$K$5:$K$305="Task")*ISNUMBER(Timeline!$I$5:$I$305)*ISNUMBER(Timeline!$J$5:$J$305)*(Timeline!$I$5:$I$305&lt;=AK$4+0)*(Timeline!$J$5:$J$305&gt;=AK$4+0)),SUMPRODUCT((INDEX(Timeline!$P$5:$AN$305,0,MATCH($A8,Timeline!$P$4:$AN$4,0))="x")*(Timeline!$K$5:$K$305="Task")*ISNUMBER(Timeline!$I$5:$I$305)*ISNUMBER(Timeline!$J$5:$J$305)*(Timeline!$I$5:$I$305&lt;=AK$4+1)*(Timeline!$J$5:$J$305&gt;=AK$4+1)),SUMPRODUCT((INDEX(Timeline!$P$5:$AN$305,0,MATCH($A8,Timeline!$P$4:$AN$4,0))="x")*(Timeline!$K$5:$K$305="Task")*ISNUMBER(Timeline!$I$5:$I$305)*ISNUMBER(Timeline!$J$5:$J$305)*(Timeline!$I$5:$I$305&lt;=AK$4+2)*(Timeline!$J$5:$J$305&gt;=AK$4+2)),SUMPRODUCT((INDEX(Timeline!$P$5:$AN$305,0,MATCH($A8,Timeline!$P$4:$AN$4,0))="x")*(Timeline!$K$5:$K$305="Task")*ISNUMBER(Timeline!$I$5:$I$305)*ISNUMBER(Timeline!$J$5:$J$305)*(Timeline!$I$5:$I$305&lt;=AK$4+3)*(Timeline!$J$5:$J$305&gt;=AK$4+3)),SUMPRODUCT((INDEX(Timeline!$P$5:$AN$305,0,MATCH($A8,Timeline!$P$4:$AN$4,0))="x")*(Timeline!$K$5:$K$305="Task")*ISNUMBER(Timeline!$I$5:$I$305)*ISNUMBER(Timeline!$J$5:$J$305)*(Timeline!$I$5:$I$305&lt;=AK$4+4)*(Timeline!$J$5:$J$305&gt;=AK$4+4)),SUMPRODUCT((INDEX(Timeline!$P$5:$AN$305,0,MATCH($A8,Timeline!$P$4:$AN$4,0))="x")*(Timeline!$K$5:$K$305="Task")*ISNUMBER(Timeline!$I$5:$I$305)*ISNUMBER(Timeline!$J$5:$J$305)*(Timeline!$I$5:$I$305&lt;=AK$4+5)*(Timeline!$J$5:$J$305&gt;=AK$4+5)),SUMPRODUCT((INDEX(Timeline!$P$5:$AN$305,0,MATCH($A8,Timeline!$P$4:$AN$4,0))="x")*(Timeline!$K$5:$K$305="Task")*ISNUMBER(Timeline!$I$5:$I$305)*ISNUMBER(Timeline!$J$5:$J$305)*(Timeline!$I$5:$I$305&lt;=AK$4+6)*(Timeline!$J$5:$J$305&gt;=AK$4+6)))</f>
        <v>1</v>
      </c>
      <c r="AL8" s="67">
        <f>MAX(SUMPRODUCT((INDEX(Timeline!$P$5:$AN$305,0,MATCH($A8,Timeline!$P$4:$AN$4,0))="x")*(Timeline!$K$5:$K$305="Task")*ISNUMBER(Timeline!$I$5:$I$305)*ISNUMBER(Timeline!$J$5:$J$305)*(Timeline!$I$5:$I$305&lt;=AL$4+0)*(Timeline!$J$5:$J$305&gt;=AL$4+0)),SUMPRODUCT((INDEX(Timeline!$P$5:$AN$305,0,MATCH($A8,Timeline!$P$4:$AN$4,0))="x")*(Timeline!$K$5:$K$305="Task")*ISNUMBER(Timeline!$I$5:$I$305)*ISNUMBER(Timeline!$J$5:$J$305)*(Timeline!$I$5:$I$305&lt;=AL$4+1)*(Timeline!$J$5:$J$305&gt;=AL$4+1)),SUMPRODUCT((INDEX(Timeline!$P$5:$AN$305,0,MATCH($A8,Timeline!$P$4:$AN$4,0))="x")*(Timeline!$K$5:$K$305="Task")*ISNUMBER(Timeline!$I$5:$I$305)*ISNUMBER(Timeline!$J$5:$J$305)*(Timeline!$I$5:$I$305&lt;=AL$4+2)*(Timeline!$J$5:$J$305&gt;=AL$4+2)),SUMPRODUCT((INDEX(Timeline!$P$5:$AN$305,0,MATCH($A8,Timeline!$P$4:$AN$4,0))="x")*(Timeline!$K$5:$K$305="Task")*ISNUMBER(Timeline!$I$5:$I$305)*ISNUMBER(Timeline!$J$5:$J$305)*(Timeline!$I$5:$I$305&lt;=AL$4+3)*(Timeline!$J$5:$J$305&gt;=AL$4+3)),SUMPRODUCT((INDEX(Timeline!$P$5:$AN$305,0,MATCH($A8,Timeline!$P$4:$AN$4,0))="x")*(Timeline!$K$5:$K$305="Task")*ISNUMBER(Timeline!$I$5:$I$305)*ISNUMBER(Timeline!$J$5:$J$305)*(Timeline!$I$5:$I$305&lt;=AL$4+4)*(Timeline!$J$5:$J$305&gt;=AL$4+4)),SUMPRODUCT((INDEX(Timeline!$P$5:$AN$305,0,MATCH($A8,Timeline!$P$4:$AN$4,0))="x")*(Timeline!$K$5:$K$305="Task")*ISNUMBER(Timeline!$I$5:$I$305)*ISNUMBER(Timeline!$J$5:$J$305)*(Timeline!$I$5:$I$305&lt;=AL$4+5)*(Timeline!$J$5:$J$305&gt;=AL$4+5)),SUMPRODUCT((INDEX(Timeline!$P$5:$AN$305,0,MATCH($A8,Timeline!$P$4:$AN$4,0))="x")*(Timeline!$K$5:$K$305="Task")*ISNUMBER(Timeline!$I$5:$I$305)*ISNUMBER(Timeline!$J$5:$J$305)*(Timeline!$I$5:$I$305&lt;=AL$4+6)*(Timeline!$J$5:$J$305&gt;=AL$4+6)))</f>
        <v>0</v>
      </c>
      <c r="AM8" s="67">
        <f>MAX(SUMPRODUCT((INDEX(Timeline!$P$5:$AN$305,0,MATCH($A8,Timeline!$P$4:$AN$4,0))="x")*(Timeline!$K$5:$K$305="Task")*ISNUMBER(Timeline!$I$5:$I$305)*ISNUMBER(Timeline!$J$5:$J$305)*(Timeline!$I$5:$I$305&lt;=AM$4+0)*(Timeline!$J$5:$J$305&gt;=AM$4+0)),SUMPRODUCT((INDEX(Timeline!$P$5:$AN$305,0,MATCH($A8,Timeline!$P$4:$AN$4,0))="x")*(Timeline!$K$5:$K$305="Task")*ISNUMBER(Timeline!$I$5:$I$305)*ISNUMBER(Timeline!$J$5:$J$305)*(Timeline!$I$5:$I$305&lt;=AM$4+1)*(Timeline!$J$5:$J$305&gt;=AM$4+1)),SUMPRODUCT((INDEX(Timeline!$P$5:$AN$305,0,MATCH($A8,Timeline!$P$4:$AN$4,0))="x")*(Timeline!$K$5:$K$305="Task")*ISNUMBER(Timeline!$I$5:$I$305)*ISNUMBER(Timeline!$J$5:$J$305)*(Timeline!$I$5:$I$305&lt;=AM$4+2)*(Timeline!$J$5:$J$305&gt;=AM$4+2)),SUMPRODUCT((INDEX(Timeline!$P$5:$AN$305,0,MATCH($A8,Timeline!$P$4:$AN$4,0))="x")*(Timeline!$K$5:$K$305="Task")*ISNUMBER(Timeline!$I$5:$I$305)*ISNUMBER(Timeline!$J$5:$J$305)*(Timeline!$I$5:$I$305&lt;=AM$4+3)*(Timeline!$J$5:$J$305&gt;=AM$4+3)),SUMPRODUCT((INDEX(Timeline!$P$5:$AN$305,0,MATCH($A8,Timeline!$P$4:$AN$4,0))="x")*(Timeline!$K$5:$K$305="Task")*ISNUMBER(Timeline!$I$5:$I$305)*ISNUMBER(Timeline!$J$5:$J$305)*(Timeline!$I$5:$I$305&lt;=AM$4+4)*(Timeline!$J$5:$J$305&gt;=AM$4+4)),SUMPRODUCT((INDEX(Timeline!$P$5:$AN$305,0,MATCH($A8,Timeline!$P$4:$AN$4,0))="x")*(Timeline!$K$5:$K$305="Task")*ISNUMBER(Timeline!$I$5:$I$305)*ISNUMBER(Timeline!$J$5:$J$305)*(Timeline!$I$5:$I$305&lt;=AM$4+5)*(Timeline!$J$5:$J$305&gt;=AM$4+5)),SUMPRODUCT((INDEX(Timeline!$P$5:$AN$305,0,MATCH($A8,Timeline!$P$4:$AN$4,0))="x")*(Timeline!$K$5:$K$305="Task")*ISNUMBER(Timeline!$I$5:$I$305)*ISNUMBER(Timeline!$J$5:$J$305)*(Timeline!$I$5:$I$305&lt;=AM$4+6)*(Timeline!$J$5:$J$305&gt;=AM$4+6)))</f>
        <v>0</v>
      </c>
      <c r="AN8" s="67">
        <f>MAX(SUMPRODUCT((INDEX(Timeline!$P$5:$AN$305,0,MATCH($A8,Timeline!$P$4:$AN$4,0))="x")*(Timeline!$K$5:$K$305="Task")*ISNUMBER(Timeline!$I$5:$I$305)*ISNUMBER(Timeline!$J$5:$J$305)*(Timeline!$I$5:$I$305&lt;=AN$4+0)*(Timeline!$J$5:$J$305&gt;=AN$4+0)),SUMPRODUCT((INDEX(Timeline!$P$5:$AN$305,0,MATCH($A8,Timeline!$P$4:$AN$4,0))="x")*(Timeline!$K$5:$K$305="Task")*ISNUMBER(Timeline!$I$5:$I$305)*ISNUMBER(Timeline!$J$5:$J$305)*(Timeline!$I$5:$I$305&lt;=AN$4+1)*(Timeline!$J$5:$J$305&gt;=AN$4+1)),SUMPRODUCT((INDEX(Timeline!$P$5:$AN$305,0,MATCH($A8,Timeline!$P$4:$AN$4,0))="x")*(Timeline!$K$5:$K$305="Task")*ISNUMBER(Timeline!$I$5:$I$305)*ISNUMBER(Timeline!$J$5:$J$305)*(Timeline!$I$5:$I$305&lt;=AN$4+2)*(Timeline!$J$5:$J$305&gt;=AN$4+2)),SUMPRODUCT((INDEX(Timeline!$P$5:$AN$305,0,MATCH($A8,Timeline!$P$4:$AN$4,0))="x")*(Timeline!$K$5:$K$305="Task")*ISNUMBER(Timeline!$I$5:$I$305)*ISNUMBER(Timeline!$J$5:$J$305)*(Timeline!$I$5:$I$305&lt;=AN$4+3)*(Timeline!$J$5:$J$305&gt;=AN$4+3)),SUMPRODUCT((INDEX(Timeline!$P$5:$AN$305,0,MATCH($A8,Timeline!$P$4:$AN$4,0))="x")*(Timeline!$K$5:$K$305="Task")*ISNUMBER(Timeline!$I$5:$I$305)*ISNUMBER(Timeline!$J$5:$J$305)*(Timeline!$I$5:$I$305&lt;=AN$4+4)*(Timeline!$J$5:$J$305&gt;=AN$4+4)),SUMPRODUCT((INDEX(Timeline!$P$5:$AN$305,0,MATCH($A8,Timeline!$P$4:$AN$4,0))="x")*(Timeline!$K$5:$K$305="Task")*ISNUMBER(Timeline!$I$5:$I$305)*ISNUMBER(Timeline!$J$5:$J$305)*(Timeline!$I$5:$I$305&lt;=AN$4+5)*(Timeline!$J$5:$J$305&gt;=AN$4+5)),SUMPRODUCT((INDEX(Timeline!$P$5:$AN$305,0,MATCH($A8,Timeline!$P$4:$AN$4,0))="x")*(Timeline!$K$5:$K$305="Task")*ISNUMBER(Timeline!$I$5:$I$305)*ISNUMBER(Timeline!$J$5:$J$305)*(Timeline!$I$5:$I$305&lt;=AN$4+6)*(Timeline!$J$5:$J$305&gt;=AN$4+6)))</f>
        <v>0</v>
      </c>
      <c r="AO8" s="67">
        <f>MAX(SUMPRODUCT((INDEX(Timeline!$P$5:$AN$305,0,MATCH($A8,Timeline!$P$4:$AN$4,0))="x")*(Timeline!$K$5:$K$305="Task")*ISNUMBER(Timeline!$I$5:$I$305)*ISNUMBER(Timeline!$J$5:$J$305)*(Timeline!$I$5:$I$305&lt;=AO$4+0)*(Timeline!$J$5:$J$305&gt;=AO$4+0)),SUMPRODUCT((INDEX(Timeline!$P$5:$AN$305,0,MATCH($A8,Timeline!$P$4:$AN$4,0))="x")*(Timeline!$K$5:$K$305="Task")*ISNUMBER(Timeline!$I$5:$I$305)*ISNUMBER(Timeline!$J$5:$J$305)*(Timeline!$I$5:$I$305&lt;=AO$4+1)*(Timeline!$J$5:$J$305&gt;=AO$4+1)),SUMPRODUCT((INDEX(Timeline!$P$5:$AN$305,0,MATCH($A8,Timeline!$P$4:$AN$4,0))="x")*(Timeline!$K$5:$K$305="Task")*ISNUMBER(Timeline!$I$5:$I$305)*ISNUMBER(Timeline!$J$5:$J$305)*(Timeline!$I$5:$I$305&lt;=AO$4+2)*(Timeline!$J$5:$J$305&gt;=AO$4+2)),SUMPRODUCT((INDEX(Timeline!$P$5:$AN$305,0,MATCH($A8,Timeline!$P$4:$AN$4,0))="x")*(Timeline!$K$5:$K$305="Task")*ISNUMBER(Timeline!$I$5:$I$305)*ISNUMBER(Timeline!$J$5:$J$305)*(Timeline!$I$5:$I$305&lt;=AO$4+3)*(Timeline!$J$5:$J$305&gt;=AO$4+3)),SUMPRODUCT((INDEX(Timeline!$P$5:$AN$305,0,MATCH($A8,Timeline!$P$4:$AN$4,0))="x")*(Timeline!$K$5:$K$305="Task")*ISNUMBER(Timeline!$I$5:$I$305)*ISNUMBER(Timeline!$J$5:$J$305)*(Timeline!$I$5:$I$305&lt;=AO$4+4)*(Timeline!$J$5:$J$305&gt;=AO$4+4)),SUMPRODUCT((INDEX(Timeline!$P$5:$AN$305,0,MATCH($A8,Timeline!$P$4:$AN$4,0))="x")*(Timeline!$K$5:$K$305="Task")*ISNUMBER(Timeline!$I$5:$I$305)*ISNUMBER(Timeline!$J$5:$J$305)*(Timeline!$I$5:$I$305&lt;=AO$4+5)*(Timeline!$J$5:$J$305&gt;=AO$4+5)),SUMPRODUCT((INDEX(Timeline!$P$5:$AN$305,0,MATCH($A8,Timeline!$P$4:$AN$4,0))="x")*(Timeline!$K$5:$K$305="Task")*ISNUMBER(Timeline!$I$5:$I$305)*ISNUMBER(Timeline!$J$5:$J$305)*(Timeline!$I$5:$I$305&lt;=AO$4+6)*(Timeline!$J$5:$J$305&gt;=AO$4+6)))</f>
        <v>0</v>
      </c>
      <c r="AP8" s="67">
        <f>MAX(SUMPRODUCT((INDEX(Timeline!$P$5:$AN$305,0,MATCH($A8,Timeline!$P$4:$AN$4,0))="x")*(Timeline!$K$5:$K$305="Task")*ISNUMBER(Timeline!$I$5:$I$305)*ISNUMBER(Timeline!$J$5:$J$305)*(Timeline!$I$5:$I$305&lt;=AP$4+0)*(Timeline!$J$5:$J$305&gt;=AP$4+0)),SUMPRODUCT((INDEX(Timeline!$P$5:$AN$305,0,MATCH($A8,Timeline!$P$4:$AN$4,0))="x")*(Timeline!$K$5:$K$305="Task")*ISNUMBER(Timeline!$I$5:$I$305)*ISNUMBER(Timeline!$J$5:$J$305)*(Timeline!$I$5:$I$305&lt;=AP$4+1)*(Timeline!$J$5:$J$305&gt;=AP$4+1)),SUMPRODUCT((INDEX(Timeline!$P$5:$AN$305,0,MATCH($A8,Timeline!$P$4:$AN$4,0))="x")*(Timeline!$K$5:$K$305="Task")*ISNUMBER(Timeline!$I$5:$I$305)*ISNUMBER(Timeline!$J$5:$J$305)*(Timeline!$I$5:$I$305&lt;=AP$4+2)*(Timeline!$J$5:$J$305&gt;=AP$4+2)),SUMPRODUCT((INDEX(Timeline!$P$5:$AN$305,0,MATCH($A8,Timeline!$P$4:$AN$4,0))="x")*(Timeline!$K$5:$K$305="Task")*ISNUMBER(Timeline!$I$5:$I$305)*ISNUMBER(Timeline!$J$5:$J$305)*(Timeline!$I$5:$I$305&lt;=AP$4+3)*(Timeline!$J$5:$J$305&gt;=AP$4+3)),SUMPRODUCT((INDEX(Timeline!$P$5:$AN$305,0,MATCH($A8,Timeline!$P$4:$AN$4,0))="x")*(Timeline!$K$5:$K$305="Task")*ISNUMBER(Timeline!$I$5:$I$305)*ISNUMBER(Timeline!$J$5:$J$305)*(Timeline!$I$5:$I$305&lt;=AP$4+4)*(Timeline!$J$5:$J$305&gt;=AP$4+4)),SUMPRODUCT((INDEX(Timeline!$P$5:$AN$305,0,MATCH($A8,Timeline!$P$4:$AN$4,0))="x")*(Timeline!$K$5:$K$305="Task")*ISNUMBER(Timeline!$I$5:$I$305)*ISNUMBER(Timeline!$J$5:$J$305)*(Timeline!$I$5:$I$305&lt;=AP$4+5)*(Timeline!$J$5:$J$305&gt;=AP$4+5)),SUMPRODUCT((INDEX(Timeline!$P$5:$AN$305,0,MATCH($A8,Timeline!$P$4:$AN$4,0))="x")*(Timeline!$K$5:$K$305="Task")*ISNUMBER(Timeline!$I$5:$I$305)*ISNUMBER(Timeline!$J$5:$J$305)*(Timeline!$I$5:$I$305&lt;=AP$4+6)*(Timeline!$J$5:$J$305&gt;=AP$4+6)))</f>
        <v>0</v>
      </c>
      <c r="AQ8" s="67">
        <f>MAX(SUMPRODUCT((INDEX(Timeline!$P$5:$AN$305,0,MATCH($A8,Timeline!$P$4:$AN$4,0))="x")*(Timeline!$K$5:$K$305="Task")*ISNUMBER(Timeline!$I$5:$I$305)*ISNUMBER(Timeline!$J$5:$J$305)*(Timeline!$I$5:$I$305&lt;=AQ$4+0)*(Timeline!$J$5:$J$305&gt;=AQ$4+0)),SUMPRODUCT((INDEX(Timeline!$P$5:$AN$305,0,MATCH($A8,Timeline!$P$4:$AN$4,0))="x")*(Timeline!$K$5:$K$305="Task")*ISNUMBER(Timeline!$I$5:$I$305)*ISNUMBER(Timeline!$J$5:$J$305)*(Timeline!$I$5:$I$305&lt;=AQ$4+1)*(Timeline!$J$5:$J$305&gt;=AQ$4+1)),SUMPRODUCT((INDEX(Timeline!$P$5:$AN$305,0,MATCH($A8,Timeline!$P$4:$AN$4,0))="x")*(Timeline!$K$5:$K$305="Task")*ISNUMBER(Timeline!$I$5:$I$305)*ISNUMBER(Timeline!$J$5:$J$305)*(Timeline!$I$5:$I$305&lt;=AQ$4+2)*(Timeline!$J$5:$J$305&gt;=AQ$4+2)),SUMPRODUCT((INDEX(Timeline!$P$5:$AN$305,0,MATCH($A8,Timeline!$P$4:$AN$4,0))="x")*(Timeline!$K$5:$K$305="Task")*ISNUMBER(Timeline!$I$5:$I$305)*ISNUMBER(Timeline!$J$5:$J$305)*(Timeline!$I$5:$I$305&lt;=AQ$4+3)*(Timeline!$J$5:$J$305&gt;=AQ$4+3)),SUMPRODUCT((INDEX(Timeline!$P$5:$AN$305,0,MATCH($A8,Timeline!$P$4:$AN$4,0))="x")*(Timeline!$K$5:$K$305="Task")*ISNUMBER(Timeline!$I$5:$I$305)*ISNUMBER(Timeline!$J$5:$J$305)*(Timeline!$I$5:$I$305&lt;=AQ$4+4)*(Timeline!$J$5:$J$305&gt;=AQ$4+4)),SUMPRODUCT((INDEX(Timeline!$P$5:$AN$305,0,MATCH($A8,Timeline!$P$4:$AN$4,0))="x")*(Timeline!$K$5:$K$305="Task")*ISNUMBER(Timeline!$I$5:$I$305)*ISNUMBER(Timeline!$J$5:$J$305)*(Timeline!$I$5:$I$305&lt;=AQ$4+5)*(Timeline!$J$5:$J$305&gt;=AQ$4+5)),SUMPRODUCT((INDEX(Timeline!$P$5:$AN$305,0,MATCH($A8,Timeline!$P$4:$AN$4,0))="x")*(Timeline!$K$5:$K$305="Task")*ISNUMBER(Timeline!$I$5:$I$305)*ISNUMBER(Timeline!$J$5:$J$305)*(Timeline!$I$5:$I$305&lt;=AQ$4+6)*(Timeline!$J$5:$J$305&gt;=AQ$4+6)))</f>
        <v>0</v>
      </c>
      <c r="AR8" s="67">
        <f>MAX(SUMPRODUCT((INDEX(Timeline!$P$5:$AN$305,0,MATCH($A8,Timeline!$P$4:$AN$4,0))="x")*(Timeline!$K$5:$K$305="Task")*ISNUMBER(Timeline!$I$5:$I$305)*ISNUMBER(Timeline!$J$5:$J$305)*(Timeline!$I$5:$I$305&lt;=AR$4+0)*(Timeline!$J$5:$J$305&gt;=AR$4+0)),SUMPRODUCT((INDEX(Timeline!$P$5:$AN$305,0,MATCH($A8,Timeline!$P$4:$AN$4,0))="x")*(Timeline!$K$5:$K$305="Task")*ISNUMBER(Timeline!$I$5:$I$305)*ISNUMBER(Timeline!$J$5:$J$305)*(Timeline!$I$5:$I$305&lt;=AR$4+1)*(Timeline!$J$5:$J$305&gt;=AR$4+1)),SUMPRODUCT((INDEX(Timeline!$P$5:$AN$305,0,MATCH($A8,Timeline!$P$4:$AN$4,0))="x")*(Timeline!$K$5:$K$305="Task")*ISNUMBER(Timeline!$I$5:$I$305)*ISNUMBER(Timeline!$J$5:$J$305)*(Timeline!$I$5:$I$305&lt;=AR$4+2)*(Timeline!$J$5:$J$305&gt;=AR$4+2)),SUMPRODUCT((INDEX(Timeline!$P$5:$AN$305,0,MATCH($A8,Timeline!$P$4:$AN$4,0))="x")*(Timeline!$K$5:$K$305="Task")*ISNUMBER(Timeline!$I$5:$I$305)*ISNUMBER(Timeline!$J$5:$J$305)*(Timeline!$I$5:$I$305&lt;=AR$4+3)*(Timeline!$J$5:$J$305&gt;=AR$4+3)),SUMPRODUCT((INDEX(Timeline!$P$5:$AN$305,0,MATCH($A8,Timeline!$P$4:$AN$4,0))="x")*(Timeline!$K$5:$K$305="Task")*ISNUMBER(Timeline!$I$5:$I$305)*ISNUMBER(Timeline!$J$5:$J$305)*(Timeline!$I$5:$I$305&lt;=AR$4+4)*(Timeline!$J$5:$J$305&gt;=AR$4+4)),SUMPRODUCT((INDEX(Timeline!$P$5:$AN$305,0,MATCH($A8,Timeline!$P$4:$AN$4,0))="x")*(Timeline!$K$5:$K$305="Task")*ISNUMBER(Timeline!$I$5:$I$305)*ISNUMBER(Timeline!$J$5:$J$305)*(Timeline!$I$5:$I$305&lt;=AR$4+5)*(Timeline!$J$5:$J$305&gt;=AR$4+5)),SUMPRODUCT((INDEX(Timeline!$P$5:$AN$305,0,MATCH($A8,Timeline!$P$4:$AN$4,0))="x")*(Timeline!$K$5:$K$305="Task")*ISNUMBER(Timeline!$I$5:$I$305)*ISNUMBER(Timeline!$J$5:$J$305)*(Timeline!$I$5:$I$305&lt;=AR$4+6)*(Timeline!$J$5:$J$305&gt;=AR$4+6)))</f>
        <v>0</v>
      </c>
      <c r="AS8" s="67">
        <f>MAX(SUMPRODUCT((INDEX(Timeline!$P$5:$AN$305,0,MATCH($A8,Timeline!$P$4:$AN$4,0))="x")*(Timeline!$K$5:$K$305="Task")*ISNUMBER(Timeline!$I$5:$I$305)*ISNUMBER(Timeline!$J$5:$J$305)*(Timeline!$I$5:$I$305&lt;=AS$4+0)*(Timeline!$J$5:$J$305&gt;=AS$4+0)),SUMPRODUCT((INDEX(Timeline!$P$5:$AN$305,0,MATCH($A8,Timeline!$P$4:$AN$4,0))="x")*(Timeline!$K$5:$K$305="Task")*ISNUMBER(Timeline!$I$5:$I$305)*ISNUMBER(Timeline!$J$5:$J$305)*(Timeline!$I$5:$I$305&lt;=AS$4+1)*(Timeline!$J$5:$J$305&gt;=AS$4+1)),SUMPRODUCT((INDEX(Timeline!$P$5:$AN$305,0,MATCH($A8,Timeline!$P$4:$AN$4,0))="x")*(Timeline!$K$5:$K$305="Task")*ISNUMBER(Timeline!$I$5:$I$305)*ISNUMBER(Timeline!$J$5:$J$305)*(Timeline!$I$5:$I$305&lt;=AS$4+2)*(Timeline!$J$5:$J$305&gt;=AS$4+2)),SUMPRODUCT((INDEX(Timeline!$P$5:$AN$305,0,MATCH($A8,Timeline!$P$4:$AN$4,0))="x")*(Timeline!$K$5:$K$305="Task")*ISNUMBER(Timeline!$I$5:$I$305)*ISNUMBER(Timeline!$J$5:$J$305)*(Timeline!$I$5:$I$305&lt;=AS$4+3)*(Timeline!$J$5:$J$305&gt;=AS$4+3)),SUMPRODUCT((INDEX(Timeline!$P$5:$AN$305,0,MATCH($A8,Timeline!$P$4:$AN$4,0))="x")*(Timeline!$K$5:$K$305="Task")*ISNUMBER(Timeline!$I$5:$I$305)*ISNUMBER(Timeline!$J$5:$J$305)*(Timeline!$I$5:$I$305&lt;=AS$4+4)*(Timeline!$J$5:$J$305&gt;=AS$4+4)),SUMPRODUCT((INDEX(Timeline!$P$5:$AN$305,0,MATCH($A8,Timeline!$P$4:$AN$4,0))="x")*(Timeline!$K$5:$K$305="Task")*ISNUMBER(Timeline!$I$5:$I$305)*ISNUMBER(Timeline!$J$5:$J$305)*(Timeline!$I$5:$I$305&lt;=AS$4+5)*(Timeline!$J$5:$J$305&gt;=AS$4+5)),SUMPRODUCT((INDEX(Timeline!$P$5:$AN$305,0,MATCH($A8,Timeline!$P$4:$AN$4,0))="x")*(Timeline!$K$5:$K$305="Task")*ISNUMBER(Timeline!$I$5:$I$305)*ISNUMBER(Timeline!$J$5:$J$305)*(Timeline!$I$5:$I$305&lt;=AS$4+6)*(Timeline!$J$5:$J$305&gt;=AS$4+6)))</f>
        <v>0</v>
      </c>
      <c r="AT8" s="67">
        <f>MAX(SUMPRODUCT((INDEX(Timeline!$P$5:$AN$305,0,MATCH($A8,Timeline!$P$4:$AN$4,0))="x")*(Timeline!$K$5:$K$305="Task")*ISNUMBER(Timeline!$I$5:$I$305)*ISNUMBER(Timeline!$J$5:$J$305)*(Timeline!$I$5:$I$305&lt;=AT$4+0)*(Timeline!$J$5:$J$305&gt;=AT$4+0)),SUMPRODUCT((INDEX(Timeline!$P$5:$AN$305,0,MATCH($A8,Timeline!$P$4:$AN$4,0))="x")*(Timeline!$K$5:$K$305="Task")*ISNUMBER(Timeline!$I$5:$I$305)*ISNUMBER(Timeline!$J$5:$J$305)*(Timeline!$I$5:$I$305&lt;=AT$4+1)*(Timeline!$J$5:$J$305&gt;=AT$4+1)),SUMPRODUCT((INDEX(Timeline!$P$5:$AN$305,0,MATCH($A8,Timeline!$P$4:$AN$4,0))="x")*(Timeline!$K$5:$K$305="Task")*ISNUMBER(Timeline!$I$5:$I$305)*ISNUMBER(Timeline!$J$5:$J$305)*(Timeline!$I$5:$I$305&lt;=AT$4+2)*(Timeline!$J$5:$J$305&gt;=AT$4+2)),SUMPRODUCT((INDEX(Timeline!$P$5:$AN$305,0,MATCH($A8,Timeline!$P$4:$AN$4,0))="x")*(Timeline!$K$5:$K$305="Task")*ISNUMBER(Timeline!$I$5:$I$305)*ISNUMBER(Timeline!$J$5:$J$305)*(Timeline!$I$5:$I$305&lt;=AT$4+3)*(Timeline!$J$5:$J$305&gt;=AT$4+3)),SUMPRODUCT((INDEX(Timeline!$P$5:$AN$305,0,MATCH($A8,Timeline!$P$4:$AN$4,0))="x")*(Timeline!$K$5:$K$305="Task")*ISNUMBER(Timeline!$I$5:$I$305)*ISNUMBER(Timeline!$J$5:$J$305)*(Timeline!$I$5:$I$305&lt;=AT$4+4)*(Timeline!$J$5:$J$305&gt;=AT$4+4)),SUMPRODUCT((INDEX(Timeline!$P$5:$AN$305,0,MATCH($A8,Timeline!$P$4:$AN$4,0))="x")*(Timeline!$K$5:$K$305="Task")*ISNUMBER(Timeline!$I$5:$I$305)*ISNUMBER(Timeline!$J$5:$J$305)*(Timeline!$I$5:$I$305&lt;=AT$4+5)*(Timeline!$J$5:$J$305&gt;=AT$4+5)),SUMPRODUCT((INDEX(Timeline!$P$5:$AN$305,0,MATCH($A8,Timeline!$P$4:$AN$4,0))="x")*(Timeline!$K$5:$K$305="Task")*ISNUMBER(Timeline!$I$5:$I$305)*ISNUMBER(Timeline!$J$5:$J$305)*(Timeline!$I$5:$I$305&lt;=AT$4+6)*(Timeline!$J$5:$J$305&gt;=AT$4+6)))</f>
        <v>0</v>
      </c>
      <c r="AU8" s="67">
        <f>MAX(SUMPRODUCT((INDEX(Timeline!$P$5:$AN$305,0,MATCH($A8,Timeline!$P$4:$AN$4,0))="x")*(Timeline!$K$5:$K$305="Task")*ISNUMBER(Timeline!$I$5:$I$305)*ISNUMBER(Timeline!$J$5:$J$305)*(Timeline!$I$5:$I$305&lt;=AU$4+0)*(Timeline!$J$5:$J$305&gt;=AU$4+0)),SUMPRODUCT((INDEX(Timeline!$P$5:$AN$305,0,MATCH($A8,Timeline!$P$4:$AN$4,0))="x")*(Timeline!$K$5:$K$305="Task")*ISNUMBER(Timeline!$I$5:$I$305)*ISNUMBER(Timeline!$J$5:$J$305)*(Timeline!$I$5:$I$305&lt;=AU$4+1)*(Timeline!$J$5:$J$305&gt;=AU$4+1)),SUMPRODUCT((INDEX(Timeline!$P$5:$AN$305,0,MATCH($A8,Timeline!$P$4:$AN$4,0))="x")*(Timeline!$K$5:$K$305="Task")*ISNUMBER(Timeline!$I$5:$I$305)*ISNUMBER(Timeline!$J$5:$J$305)*(Timeline!$I$5:$I$305&lt;=AU$4+2)*(Timeline!$J$5:$J$305&gt;=AU$4+2)),SUMPRODUCT((INDEX(Timeline!$P$5:$AN$305,0,MATCH($A8,Timeline!$P$4:$AN$4,0))="x")*(Timeline!$K$5:$K$305="Task")*ISNUMBER(Timeline!$I$5:$I$305)*ISNUMBER(Timeline!$J$5:$J$305)*(Timeline!$I$5:$I$305&lt;=AU$4+3)*(Timeline!$J$5:$J$305&gt;=AU$4+3)),SUMPRODUCT((INDEX(Timeline!$P$5:$AN$305,0,MATCH($A8,Timeline!$P$4:$AN$4,0))="x")*(Timeline!$K$5:$K$305="Task")*ISNUMBER(Timeline!$I$5:$I$305)*ISNUMBER(Timeline!$J$5:$J$305)*(Timeline!$I$5:$I$305&lt;=AU$4+4)*(Timeline!$J$5:$J$305&gt;=AU$4+4)),SUMPRODUCT((INDEX(Timeline!$P$5:$AN$305,0,MATCH($A8,Timeline!$P$4:$AN$4,0))="x")*(Timeline!$K$5:$K$305="Task")*ISNUMBER(Timeline!$I$5:$I$305)*ISNUMBER(Timeline!$J$5:$J$305)*(Timeline!$I$5:$I$305&lt;=AU$4+5)*(Timeline!$J$5:$J$305&gt;=AU$4+5)),SUMPRODUCT((INDEX(Timeline!$P$5:$AN$305,0,MATCH($A8,Timeline!$P$4:$AN$4,0))="x")*(Timeline!$K$5:$K$305="Task")*ISNUMBER(Timeline!$I$5:$I$305)*ISNUMBER(Timeline!$J$5:$J$305)*(Timeline!$I$5:$I$305&lt;=AU$4+6)*(Timeline!$J$5:$J$305&gt;=AU$4+6)))</f>
        <v>0</v>
      </c>
      <c r="AV8" s="67">
        <f>MAX(SUMPRODUCT((INDEX(Timeline!$P$5:$AN$305,0,MATCH($A8,Timeline!$P$4:$AN$4,0))="x")*(Timeline!$K$5:$K$305="Task")*ISNUMBER(Timeline!$I$5:$I$305)*ISNUMBER(Timeline!$J$5:$J$305)*(Timeline!$I$5:$I$305&lt;=AV$4+0)*(Timeline!$J$5:$J$305&gt;=AV$4+0)),SUMPRODUCT((INDEX(Timeline!$P$5:$AN$305,0,MATCH($A8,Timeline!$P$4:$AN$4,0))="x")*(Timeline!$K$5:$K$305="Task")*ISNUMBER(Timeline!$I$5:$I$305)*ISNUMBER(Timeline!$J$5:$J$305)*(Timeline!$I$5:$I$305&lt;=AV$4+1)*(Timeline!$J$5:$J$305&gt;=AV$4+1)),SUMPRODUCT((INDEX(Timeline!$P$5:$AN$305,0,MATCH($A8,Timeline!$P$4:$AN$4,0))="x")*(Timeline!$K$5:$K$305="Task")*ISNUMBER(Timeline!$I$5:$I$305)*ISNUMBER(Timeline!$J$5:$J$305)*(Timeline!$I$5:$I$305&lt;=AV$4+2)*(Timeline!$J$5:$J$305&gt;=AV$4+2)),SUMPRODUCT((INDEX(Timeline!$P$5:$AN$305,0,MATCH($A8,Timeline!$P$4:$AN$4,0))="x")*(Timeline!$K$5:$K$305="Task")*ISNUMBER(Timeline!$I$5:$I$305)*ISNUMBER(Timeline!$J$5:$J$305)*(Timeline!$I$5:$I$305&lt;=AV$4+3)*(Timeline!$J$5:$J$305&gt;=AV$4+3)),SUMPRODUCT((INDEX(Timeline!$P$5:$AN$305,0,MATCH($A8,Timeline!$P$4:$AN$4,0))="x")*(Timeline!$K$5:$K$305="Task")*ISNUMBER(Timeline!$I$5:$I$305)*ISNUMBER(Timeline!$J$5:$J$305)*(Timeline!$I$5:$I$305&lt;=AV$4+4)*(Timeline!$J$5:$J$305&gt;=AV$4+4)),SUMPRODUCT((INDEX(Timeline!$P$5:$AN$305,0,MATCH($A8,Timeline!$P$4:$AN$4,0))="x")*(Timeline!$K$5:$K$305="Task")*ISNUMBER(Timeline!$I$5:$I$305)*ISNUMBER(Timeline!$J$5:$J$305)*(Timeline!$I$5:$I$305&lt;=AV$4+5)*(Timeline!$J$5:$J$305&gt;=AV$4+5)),SUMPRODUCT((INDEX(Timeline!$P$5:$AN$305,0,MATCH($A8,Timeline!$P$4:$AN$4,0))="x")*(Timeline!$K$5:$K$305="Task")*ISNUMBER(Timeline!$I$5:$I$305)*ISNUMBER(Timeline!$J$5:$J$305)*(Timeline!$I$5:$I$305&lt;=AV$4+6)*(Timeline!$J$5:$J$305&gt;=AV$4+6)))</f>
        <v>0</v>
      </c>
      <c r="AW8" s="67">
        <f>MAX(SUMPRODUCT((INDEX(Timeline!$P$5:$AN$305,0,MATCH($A8,Timeline!$P$4:$AN$4,0))="x")*(Timeline!$K$5:$K$305="Task")*ISNUMBER(Timeline!$I$5:$I$305)*ISNUMBER(Timeline!$J$5:$J$305)*(Timeline!$I$5:$I$305&lt;=AW$4+0)*(Timeline!$J$5:$J$305&gt;=AW$4+0)),SUMPRODUCT((INDEX(Timeline!$P$5:$AN$305,0,MATCH($A8,Timeline!$P$4:$AN$4,0))="x")*(Timeline!$K$5:$K$305="Task")*ISNUMBER(Timeline!$I$5:$I$305)*ISNUMBER(Timeline!$J$5:$J$305)*(Timeline!$I$5:$I$305&lt;=AW$4+1)*(Timeline!$J$5:$J$305&gt;=AW$4+1)),SUMPRODUCT((INDEX(Timeline!$P$5:$AN$305,0,MATCH($A8,Timeline!$P$4:$AN$4,0))="x")*(Timeline!$K$5:$K$305="Task")*ISNUMBER(Timeline!$I$5:$I$305)*ISNUMBER(Timeline!$J$5:$J$305)*(Timeline!$I$5:$I$305&lt;=AW$4+2)*(Timeline!$J$5:$J$305&gt;=AW$4+2)),SUMPRODUCT((INDEX(Timeline!$P$5:$AN$305,0,MATCH($A8,Timeline!$P$4:$AN$4,0))="x")*(Timeline!$K$5:$K$305="Task")*ISNUMBER(Timeline!$I$5:$I$305)*ISNUMBER(Timeline!$J$5:$J$305)*(Timeline!$I$5:$I$305&lt;=AW$4+3)*(Timeline!$J$5:$J$305&gt;=AW$4+3)),SUMPRODUCT((INDEX(Timeline!$P$5:$AN$305,0,MATCH($A8,Timeline!$P$4:$AN$4,0))="x")*(Timeline!$K$5:$K$305="Task")*ISNUMBER(Timeline!$I$5:$I$305)*ISNUMBER(Timeline!$J$5:$J$305)*(Timeline!$I$5:$I$305&lt;=AW$4+4)*(Timeline!$J$5:$J$305&gt;=AW$4+4)),SUMPRODUCT((INDEX(Timeline!$P$5:$AN$305,0,MATCH($A8,Timeline!$P$4:$AN$4,0))="x")*(Timeline!$K$5:$K$305="Task")*ISNUMBER(Timeline!$I$5:$I$305)*ISNUMBER(Timeline!$J$5:$J$305)*(Timeline!$I$5:$I$305&lt;=AW$4+5)*(Timeline!$J$5:$J$305&gt;=AW$4+5)),SUMPRODUCT((INDEX(Timeline!$P$5:$AN$305,0,MATCH($A8,Timeline!$P$4:$AN$4,0))="x")*(Timeline!$K$5:$K$305="Task")*ISNUMBER(Timeline!$I$5:$I$305)*ISNUMBER(Timeline!$J$5:$J$305)*(Timeline!$I$5:$I$305&lt;=AW$4+6)*(Timeline!$J$5:$J$305&gt;=AW$4+6)))</f>
        <v>0</v>
      </c>
      <c r="AX8" s="67">
        <f>MAX(SUMPRODUCT((INDEX(Timeline!$P$5:$AN$305,0,MATCH($A8,Timeline!$P$4:$AN$4,0))="x")*(Timeline!$K$5:$K$305="Task")*ISNUMBER(Timeline!$I$5:$I$305)*ISNUMBER(Timeline!$J$5:$J$305)*(Timeline!$I$5:$I$305&lt;=AX$4+0)*(Timeline!$J$5:$J$305&gt;=AX$4+0)),SUMPRODUCT((INDEX(Timeline!$P$5:$AN$305,0,MATCH($A8,Timeline!$P$4:$AN$4,0))="x")*(Timeline!$K$5:$K$305="Task")*ISNUMBER(Timeline!$I$5:$I$305)*ISNUMBER(Timeline!$J$5:$J$305)*(Timeline!$I$5:$I$305&lt;=AX$4+1)*(Timeline!$J$5:$J$305&gt;=AX$4+1)),SUMPRODUCT((INDEX(Timeline!$P$5:$AN$305,0,MATCH($A8,Timeline!$P$4:$AN$4,0))="x")*(Timeline!$K$5:$K$305="Task")*ISNUMBER(Timeline!$I$5:$I$305)*ISNUMBER(Timeline!$J$5:$J$305)*(Timeline!$I$5:$I$305&lt;=AX$4+2)*(Timeline!$J$5:$J$305&gt;=AX$4+2)),SUMPRODUCT((INDEX(Timeline!$P$5:$AN$305,0,MATCH($A8,Timeline!$P$4:$AN$4,0))="x")*(Timeline!$K$5:$K$305="Task")*ISNUMBER(Timeline!$I$5:$I$305)*ISNUMBER(Timeline!$J$5:$J$305)*(Timeline!$I$5:$I$305&lt;=AX$4+3)*(Timeline!$J$5:$J$305&gt;=AX$4+3)),SUMPRODUCT((INDEX(Timeline!$P$5:$AN$305,0,MATCH($A8,Timeline!$P$4:$AN$4,0))="x")*(Timeline!$K$5:$K$305="Task")*ISNUMBER(Timeline!$I$5:$I$305)*ISNUMBER(Timeline!$J$5:$J$305)*(Timeline!$I$5:$I$305&lt;=AX$4+4)*(Timeline!$J$5:$J$305&gt;=AX$4+4)),SUMPRODUCT((INDEX(Timeline!$P$5:$AN$305,0,MATCH($A8,Timeline!$P$4:$AN$4,0))="x")*(Timeline!$K$5:$K$305="Task")*ISNUMBER(Timeline!$I$5:$I$305)*ISNUMBER(Timeline!$J$5:$J$305)*(Timeline!$I$5:$I$305&lt;=AX$4+5)*(Timeline!$J$5:$J$305&gt;=AX$4+5)),SUMPRODUCT((INDEX(Timeline!$P$5:$AN$305,0,MATCH($A8,Timeline!$P$4:$AN$4,0))="x")*(Timeline!$K$5:$K$305="Task")*ISNUMBER(Timeline!$I$5:$I$305)*ISNUMBER(Timeline!$J$5:$J$305)*(Timeline!$I$5:$I$305&lt;=AX$4+6)*(Timeline!$J$5:$J$305&gt;=AX$4+6)))</f>
        <v>0</v>
      </c>
      <c r="AY8" s="67">
        <f>MAX(SUMPRODUCT((INDEX(Timeline!$P$5:$AN$305,0,MATCH($A8,Timeline!$P$4:$AN$4,0))="x")*(Timeline!$K$5:$K$305="Task")*ISNUMBER(Timeline!$I$5:$I$305)*ISNUMBER(Timeline!$J$5:$J$305)*(Timeline!$I$5:$I$305&lt;=AY$4+0)*(Timeline!$J$5:$J$305&gt;=AY$4+0)),SUMPRODUCT((INDEX(Timeline!$P$5:$AN$305,0,MATCH($A8,Timeline!$P$4:$AN$4,0))="x")*(Timeline!$K$5:$K$305="Task")*ISNUMBER(Timeline!$I$5:$I$305)*ISNUMBER(Timeline!$J$5:$J$305)*(Timeline!$I$5:$I$305&lt;=AY$4+1)*(Timeline!$J$5:$J$305&gt;=AY$4+1)),SUMPRODUCT((INDEX(Timeline!$P$5:$AN$305,0,MATCH($A8,Timeline!$P$4:$AN$4,0))="x")*(Timeline!$K$5:$K$305="Task")*ISNUMBER(Timeline!$I$5:$I$305)*ISNUMBER(Timeline!$J$5:$J$305)*(Timeline!$I$5:$I$305&lt;=AY$4+2)*(Timeline!$J$5:$J$305&gt;=AY$4+2)),SUMPRODUCT((INDEX(Timeline!$P$5:$AN$305,0,MATCH($A8,Timeline!$P$4:$AN$4,0))="x")*(Timeline!$K$5:$K$305="Task")*ISNUMBER(Timeline!$I$5:$I$305)*ISNUMBER(Timeline!$J$5:$J$305)*(Timeline!$I$5:$I$305&lt;=AY$4+3)*(Timeline!$J$5:$J$305&gt;=AY$4+3)),SUMPRODUCT((INDEX(Timeline!$P$5:$AN$305,0,MATCH($A8,Timeline!$P$4:$AN$4,0))="x")*(Timeline!$K$5:$K$305="Task")*ISNUMBER(Timeline!$I$5:$I$305)*ISNUMBER(Timeline!$J$5:$J$305)*(Timeline!$I$5:$I$305&lt;=AY$4+4)*(Timeline!$J$5:$J$305&gt;=AY$4+4)),SUMPRODUCT((INDEX(Timeline!$P$5:$AN$305,0,MATCH($A8,Timeline!$P$4:$AN$4,0))="x")*(Timeline!$K$5:$K$305="Task")*ISNUMBER(Timeline!$I$5:$I$305)*ISNUMBER(Timeline!$J$5:$J$305)*(Timeline!$I$5:$I$305&lt;=AY$4+5)*(Timeline!$J$5:$J$305&gt;=AY$4+5)),SUMPRODUCT((INDEX(Timeline!$P$5:$AN$305,0,MATCH($A8,Timeline!$P$4:$AN$4,0))="x")*(Timeline!$K$5:$K$305="Task")*ISNUMBER(Timeline!$I$5:$I$305)*ISNUMBER(Timeline!$J$5:$J$305)*(Timeline!$I$5:$I$305&lt;=AY$4+6)*(Timeline!$J$5:$J$305&gt;=AY$4+6)))</f>
        <v>0</v>
      </c>
      <c r="AZ8" s="67">
        <f>MAX(SUMPRODUCT((INDEX(Timeline!$P$5:$AN$305,0,MATCH($A8,Timeline!$P$4:$AN$4,0))="x")*(Timeline!$K$5:$K$305="Task")*ISNUMBER(Timeline!$I$5:$I$305)*ISNUMBER(Timeline!$J$5:$J$305)*(Timeline!$I$5:$I$305&lt;=AZ$4+0)*(Timeline!$J$5:$J$305&gt;=AZ$4+0)),SUMPRODUCT((INDEX(Timeline!$P$5:$AN$305,0,MATCH($A8,Timeline!$P$4:$AN$4,0))="x")*(Timeline!$K$5:$K$305="Task")*ISNUMBER(Timeline!$I$5:$I$305)*ISNUMBER(Timeline!$J$5:$J$305)*(Timeline!$I$5:$I$305&lt;=AZ$4+1)*(Timeline!$J$5:$J$305&gt;=AZ$4+1)),SUMPRODUCT((INDEX(Timeline!$P$5:$AN$305,0,MATCH($A8,Timeline!$P$4:$AN$4,0))="x")*(Timeline!$K$5:$K$305="Task")*ISNUMBER(Timeline!$I$5:$I$305)*ISNUMBER(Timeline!$J$5:$J$305)*(Timeline!$I$5:$I$305&lt;=AZ$4+2)*(Timeline!$J$5:$J$305&gt;=AZ$4+2)),SUMPRODUCT((INDEX(Timeline!$P$5:$AN$305,0,MATCH($A8,Timeline!$P$4:$AN$4,0))="x")*(Timeline!$K$5:$K$305="Task")*ISNUMBER(Timeline!$I$5:$I$305)*ISNUMBER(Timeline!$J$5:$J$305)*(Timeline!$I$5:$I$305&lt;=AZ$4+3)*(Timeline!$J$5:$J$305&gt;=AZ$4+3)),SUMPRODUCT((INDEX(Timeline!$P$5:$AN$305,0,MATCH($A8,Timeline!$P$4:$AN$4,0))="x")*(Timeline!$K$5:$K$305="Task")*ISNUMBER(Timeline!$I$5:$I$305)*ISNUMBER(Timeline!$J$5:$J$305)*(Timeline!$I$5:$I$305&lt;=AZ$4+4)*(Timeline!$J$5:$J$305&gt;=AZ$4+4)),SUMPRODUCT((INDEX(Timeline!$P$5:$AN$305,0,MATCH($A8,Timeline!$P$4:$AN$4,0))="x")*(Timeline!$K$5:$K$305="Task")*ISNUMBER(Timeline!$I$5:$I$305)*ISNUMBER(Timeline!$J$5:$J$305)*(Timeline!$I$5:$I$305&lt;=AZ$4+5)*(Timeline!$J$5:$J$305&gt;=AZ$4+5)),SUMPRODUCT((INDEX(Timeline!$P$5:$AN$305,0,MATCH($A8,Timeline!$P$4:$AN$4,0))="x")*(Timeline!$K$5:$K$305="Task")*ISNUMBER(Timeline!$I$5:$I$305)*ISNUMBER(Timeline!$J$5:$J$305)*(Timeline!$I$5:$I$305&lt;=AZ$4+6)*(Timeline!$J$5:$J$305&gt;=AZ$4+6)))</f>
        <v>0</v>
      </c>
      <c r="BA8" s="67">
        <f>MAX(SUMPRODUCT((INDEX(Timeline!$P$5:$AN$305,0,MATCH($A8,Timeline!$P$4:$AN$4,0))="x")*(Timeline!$K$5:$K$305="Task")*ISNUMBER(Timeline!$I$5:$I$305)*ISNUMBER(Timeline!$J$5:$J$305)*(Timeline!$I$5:$I$305&lt;=BA$4+0)*(Timeline!$J$5:$J$305&gt;=BA$4+0)),SUMPRODUCT((INDEX(Timeline!$P$5:$AN$305,0,MATCH($A8,Timeline!$P$4:$AN$4,0))="x")*(Timeline!$K$5:$K$305="Task")*ISNUMBER(Timeline!$I$5:$I$305)*ISNUMBER(Timeline!$J$5:$J$305)*(Timeline!$I$5:$I$305&lt;=BA$4+1)*(Timeline!$J$5:$J$305&gt;=BA$4+1)),SUMPRODUCT((INDEX(Timeline!$P$5:$AN$305,0,MATCH($A8,Timeline!$P$4:$AN$4,0))="x")*(Timeline!$K$5:$K$305="Task")*ISNUMBER(Timeline!$I$5:$I$305)*ISNUMBER(Timeline!$J$5:$J$305)*(Timeline!$I$5:$I$305&lt;=BA$4+2)*(Timeline!$J$5:$J$305&gt;=BA$4+2)),SUMPRODUCT((INDEX(Timeline!$P$5:$AN$305,0,MATCH($A8,Timeline!$P$4:$AN$4,0))="x")*(Timeline!$K$5:$K$305="Task")*ISNUMBER(Timeline!$I$5:$I$305)*ISNUMBER(Timeline!$J$5:$J$305)*(Timeline!$I$5:$I$305&lt;=BA$4+3)*(Timeline!$J$5:$J$305&gt;=BA$4+3)),SUMPRODUCT((INDEX(Timeline!$P$5:$AN$305,0,MATCH($A8,Timeline!$P$4:$AN$4,0))="x")*(Timeline!$K$5:$K$305="Task")*ISNUMBER(Timeline!$I$5:$I$305)*ISNUMBER(Timeline!$J$5:$J$305)*(Timeline!$I$5:$I$305&lt;=BA$4+4)*(Timeline!$J$5:$J$305&gt;=BA$4+4)),SUMPRODUCT((INDEX(Timeline!$P$5:$AN$305,0,MATCH($A8,Timeline!$P$4:$AN$4,0))="x")*(Timeline!$K$5:$K$305="Task")*ISNUMBER(Timeline!$I$5:$I$305)*ISNUMBER(Timeline!$J$5:$J$305)*(Timeline!$I$5:$I$305&lt;=BA$4+5)*(Timeline!$J$5:$J$305&gt;=BA$4+5)),SUMPRODUCT((INDEX(Timeline!$P$5:$AN$305,0,MATCH($A8,Timeline!$P$4:$AN$4,0))="x")*(Timeline!$K$5:$K$305="Task")*ISNUMBER(Timeline!$I$5:$I$305)*ISNUMBER(Timeline!$J$5:$J$305)*(Timeline!$I$5:$I$305&lt;=BA$4+6)*(Timeline!$J$5:$J$305&gt;=BA$4+6)))</f>
        <v>0</v>
      </c>
    </row>
    <row r="9" spans="1:53" ht="15" customHeight="1">
      <c r="A9" s="66" t="s">
        <v>40</v>
      </c>
      <c r="B9" s="66" t="s">
        <v>8</v>
      </c>
      <c r="C9" s="67">
        <f>MAX(SUMPRODUCT((INDEX(Timeline!$P$5:$AN$305,0,MATCH($A9,Timeline!$P$4:$AN$4,0))="x")*(Timeline!$K$5:$K$305="Task")*ISNUMBER(Timeline!$I$5:$I$305)*ISNUMBER(Timeline!$J$5:$J$305)*(Timeline!$I$5:$I$305&lt;=C$4+0)*(Timeline!$J$5:$J$305&gt;=C$4+0)),SUMPRODUCT((INDEX(Timeline!$P$5:$AN$305,0,MATCH($A9,Timeline!$P$4:$AN$4,0))="x")*(Timeline!$K$5:$K$305="Task")*ISNUMBER(Timeline!$I$5:$I$305)*ISNUMBER(Timeline!$J$5:$J$305)*(Timeline!$I$5:$I$305&lt;=C$4+1)*(Timeline!$J$5:$J$305&gt;=C$4+1)),SUMPRODUCT((INDEX(Timeline!$P$5:$AN$305,0,MATCH($A9,Timeline!$P$4:$AN$4,0))="x")*(Timeline!$K$5:$K$305="Task")*ISNUMBER(Timeline!$I$5:$I$305)*ISNUMBER(Timeline!$J$5:$J$305)*(Timeline!$I$5:$I$305&lt;=C$4+2)*(Timeline!$J$5:$J$305&gt;=C$4+2)),SUMPRODUCT((INDEX(Timeline!$P$5:$AN$305,0,MATCH($A9,Timeline!$P$4:$AN$4,0))="x")*(Timeline!$K$5:$K$305="Task")*ISNUMBER(Timeline!$I$5:$I$305)*ISNUMBER(Timeline!$J$5:$J$305)*(Timeline!$I$5:$I$305&lt;=C$4+3)*(Timeline!$J$5:$J$305&gt;=C$4+3)),SUMPRODUCT((INDEX(Timeline!$P$5:$AN$305,0,MATCH($A9,Timeline!$P$4:$AN$4,0))="x")*(Timeline!$K$5:$K$305="Task")*ISNUMBER(Timeline!$I$5:$I$305)*ISNUMBER(Timeline!$J$5:$J$305)*(Timeline!$I$5:$I$305&lt;=C$4+4)*(Timeline!$J$5:$J$305&gt;=C$4+4)),SUMPRODUCT((INDEX(Timeline!$P$5:$AN$305,0,MATCH($A9,Timeline!$P$4:$AN$4,0))="x")*(Timeline!$K$5:$K$305="Task")*ISNUMBER(Timeline!$I$5:$I$305)*ISNUMBER(Timeline!$J$5:$J$305)*(Timeline!$I$5:$I$305&lt;=C$4+5)*(Timeline!$J$5:$J$305&gt;=C$4+5)),SUMPRODUCT((INDEX(Timeline!$P$5:$AN$305,0,MATCH($A9,Timeline!$P$4:$AN$4,0))="x")*(Timeline!$K$5:$K$305="Task")*ISNUMBER(Timeline!$I$5:$I$305)*ISNUMBER(Timeline!$J$5:$J$305)*(Timeline!$I$5:$I$305&lt;=C$4+6)*(Timeline!$J$5:$J$305&gt;=C$4+6)))</f>
        <v>0</v>
      </c>
      <c r="D9" s="67">
        <f>MAX(SUMPRODUCT((INDEX(Timeline!$P$5:$AN$305,0,MATCH($A9,Timeline!$P$4:$AN$4,0))="x")*(Timeline!$K$5:$K$305="Task")*ISNUMBER(Timeline!$I$5:$I$305)*ISNUMBER(Timeline!$J$5:$J$305)*(Timeline!$I$5:$I$305&lt;=D$4+0)*(Timeline!$J$5:$J$305&gt;=D$4+0)),SUMPRODUCT((INDEX(Timeline!$P$5:$AN$305,0,MATCH($A9,Timeline!$P$4:$AN$4,0))="x")*(Timeline!$K$5:$K$305="Task")*ISNUMBER(Timeline!$I$5:$I$305)*ISNUMBER(Timeline!$J$5:$J$305)*(Timeline!$I$5:$I$305&lt;=D$4+1)*(Timeline!$J$5:$J$305&gt;=D$4+1)),SUMPRODUCT((INDEX(Timeline!$P$5:$AN$305,0,MATCH($A9,Timeline!$P$4:$AN$4,0))="x")*(Timeline!$K$5:$K$305="Task")*ISNUMBER(Timeline!$I$5:$I$305)*ISNUMBER(Timeline!$J$5:$J$305)*(Timeline!$I$5:$I$305&lt;=D$4+2)*(Timeline!$J$5:$J$305&gt;=D$4+2)),SUMPRODUCT((INDEX(Timeline!$P$5:$AN$305,0,MATCH($A9,Timeline!$P$4:$AN$4,0))="x")*(Timeline!$K$5:$K$305="Task")*ISNUMBER(Timeline!$I$5:$I$305)*ISNUMBER(Timeline!$J$5:$J$305)*(Timeline!$I$5:$I$305&lt;=D$4+3)*(Timeline!$J$5:$J$305&gt;=D$4+3)),SUMPRODUCT((INDEX(Timeline!$P$5:$AN$305,0,MATCH($A9,Timeline!$P$4:$AN$4,0))="x")*(Timeline!$K$5:$K$305="Task")*ISNUMBER(Timeline!$I$5:$I$305)*ISNUMBER(Timeline!$J$5:$J$305)*(Timeline!$I$5:$I$305&lt;=D$4+4)*(Timeline!$J$5:$J$305&gt;=D$4+4)),SUMPRODUCT((INDEX(Timeline!$P$5:$AN$305,0,MATCH($A9,Timeline!$P$4:$AN$4,0))="x")*(Timeline!$K$5:$K$305="Task")*ISNUMBER(Timeline!$I$5:$I$305)*ISNUMBER(Timeline!$J$5:$J$305)*(Timeline!$I$5:$I$305&lt;=D$4+5)*(Timeline!$J$5:$J$305&gt;=D$4+5)),SUMPRODUCT((INDEX(Timeline!$P$5:$AN$305,0,MATCH($A9,Timeline!$P$4:$AN$4,0))="x")*(Timeline!$K$5:$K$305="Task")*ISNUMBER(Timeline!$I$5:$I$305)*ISNUMBER(Timeline!$J$5:$J$305)*(Timeline!$I$5:$I$305&lt;=D$4+6)*(Timeline!$J$5:$J$305&gt;=D$4+6)))</f>
        <v>0</v>
      </c>
      <c r="E9" s="67">
        <f>MAX(SUMPRODUCT((INDEX(Timeline!$P$5:$AN$305,0,MATCH($A9,Timeline!$P$4:$AN$4,0))="x")*(Timeline!$K$5:$K$305="Task")*ISNUMBER(Timeline!$I$5:$I$305)*ISNUMBER(Timeline!$J$5:$J$305)*(Timeline!$I$5:$I$305&lt;=E$4+0)*(Timeline!$J$5:$J$305&gt;=E$4+0)),SUMPRODUCT((INDEX(Timeline!$P$5:$AN$305,0,MATCH($A9,Timeline!$P$4:$AN$4,0))="x")*(Timeline!$K$5:$K$305="Task")*ISNUMBER(Timeline!$I$5:$I$305)*ISNUMBER(Timeline!$J$5:$J$305)*(Timeline!$I$5:$I$305&lt;=E$4+1)*(Timeline!$J$5:$J$305&gt;=E$4+1)),SUMPRODUCT((INDEX(Timeline!$P$5:$AN$305,0,MATCH($A9,Timeline!$P$4:$AN$4,0))="x")*(Timeline!$K$5:$K$305="Task")*ISNUMBER(Timeline!$I$5:$I$305)*ISNUMBER(Timeline!$J$5:$J$305)*(Timeline!$I$5:$I$305&lt;=E$4+2)*(Timeline!$J$5:$J$305&gt;=E$4+2)),SUMPRODUCT((INDEX(Timeline!$P$5:$AN$305,0,MATCH($A9,Timeline!$P$4:$AN$4,0))="x")*(Timeline!$K$5:$K$305="Task")*ISNUMBER(Timeline!$I$5:$I$305)*ISNUMBER(Timeline!$J$5:$J$305)*(Timeline!$I$5:$I$305&lt;=E$4+3)*(Timeline!$J$5:$J$305&gt;=E$4+3)),SUMPRODUCT((INDEX(Timeline!$P$5:$AN$305,0,MATCH($A9,Timeline!$P$4:$AN$4,0))="x")*(Timeline!$K$5:$K$305="Task")*ISNUMBER(Timeline!$I$5:$I$305)*ISNUMBER(Timeline!$J$5:$J$305)*(Timeline!$I$5:$I$305&lt;=E$4+4)*(Timeline!$J$5:$J$305&gt;=E$4+4)),SUMPRODUCT((INDEX(Timeline!$P$5:$AN$305,0,MATCH($A9,Timeline!$P$4:$AN$4,0))="x")*(Timeline!$K$5:$K$305="Task")*ISNUMBER(Timeline!$I$5:$I$305)*ISNUMBER(Timeline!$J$5:$J$305)*(Timeline!$I$5:$I$305&lt;=E$4+5)*(Timeline!$J$5:$J$305&gt;=E$4+5)),SUMPRODUCT((INDEX(Timeline!$P$5:$AN$305,0,MATCH($A9,Timeline!$P$4:$AN$4,0))="x")*(Timeline!$K$5:$K$305="Task")*ISNUMBER(Timeline!$I$5:$I$305)*ISNUMBER(Timeline!$J$5:$J$305)*(Timeline!$I$5:$I$305&lt;=E$4+6)*(Timeline!$J$5:$J$305&gt;=E$4+6)))</f>
        <v>0</v>
      </c>
      <c r="F9" s="67">
        <f>MAX(SUMPRODUCT((INDEX(Timeline!$P$5:$AN$305,0,MATCH($A9,Timeline!$P$4:$AN$4,0))="x")*(Timeline!$K$5:$K$305="Task")*ISNUMBER(Timeline!$I$5:$I$305)*ISNUMBER(Timeline!$J$5:$J$305)*(Timeline!$I$5:$I$305&lt;=F$4+0)*(Timeline!$J$5:$J$305&gt;=F$4+0)),SUMPRODUCT((INDEX(Timeline!$P$5:$AN$305,0,MATCH($A9,Timeline!$P$4:$AN$4,0))="x")*(Timeline!$K$5:$K$305="Task")*ISNUMBER(Timeline!$I$5:$I$305)*ISNUMBER(Timeline!$J$5:$J$305)*(Timeline!$I$5:$I$305&lt;=F$4+1)*(Timeline!$J$5:$J$305&gt;=F$4+1)),SUMPRODUCT((INDEX(Timeline!$P$5:$AN$305,0,MATCH($A9,Timeline!$P$4:$AN$4,0))="x")*(Timeline!$K$5:$K$305="Task")*ISNUMBER(Timeline!$I$5:$I$305)*ISNUMBER(Timeline!$J$5:$J$305)*(Timeline!$I$5:$I$305&lt;=F$4+2)*(Timeline!$J$5:$J$305&gt;=F$4+2)),SUMPRODUCT((INDEX(Timeline!$P$5:$AN$305,0,MATCH($A9,Timeline!$P$4:$AN$4,0))="x")*(Timeline!$K$5:$K$305="Task")*ISNUMBER(Timeline!$I$5:$I$305)*ISNUMBER(Timeline!$J$5:$J$305)*(Timeline!$I$5:$I$305&lt;=F$4+3)*(Timeline!$J$5:$J$305&gt;=F$4+3)),SUMPRODUCT((INDEX(Timeline!$P$5:$AN$305,0,MATCH($A9,Timeline!$P$4:$AN$4,0))="x")*(Timeline!$K$5:$K$305="Task")*ISNUMBER(Timeline!$I$5:$I$305)*ISNUMBER(Timeline!$J$5:$J$305)*(Timeline!$I$5:$I$305&lt;=F$4+4)*(Timeline!$J$5:$J$305&gt;=F$4+4)),SUMPRODUCT((INDEX(Timeline!$P$5:$AN$305,0,MATCH($A9,Timeline!$P$4:$AN$4,0))="x")*(Timeline!$K$5:$K$305="Task")*ISNUMBER(Timeline!$I$5:$I$305)*ISNUMBER(Timeline!$J$5:$J$305)*(Timeline!$I$5:$I$305&lt;=F$4+5)*(Timeline!$J$5:$J$305&gt;=F$4+5)),SUMPRODUCT((INDEX(Timeline!$P$5:$AN$305,0,MATCH($A9,Timeline!$P$4:$AN$4,0))="x")*(Timeline!$K$5:$K$305="Task")*ISNUMBER(Timeline!$I$5:$I$305)*ISNUMBER(Timeline!$J$5:$J$305)*(Timeline!$I$5:$I$305&lt;=F$4+6)*(Timeline!$J$5:$J$305&gt;=F$4+6)))</f>
        <v>1</v>
      </c>
      <c r="G9" s="67">
        <f>MAX(SUMPRODUCT((INDEX(Timeline!$P$5:$AN$305,0,MATCH($A9,Timeline!$P$4:$AN$4,0))="x")*(Timeline!$K$5:$K$305="Task")*ISNUMBER(Timeline!$I$5:$I$305)*ISNUMBER(Timeline!$J$5:$J$305)*(Timeline!$I$5:$I$305&lt;=G$4+0)*(Timeline!$J$5:$J$305&gt;=G$4+0)),SUMPRODUCT((INDEX(Timeline!$P$5:$AN$305,0,MATCH($A9,Timeline!$P$4:$AN$4,0))="x")*(Timeline!$K$5:$K$305="Task")*ISNUMBER(Timeline!$I$5:$I$305)*ISNUMBER(Timeline!$J$5:$J$305)*(Timeline!$I$5:$I$305&lt;=G$4+1)*(Timeline!$J$5:$J$305&gt;=G$4+1)),SUMPRODUCT((INDEX(Timeline!$P$5:$AN$305,0,MATCH($A9,Timeline!$P$4:$AN$4,0))="x")*(Timeline!$K$5:$K$305="Task")*ISNUMBER(Timeline!$I$5:$I$305)*ISNUMBER(Timeline!$J$5:$J$305)*(Timeline!$I$5:$I$305&lt;=G$4+2)*(Timeline!$J$5:$J$305&gt;=G$4+2)),SUMPRODUCT((INDEX(Timeline!$P$5:$AN$305,0,MATCH($A9,Timeline!$P$4:$AN$4,0))="x")*(Timeline!$K$5:$K$305="Task")*ISNUMBER(Timeline!$I$5:$I$305)*ISNUMBER(Timeline!$J$5:$J$305)*(Timeline!$I$5:$I$305&lt;=G$4+3)*(Timeline!$J$5:$J$305&gt;=G$4+3)),SUMPRODUCT((INDEX(Timeline!$P$5:$AN$305,0,MATCH($A9,Timeline!$P$4:$AN$4,0))="x")*(Timeline!$K$5:$K$305="Task")*ISNUMBER(Timeline!$I$5:$I$305)*ISNUMBER(Timeline!$J$5:$J$305)*(Timeline!$I$5:$I$305&lt;=G$4+4)*(Timeline!$J$5:$J$305&gt;=G$4+4)),SUMPRODUCT((INDEX(Timeline!$P$5:$AN$305,0,MATCH($A9,Timeline!$P$4:$AN$4,0))="x")*(Timeline!$K$5:$K$305="Task")*ISNUMBER(Timeline!$I$5:$I$305)*ISNUMBER(Timeline!$J$5:$J$305)*(Timeline!$I$5:$I$305&lt;=G$4+5)*(Timeline!$J$5:$J$305&gt;=G$4+5)),SUMPRODUCT((INDEX(Timeline!$P$5:$AN$305,0,MATCH($A9,Timeline!$P$4:$AN$4,0))="x")*(Timeline!$K$5:$K$305="Task")*ISNUMBER(Timeline!$I$5:$I$305)*ISNUMBER(Timeline!$J$5:$J$305)*(Timeline!$I$5:$I$305&lt;=G$4+6)*(Timeline!$J$5:$J$305&gt;=G$4+6)))</f>
        <v>1</v>
      </c>
      <c r="H9" s="67">
        <f>MAX(SUMPRODUCT((INDEX(Timeline!$P$5:$AN$305,0,MATCH($A9,Timeline!$P$4:$AN$4,0))="x")*(Timeline!$K$5:$K$305="Task")*ISNUMBER(Timeline!$I$5:$I$305)*ISNUMBER(Timeline!$J$5:$J$305)*(Timeline!$I$5:$I$305&lt;=H$4+0)*(Timeline!$J$5:$J$305&gt;=H$4+0)),SUMPRODUCT((INDEX(Timeline!$P$5:$AN$305,0,MATCH($A9,Timeline!$P$4:$AN$4,0))="x")*(Timeline!$K$5:$K$305="Task")*ISNUMBER(Timeline!$I$5:$I$305)*ISNUMBER(Timeline!$J$5:$J$305)*(Timeline!$I$5:$I$305&lt;=H$4+1)*(Timeline!$J$5:$J$305&gt;=H$4+1)),SUMPRODUCT((INDEX(Timeline!$P$5:$AN$305,0,MATCH($A9,Timeline!$P$4:$AN$4,0))="x")*(Timeline!$K$5:$K$305="Task")*ISNUMBER(Timeline!$I$5:$I$305)*ISNUMBER(Timeline!$J$5:$J$305)*(Timeline!$I$5:$I$305&lt;=H$4+2)*(Timeline!$J$5:$J$305&gt;=H$4+2)),SUMPRODUCT((INDEX(Timeline!$P$5:$AN$305,0,MATCH($A9,Timeline!$P$4:$AN$4,0))="x")*(Timeline!$K$5:$K$305="Task")*ISNUMBER(Timeline!$I$5:$I$305)*ISNUMBER(Timeline!$J$5:$J$305)*(Timeline!$I$5:$I$305&lt;=H$4+3)*(Timeline!$J$5:$J$305&gt;=H$4+3)),SUMPRODUCT((INDEX(Timeline!$P$5:$AN$305,0,MATCH($A9,Timeline!$P$4:$AN$4,0))="x")*(Timeline!$K$5:$K$305="Task")*ISNUMBER(Timeline!$I$5:$I$305)*ISNUMBER(Timeline!$J$5:$J$305)*(Timeline!$I$5:$I$305&lt;=H$4+4)*(Timeline!$J$5:$J$305&gt;=H$4+4)),SUMPRODUCT((INDEX(Timeline!$P$5:$AN$305,0,MATCH($A9,Timeline!$P$4:$AN$4,0))="x")*(Timeline!$K$5:$K$305="Task")*ISNUMBER(Timeline!$I$5:$I$305)*ISNUMBER(Timeline!$J$5:$J$305)*(Timeline!$I$5:$I$305&lt;=H$4+5)*(Timeline!$J$5:$J$305&gt;=H$4+5)),SUMPRODUCT((INDEX(Timeline!$P$5:$AN$305,0,MATCH($A9,Timeline!$P$4:$AN$4,0))="x")*(Timeline!$K$5:$K$305="Task")*ISNUMBER(Timeline!$I$5:$I$305)*ISNUMBER(Timeline!$J$5:$J$305)*(Timeline!$I$5:$I$305&lt;=H$4+6)*(Timeline!$J$5:$J$305&gt;=H$4+6)))</f>
        <v>1</v>
      </c>
      <c r="I9" s="67">
        <f>MAX(SUMPRODUCT((INDEX(Timeline!$P$5:$AN$305,0,MATCH($A9,Timeline!$P$4:$AN$4,0))="x")*(Timeline!$K$5:$K$305="Task")*ISNUMBER(Timeline!$I$5:$I$305)*ISNUMBER(Timeline!$J$5:$J$305)*(Timeline!$I$5:$I$305&lt;=I$4+0)*(Timeline!$J$5:$J$305&gt;=I$4+0)),SUMPRODUCT((INDEX(Timeline!$P$5:$AN$305,0,MATCH($A9,Timeline!$P$4:$AN$4,0))="x")*(Timeline!$K$5:$K$305="Task")*ISNUMBER(Timeline!$I$5:$I$305)*ISNUMBER(Timeline!$J$5:$J$305)*(Timeline!$I$5:$I$305&lt;=I$4+1)*(Timeline!$J$5:$J$305&gt;=I$4+1)),SUMPRODUCT((INDEX(Timeline!$P$5:$AN$305,0,MATCH($A9,Timeline!$P$4:$AN$4,0))="x")*(Timeline!$K$5:$K$305="Task")*ISNUMBER(Timeline!$I$5:$I$305)*ISNUMBER(Timeline!$J$5:$J$305)*(Timeline!$I$5:$I$305&lt;=I$4+2)*(Timeline!$J$5:$J$305&gt;=I$4+2)),SUMPRODUCT((INDEX(Timeline!$P$5:$AN$305,0,MATCH($A9,Timeline!$P$4:$AN$4,0))="x")*(Timeline!$K$5:$K$305="Task")*ISNUMBER(Timeline!$I$5:$I$305)*ISNUMBER(Timeline!$J$5:$J$305)*(Timeline!$I$5:$I$305&lt;=I$4+3)*(Timeline!$J$5:$J$305&gt;=I$4+3)),SUMPRODUCT((INDEX(Timeline!$P$5:$AN$305,0,MATCH($A9,Timeline!$P$4:$AN$4,0))="x")*(Timeline!$K$5:$K$305="Task")*ISNUMBER(Timeline!$I$5:$I$305)*ISNUMBER(Timeline!$J$5:$J$305)*(Timeline!$I$5:$I$305&lt;=I$4+4)*(Timeline!$J$5:$J$305&gt;=I$4+4)),SUMPRODUCT((INDEX(Timeline!$P$5:$AN$305,0,MATCH($A9,Timeline!$P$4:$AN$4,0))="x")*(Timeline!$K$5:$K$305="Task")*ISNUMBER(Timeline!$I$5:$I$305)*ISNUMBER(Timeline!$J$5:$J$305)*(Timeline!$I$5:$I$305&lt;=I$4+5)*(Timeline!$J$5:$J$305&gt;=I$4+5)),SUMPRODUCT((INDEX(Timeline!$P$5:$AN$305,0,MATCH($A9,Timeline!$P$4:$AN$4,0))="x")*(Timeline!$K$5:$K$305="Task")*ISNUMBER(Timeline!$I$5:$I$305)*ISNUMBER(Timeline!$J$5:$J$305)*(Timeline!$I$5:$I$305&lt;=I$4+6)*(Timeline!$J$5:$J$305&gt;=I$4+6)))</f>
        <v>1</v>
      </c>
      <c r="J9" s="67">
        <f>MAX(SUMPRODUCT((INDEX(Timeline!$P$5:$AN$305,0,MATCH($A9,Timeline!$P$4:$AN$4,0))="x")*(Timeline!$K$5:$K$305="Task")*ISNUMBER(Timeline!$I$5:$I$305)*ISNUMBER(Timeline!$J$5:$J$305)*(Timeline!$I$5:$I$305&lt;=J$4+0)*(Timeline!$J$5:$J$305&gt;=J$4+0)),SUMPRODUCT((INDEX(Timeline!$P$5:$AN$305,0,MATCH($A9,Timeline!$P$4:$AN$4,0))="x")*(Timeline!$K$5:$K$305="Task")*ISNUMBER(Timeline!$I$5:$I$305)*ISNUMBER(Timeline!$J$5:$J$305)*(Timeline!$I$5:$I$305&lt;=J$4+1)*(Timeline!$J$5:$J$305&gt;=J$4+1)),SUMPRODUCT((INDEX(Timeline!$P$5:$AN$305,0,MATCH($A9,Timeline!$P$4:$AN$4,0))="x")*(Timeline!$K$5:$K$305="Task")*ISNUMBER(Timeline!$I$5:$I$305)*ISNUMBER(Timeline!$J$5:$J$305)*(Timeline!$I$5:$I$305&lt;=J$4+2)*(Timeline!$J$5:$J$305&gt;=J$4+2)),SUMPRODUCT((INDEX(Timeline!$P$5:$AN$305,0,MATCH($A9,Timeline!$P$4:$AN$4,0))="x")*(Timeline!$K$5:$K$305="Task")*ISNUMBER(Timeline!$I$5:$I$305)*ISNUMBER(Timeline!$J$5:$J$305)*(Timeline!$I$5:$I$305&lt;=J$4+3)*(Timeline!$J$5:$J$305&gt;=J$4+3)),SUMPRODUCT((INDEX(Timeline!$P$5:$AN$305,0,MATCH($A9,Timeline!$P$4:$AN$4,0))="x")*(Timeline!$K$5:$K$305="Task")*ISNUMBER(Timeline!$I$5:$I$305)*ISNUMBER(Timeline!$J$5:$J$305)*(Timeline!$I$5:$I$305&lt;=J$4+4)*(Timeline!$J$5:$J$305&gt;=J$4+4)),SUMPRODUCT((INDEX(Timeline!$P$5:$AN$305,0,MATCH($A9,Timeline!$P$4:$AN$4,0))="x")*(Timeline!$K$5:$K$305="Task")*ISNUMBER(Timeline!$I$5:$I$305)*ISNUMBER(Timeline!$J$5:$J$305)*(Timeline!$I$5:$I$305&lt;=J$4+5)*(Timeline!$J$5:$J$305&gt;=J$4+5)),SUMPRODUCT((INDEX(Timeline!$P$5:$AN$305,0,MATCH($A9,Timeline!$P$4:$AN$4,0))="x")*(Timeline!$K$5:$K$305="Task")*ISNUMBER(Timeline!$I$5:$I$305)*ISNUMBER(Timeline!$J$5:$J$305)*(Timeline!$I$5:$I$305&lt;=J$4+6)*(Timeline!$J$5:$J$305&gt;=J$4+6)))</f>
        <v>1</v>
      </c>
      <c r="K9" s="67">
        <f>MAX(SUMPRODUCT((INDEX(Timeline!$P$5:$AN$305,0,MATCH($A9,Timeline!$P$4:$AN$4,0))="x")*(Timeline!$K$5:$K$305="Task")*ISNUMBER(Timeline!$I$5:$I$305)*ISNUMBER(Timeline!$J$5:$J$305)*(Timeline!$I$5:$I$305&lt;=K$4+0)*(Timeline!$J$5:$J$305&gt;=K$4+0)),SUMPRODUCT((INDEX(Timeline!$P$5:$AN$305,0,MATCH($A9,Timeline!$P$4:$AN$4,0))="x")*(Timeline!$K$5:$K$305="Task")*ISNUMBER(Timeline!$I$5:$I$305)*ISNUMBER(Timeline!$J$5:$J$305)*(Timeline!$I$5:$I$305&lt;=K$4+1)*(Timeline!$J$5:$J$305&gt;=K$4+1)),SUMPRODUCT((INDEX(Timeline!$P$5:$AN$305,0,MATCH($A9,Timeline!$P$4:$AN$4,0))="x")*(Timeline!$K$5:$K$305="Task")*ISNUMBER(Timeline!$I$5:$I$305)*ISNUMBER(Timeline!$J$5:$J$305)*(Timeline!$I$5:$I$305&lt;=K$4+2)*(Timeline!$J$5:$J$305&gt;=K$4+2)),SUMPRODUCT((INDEX(Timeline!$P$5:$AN$305,0,MATCH($A9,Timeline!$P$4:$AN$4,0))="x")*(Timeline!$K$5:$K$305="Task")*ISNUMBER(Timeline!$I$5:$I$305)*ISNUMBER(Timeline!$J$5:$J$305)*(Timeline!$I$5:$I$305&lt;=K$4+3)*(Timeline!$J$5:$J$305&gt;=K$4+3)),SUMPRODUCT((INDEX(Timeline!$P$5:$AN$305,0,MATCH($A9,Timeline!$P$4:$AN$4,0))="x")*(Timeline!$K$5:$K$305="Task")*ISNUMBER(Timeline!$I$5:$I$305)*ISNUMBER(Timeline!$J$5:$J$305)*(Timeline!$I$5:$I$305&lt;=K$4+4)*(Timeline!$J$5:$J$305&gt;=K$4+4)),SUMPRODUCT((INDEX(Timeline!$P$5:$AN$305,0,MATCH($A9,Timeline!$P$4:$AN$4,0))="x")*(Timeline!$K$5:$K$305="Task")*ISNUMBER(Timeline!$I$5:$I$305)*ISNUMBER(Timeline!$J$5:$J$305)*(Timeline!$I$5:$I$305&lt;=K$4+5)*(Timeline!$J$5:$J$305&gt;=K$4+5)),SUMPRODUCT((INDEX(Timeline!$P$5:$AN$305,0,MATCH($A9,Timeline!$P$4:$AN$4,0))="x")*(Timeline!$K$5:$K$305="Task")*ISNUMBER(Timeline!$I$5:$I$305)*ISNUMBER(Timeline!$J$5:$J$305)*(Timeline!$I$5:$I$305&lt;=K$4+6)*(Timeline!$J$5:$J$305&gt;=K$4+6)))</f>
        <v>1</v>
      </c>
      <c r="L9" s="67">
        <f>MAX(SUMPRODUCT((INDEX(Timeline!$P$5:$AN$305,0,MATCH($A9,Timeline!$P$4:$AN$4,0))="x")*(Timeline!$K$5:$K$305="Task")*ISNUMBER(Timeline!$I$5:$I$305)*ISNUMBER(Timeline!$J$5:$J$305)*(Timeline!$I$5:$I$305&lt;=L$4+0)*(Timeline!$J$5:$J$305&gt;=L$4+0)),SUMPRODUCT((INDEX(Timeline!$P$5:$AN$305,0,MATCH($A9,Timeline!$P$4:$AN$4,0))="x")*(Timeline!$K$5:$K$305="Task")*ISNUMBER(Timeline!$I$5:$I$305)*ISNUMBER(Timeline!$J$5:$J$305)*(Timeline!$I$5:$I$305&lt;=L$4+1)*(Timeline!$J$5:$J$305&gt;=L$4+1)),SUMPRODUCT((INDEX(Timeline!$P$5:$AN$305,0,MATCH($A9,Timeline!$P$4:$AN$4,0))="x")*(Timeline!$K$5:$K$305="Task")*ISNUMBER(Timeline!$I$5:$I$305)*ISNUMBER(Timeline!$J$5:$J$305)*(Timeline!$I$5:$I$305&lt;=L$4+2)*(Timeline!$J$5:$J$305&gt;=L$4+2)),SUMPRODUCT((INDEX(Timeline!$P$5:$AN$305,0,MATCH($A9,Timeline!$P$4:$AN$4,0))="x")*(Timeline!$K$5:$K$305="Task")*ISNUMBER(Timeline!$I$5:$I$305)*ISNUMBER(Timeline!$J$5:$J$305)*(Timeline!$I$5:$I$305&lt;=L$4+3)*(Timeline!$J$5:$J$305&gt;=L$4+3)),SUMPRODUCT((INDEX(Timeline!$P$5:$AN$305,0,MATCH($A9,Timeline!$P$4:$AN$4,0))="x")*(Timeline!$K$5:$K$305="Task")*ISNUMBER(Timeline!$I$5:$I$305)*ISNUMBER(Timeline!$J$5:$J$305)*(Timeline!$I$5:$I$305&lt;=L$4+4)*(Timeline!$J$5:$J$305&gt;=L$4+4)),SUMPRODUCT((INDEX(Timeline!$P$5:$AN$305,0,MATCH($A9,Timeline!$P$4:$AN$4,0))="x")*(Timeline!$K$5:$K$305="Task")*ISNUMBER(Timeline!$I$5:$I$305)*ISNUMBER(Timeline!$J$5:$J$305)*(Timeline!$I$5:$I$305&lt;=L$4+5)*(Timeline!$J$5:$J$305&gt;=L$4+5)),SUMPRODUCT((INDEX(Timeline!$P$5:$AN$305,0,MATCH($A9,Timeline!$P$4:$AN$4,0))="x")*(Timeline!$K$5:$K$305="Task")*ISNUMBER(Timeline!$I$5:$I$305)*ISNUMBER(Timeline!$J$5:$J$305)*(Timeline!$I$5:$I$305&lt;=L$4+6)*(Timeline!$J$5:$J$305&gt;=L$4+6)))</f>
        <v>1</v>
      </c>
      <c r="M9" s="67">
        <f>MAX(SUMPRODUCT((INDEX(Timeline!$P$5:$AN$305,0,MATCH($A9,Timeline!$P$4:$AN$4,0))="x")*(Timeline!$K$5:$K$305="Task")*ISNUMBER(Timeline!$I$5:$I$305)*ISNUMBER(Timeline!$J$5:$J$305)*(Timeline!$I$5:$I$305&lt;=M$4+0)*(Timeline!$J$5:$J$305&gt;=M$4+0)),SUMPRODUCT((INDEX(Timeline!$P$5:$AN$305,0,MATCH($A9,Timeline!$P$4:$AN$4,0))="x")*(Timeline!$K$5:$K$305="Task")*ISNUMBER(Timeline!$I$5:$I$305)*ISNUMBER(Timeline!$J$5:$J$305)*(Timeline!$I$5:$I$305&lt;=M$4+1)*(Timeline!$J$5:$J$305&gt;=M$4+1)),SUMPRODUCT((INDEX(Timeline!$P$5:$AN$305,0,MATCH($A9,Timeline!$P$4:$AN$4,0))="x")*(Timeline!$K$5:$K$305="Task")*ISNUMBER(Timeline!$I$5:$I$305)*ISNUMBER(Timeline!$J$5:$J$305)*(Timeline!$I$5:$I$305&lt;=M$4+2)*(Timeline!$J$5:$J$305&gt;=M$4+2)),SUMPRODUCT((INDEX(Timeline!$P$5:$AN$305,0,MATCH($A9,Timeline!$P$4:$AN$4,0))="x")*(Timeline!$K$5:$K$305="Task")*ISNUMBER(Timeline!$I$5:$I$305)*ISNUMBER(Timeline!$J$5:$J$305)*(Timeline!$I$5:$I$305&lt;=M$4+3)*(Timeline!$J$5:$J$305&gt;=M$4+3)),SUMPRODUCT((INDEX(Timeline!$P$5:$AN$305,0,MATCH($A9,Timeline!$P$4:$AN$4,0))="x")*(Timeline!$K$5:$K$305="Task")*ISNUMBER(Timeline!$I$5:$I$305)*ISNUMBER(Timeline!$J$5:$J$305)*(Timeline!$I$5:$I$305&lt;=M$4+4)*(Timeline!$J$5:$J$305&gt;=M$4+4)),SUMPRODUCT((INDEX(Timeline!$P$5:$AN$305,0,MATCH($A9,Timeline!$P$4:$AN$4,0))="x")*(Timeline!$K$5:$K$305="Task")*ISNUMBER(Timeline!$I$5:$I$305)*ISNUMBER(Timeline!$J$5:$J$305)*(Timeline!$I$5:$I$305&lt;=M$4+5)*(Timeline!$J$5:$J$305&gt;=M$4+5)),SUMPRODUCT((INDEX(Timeline!$P$5:$AN$305,0,MATCH($A9,Timeline!$P$4:$AN$4,0))="x")*(Timeline!$K$5:$K$305="Task")*ISNUMBER(Timeline!$I$5:$I$305)*ISNUMBER(Timeline!$J$5:$J$305)*(Timeline!$I$5:$I$305&lt;=M$4+6)*(Timeline!$J$5:$J$305&gt;=M$4+6)))</f>
        <v>1</v>
      </c>
      <c r="N9" s="67">
        <f>MAX(SUMPRODUCT((INDEX(Timeline!$P$5:$AN$305,0,MATCH($A9,Timeline!$P$4:$AN$4,0))="x")*(Timeline!$K$5:$K$305="Task")*ISNUMBER(Timeline!$I$5:$I$305)*ISNUMBER(Timeline!$J$5:$J$305)*(Timeline!$I$5:$I$305&lt;=N$4+0)*(Timeline!$J$5:$J$305&gt;=N$4+0)),SUMPRODUCT((INDEX(Timeline!$P$5:$AN$305,0,MATCH($A9,Timeline!$P$4:$AN$4,0))="x")*(Timeline!$K$5:$K$305="Task")*ISNUMBER(Timeline!$I$5:$I$305)*ISNUMBER(Timeline!$J$5:$J$305)*(Timeline!$I$5:$I$305&lt;=N$4+1)*(Timeline!$J$5:$J$305&gt;=N$4+1)),SUMPRODUCT((INDEX(Timeline!$P$5:$AN$305,0,MATCH($A9,Timeline!$P$4:$AN$4,0))="x")*(Timeline!$K$5:$K$305="Task")*ISNUMBER(Timeline!$I$5:$I$305)*ISNUMBER(Timeline!$J$5:$J$305)*(Timeline!$I$5:$I$305&lt;=N$4+2)*(Timeline!$J$5:$J$305&gt;=N$4+2)),SUMPRODUCT((INDEX(Timeline!$P$5:$AN$305,0,MATCH($A9,Timeline!$P$4:$AN$4,0))="x")*(Timeline!$K$5:$K$305="Task")*ISNUMBER(Timeline!$I$5:$I$305)*ISNUMBER(Timeline!$J$5:$J$305)*(Timeline!$I$5:$I$305&lt;=N$4+3)*(Timeline!$J$5:$J$305&gt;=N$4+3)),SUMPRODUCT((INDEX(Timeline!$P$5:$AN$305,0,MATCH($A9,Timeline!$P$4:$AN$4,0))="x")*(Timeline!$K$5:$K$305="Task")*ISNUMBER(Timeline!$I$5:$I$305)*ISNUMBER(Timeline!$J$5:$J$305)*(Timeline!$I$5:$I$305&lt;=N$4+4)*(Timeline!$J$5:$J$305&gt;=N$4+4)),SUMPRODUCT((INDEX(Timeline!$P$5:$AN$305,0,MATCH($A9,Timeline!$P$4:$AN$4,0))="x")*(Timeline!$K$5:$K$305="Task")*ISNUMBER(Timeline!$I$5:$I$305)*ISNUMBER(Timeline!$J$5:$J$305)*(Timeline!$I$5:$I$305&lt;=N$4+5)*(Timeline!$J$5:$J$305&gt;=N$4+5)),SUMPRODUCT((INDEX(Timeline!$P$5:$AN$305,0,MATCH($A9,Timeline!$P$4:$AN$4,0))="x")*(Timeline!$K$5:$K$305="Task")*ISNUMBER(Timeline!$I$5:$I$305)*ISNUMBER(Timeline!$J$5:$J$305)*(Timeline!$I$5:$I$305&lt;=N$4+6)*(Timeline!$J$5:$J$305&gt;=N$4+6)))</f>
        <v>1</v>
      </c>
      <c r="O9" s="67">
        <f>MAX(SUMPRODUCT((INDEX(Timeline!$P$5:$AN$305,0,MATCH($A9,Timeline!$P$4:$AN$4,0))="x")*(Timeline!$K$5:$K$305="Task")*ISNUMBER(Timeline!$I$5:$I$305)*ISNUMBER(Timeline!$J$5:$J$305)*(Timeline!$I$5:$I$305&lt;=O$4+0)*(Timeline!$J$5:$J$305&gt;=O$4+0)),SUMPRODUCT((INDEX(Timeline!$P$5:$AN$305,0,MATCH($A9,Timeline!$P$4:$AN$4,0))="x")*(Timeline!$K$5:$K$305="Task")*ISNUMBER(Timeline!$I$5:$I$305)*ISNUMBER(Timeline!$J$5:$J$305)*(Timeline!$I$5:$I$305&lt;=O$4+1)*(Timeline!$J$5:$J$305&gt;=O$4+1)),SUMPRODUCT((INDEX(Timeline!$P$5:$AN$305,0,MATCH($A9,Timeline!$P$4:$AN$4,0))="x")*(Timeline!$K$5:$K$305="Task")*ISNUMBER(Timeline!$I$5:$I$305)*ISNUMBER(Timeline!$J$5:$J$305)*(Timeline!$I$5:$I$305&lt;=O$4+2)*(Timeline!$J$5:$J$305&gt;=O$4+2)),SUMPRODUCT((INDEX(Timeline!$P$5:$AN$305,0,MATCH($A9,Timeline!$P$4:$AN$4,0))="x")*(Timeline!$K$5:$K$305="Task")*ISNUMBER(Timeline!$I$5:$I$305)*ISNUMBER(Timeline!$J$5:$J$305)*(Timeline!$I$5:$I$305&lt;=O$4+3)*(Timeline!$J$5:$J$305&gt;=O$4+3)),SUMPRODUCT((INDEX(Timeline!$P$5:$AN$305,0,MATCH($A9,Timeline!$P$4:$AN$4,0))="x")*(Timeline!$K$5:$K$305="Task")*ISNUMBER(Timeline!$I$5:$I$305)*ISNUMBER(Timeline!$J$5:$J$305)*(Timeline!$I$5:$I$305&lt;=O$4+4)*(Timeline!$J$5:$J$305&gt;=O$4+4)),SUMPRODUCT((INDEX(Timeline!$P$5:$AN$305,0,MATCH($A9,Timeline!$P$4:$AN$4,0))="x")*(Timeline!$K$5:$K$305="Task")*ISNUMBER(Timeline!$I$5:$I$305)*ISNUMBER(Timeline!$J$5:$J$305)*(Timeline!$I$5:$I$305&lt;=O$4+5)*(Timeline!$J$5:$J$305&gt;=O$4+5)),SUMPRODUCT((INDEX(Timeline!$P$5:$AN$305,0,MATCH($A9,Timeline!$P$4:$AN$4,0))="x")*(Timeline!$K$5:$K$305="Task")*ISNUMBER(Timeline!$I$5:$I$305)*ISNUMBER(Timeline!$J$5:$J$305)*(Timeline!$I$5:$I$305&lt;=O$4+6)*(Timeline!$J$5:$J$305&gt;=O$4+6)))</f>
        <v>1</v>
      </c>
      <c r="P9" s="67">
        <f>MAX(SUMPRODUCT((INDEX(Timeline!$P$5:$AN$305,0,MATCH($A9,Timeline!$P$4:$AN$4,0))="x")*(Timeline!$K$5:$K$305="Task")*ISNUMBER(Timeline!$I$5:$I$305)*ISNUMBER(Timeline!$J$5:$J$305)*(Timeline!$I$5:$I$305&lt;=P$4+0)*(Timeline!$J$5:$J$305&gt;=P$4+0)),SUMPRODUCT((INDEX(Timeline!$P$5:$AN$305,0,MATCH($A9,Timeline!$P$4:$AN$4,0))="x")*(Timeline!$K$5:$K$305="Task")*ISNUMBER(Timeline!$I$5:$I$305)*ISNUMBER(Timeline!$J$5:$J$305)*(Timeline!$I$5:$I$305&lt;=P$4+1)*(Timeline!$J$5:$J$305&gt;=P$4+1)),SUMPRODUCT((INDEX(Timeline!$P$5:$AN$305,0,MATCH($A9,Timeline!$P$4:$AN$4,0))="x")*(Timeline!$K$5:$K$305="Task")*ISNUMBER(Timeline!$I$5:$I$305)*ISNUMBER(Timeline!$J$5:$J$305)*(Timeline!$I$5:$I$305&lt;=P$4+2)*(Timeline!$J$5:$J$305&gt;=P$4+2)),SUMPRODUCT((INDEX(Timeline!$P$5:$AN$305,0,MATCH($A9,Timeline!$P$4:$AN$4,0))="x")*(Timeline!$K$5:$K$305="Task")*ISNUMBER(Timeline!$I$5:$I$305)*ISNUMBER(Timeline!$J$5:$J$305)*(Timeline!$I$5:$I$305&lt;=P$4+3)*(Timeline!$J$5:$J$305&gt;=P$4+3)),SUMPRODUCT((INDEX(Timeline!$P$5:$AN$305,0,MATCH($A9,Timeline!$P$4:$AN$4,0))="x")*(Timeline!$K$5:$K$305="Task")*ISNUMBER(Timeline!$I$5:$I$305)*ISNUMBER(Timeline!$J$5:$J$305)*(Timeline!$I$5:$I$305&lt;=P$4+4)*(Timeline!$J$5:$J$305&gt;=P$4+4)),SUMPRODUCT((INDEX(Timeline!$P$5:$AN$305,0,MATCH($A9,Timeline!$P$4:$AN$4,0))="x")*(Timeline!$K$5:$K$305="Task")*ISNUMBER(Timeline!$I$5:$I$305)*ISNUMBER(Timeline!$J$5:$J$305)*(Timeline!$I$5:$I$305&lt;=P$4+5)*(Timeline!$J$5:$J$305&gt;=P$4+5)),SUMPRODUCT((INDEX(Timeline!$P$5:$AN$305,0,MATCH($A9,Timeline!$P$4:$AN$4,0))="x")*(Timeline!$K$5:$K$305="Task")*ISNUMBER(Timeline!$I$5:$I$305)*ISNUMBER(Timeline!$J$5:$J$305)*(Timeline!$I$5:$I$305&lt;=P$4+6)*(Timeline!$J$5:$J$305&gt;=P$4+6)))</f>
        <v>1</v>
      </c>
      <c r="Q9" s="67">
        <f>MAX(SUMPRODUCT((INDEX(Timeline!$P$5:$AN$305,0,MATCH($A9,Timeline!$P$4:$AN$4,0))="x")*(Timeline!$K$5:$K$305="Task")*ISNUMBER(Timeline!$I$5:$I$305)*ISNUMBER(Timeline!$J$5:$J$305)*(Timeline!$I$5:$I$305&lt;=Q$4+0)*(Timeline!$J$5:$J$305&gt;=Q$4+0)),SUMPRODUCT((INDEX(Timeline!$P$5:$AN$305,0,MATCH($A9,Timeline!$P$4:$AN$4,0))="x")*(Timeline!$K$5:$K$305="Task")*ISNUMBER(Timeline!$I$5:$I$305)*ISNUMBER(Timeline!$J$5:$J$305)*(Timeline!$I$5:$I$305&lt;=Q$4+1)*(Timeline!$J$5:$J$305&gt;=Q$4+1)),SUMPRODUCT((INDEX(Timeline!$P$5:$AN$305,0,MATCH($A9,Timeline!$P$4:$AN$4,0))="x")*(Timeline!$K$5:$K$305="Task")*ISNUMBER(Timeline!$I$5:$I$305)*ISNUMBER(Timeline!$J$5:$J$305)*(Timeline!$I$5:$I$305&lt;=Q$4+2)*(Timeline!$J$5:$J$305&gt;=Q$4+2)),SUMPRODUCT((INDEX(Timeline!$P$5:$AN$305,0,MATCH($A9,Timeline!$P$4:$AN$4,0))="x")*(Timeline!$K$5:$K$305="Task")*ISNUMBER(Timeline!$I$5:$I$305)*ISNUMBER(Timeline!$J$5:$J$305)*(Timeline!$I$5:$I$305&lt;=Q$4+3)*(Timeline!$J$5:$J$305&gt;=Q$4+3)),SUMPRODUCT((INDEX(Timeline!$P$5:$AN$305,0,MATCH($A9,Timeline!$P$4:$AN$4,0))="x")*(Timeline!$K$5:$K$305="Task")*ISNUMBER(Timeline!$I$5:$I$305)*ISNUMBER(Timeline!$J$5:$J$305)*(Timeline!$I$5:$I$305&lt;=Q$4+4)*(Timeline!$J$5:$J$305&gt;=Q$4+4)),SUMPRODUCT((INDEX(Timeline!$P$5:$AN$305,0,MATCH($A9,Timeline!$P$4:$AN$4,0))="x")*(Timeline!$K$5:$K$305="Task")*ISNUMBER(Timeline!$I$5:$I$305)*ISNUMBER(Timeline!$J$5:$J$305)*(Timeline!$I$5:$I$305&lt;=Q$4+5)*(Timeline!$J$5:$J$305&gt;=Q$4+5)),SUMPRODUCT((INDEX(Timeline!$P$5:$AN$305,0,MATCH($A9,Timeline!$P$4:$AN$4,0))="x")*(Timeline!$K$5:$K$305="Task")*ISNUMBER(Timeline!$I$5:$I$305)*ISNUMBER(Timeline!$J$5:$J$305)*(Timeline!$I$5:$I$305&lt;=Q$4+6)*(Timeline!$J$5:$J$305&gt;=Q$4+6)))</f>
        <v>1</v>
      </c>
      <c r="R9" s="67">
        <f>MAX(SUMPRODUCT((INDEX(Timeline!$P$5:$AN$305,0,MATCH($A9,Timeline!$P$4:$AN$4,0))="x")*(Timeline!$K$5:$K$305="Task")*ISNUMBER(Timeline!$I$5:$I$305)*ISNUMBER(Timeline!$J$5:$J$305)*(Timeline!$I$5:$I$305&lt;=R$4+0)*(Timeline!$J$5:$J$305&gt;=R$4+0)),SUMPRODUCT((INDEX(Timeline!$P$5:$AN$305,0,MATCH($A9,Timeline!$P$4:$AN$4,0))="x")*(Timeline!$K$5:$K$305="Task")*ISNUMBER(Timeline!$I$5:$I$305)*ISNUMBER(Timeline!$J$5:$J$305)*(Timeline!$I$5:$I$305&lt;=R$4+1)*(Timeline!$J$5:$J$305&gt;=R$4+1)),SUMPRODUCT((INDEX(Timeline!$P$5:$AN$305,0,MATCH($A9,Timeline!$P$4:$AN$4,0))="x")*(Timeline!$K$5:$K$305="Task")*ISNUMBER(Timeline!$I$5:$I$305)*ISNUMBER(Timeline!$J$5:$J$305)*(Timeline!$I$5:$I$305&lt;=R$4+2)*(Timeline!$J$5:$J$305&gt;=R$4+2)),SUMPRODUCT((INDEX(Timeline!$P$5:$AN$305,0,MATCH($A9,Timeline!$P$4:$AN$4,0))="x")*(Timeline!$K$5:$K$305="Task")*ISNUMBER(Timeline!$I$5:$I$305)*ISNUMBER(Timeline!$J$5:$J$305)*(Timeline!$I$5:$I$305&lt;=R$4+3)*(Timeline!$J$5:$J$305&gt;=R$4+3)),SUMPRODUCT((INDEX(Timeline!$P$5:$AN$305,0,MATCH($A9,Timeline!$P$4:$AN$4,0))="x")*(Timeline!$K$5:$K$305="Task")*ISNUMBER(Timeline!$I$5:$I$305)*ISNUMBER(Timeline!$J$5:$J$305)*(Timeline!$I$5:$I$305&lt;=R$4+4)*(Timeline!$J$5:$J$305&gt;=R$4+4)),SUMPRODUCT((INDEX(Timeline!$P$5:$AN$305,0,MATCH($A9,Timeline!$P$4:$AN$4,0))="x")*(Timeline!$K$5:$K$305="Task")*ISNUMBER(Timeline!$I$5:$I$305)*ISNUMBER(Timeline!$J$5:$J$305)*(Timeline!$I$5:$I$305&lt;=R$4+5)*(Timeline!$J$5:$J$305&gt;=R$4+5)),SUMPRODUCT((INDEX(Timeline!$P$5:$AN$305,0,MATCH($A9,Timeline!$P$4:$AN$4,0))="x")*(Timeline!$K$5:$K$305="Task")*ISNUMBER(Timeline!$I$5:$I$305)*ISNUMBER(Timeline!$J$5:$J$305)*(Timeline!$I$5:$I$305&lt;=R$4+6)*(Timeline!$J$5:$J$305&gt;=R$4+6)))</f>
        <v>1</v>
      </c>
      <c r="S9" s="67">
        <f>MAX(SUMPRODUCT((INDEX(Timeline!$P$5:$AN$305,0,MATCH($A9,Timeline!$P$4:$AN$4,0))="x")*(Timeline!$K$5:$K$305="Task")*ISNUMBER(Timeline!$I$5:$I$305)*ISNUMBER(Timeline!$J$5:$J$305)*(Timeline!$I$5:$I$305&lt;=S$4+0)*(Timeline!$J$5:$J$305&gt;=S$4+0)),SUMPRODUCT((INDEX(Timeline!$P$5:$AN$305,0,MATCH($A9,Timeline!$P$4:$AN$4,0))="x")*(Timeline!$K$5:$K$305="Task")*ISNUMBER(Timeline!$I$5:$I$305)*ISNUMBER(Timeline!$J$5:$J$305)*(Timeline!$I$5:$I$305&lt;=S$4+1)*(Timeline!$J$5:$J$305&gt;=S$4+1)),SUMPRODUCT((INDEX(Timeline!$P$5:$AN$305,0,MATCH($A9,Timeline!$P$4:$AN$4,0))="x")*(Timeline!$K$5:$K$305="Task")*ISNUMBER(Timeline!$I$5:$I$305)*ISNUMBER(Timeline!$J$5:$J$305)*(Timeline!$I$5:$I$305&lt;=S$4+2)*(Timeline!$J$5:$J$305&gt;=S$4+2)),SUMPRODUCT((INDEX(Timeline!$P$5:$AN$305,0,MATCH($A9,Timeline!$P$4:$AN$4,0))="x")*(Timeline!$K$5:$K$305="Task")*ISNUMBER(Timeline!$I$5:$I$305)*ISNUMBER(Timeline!$J$5:$J$305)*(Timeline!$I$5:$I$305&lt;=S$4+3)*(Timeline!$J$5:$J$305&gt;=S$4+3)),SUMPRODUCT((INDEX(Timeline!$P$5:$AN$305,0,MATCH($A9,Timeline!$P$4:$AN$4,0))="x")*(Timeline!$K$5:$K$305="Task")*ISNUMBER(Timeline!$I$5:$I$305)*ISNUMBER(Timeline!$J$5:$J$305)*(Timeline!$I$5:$I$305&lt;=S$4+4)*(Timeline!$J$5:$J$305&gt;=S$4+4)),SUMPRODUCT((INDEX(Timeline!$P$5:$AN$305,0,MATCH($A9,Timeline!$P$4:$AN$4,0))="x")*(Timeline!$K$5:$K$305="Task")*ISNUMBER(Timeline!$I$5:$I$305)*ISNUMBER(Timeline!$J$5:$J$305)*(Timeline!$I$5:$I$305&lt;=S$4+5)*(Timeline!$J$5:$J$305&gt;=S$4+5)),SUMPRODUCT((INDEX(Timeline!$P$5:$AN$305,0,MATCH($A9,Timeline!$P$4:$AN$4,0))="x")*(Timeline!$K$5:$K$305="Task")*ISNUMBER(Timeline!$I$5:$I$305)*ISNUMBER(Timeline!$J$5:$J$305)*(Timeline!$I$5:$I$305&lt;=S$4+6)*(Timeline!$J$5:$J$305&gt;=S$4+6)))</f>
        <v>1</v>
      </c>
      <c r="T9" s="67">
        <f>MAX(SUMPRODUCT((INDEX(Timeline!$P$5:$AN$305,0,MATCH($A9,Timeline!$P$4:$AN$4,0))="x")*(Timeline!$K$5:$K$305="Task")*ISNUMBER(Timeline!$I$5:$I$305)*ISNUMBER(Timeline!$J$5:$J$305)*(Timeline!$I$5:$I$305&lt;=T$4+0)*(Timeline!$J$5:$J$305&gt;=T$4+0)),SUMPRODUCT((INDEX(Timeline!$P$5:$AN$305,0,MATCH($A9,Timeline!$P$4:$AN$4,0))="x")*(Timeline!$K$5:$K$305="Task")*ISNUMBER(Timeline!$I$5:$I$305)*ISNUMBER(Timeline!$J$5:$J$305)*(Timeline!$I$5:$I$305&lt;=T$4+1)*(Timeline!$J$5:$J$305&gt;=T$4+1)),SUMPRODUCT((INDEX(Timeline!$P$5:$AN$305,0,MATCH($A9,Timeline!$P$4:$AN$4,0))="x")*(Timeline!$K$5:$K$305="Task")*ISNUMBER(Timeline!$I$5:$I$305)*ISNUMBER(Timeline!$J$5:$J$305)*(Timeline!$I$5:$I$305&lt;=T$4+2)*(Timeline!$J$5:$J$305&gt;=T$4+2)),SUMPRODUCT((INDEX(Timeline!$P$5:$AN$305,0,MATCH($A9,Timeline!$P$4:$AN$4,0))="x")*(Timeline!$K$5:$K$305="Task")*ISNUMBER(Timeline!$I$5:$I$305)*ISNUMBER(Timeline!$J$5:$J$305)*(Timeline!$I$5:$I$305&lt;=T$4+3)*(Timeline!$J$5:$J$305&gt;=T$4+3)),SUMPRODUCT((INDEX(Timeline!$P$5:$AN$305,0,MATCH($A9,Timeline!$P$4:$AN$4,0))="x")*(Timeline!$K$5:$K$305="Task")*ISNUMBER(Timeline!$I$5:$I$305)*ISNUMBER(Timeline!$J$5:$J$305)*(Timeline!$I$5:$I$305&lt;=T$4+4)*(Timeline!$J$5:$J$305&gt;=T$4+4)),SUMPRODUCT((INDEX(Timeline!$P$5:$AN$305,0,MATCH($A9,Timeline!$P$4:$AN$4,0))="x")*(Timeline!$K$5:$K$305="Task")*ISNUMBER(Timeline!$I$5:$I$305)*ISNUMBER(Timeline!$J$5:$J$305)*(Timeline!$I$5:$I$305&lt;=T$4+5)*(Timeline!$J$5:$J$305&gt;=T$4+5)),SUMPRODUCT((INDEX(Timeline!$P$5:$AN$305,0,MATCH($A9,Timeline!$P$4:$AN$4,0))="x")*(Timeline!$K$5:$K$305="Task")*ISNUMBER(Timeline!$I$5:$I$305)*ISNUMBER(Timeline!$J$5:$J$305)*(Timeline!$I$5:$I$305&lt;=T$4+6)*(Timeline!$J$5:$J$305&gt;=T$4+6)))</f>
        <v>1</v>
      </c>
      <c r="U9" s="67">
        <f>MAX(SUMPRODUCT((INDEX(Timeline!$P$5:$AN$305,0,MATCH($A9,Timeline!$P$4:$AN$4,0))="x")*(Timeline!$K$5:$K$305="Task")*ISNUMBER(Timeline!$I$5:$I$305)*ISNUMBER(Timeline!$J$5:$J$305)*(Timeline!$I$5:$I$305&lt;=U$4+0)*(Timeline!$J$5:$J$305&gt;=U$4+0)),SUMPRODUCT((INDEX(Timeline!$P$5:$AN$305,0,MATCH($A9,Timeline!$P$4:$AN$4,0))="x")*(Timeline!$K$5:$K$305="Task")*ISNUMBER(Timeline!$I$5:$I$305)*ISNUMBER(Timeline!$J$5:$J$305)*(Timeline!$I$5:$I$305&lt;=U$4+1)*(Timeline!$J$5:$J$305&gt;=U$4+1)),SUMPRODUCT((INDEX(Timeline!$P$5:$AN$305,0,MATCH($A9,Timeline!$P$4:$AN$4,0))="x")*(Timeline!$K$5:$K$305="Task")*ISNUMBER(Timeline!$I$5:$I$305)*ISNUMBER(Timeline!$J$5:$J$305)*(Timeline!$I$5:$I$305&lt;=U$4+2)*(Timeline!$J$5:$J$305&gt;=U$4+2)),SUMPRODUCT((INDEX(Timeline!$P$5:$AN$305,0,MATCH($A9,Timeline!$P$4:$AN$4,0))="x")*(Timeline!$K$5:$K$305="Task")*ISNUMBER(Timeline!$I$5:$I$305)*ISNUMBER(Timeline!$J$5:$J$305)*(Timeline!$I$5:$I$305&lt;=U$4+3)*(Timeline!$J$5:$J$305&gt;=U$4+3)),SUMPRODUCT((INDEX(Timeline!$P$5:$AN$305,0,MATCH($A9,Timeline!$P$4:$AN$4,0))="x")*(Timeline!$K$5:$K$305="Task")*ISNUMBER(Timeline!$I$5:$I$305)*ISNUMBER(Timeline!$J$5:$J$305)*(Timeline!$I$5:$I$305&lt;=U$4+4)*(Timeline!$J$5:$J$305&gt;=U$4+4)),SUMPRODUCT((INDEX(Timeline!$P$5:$AN$305,0,MATCH($A9,Timeline!$P$4:$AN$4,0))="x")*(Timeline!$K$5:$K$305="Task")*ISNUMBER(Timeline!$I$5:$I$305)*ISNUMBER(Timeline!$J$5:$J$305)*(Timeline!$I$5:$I$305&lt;=U$4+5)*(Timeline!$J$5:$J$305&gt;=U$4+5)),SUMPRODUCT((INDEX(Timeline!$P$5:$AN$305,0,MATCH($A9,Timeline!$P$4:$AN$4,0))="x")*(Timeline!$K$5:$K$305="Task")*ISNUMBER(Timeline!$I$5:$I$305)*ISNUMBER(Timeline!$J$5:$J$305)*(Timeline!$I$5:$I$305&lt;=U$4+6)*(Timeline!$J$5:$J$305&gt;=U$4+6)))</f>
        <v>1</v>
      </c>
      <c r="V9" s="67">
        <f>MAX(SUMPRODUCT((INDEX(Timeline!$P$5:$AN$305,0,MATCH($A9,Timeline!$P$4:$AN$4,0))="x")*(Timeline!$K$5:$K$305="Task")*ISNUMBER(Timeline!$I$5:$I$305)*ISNUMBER(Timeline!$J$5:$J$305)*(Timeline!$I$5:$I$305&lt;=V$4+0)*(Timeline!$J$5:$J$305&gt;=V$4+0)),SUMPRODUCT((INDEX(Timeline!$P$5:$AN$305,0,MATCH($A9,Timeline!$P$4:$AN$4,0))="x")*(Timeline!$K$5:$K$305="Task")*ISNUMBER(Timeline!$I$5:$I$305)*ISNUMBER(Timeline!$J$5:$J$305)*(Timeline!$I$5:$I$305&lt;=V$4+1)*(Timeline!$J$5:$J$305&gt;=V$4+1)),SUMPRODUCT((INDEX(Timeline!$P$5:$AN$305,0,MATCH($A9,Timeline!$P$4:$AN$4,0))="x")*(Timeline!$K$5:$K$305="Task")*ISNUMBER(Timeline!$I$5:$I$305)*ISNUMBER(Timeline!$J$5:$J$305)*(Timeline!$I$5:$I$305&lt;=V$4+2)*(Timeline!$J$5:$J$305&gt;=V$4+2)),SUMPRODUCT((INDEX(Timeline!$P$5:$AN$305,0,MATCH($A9,Timeline!$P$4:$AN$4,0))="x")*(Timeline!$K$5:$K$305="Task")*ISNUMBER(Timeline!$I$5:$I$305)*ISNUMBER(Timeline!$J$5:$J$305)*(Timeline!$I$5:$I$305&lt;=V$4+3)*(Timeline!$J$5:$J$305&gt;=V$4+3)),SUMPRODUCT((INDEX(Timeline!$P$5:$AN$305,0,MATCH($A9,Timeline!$P$4:$AN$4,0))="x")*(Timeline!$K$5:$K$305="Task")*ISNUMBER(Timeline!$I$5:$I$305)*ISNUMBER(Timeline!$J$5:$J$305)*(Timeline!$I$5:$I$305&lt;=V$4+4)*(Timeline!$J$5:$J$305&gt;=V$4+4)),SUMPRODUCT((INDEX(Timeline!$P$5:$AN$305,0,MATCH($A9,Timeline!$P$4:$AN$4,0))="x")*(Timeline!$K$5:$K$305="Task")*ISNUMBER(Timeline!$I$5:$I$305)*ISNUMBER(Timeline!$J$5:$J$305)*(Timeline!$I$5:$I$305&lt;=V$4+5)*(Timeline!$J$5:$J$305&gt;=V$4+5)),SUMPRODUCT((INDEX(Timeline!$P$5:$AN$305,0,MATCH($A9,Timeline!$P$4:$AN$4,0))="x")*(Timeline!$K$5:$K$305="Task")*ISNUMBER(Timeline!$I$5:$I$305)*ISNUMBER(Timeline!$J$5:$J$305)*(Timeline!$I$5:$I$305&lt;=V$4+6)*(Timeline!$J$5:$J$305&gt;=V$4+6)))</f>
        <v>1</v>
      </c>
      <c r="W9" s="67">
        <f>MAX(SUMPRODUCT((INDEX(Timeline!$P$5:$AN$305,0,MATCH($A9,Timeline!$P$4:$AN$4,0))="x")*(Timeline!$K$5:$K$305="Task")*ISNUMBER(Timeline!$I$5:$I$305)*ISNUMBER(Timeline!$J$5:$J$305)*(Timeline!$I$5:$I$305&lt;=W$4+0)*(Timeline!$J$5:$J$305&gt;=W$4+0)),SUMPRODUCT((INDEX(Timeline!$P$5:$AN$305,0,MATCH($A9,Timeline!$P$4:$AN$4,0))="x")*(Timeline!$K$5:$K$305="Task")*ISNUMBER(Timeline!$I$5:$I$305)*ISNUMBER(Timeline!$J$5:$J$305)*(Timeline!$I$5:$I$305&lt;=W$4+1)*(Timeline!$J$5:$J$305&gt;=W$4+1)),SUMPRODUCT((INDEX(Timeline!$P$5:$AN$305,0,MATCH($A9,Timeline!$P$4:$AN$4,0))="x")*(Timeline!$K$5:$K$305="Task")*ISNUMBER(Timeline!$I$5:$I$305)*ISNUMBER(Timeline!$J$5:$J$305)*(Timeline!$I$5:$I$305&lt;=W$4+2)*(Timeline!$J$5:$J$305&gt;=W$4+2)),SUMPRODUCT((INDEX(Timeline!$P$5:$AN$305,0,MATCH($A9,Timeline!$P$4:$AN$4,0))="x")*(Timeline!$K$5:$K$305="Task")*ISNUMBER(Timeline!$I$5:$I$305)*ISNUMBER(Timeline!$J$5:$J$305)*(Timeline!$I$5:$I$305&lt;=W$4+3)*(Timeline!$J$5:$J$305&gt;=W$4+3)),SUMPRODUCT((INDEX(Timeline!$P$5:$AN$305,0,MATCH($A9,Timeline!$P$4:$AN$4,0))="x")*(Timeline!$K$5:$K$305="Task")*ISNUMBER(Timeline!$I$5:$I$305)*ISNUMBER(Timeline!$J$5:$J$305)*(Timeline!$I$5:$I$305&lt;=W$4+4)*(Timeline!$J$5:$J$305&gt;=W$4+4)),SUMPRODUCT((INDEX(Timeline!$P$5:$AN$305,0,MATCH($A9,Timeline!$P$4:$AN$4,0))="x")*(Timeline!$K$5:$K$305="Task")*ISNUMBER(Timeline!$I$5:$I$305)*ISNUMBER(Timeline!$J$5:$J$305)*(Timeline!$I$5:$I$305&lt;=W$4+5)*(Timeline!$J$5:$J$305&gt;=W$4+5)),SUMPRODUCT((INDEX(Timeline!$P$5:$AN$305,0,MATCH($A9,Timeline!$P$4:$AN$4,0))="x")*(Timeline!$K$5:$K$305="Task")*ISNUMBER(Timeline!$I$5:$I$305)*ISNUMBER(Timeline!$J$5:$J$305)*(Timeline!$I$5:$I$305&lt;=W$4+6)*(Timeline!$J$5:$J$305&gt;=W$4+6)))</f>
        <v>0</v>
      </c>
      <c r="X9" s="67">
        <f>MAX(SUMPRODUCT((INDEX(Timeline!$P$5:$AN$305,0,MATCH($A9,Timeline!$P$4:$AN$4,0))="x")*(Timeline!$K$5:$K$305="Task")*ISNUMBER(Timeline!$I$5:$I$305)*ISNUMBER(Timeline!$J$5:$J$305)*(Timeline!$I$5:$I$305&lt;=X$4+0)*(Timeline!$J$5:$J$305&gt;=X$4+0)),SUMPRODUCT((INDEX(Timeline!$P$5:$AN$305,0,MATCH($A9,Timeline!$P$4:$AN$4,0))="x")*(Timeline!$K$5:$K$305="Task")*ISNUMBER(Timeline!$I$5:$I$305)*ISNUMBER(Timeline!$J$5:$J$305)*(Timeline!$I$5:$I$305&lt;=X$4+1)*(Timeline!$J$5:$J$305&gt;=X$4+1)),SUMPRODUCT((INDEX(Timeline!$P$5:$AN$305,0,MATCH($A9,Timeline!$P$4:$AN$4,0))="x")*(Timeline!$K$5:$K$305="Task")*ISNUMBER(Timeline!$I$5:$I$305)*ISNUMBER(Timeline!$J$5:$J$305)*(Timeline!$I$5:$I$305&lt;=X$4+2)*(Timeline!$J$5:$J$305&gt;=X$4+2)),SUMPRODUCT((INDEX(Timeline!$P$5:$AN$305,0,MATCH($A9,Timeline!$P$4:$AN$4,0))="x")*(Timeline!$K$5:$K$305="Task")*ISNUMBER(Timeline!$I$5:$I$305)*ISNUMBER(Timeline!$J$5:$J$305)*(Timeline!$I$5:$I$305&lt;=X$4+3)*(Timeline!$J$5:$J$305&gt;=X$4+3)),SUMPRODUCT((INDEX(Timeline!$P$5:$AN$305,0,MATCH($A9,Timeline!$P$4:$AN$4,0))="x")*(Timeline!$K$5:$K$305="Task")*ISNUMBER(Timeline!$I$5:$I$305)*ISNUMBER(Timeline!$J$5:$J$305)*(Timeline!$I$5:$I$305&lt;=X$4+4)*(Timeline!$J$5:$J$305&gt;=X$4+4)),SUMPRODUCT((INDEX(Timeline!$P$5:$AN$305,0,MATCH($A9,Timeline!$P$4:$AN$4,0))="x")*(Timeline!$K$5:$K$305="Task")*ISNUMBER(Timeline!$I$5:$I$305)*ISNUMBER(Timeline!$J$5:$J$305)*(Timeline!$I$5:$I$305&lt;=X$4+5)*(Timeline!$J$5:$J$305&gt;=X$4+5)),SUMPRODUCT((INDEX(Timeline!$P$5:$AN$305,0,MATCH($A9,Timeline!$P$4:$AN$4,0))="x")*(Timeline!$K$5:$K$305="Task")*ISNUMBER(Timeline!$I$5:$I$305)*ISNUMBER(Timeline!$J$5:$J$305)*(Timeline!$I$5:$I$305&lt;=X$4+6)*(Timeline!$J$5:$J$305&gt;=X$4+6)))</f>
        <v>1</v>
      </c>
      <c r="Y9" s="67">
        <f>MAX(SUMPRODUCT((INDEX(Timeline!$P$5:$AN$305,0,MATCH($A9,Timeline!$P$4:$AN$4,0))="x")*(Timeline!$K$5:$K$305="Task")*ISNUMBER(Timeline!$I$5:$I$305)*ISNUMBER(Timeline!$J$5:$J$305)*(Timeline!$I$5:$I$305&lt;=Y$4+0)*(Timeline!$J$5:$J$305&gt;=Y$4+0)),SUMPRODUCT((INDEX(Timeline!$P$5:$AN$305,0,MATCH($A9,Timeline!$P$4:$AN$4,0))="x")*(Timeline!$K$5:$K$305="Task")*ISNUMBER(Timeline!$I$5:$I$305)*ISNUMBER(Timeline!$J$5:$J$305)*(Timeline!$I$5:$I$305&lt;=Y$4+1)*(Timeline!$J$5:$J$305&gt;=Y$4+1)),SUMPRODUCT((INDEX(Timeline!$P$5:$AN$305,0,MATCH($A9,Timeline!$P$4:$AN$4,0))="x")*(Timeline!$K$5:$K$305="Task")*ISNUMBER(Timeline!$I$5:$I$305)*ISNUMBER(Timeline!$J$5:$J$305)*(Timeline!$I$5:$I$305&lt;=Y$4+2)*(Timeline!$J$5:$J$305&gt;=Y$4+2)),SUMPRODUCT((INDEX(Timeline!$P$5:$AN$305,0,MATCH($A9,Timeline!$P$4:$AN$4,0))="x")*(Timeline!$K$5:$K$305="Task")*ISNUMBER(Timeline!$I$5:$I$305)*ISNUMBER(Timeline!$J$5:$J$305)*(Timeline!$I$5:$I$305&lt;=Y$4+3)*(Timeline!$J$5:$J$305&gt;=Y$4+3)),SUMPRODUCT((INDEX(Timeline!$P$5:$AN$305,0,MATCH($A9,Timeline!$P$4:$AN$4,0))="x")*(Timeline!$K$5:$K$305="Task")*ISNUMBER(Timeline!$I$5:$I$305)*ISNUMBER(Timeline!$J$5:$J$305)*(Timeline!$I$5:$I$305&lt;=Y$4+4)*(Timeline!$J$5:$J$305&gt;=Y$4+4)),SUMPRODUCT((INDEX(Timeline!$P$5:$AN$305,0,MATCH($A9,Timeline!$P$4:$AN$4,0))="x")*(Timeline!$K$5:$K$305="Task")*ISNUMBER(Timeline!$I$5:$I$305)*ISNUMBER(Timeline!$J$5:$J$305)*(Timeline!$I$5:$I$305&lt;=Y$4+5)*(Timeline!$J$5:$J$305&gt;=Y$4+5)),SUMPRODUCT((INDEX(Timeline!$P$5:$AN$305,0,MATCH($A9,Timeline!$P$4:$AN$4,0))="x")*(Timeline!$K$5:$K$305="Task")*ISNUMBER(Timeline!$I$5:$I$305)*ISNUMBER(Timeline!$J$5:$J$305)*(Timeline!$I$5:$I$305&lt;=Y$4+6)*(Timeline!$J$5:$J$305&gt;=Y$4+6)))</f>
        <v>1</v>
      </c>
      <c r="Z9" s="67">
        <f>MAX(SUMPRODUCT((INDEX(Timeline!$P$5:$AN$305,0,MATCH($A9,Timeline!$P$4:$AN$4,0))="x")*(Timeline!$K$5:$K$305="Task")*ISNUMBER(Timeline!$I$5:$I$305)*ISNUMBER(Timeline!$J$5:$J$305)*(Timeline!$I$5:$I$305&lt;=Z$4+0)*(Timeline!$J$5:$J$305&gt;=Z$4+0)),SUMPRODUCT((INDEX(Timeline!$P$5:$AN$305,0,MATCH($A9,Timeline!$P$4:$AN$4,0))="x")*(Timeline!$K$5:$K$305="Task")*ISNUMBER(Timeline!$I$5:$I$305)*ISNUMBER(Timeline!$J$5:$J$305)*(Timeline!$I$5:$I$305&lt;=Z$4+1)*(Timeline!$J$5:$J$305&gt;=Z$4+1)),SUMPRODUCT((INDEX(Timeline!$P$5:$AN$305,0,MATCH($A9,Timeline!$P$4:$AN$4,0))="x")*(Timeline!$K$5:$K$305="Task")*ISNUMBER(Timeline!$I$5:$I$305)*ISNUMBER(Timeline!$J$5:$J$305)*(Timeline!$I$5:$I$305&lt;=Z$4+2)*(Timeline!$J$5:$J$305&gt;=Z$4+2)),SUMPRODUCT((INDEX(Timeline!$P$5:$AN$305,0,MATCH($A9,Timeline!$P$4:$AN$4,0))="x")*(Timeline!$K$5:$K$305="Task")*ISNUMBER(Timeline!$I$5:$I$305)*ISNUMBER(Timeline!$J$5:$J$305)*(Timeline!$I$5:$I$305&lt;=Z$4+3)*(Timeline!$J$5:$J$305&gt;=Z$4+3)),SUMPRODUCT((INDEX(Timeline!$P$5:$AN$305,0,MATCH($A9,Timeline!$P$4:$AN$4,0))="x")*(Timeline!$K$5:$K$305="Task")*ISNUMBER(Timeline!$I$5:$I$305)*ISNUMBER(Timeline!$J$5:$J$305)*(Timeline!$I$5:$I$305&lt;=Z$4+4)*(Timeline!$J$5:$J$305&gt;=Z$4+4)),SUMPRODUCT((INDEX(Timeline!$P$5:$AN$305,0,MATCH($A9,Timeline!$P$4:$AN$4,0))="x")*(Timeline!$K$5:$K$305="Task")*ISNUMBER(Timeline!$I$5:$I$305)*ISNUMBER(Timeline!$J$5:$J$305)*(Timeline!$I$5:$I$305&lt;=Z$4+5)*(Timeline!$J$5:$J$305&gt;=Z$4+5)),SUMPRODUCT((INDEX(Timeline!$P$5:$AN$305,0,MATCH($A9,Timeline!$P$4:$AN$4,0))="x")*(Timeline!$K$5:$K$305="Task")*ISNUMBER(Timeline!$I$5:$I$305)*ISNUMBER(Timeline!$J$5:$J$305)*(Timeline!$I$5:$I$305&lt;=Z$4+6)*(Timeline!$J$5:$J$305&gt;=Z$4+6)))</f>
        <v>1</v>
      </c>
      <c r="AA9" s="67">
        <f>MAX(SUMPRODUCT((INDEX(Timeline!$P$5:$AN$305,0,MATCH($A9,Timeline!$P$4:$AN$4,0))="x")*(Timeline!$K$5:$K$305="Task")*ISNUMBER(Timeline!$I$5:$I$305)*ISNUMBER(Timeline!$J$5:$J$305)*(Timeline!$I$5:$I$305&lt;=AA$4+0)*(Timeline!$J$5:$J$305&gt;=AA$4+0)),SUMPRODUCT((INDEX(Timeline!$P$5:$AN$305,0,MATCH($A9,Timeline!$P$4:$AN$4,0))="x")*(Timeline!$K$5:$K$305="Task")*ISNUMBER(Timeline!$I$5:$I$305)*ISNUMBER(Timeline!$J$5:$J$305)*(Timeline!$I$5:$I$305&lt;=AA$4+1)*(Timeline!$J$5:$J$305&gt;=AA$4+1)),SUMPRODUCT((INDEX(Timeline!$P$5:$AN$305,0,MATCH($A9,Timeline!$P$4:$AN$4,0))="x")*(Timeline!$K$5:$K$305="Task")*ISNUMBER(Timeline!$I$5:$I$305)*ISNUMBER(Timeline!$J$5:$J$305)*(Timeline!$I$5:$I$305&lt;=AA$4+2)*(Timeline!$J$5:$J$305&gt;=AA$4+2)),SUMPRODUCT((INDEX(Timeline!$P$5:$AN$305,0,MATCH($A9,Timeline!$P$4:$AN$4,0))="x")*(Timeline!$K$5:$K$305="Task")*ISNUMBER(Timeline!$I$5:$I$305)*ISNUMBER(Timeline!$J$5:$J$305)*(Timeline!$I$5:$I$305&lt;=AA$4+3)*(Timeline!$J$5:$J$305&gt;=AA$4+3)),SUMPRODUCT((INDEX(Timeline!$P$5:$AN$305,0,MATCH($A9,Timeline!$P$4:$AN$4,0))="x")*(Timeline!$K$5:$K$305="Task")*ISNUMBER(Timeline!$I$5:$I$305)*ISNUMBER(Timeline!$J$5:$J$305)*(Timeline!$I$5:$I$305&lt;=AA$4+4)*(Timeline!$J$5:$J$305&gt;=AA$4+4)),SUMPRODUCT((INDEX(Timeline!$P$5:$AN$305,0,MATCH($A9,Timeline!$P$4:$AN$4,0))="x")*(Timeline!$K$5:$K$305="Task")*ISNUMBER(Timeline!$I$5:$I$305)*ISNUMBER(Timeline!$J$5:$J$305)*(Timeline!$I$5:$I$305&lt;=AA$4+5)*(Timeline!$J$5:$J$305&gt;=AA$4+5)),SUMPRODUCT((INDEX(Timeline!$P$5:$AN$305,0,MATCH($A9,Timeline!$P$4:$AN$4,0))="x")*(Timeline!$K$5:$K$305="Task")*ISNUMBER(Timeline!$I$5:$I$305)*ISNUMBER(Timeline!$J$5:$J$305)*(Timeline!$I$5:$I$305&lt;=AA$4+6)*(Timeline!$J$5:$J$305&gt;=AA$4+6)))</f>
        <v>1</v>
      </c>
      <c r="AB9" s="67">
        <f>MAX(SUMPRODUCT((INDEX(Timeline!$P$5:$AN$305,0,MATCH($A9,Timeline!$P$4:$AN$4,0))="x")*(Timeline!$K$5:$K$305="Task")*ISNUMBER(Timeline!$I$5:$I$305)*ISNUMBER(Timeline!$J$5:$J$305)*(Timeline!$I$5:$I$305&lt;=AB$4+0)*(Timeline!$J$5:$J$305&gt;=AB$4+0)),SUMPRODUCT((INDEX(Timeline!$P$5:$AN$305,0,MATCH($A9,Timeline!$P$4:$AN$4,0))="x")*(Timeline!$K$5:$K$305="Task")*ISNUMBER(Timeline!$I$5:$I$305)*ISNUMBER(Timeline!$J$5:$J$305)*(Timeline!$I$5:$I$305&lt;=AB$4+1)*(Timeline!$J$5:$J$305&gt;=AB$4+1)),SUMPRODUCT((INDEX(Timeline!$P$5:$AN$305,0,MATCH($A9,Timeline!$P$4:$AN$4,0))="x")*(Timeline!$K$5:$K$305="Task")*ISNUMBER(Timeline!$I$5:$I$305)*ISNUMBER(Timeline!$J$5:$J$305)*(Timeline!$I$5:$I$305&lt;=AB$4+2)*(Timeline!$J$5:$J$305&gt;=AB$4+2)),SUMPRODUCT((INDEX(Timeline!$P$5:$AN$305,0,MATCH($A9,Timeline!$P$4:$AN$4,0))="x")*(Timeline!$K$5:$K$305="Task")*ISNUMBER(Timeline!$I$5:$I$305)*ISNUMBER(Timeline!$J$5:$J$305)*(Timeline!$I$5:$I$305&lt;=AB$4+3)*(Timeline!$J$5:$J$305&gt;=AB$4+3)),SUMPRODUCT((INDEX(Timeline!$P$5:$AN$305,0,MATCH($A9,Timeline!$P$4:$AN$4,0))="x")*(Timeline!$K$5:$K$305="Task")*ISNUMBER(Timeline!$I$5:$I$305)*ISNUMBER(Timeline!$J$5:$J$305)*(Timeline!$I$5:$I$305&lt;=AB$4+4)*(Timeline!$J$5:$J$305&gt;=AB$4+4)),SUMPRODUCT((INDEX(Timeline!$P$5:$AN$305,0,MATCH($A9,Timeline!$P$4:$AN$4,0))="x")*(Timeline!$K$5:$K$305="Task")*ISNUMBER(Timeline!$I$5:$I$305)*ISNUMBER(Timeline!$J$5:$J$305)*(Timeline!$I$5:$I$305&lt;=AB$4+5)*(Timeline!$J$5:$J$305&gt;=AB$4+5)),SUMPRODUCT((INDEX(Timeline!$P$5:$AN$305,0,MATCH($A9,Timeline!$P$4:$AN$4,0))="x")*(Timeline!$K$5:$K$305="Task")*ISNUMBER(Timeline!$I$5:$I$305)*ISNUMBER(Timeline!$J$5:$J$305)*(Timeline!$I$5:$I$305&lt;=AB$4+6)*(Timeline!$J$5:$J$305&gt;=AB$4+6)))</f>
        <v>1</v>
      </c>
      <c r="AC9" s="67">
        <f>MAX(SUMPRODUCT((INDEX(Timeline!$P$5:$AN$305,0,MATCH($A9,Timeline!$P$4:$AN$4,0))="x")*(Timeline!$K$5:$K$305="Task")*ISNUMBER(Timeline!$I$5:$I$305)*ISNUMBER(Timeline!$J$5:$J$305)*(Timeline!$I$5:$I$305&lt;=AC$4+0)*(Timeline!$J$5:$J$305&gt;=AC$4+0)),SUMPRODUCT((INDEX(Timeline!$P$5:$AN$305,0,MATCH($A9,Timeline!$P$4:$AN$4,0))="x")*(Timeline!$K$5:$K$305="Task")*ISNUMBER(Timeline!$I$5:$I$305)*ISNUMBER(Timeline!$J$5:$J$305)*(Timeline!$I$5:$I$305&lt;=AC$4+1)*(Timeline!$J$5:$J$305&gt;=AC$4+1)),SUMPRODUCT((INDEX(Timeline!$P$5:$AN$305,0,MATCH($A9,Timeline!$P$4:$AN$4,0))="x")*(Timeline!$K$5:$K$305="Task")*ISNUMBER(Timeline!$I$5:$I$305)*ISNUMBER(Timeline!$J$5:$J$305)*(Timeline!$I$5:$I$305&lt;=AC$4+2)*(Timeline!$J$5:$J$305&gt;=AC$4+2)),SUMPRODUCT((INDEX(Timeline!$P$5:$AN$305,0,MATCH($A9,Timeline!$P$4:$AN$4,0))="x")*(Timeline!$K$5:$K$305="Task")*ISNUMBER(Timeline!$I$5:$I$305)*ISNUMBER(Timeline!$J$5:$J$305)*(Timeline!$I$5:$I$305&lt;=AC$4+3)*(Timeline!$J$5:$J$305&gt;=AC$4+3)),SUMPRODUCT((INDEX(Timeline!$P$5:$AN$305,0,MATCH($A9,Timeline!$P$4:$AN$4,0))="x")*(Timeline!$K$5:$K$305="Task")*ISNUMBER(Timeline!$I$5:$I$305)*ISNUMBER(Timeline!$J$5:$J$305)*(Timeline!$I$5:$I$305&lt;=AC$4+4)*(Timeline!$J$5:$J$305&gt;=AC$4+4)),SUMPRODUCT((INDEX(Timeline!$P$5:$AN$305,0,MATCH($A9,Timeline!$P$4:$AN$4,0))="x")*(Timeline!$K$5:$K$305="Task")*ISNUMBER(Timeline!$I$5:$I$305)*ISNUMBER(Timeline!$J$5:$J$305)*(Timeline!$I$5:$I$305&lt;=AC$4+5)*(Timeline!$J$5:$J$305&gt;=AC$4+5)),SUMPRODUCT((INDEX(Timeline!$P$5:$AN$305,0,MATCH($A9,Timeline!$P$4:$AN$4,0))="x")*(Timeline!$K$5:$K$305="Task")*ISNUMBER(Timeline!$I$5:$I$305)*ISNUMBER(Timeline!$J$5:$J$305)*(Timeline!$I$5:$I$305&lt;=AC$4+6)*(Timeline!$J$5:$J$305&gt;=AC$4+6)))</f>
        <v>1</v>
      </c>
      <c r="AD9" s="67">
        <f>MAX(SUMPRODUCT((INDEX(Timeline!$P$5:$AN$305,0,MATCH($A9,Timeline!$P$4:$AN$4,0))="x")*(Timeline!$K$5:$K$305="Task")*ISNUMBER(Timeline!$I$5:$I$305)*ISNUMBER(Timeline!$J$5:$J$305)*(Timeline!$I$5:$I$305&lt;=AD$4+0)*(Timeline!$J$5:$J$305&gt;=AD$4+0)),SUMPRODUCT((INDEX(Timeline!$P$5:$AN$305,0,MATCH($A9,Timeline!$P$4:$AN$4,0))="x")*(Timeline!$K$5:$K$305="Task")*ISNUMBER(Timeline!$I$5:$I$305)*ISNUMBER(Timeline!$J$5:$J$305)*(Timeline!$I$5:$I$305&lt;=AD$4+1)*(Timeline!$J$5:$J$305&gt;=AD$4+1)),SUMPRODUCT((INDEX(Timeline!$P$5:$AN$305,0,MATCH($A9,Timeline!$P$4:$AN$4,0))="x")*(Timeline!$K$5:$K$305="Task")*ISNUMBER(Timeline!$I$5:$I$305)*ISNUMBER(Timeline!$J$5:$J$305)*(Timeline!$I$5:$I$305&lt;=AD$4+2)*(Timeline!$J$5:$J$305&gt;=AD$4+2)),SUMPRODUCT((INDEX(Timeline!$P$5:$AN$305,0,MATCH($A9,Timeline!$P$4:$AN$4,0))="x")*(Timeline!$K$5:$K$305="Task")*ISNUMBER(Timeline!$I$5:$I$305)*ISNUMBER(Timeline!$J$5:$J$305)*(Timeline!$I$5:$I$305&lt;=AD$4+3)*(Timeline!$J$5:$J$305&gt;=AD$4+3)),SUMPRODUCT((INDEX(Timeline!$P$5:$AN$305,0,MATCH($A9,Timeline!$P$4:$AN$4,0))="x")*(Timeline!$K$5:$K$305="Task")*ISNUMBER(Timeline!$I$5:$I$305)*ISNUMBER(Timeline!$J$5:$J$305)*(Timeline!$I$5:$I$305&lt;=AD$4+4)*(Timeline!$J$5:$J$305&gt;=AD$4+4)),SUMPRODUCT((INDEX(Timeline!$P$5:$AN$305,0,MATCH($A9,Timeline!$P$4:$AN$4,0))="x")*(Timeline!$K$5:$K$305="Task")*ISNUMBER(Timeline!$I$5:$I$305)*ISNUMBER(Timeline!$J$5:$J$305)*(Timeline!$I$5:$I$305&lt;=AD$4+5)*(Timeline!$J$5:$J$305&gt;=AD$4+5)),SUMPRODUCT((INDEX(Timeline!$P$5:$AN$305,0,MATCH($A9,Timeline!$P$4:$AN$4,0))="x")*(Timeline!$K$5:$K$305="Task")*ISNUMBER(Timeline!$I$5:$I$305)*ISNUMBER(Timeline!$J$5:$J$305)*(Timeline!$I$5:$I$305&lt;=AD$4+6)*(Timeline!$J$5:$J$305&gt;=AD$4+6)))</f>
        <v>1</v>
      </c>
      <c r="AE9" s="67">
        <f>MAX(SUMPRODUCT((INDEX(Timeline!$P$5:$AN$305,0,MATCH($A9,Timeline!$P$4:$AN$4,0))="x")*(Timeline!$K$5:$K$305="Task")*ISNUMBER(Timeline!$I$5:$I$305)*ISNUMBER(Timeline!$J$5:$J$305)*(Timeline!$I$5:$I$305&lt;=AE$4+0)*(Timeline!$J$5:$J$305&gt;=AE$4+0)),SUMPRODUCT((INDEX(Timeline!$P$5:$AN$305,0,MATCH($A9,Timeline!$P$4:$AN$4,0))="x")*(Timeline!$K$5:$K$305="Task")*ISNUMBER(Timeline!$I$5:$I$305)*ISNUMBER(Timeline!$J$5:$J$305)*(Timeline!$I$5:$I$305&lt;=AE$4+1)*(Timeline!$J$5:$J$305&gt;=AE$4+1)),SUMPRODUCT((INDEX(Timeline!$P$5:$AN$305,0,MATCH($A9,Timeline!$P$4:$AN$4,0))="x")*(Timeline!$K$5:$K$305="Task")*ISNUMBER(Timeline!$I$5:$I$305)*ISNUMBER(Timeline!$J$5:$J$305)*(Timeline!$I$5:$I$305&lt;=AE$4+2)*(Timeline!$J$5:$J$305&gt;=AE$4+2)),SUMPRODUCT((INDEX(Timeline!$P$5:$AN$305,0,MATCH($A9,Timeline!$P$4:$AN$4,0))="x")*(Timeline!$K$5:$K$305="Task")*ISNUMBER(Timeline!$I$5:$I$305)*ISNUMBER(Timeline!$J$5:$J$305)*(Timeline!$I$5:$I$305&lt;=AE$4+3)*(Timeline!$J$5:$J$305&gt;=AE$4+3)),SUMPRODUCT((INDEX(Timeline!$P$5:$AN$305,0,MATCH($A9,Timeline!$P$4:$AN$4,0))="x")*(Timeline!$K$5:$K$305="Task")*ISNUMBER(Timeline!$I$5:$I$305)*ISNUMBER(Timeline!$J$5:$J$305)*(Timeline!$I$5:$I$305&lt;=AE$4+4)*(Timeline!$J$5:$J$305&gt;=AE$4+4)),SUMPRODUCT((INDEX(Timeline!$P$5:$AN$305,0,MATCH($A9,Timeline!$P$4:$AN$4,0))="x")*(Timeline!$K$5:$K$305="Task")*ISNUMBER(Timeline!$I$5:$I$305)*ISNUMBER(Timeline!$J$5:$J$305)*(Timeline!$I$5:$I$305&lt;=AE$4+5)*(Timeline!$J$5:$J$305&gt;=AE$4+5)),SUMPRODUCT((INDEX(Timeline!$P$5:$AN$305,0,MATCH($A9,Timeline!$P$4:$AN$4,0))="x")*(Timeline!$K$5:$K$305="Task")*ISNUMBER(Timeline!$I$5:$I$305)*ISNUMBER(Timeline!$J$5:$J$305)*(Timeline!$I$5:$I$305&lt;=AE$4+6)*(Timeline!$J$5:$J$305&gt;=AE$4+6)))</f>
        <v>1</v>
      </c>
      <c r="AF9" s="67">
        <f>MAX(SUMPRODUCT((INDEX(Timeline!$P$5:$AN$305,0,MATCH($A9,Timeline!$P$4:$AN$4,0))="x")*(Timeline!$K$5:$K$305="Task")*ISNUMBER(Timeline!$I$5:$I$305)*ISNUMBER(Timeline!$J$5:$J$305)*(Timeline!$I$5:$I$305&lt;=AF$4+0)*(Timeline!$J$5:$J$305&gt;=AF$4+0)),SUMPRODUCT((INDEX(Timeline!$P$5:$AN$305,0,MATCH($A9,Timeline!$P$4:$AN$4,0))="x")*(Timeline!$K$5:$K$305="Task")*ISNUMBER(Timeline!$I$5:$I$305)*ISNUMBER(Timeline!$J$5:$J$305)*(Timeline!$I$5:$I$305&lt;=AF$4+1)*(Timeline!$J$5:$J$305&gt;=AF$4+1)),SUMPRODUCT((INDEX(Timeline!$P$5:$AN$305,0,MATCH($A9,Timeline!$P$4:$AN$4,0))="x")*(Timeline!$K$5:$K$305="Task")*ISNUMBER(Timeline!$I$5:$I$305)*ISNUMBER(Timeline!$J$5:$J$305)*(Timeline!$I$5:$I$305&lt;=AF$4+2)*(Timeline!$J$5:$J$305&gt;=AF$4+2)),SUMPRODUCT((INDEX(Timeline!$P$5:$AN$305,0,MATCH($A9,Timeline!$P$4:$AN$4,0))="x")*(Timeline!$K$5:$K$305="Task")*ISNUMBER(Timeline!$I$5:$I$305)*ISNUMBER(Timeline!$J$5:$J$305)*(Timeline!$I$5:$I$305&lt;=AF$4+3)*(Timeline!$J$5:$J$305&gt;=AF$4+3)),SUMPRODUCT((INDEX(Timeline!$P$5:$AN$305,0,MATCH($A9,Timeline!$P$4:$AN$4,0))="x")*(Timeline!$K$5:$K$305="Task")*ISNUMBER(Timeline!$I$5:$I$305)*ISNUMBER(Timeline!$J$5:$J$305)*(Timeline!$I$5:$I$305&lt;=AF$4+4)*(Timeline!$J$5:$J$305&gt;=AF$4+4)),SUMPRODUCT((INDEX(Timeline!$P$5:$AN$305,0,MATCH($A9,Timeline!$P$4:$AN$4,0))="x")*(Timeline!$K$5:$K$305="Task")*ISNUMBER(Timeline!$I$5:$I$305)*ISNUMBER(Timeline!$J$5:$J$305)*(Timeline!$I$5:$I$305&lt;=AF$4+5)*(Timeline!$J$5:$J$305&gt;=AF$4+5)),SUMPRODUCT((INDEX(Timeline!$P$5:$AN$305,0,MATCH($A9,Timeline!$P$4:$AN$4,0))="x")*(Timeline!$K$5:$K$305="Task")*ISNUMBER(Timeline!$I$5:$I$305)*ISNUMBER(Timeline!$J$5:$J$305)*(Timeline!$I$5:$I$305&lt;=AF$4+6)*(Timeline!$J$5:$J$305&gt;=AF$4+6)))</f>
        <v>1</v>
      </c>
      <c r="AG9" s="67">
        <f>MAX(SUMPRODUCT((INDEX(Timeline!$P$5:$AN$305,0,MATCH($A9,Timeline!$P$4:$AN$4,0))="x")*(Timeline!$K$5:$K$305="Task")*ISNUMBER(Timeline!$I$5:$I$305)*ISNUMBER(Timeline!$J$5:$J$305)*(Timeline!$I$5:$I$305&lt;=AG$4+0)*(Timeline!$J$5:$J$305&gt;=AG$4+0)),SUMPRODUCT((INDEX(Timeline!$P$5:$AN$305,0,MATCH($A9,Timeline!$P$4:$AN$4,0))="x")*(Timeline!$K$5:$K$305="Task")*ISNUMBER(Timeline!$I$5:$I$305)*ISNUMBER(Timeline!$J$5:$J$305)*(Timeline!$I$5:$I$305&lt;=AG$4+1)*(Timeline!$J$5:$J$305&gt;=AG$4+1)),SUMPRODUCT((INDEX(Timeline!$P$5:$AN$305,0,MATCH($A9,Timeline!$P$4:$AN$4,0))="x")*(Timeline!$K$5:$K$305="Task")*ISNUMBER(Timeline!$I$5:$I$305)*ISNUMBER(Timeline!$J$5:$J$305)*(Timeline!$I$5:$I$305&lt;=AG$4+2)*(Timeline!$J$5:$J$305&gt;=AG$4+2)),SUMPRODUCT((INDEX(Timeline!$P$5:$AN$305,0,MATCH($A9,Timeline!$P$4:$AN$4,0))="x")*(Timeline!$K$5:$K$305="Task")*ISNUMBER(Timeline!$I$5:$I$305)*ISNUMBER(Timeline!$J$5:$J$305)*(Timeline!$I$5:$I$305&lt;=AG$4+3)*(Timeline!$J$5:$J$305&gt;=AG$4+3)),SUMPRODUCT((INDEX(Timeline!$P$5:$AN$305,0,MATCH($A9,Timeline!$P$4:$AN$4,0))="x")*(Timeline!$K$5:$K$305="Task")*ISNUMBER(Timeline!$I$5:$I$305)*ISNUMBER(Timeline!$J$5:$J$305)*(Timeline!$I$5:$I$305&lt;=AG$4+4)*(Timeline!$J$5:$J$305&gt;=AG$4+4)),SUMPRODUCT((INDEX(Timeline!$P$5:$AN$305,0,MATCH($A9,Timeline!$P$4:$AN$4,0))="x")*(Timeline!$K$5:$K$305="Task")*ISNUMBER(Timeline!$I$5:$I$305)*ISNUMBER(Timeline!$J$5:$J$305)*(Timeline!$I$5:$I$305&lt;=AG$4+5)*(Timeline!$J$5:$J$305&gt;=AG$4+5)),SUMPRODUCT((INDEX(Timeline!$P$5:$AN$305,0,MATCH($A9,Timeline!$P$4:$AN$4,0))="x")*(Timeline!$K$5:$K$305="Task")*ISNUMBER(Timeline!$I$5:$I$305)*ISNUMBER(Timeline!$J$5:$J$305)*(Timeline!$I$5:$I$305&lt;=AG$4+6)*(Timeline!$J$5:$J$305&gt;=AG$4+6)))</f>
        <v>1</v>
      </c>
      <c r="AH9" s="67">
        <f>MAX(SUMPRODUCT((INDEX(Timeline!$P$5:$AN$305,0,MATCH($A9,Timeline!$P$4:$AN$4,0))="x")*(Timeline!$K$5:$K$305="Task")*ISNUMBER(Timeline!$I$5:$I$305)*ISNUMBER(Timeline!$J$5:$J$305)*(Timeline!$I$5:$I$305&lt;=AH$4+0)*(Timeline!$J$5:$J$305&gt;=AH$4+0)),SUMPRODUCT((INDEX(Timeline!$P$5:$AN$305,0,MATCH($A9,Timeline!$P$4:$AN$4,0))="x")*(Timeline!$K$5:$K$305="Task")*ISNUMBER(Timeline!$I$5:$I$305)*ISNUMBER(Timeline!$J$5:$J$305)*(Timeline!$I$5:$I$305&lt;=AH$4+1)*(Timeline!$J$5:$J$305&gt;=AH$4+1)),SUMPRODUCT((INDEX(Timeline!$P$5:$AN$305,0,MATCH($A9,Timeline!$P$4:$AN$4,0))="x")*(Timeline!$K$5:$K$305="Task")*ISNUMBER(Timeline!$I$5:$I$305)*ISNUMBER(Timeline!$J$5:$J$305)*(Timeline!$I$5:$I$305&lt;=AH$4+2)*(Timeline!$J$5:$J$305&gt;=AH$4+2)),SUMPRODUCT((INDEX(Timeline!$P$5:$AN$305,0,MATCH($A9,Timeline!$P$4:$AN$4,0))="x")*(Timeline!$K$5:$K$305="Task")*ISNUMBER(Timeline!$I$5:$I$305)*ISNUMBER(Timeline!$J$5:$J$305)*(Timeline!$I$5:$I$305&lt;=AH$4+3)*(Timeline!$J$5:$J$305&gt;=AH$4+3)),SUMPRODUCT((INDEX(Timeline!$P$5:$AN$305,0,MATCH($A9,Timeline!$P$4:$AN$4,0))="x")*(Timeline!$K$5:$K$305="Task")*ISNUMBER(Timeline!$I$5:$I$305)*ISNUMBER(Timeline!$J$5:$J$305)*(Timeline!$I$5:$I$305&lt;=AH$4+4)*(Timeline!$J$5:$J$305&gt;=AH$4+4)),SUMPRODUCT((INDEX(Timeline!$P$5:$AN$305,0,MATCH($A9,Timeline!$P$4:$AN$4,0))="x")*(Timeline!$K$5:$K$305="Task")*ISNUMBER(Timeline!$I$5:$I$305)*ISNUMBER(Timeline!$J$5:$J$305)*(Timeline!$I$5:$I$305&lt;=AH$4+5)*(Timeline!$J$5:$J$305&gt;=AH$4+5)),SUMPRODUCT((INDEX(Timeline!$P$5:$AN$305,0,MATCH($A9,Timeline!$P$4:$AN$4,0))="x")*(Timeline!$K$5:$K$305="Task")*ISNUMBER(Timeline!$I$5:$I$305)*ISNUMBER(Timeline!$J$5:$J$305)*(Timeline!$I$5:$I$305&lt;=AH$4+6)*(Timeline!$J$5:$J$305&gt;=AH$4+6)))</f>
        <v>1</v>
      </c>
      <c r="AI9" s="67">
        <f>MAX(SUMPRODUCT((INDEX(Timeline!$P$5:$AN$305,0,MATCH($A9,Timeline!$P$4:$AN$4,0))="x")*(Timeline!$K$5:$K$305="Task")*ISNUMBER(Timeline!$I$5:$I$305)*ISNUMBER(Timeline!$J$5:$J$305)*(Timeline!$I$5:$I$305&lt;=AI$4+0)*(Timeline!$J$5:$J$305&gt;=AI$4+0)),SUMPRODUCT((INDEX(Timeline!$P$5:$AN$305,0,MATCH($A9,Timeline!$P$4:$AN$4,0))="x")*(Timeline!$K$5:$K$305="Task")*ISNUMBER(Timeline!$I$5:$I$305)*ISNUMBER(Timeline!$J$5:$J$305)*(Timeline!$I$5:$I$305&lt;=AI$4+1)*(Timeline!$J$5:$J$305&gt;=AI$4+1)),SUMPRODUCT((INDEX(Timeline!$P$5:$AN$305,0,MATCH($A9,Timeline!$P$4:$AN$4,0))="x")*(Timeline!$K$5:$K$305="Task")*ISNUMBER(Timeline!$I$5:$I$305)*ISNUMBER(Timeline!$J$5:$J$305)*(Timeline!$I$5:$I$305&lt;=AI$4+2)*(Timeline!$J$5:$J$305&gt;=AI$4+2)),SUMPRODUCT((INDEX(Timeline!$P$5:$AN$305,0,MATCH($A9,Timeline!$P$4:$AN$4,0))="x")*(Timeline!$K$5:$K$305="Task")*ISNUMBER(Timeline!$I$5:$I$305)*ISNUMBER(Timeline!$J$5:$J$305)*(Timeline!$I$5:$I$305&lt;=AI$4+3)*(Timeline!$J$5:$J$305&gt;=AI$4+3)),SUMPRODUCT((INDEX(Timeline!$P$5:$AN$305,0,MATCH($A9,Timeline!$P$4:$AN$4,0))="x")*(Timeline!$K$5:$K$305="Task")*ISNUMBER(Timeline!$I$5:$I$305)*ISNUMBER(Timeline!$J$5:$J$305)*(Timeline!$I$5:$I$305&lt;=AI$4+4)*(Timeline!$J$5:$J$305&gt;=AI$4+4)),SUMPRODUCT((INDEX(Timeline!$P$5:$AN$305,0,MATCH($A9,Timeline!$P$4:$AN$4,0))="x")*(Timeline!$K$5:$K$305="Task")*ISNUMBER(Timeline!$I$5:$I$305)*ISNUMBER(Timeline!$J$5:$J$305)*(Timeline!$I$5:$I$305&lt;=AI$4+5)*(Timeline!$J$5:$J$305&gt;=AI$4+5)),SUMPRODUCT((INDEX(Timeline!$P$5:$AN$305,0,MATCH($A9,Timeline!$P$4:$AN$4,0))="x")*(Timeline!$K$5:$K$305="Task")*ISNUMBER(Timeline!$I$5:$I$305)*ISNUMBER(Timeline!$J$5:$J$305)*(Timeline!$I$5:$I$305&lt;=AI$4+6)*(Timeline!$J$5:$J$305&gt;=AI$4+6)))</f>
        <v>1</v>
      </c>
      <c r="AJ9" s="67">
        <f>MAX(SUMPRODUCT((INDEX(Timeline!$P$5:$AN$305,0,MATCH($A9,Timeline!$P$4:$AN$4,0))="x")*(Timeline!$K$5:$K$305="Task")*ISNUMBER(Timeline!$I$5:$I$305)*ISNUMBER(Timeline!$J$5:$J$305)*(Timeline!$I$5:$I$305&lt;=AJ$4+0)*(Timeline!$J$5:$J$305&gt;=AJ$4+0)),SUMPRODUCT((INDEX(Timeline!$P$5:$AN$305,0,MATCH($A9,Timeline!$P$4:$AN$4,0))="x")*(Timeline!$K$5:$K$305="Task")*ISNUMBER(Timeline!$I$5:$I$305)*ISNUMBER(Timeline!$J$5:$J$305)*(Timeline!$I$5:$I$305&lt;=AJ$4+1)*(Timeline!$J$5:$J$305&gt;=AJ$4+1)),SUMPRODUCT((INDEX(Timeline!$P$5:$AN$305,0,MATCH($A9,Timeline!$P$4:$AN$4,0))="x")*(Timeline!$K$5:$K$305="Task")*ISNUMBER(Timeline!$I$5:$I$305)*ISNUMBER(Timeline!$J$5:$J$305)*(Timeline!$I$5:$I$305&lt;=AJ$4+2)*(Timeline!$J$5:$J$305&gt;=AJ$4+2)),SUMPRODUCT((INDEX(Timeline!$P$5:$AN$305,0,MATCH($A9,Timeline!$P$4:$AN$4,0))="x")*(Timeline!$K$5:$K$305="Task")*ISNUMBER(Timeline!$I$5:$I$305)*ISNUMBER(Timeline!$J$5:$J$305)*(Timeline!$I$5:$I$305&lt;=AJ$4+3)*(Timeline!$J$5:$J$305&gt;=AJ$4+3)),SUMPRODUCT((INDEX(Timeline!$P$5:$AN$305,0,MATCH($A9,Timeline!$P$4:$AN$4,0))="x")*(Timeline!$K$5:$K$305="Task")*ISNUMBER(Timeline!$I$5:$I$305)*ISNUMBER(Timeline!$J$5:$J$305)*(Timeline!$I$5:$I$305&lt;=AJ$4+4)*(Timeline!$J$5:$J$305&gt;=AJ$4+4)),SUMPRODUCT((INDEX(Timeline!$P$5:$AN$305,0,MATCH($A9,Timeline!$P$4:$AN$4,0))="x")*(Timeline!$K$5:$K$305="Task")*ISNUMBER(Timeline!$I$5:$I$305)*ISNUMBER(Timeline!$J$5:$J$305)*(Timeline!$I$5:$I$305&lt;=AJ$4+5)*(Timeline!$J$5:$J$305&gt;=AJ$4+5)),SUMPRODUCT((INDEX(Timeline!$P$5:$AN$305,0,MATCH($A9,Timeline!$P$4:$AN$4,0))="x")*(Timeline!$K$5:$K$305="Task")*ISNUMBER(Timeline!$I$5:$I$305)*ISNUMBER(Timeline!$J$5:$J$305)*(Timeline!$I$5:$I$305&lt;=AJ$4+6)*(Timeline!$J$5:$J$305&gt;=AJ$4+6)))</f>
        <v>0</v>
      </c>
      <c r="AK9" s="67">
        <f>MAX(SUMPRODUCT((INDEX(Timeline!$P$5:$AN$305,0,MATCH($A9,Timeline!$P$4:$AN$4,0))="x")*(Timeline!$K$5:$K$305="Task")*ISNUMBER(Timeline!$I$5:$I$305)*ISNUMBER(Timeline!$J$5:$J$305)*(Timeline!$I$5:$I$305&lt;=AK$4+0)*(Timeline!$J$5:$J$305&gt;=AK$4+0)),SUMPRODUCT((INDEX(Timeline!$P$5:$AN$305,0,MATCH($A9,Timeline!$P$4:$AN$4,0))="x")*(Timeline!$K$5:$K$305="Task")*ISNUMBER(Timeline!$I$5:$I$305)*ISNUMBER(Timeline!$J$5:$J$305)*(Timeline!$I$5:$I$305&lt;=AK$4+1)*(Timeline!$J$5:$J$305&gt;=AK$4+1)),SUMPRODUCT((INDEX(Timeline!$P$5:$AN$305,0,MATCH($A9,Timeline!$P$4:$AN$4,0))="x")*(Timeline!$K$5:$K$305="Task")*ISNUMBER(Timeline!$I$5:$I$305)*ISNUMBER(Timeline!$J$5:$J$305)*(Timeline!$I$5:$I$305&lt;=AK$4+2)*(Timeline!$J$5:$J$305&gt;=AK$4+2)),SUMPRODUCT((INDEX(Timeline!$P$5:$AN$305,0,MATCH($A9,Timeline!$P$4:$AN$4,0))="x")*(Timeline!$K$5:$K$305="Task")*ISNUMBER(Timeline!$I$5:$I$305)*ISNUMBER(Timeline!$J$5:$J$305)*(Timeline!$I$5:$I$305&lt;=AK$4+3)*(Timeline!$J$5:$J$305&gt;=AK$4+3)),SUMPRODUCT((INDEX(Timeline!$P$5:$AN$305,0,MATCH($A9,Timeline!$P$4:$AN$4,0))="x")*(Timeline!$K$5:$K$305="Task")*ISNUMBER(Timeline!$I$5:$I$305)*ISNUMBER(Timeline!$J$5:$J$305)*(Timeline!$I$5:$I$305&lt;=AK$4+4)*(Timeline!$J$5:$J$305&gt;=AK$4+4)),SUMPRODUCT((INDEX(Timeline!$P$5:$AN$305,0,MATCH($A9,Timeline!$P$4:$AN$4,0))="x")*(Timeline!$K$5:$K$305="Task")*ISNUMBER(Timeline!$I$5:$I$305)*ISNUMBER(Timeline!$J$5:$J$305)*(Timeline!$I$5:$I$305&lt;=AK$4+5)*(Timeline!$J$5:$J$305&gt;=AK$4+5)),SUMPRODUCT((INDEX(Timeline!$P$5:$AN$305,0,MATCH($A9,Timeline!$P$4:$AN$4,0))="x")*(Timeline!$K$5:$K$305="Task")*ISNUMBER(Timeline!$I$5:$I$305)*ISNUMBER(Timeline!$J$5:$J$305)*(Timeline!$I$5:$I$305&lt;=AK$4+6)*(Timeline!$J$5:$J$305&gt;=AK$4+6)))</f>
        <v>0</v>
      </c>
      <c r="AL9" s="67">
        <f>MAX(SUMPRODUCT((INDEX(Timeline!$P$5:$AN$305,0,MATCH($A9,Timeline!$P$4:$AN$4,0))="x")*(Timeline!$K$5:$K$305="Task")*ISNUMBER(Timeline!$I$5:$I$305)*ISNUMBER(Timeline!$J$5:$J$305)*(Timeline!$I$5:$I$305&lt;=AL$4+0)*(Timeline!$J$5:$J$305&gt;=AL$4+0)),SUMPRODUCT((INDEX(Timeline!$P$5:$AN$305,0,MATCH($A9,Timeline!$P$4:$AN$4,0))="x")*(Timeline!$K$5:$K$305="Task")*ISNUMBER(Timeline!$I$5:$I$305)*ISNUMBER(Timeline!$J$5:$J$305)*(Timeline!$I$5:$I$305&lt;=AL$4+1)*(Timeline!$J$5:$J$305&gt;=AL$4+1)),SUMPRODUCT((INDEX(Timeline!$P$5:$AN$305,0,MATCH($A9,Timeline!$P$4:$AN$4,0))="x")*(Timeline!$K$5:$K$305="Task")*ISNUMBER(Timeline!$I$5:$I$305)*ISNUMBER(Timeline!$J$5:$J$305)*(Timeline!$I$5:$I$305&lt;=AL$4+2)*(Timeline!$J$5:$J$305&gt;=AL$4+2)),SUMPRODUCT((INDEX(Timeline!$P$5:$AN$305,0,MATCH($A9,Timeline!$P$4:$AN$4,0))="x")*(Timeline!$K$5:$K$305="Task")*ISNUMBER(Timeline!$I$5:$I$305)*ISNUMBER(Timeline!$J$5:$J$305)*(Timeline!$I$5:$I$305&lt;=AL$4+3)*(Timeline!$J$5:$J$305&gt;=AL$4+3)),SUMPRODUCT((INDEX(Timeline!$P$5:$AN$305,0,MATCH($A9,Timeline!$P$4:$AN$4,0))="x")*(Timeline!$K$5:$K$305="Task")*ISNUMBER(Timeline!$I$5:$I$305)*ISNUMBER(Timeline!$J$5:$J$305)*(Timeline!$I$5:$I$305&lt;=AL$4+4)*(Timeline!$J$5:$J$305&gt;=AL$4+4)),SUMPRODUCT((INDEX(Timeline!$P$5:$AN$305,0,MATCH($A9,Timeline!$P$4:$AN$4,0))="x")*(Timeline!$K$5:$K$305="Task")*ISNUMBER(Timeline!$I$5:$I$305)*ISNUMBER(Timeline!$J$5:$J$305)*(Timeline!$I$5:$I$305&lt;=AL$4+5)*(Timeline!$J$5:$J$305&gt;=AL$4+5)),SUMPRODUCT((INDEX(Timeline!$P$5:$AN$305,0,MATCH($A9,Timeline!$P$4:$AN$4,0))="x")*(Timeline!$K$5:$K$305="Task")*ISNUMBER(Timeline!$I$5:$I$305)*ISNUMBER(Timeline!$J$5:$J$305)*(Timeline!$I$5:$I$305&lt;=AL$4+6)*(Timeline!$J$5:$J$305&gt;=AL$4+6)))</f>
        <v>0</v>
      </c>
      <c r="AM9" s="67">
        <f>MAX(SUMPRODUCT((INDEX(Timeline!$P$5:$AN$305,0,MATCH($A9,Timeline!$P$4:$AN$4,0))="x")*(Timeline!$K$5:$K$305="Task")*ISNUMBER(Timeline!$I$5:$I$305)*ISNUMBER(Timeline!$J$5:$J$305)*(Timeline!$I$5:$I$305&lt;=AM$4+0)*(Timeline!$J$5:$J$305&gt;=AM$4+0)),SUMPRODUCT((INDEX(Timeline!$P$5:$AN$305,0,MATCH($A9,Timeline!$P$4:$AN$4,0))="x")*(Timeline!$K$5:$K$305="Task")*ISNUMBER(Timeline!$I$5:$I$305)*ISNUMBER(Timeline!$J$5:$J$305)*(Timeline!$I$5:$I$305&lt;=AM$4+1)*(Timeline!$J$5:$J$305&gt;=AM$4+1)),SUMPRODUCT((INDEX(Timeline!$P$5:$AN$305,0,MATCH($A9,Timeline!$P$4:$AN$4,0))="x")*(Timeline!$K$5:$K$305="Task")*ISNUMBER(Timeline!$I$5:$I$305)*ISNUMBER(Timeline!$J$5:$J$305)*(Timeline!$I$5:$I$305&lt;=AM$4+2)*(Timeline!$J$5:$J$305&gt;=AM$4+2)),SUMPRODUCT((INDEX(Timeline!$P$5:$AN$305,0,MATCH($A9,Timeline!$P$4:$AN$4,0))="x")*(Timeline!$K$5:$K$305="Task")*ISNUMBER(Timeline!$I$5:$I$305)*ISNUMBER(Timeline!$J$5:$J$305)*(Timeline!$I$5:$I$305&lt;=AM$4+3)*(Timeline!$J$5:$J$305&gt;=AM$4+3)),SUMPRODUCT((INDEX(Timeline!$P$5:$AN$305,0,MATCH($A9,Timeline!$P$4:$AN$4,0))="x")*(Timeline!$K$5:$K$305="Task")*ISNUMBER(Timeline!$I$5:$I$305)*ISNUMBER(Timeline!$J$5:$J$305)*(Timeline!$I$5:$I$305&lt;=AM$4+4)*(Timeline!$J$5:$J$305&gt;=AM$4+4)),SUMPRODUCT((INDEX(Timeline!$P$5:$AN$305,0,MATCH($A9,Timeline!$P$4:$AN$4,0))="x")*(Timeline!$K$5:$K$305="Task")*ISNUMBER(Timeline!$I$5:$I$305)*ISNUMBER(Timeline!$J$5:$J$305)*(Timeline!$I$5:$I$305&lt;=AM$4+5)*(Timeline!$J$5:$J$305&gt;=AM$4+5)),SUMPRODUCT((INDEX(Timeline!$P$5:$AN$305,0,MATCH($A9,Timeline!$P$4:$AN$4,0))="x")*(Timeline!$K$5:$K$305="Task")*ISNUMBER(Timeline!$I$5:$I$305)*ISNUMBER(Timeline!$J$5:$J$305)*(Timeline!$I$5:$I$305&lt;=AM$4+6)*(Timeline!$J$5:$J$305&gt;=AM$4+6)))</f>
        <v>0</v>
      </c>
      <c r="AN9" s="67">
        <f>MAX(SUMPRODUCT((INDEX(Timeline!$P$5:$AN$305,0,MATCH($A9,Timeline!$P$4:$AN$4,0))="x")*(Timeline!$K$5:$K$305="Task")*ISNUMBER(Timeline!$I$5:$I$305)*ISNUMBER(Timeline!$J$5:$J$305)*(Timeline!$I$5:$I$305&lt;=AN$4+0)*(Timeline!$J$5:$J$305&gt;=AN$4+0)),SUMPRODUCT((INDEX(Timeline!$P$5:$AN$305,0,MATCH($A9,Timeline!$P$4:$AN$4,0))="x")*(Timeline!$K$5:$K$305="Task")*ISNUMBER(Timeline!$I$5:$I$305)*ISNUMBER(Timeline!$J$5:$J$305)*(Timeline!$I$5:$I$305&lt;=AN$4+1)*(Timeline!$J$5:$J$305&gt;=AN$4+1)),SUMPRODUCT((INDEX(Timeline!$P$5:$AN$305,0,MATCH($A9,Timeline!$P$4:$AN$4,0))="x")*(Timeline!$K$5:$K$305="Task")*ISNUMBER(Timeline!$I$5:$I$305)*ISNUMBER(Timeline!$J$5:$J$305)*(Timeline!$I$5:$I$305&lt;=AN$4+2)*(Timeline!$J$5:$J$305&gt;=AN$4+2)),SUMPRODUCT((INDEX(Timeline!$P$5:$AN$305,0,MATCH($A9,Timeline!$P$4:$AN$4,0))="x")*(Timeline!$K$5:$K$305="Task")*ISNUMBER(Timeline!$I$5:$I$305)*ISNUMBER(Timeline!$J$5:$J$305)*(Timeline!$I$5:$I$305&lt;=AN$4+3)*(Timeline!$J$5:$J$305&gt;=AN$4+3)),SUMPRODUCT((INDEX(Timeline!$P$5:$AN$305,0,MATCH($A9,Timeline!$P$4:$AN$4,0))="x")*(Timeline!$K$5:$K$305="Task")*ISNUMBER(Timeline!$I$5:$I$305)*ISNUMBER(Timeline!$J$5:$J$305)*(Timeline!$I$5:$I$305&lt;=AN$4+4)*(Timeline!$J$5:$J$305&gt;=AN$4+4)),SUMPRODUCT((INDEX(Timeline!$P$5:$AN$305,0,MATCH($A9,Timeline!$P$4:$AN$4,0))="x")*(Timeline!$K$5:$K$305="Task")*ISNUMBER(Timeline!$I$5:$I$305)*ISNUMBER(Timeline!$J$5:$J$305)*(Timeline!$I$5:$I$305&lt;=AN$4+5)*(Timeline!$J$5:$J$305&gt;=AN$4+5)),SUMPRODUCT((INDEX(Timeline!$P$5:$AN$305,0,MATCH($A9,Timeline!$P$4:$AN$4,0))="x")*(Timeline!$K$5:$K$305="Task")*ISNUMBER(Timeline!$I$5:$I$305)*ISNUMBER(Timeline!$J$5:$J$305)*(Timeline!$I$5:$I$305&lt;=AN$4+6)*(Timeline!$J$5:$J$305&gt;=AN$4+6)))</f>
        <v>0</v>
      </c>
      <c r="AO9" s="67">
        <f>MAX(SUMPRODUCT((INDEX(Timeline!$P$5:$AN$305,0,MATCH($A9,Timeline!$P$4:$AN$4,0))="x")*(Timeline!$K$5:$K$305="Task")*ISNUMBER(Timeline!$I$5:$I$305)*ISNUMBER(Timeline!$J$5:$J$305)*(Timeline!$I$5:$I$305&lt;=AO$4+0)*(Timeline!$J$5:$J$305&gt;=AO$4+0)),SUMPRODUCT((INDEX(Timeline!$P$5:$AN$305,0,MATCH($A9,Timeline!$P$4:$AN$4,0))="x")*(Timeline!$K$5:$K$305="Task")*ISNUMBER(Timeline!$I$5:$I$305)*ISNUMBER(Timeline!$J$5:$J$305)*(Timeline!$I$5:$I$305&lt;=AO$4+1)*(Timeline!$J$5:$J$305&gt;=AO$4+1)),SUMPRODUCT((INDEX(Timeline!$P$5:$AN$305,0,MATCH($A9,Timeline!$P$4:$AN$4,0))="x")*(Timeline!$K$5:$K$305="Task")*ISNUMBER(Timeline!$I$5:$I$305)*ISNUMBER(Timeline!$J$5:$J$305)*(Timeline!$I$5:$I$305&lt;=AO$4+2)*(Timeline!$J$5:$J$305&gt;=AO$4+2)),SUMPRODUCT((INDEX(Timeline!$P$5:$AN$305,0,MATCH($A9,Timeline!$P$4:$AN$4,0))="x")*(Timeline!$K$5:$K$305="Task")*ISNUMBER(Timeline!$I$5:$I$305)*ISNUMBER(Timeline!$J$5:$J$305)*(Timeline!$I$5:$I$305&lt;=AO$4+3)*(Timeline!$J$5:$J$305&gt;=AO$4+3)),SUMPRODUCT((INDEX(Timeline!$P$5:$AN$305,0,MATCH($A9,Timeline!$P$4:$AN$4,0))="x")*(Timeline!$K$5:$K$305="Task")*ISNUMBER(Timeline!$I$5:$I$305)*ISNUMBER(Timeline!$J$5:$J$305)*(Timeline!$I$5:$I$305&lt;=AO$4+4)*(Timeline!$J$5:$J$305&gt;=AO$4+4)),SUMPRODUCT((INDEX(Timeline!$P$5:$AN$305,0,MATCH($A9,Timeline!$P$4:$AN$4,0))="x")*(Timeline!$K$5:$K$305="Task")*ISNUMBER(Timeline!$I$5:$I$305)*ISNUMBER(Timeline!$J$5:$J$305)*(Timeline!$I$5:$I$305&lt;=AO$4+5)*(Timeline!$J$5:$J$305&gt;=AO$4+5)),SUMPRODUCT((INDEX(Timeline!$P$5:$AN$305,0,MATCH($A9,Timeline!$P$4:$AN$4,0))="x")*(Timeline!$K$5:$K$305="Task")*ISNUMBER(Timeline!$I$5:$I$305)*ISNUMBER(Timeline!$J$5:$J$305)*(Timeline!$I$5:$I$305&lt;=AO$4+6)*(Timeline!$J$5:$J$305&gt;=AO$4+6)))</f>
        <v>0</v>
      </c>
      <c r="AP9" s="67">
        <f>MAX(SUMPRODUCT((INDEX(Timeline!$P$5:$AN$305,0,MATCH($A9,Timeline!$P$4:$AN$4,0))="x")*(Timeline!$K$5:$K$305="Task")*ISNUMBER(Timeline!$I$5:$I$305)*ISNUMBER(Timeline!$J$5:$J$305)*(Timeline!$I$5:$I$305&lt;=AP$4+0)*(Timeline!$J$5:$J$305&gt;=AP$4+0)),SUMPRODUCT((INDEX(Timeline!$P$5:$AN$305,0,MATCH($A9,Timeline!$P$4:$AN$4,0))="x")*(Timeline!$K$5:$K$305="Task")*ISNUMBER(Timeline!$I$5:$I$305)*ISNUMBER(Timeline!$J$5:$J$305)*(Timeline!$I$5:$I$305&lt;=AP$4+1)*(Timeline!$J$5:$J$305&gt;=AP$4+1)),SUMPRODUCT((INDEX(Timeline!$P$5:$AN$305,0,MATCH($A9,Timeline!$P$4:$AN$4,0))="x")*(Timeline!$K$5:$K$305="Task")*ISNUMBER(Timeline!$I$5:$I$305)*ISNUMBER(Timeline!$J$5:$J$305)*(Timeline!$I$5:$I$305&lt;=AP$4+2)*(Timeline!$J$5:$J$305&gt;=AP$4+2)),SUMPRODUCT((INDEX(Timeline!$P$5:$AN$305,0,MATCH($A9,Timeline!$P$4:$AN$4,0))="x")*(Timeline!$K$5:$K$305="Task")*ISNUMBER(Timeline!$I$5:$I$305)*ISNUMBER(Timeline!$J$5:$J$305)*(Timeline!$I$5:$I$305&lt;=AP$4+3)*(Timeline!$J$5:$J$305&gt;=AP$4+3)),SUMPRODUCT((INDEX(Timeline!$P$5:$AN$305,0,MATCH($A9,Timeline!$P$4:$AN$4,0))="x")*(Timeline!$K$5:$K$305="Task")*ISNUMBER(Timeline!$I$5:$I$305)*ISNUMBER(Timeline!$J$5:$J$305)*(Timeline!$I$5:$I$305&lt;=AP$4+4)*(Timeline!$J$5:$J$305&gt;=AP$4+4)),SUMPRODUCT((INDEX(Timeline!$P$5:$AN$305,0,MATCH($A9,Timeline!$P$4:$AN$4,0))="x")*(Timeline!$K$5:$K$305="Task")*ISNUMBER(Timeline!$I$5:$I$305)*ISNUMBER(Timeline!$J$5:$J$305)*(Timeline!$I$5:$I$305&lt;=AP$4+5)*(Timeline!$J$5:$J$305&gt;=AP$4+5)),SUMPRODUCT((INDEX(Timeline!$P$5:$AN$305,0,MATCH($A9,Timeline!$P$4:$AN$4,0))="x")*(Timeline!$K$5:$K$305="Task")*ISNUMBER(Timeline!$I$5:$I$305)*ISNUMBER(Timeline!$J$5:$J$305)*(Timeline!$I$5:$I$305&lt;=AP$4+6)*(Timeline!$J$5:$J$305&gt;=AP$4+6)))</f>
        <v>0</v>
      </c>
      <c r="AQ9" s="67">
        <f>MAX(SUMPRODUCT((INDEX(Timeline!$P$5:$AN$305,0,MATCH($A9,Timeline!$P$4:$AN$4,0))="x")*(Timeline!$K$5:$K$305="Task")*ISNUMBER(Timeline!$I$5:$I$305)*ISNUMBER(Timeline!$J$5:$J$305)*(Timeline!$I$5:$I$305&lt;=AQ$4+0)*(Timeline!$J$5:$J$305&gt;=AQ$4+0)),SUMPRODUCT((INDEX(Timeline!$P$5:$AN$305,0,MATCH($A9,Timeline!$P$4:$AN$4,0))="x")*(Timeline!$K$5:$K$305="Task")*ISNUMBER(Timeline!$I$5:$I$305)*ISNUMBER(Timeline!$J$5:$J$305)*(Timeline!$I$5:$I$305&lt;=AQ$4+1)*(Timeline!$J$5:$J$305&gt;=AQ$4+1)),SUMPRODUCT((INDEX(Timeline!$P$5:$AN$305,0,MATCH($A9,Timeline!$P$4:$AN$4,0))="x")*(Timeline!$K$5:$K$305="Task")*ISNUMBER(Timeline!$I$5:$I$305)*ISNUMBER(Timeline!$J$5:$J$305)*(Timeline!$I$5:$I$305&lt;=AQ$4+2)*(Timeline!$J$5:$J$305&gt;=AQ$4+2)),SUMPRODUCT((INDEX(Timeline!$P$5:$AN$305,0,MATCH($A9,Timeline!$P$4:$AN$4,0))="x")*(Timeline!$K$5:$K$305="Task")*ISNUMBER(Timeline!$I$5:$I$305)*ISNUMBER(Timeline!$J$5:$J$305)*(Timeline!$I$5:$I$305&lt;=AQ$4+3)*(Timeline!$J$5:$J$305&gt;=AQ$4+3)),SUMPRODUCT((INDEX(Timeline!$P$5:$AN$305,0,MATCH($A9,Timeline!$P$4:$AN$4,0))="x")*(Timeline!$K$5:$K$305="Task")*ISNUMBER(Timeline!$I$5:$I$305)*ISNUMBER(Timeline!$J$5:$J$305)*(Timeline!$I$5:$I$305&lt;=AQ$4+4)*(Timeline!$J$5:$J$305&gt;=AQ$4+4)),SUMPRODUCT((INDEX(Timeline!$P$5:$AN$305,0,MATCH($A9,Timeline!$P$4:$AN$4,0))="x")*(Timeline!$K$5:$K$305="Task")*ISNUMBER(Timeline!$I$5:$I$305)*ISNUMBER(Timeline!$J$5:$J$305)*(Timeline!$I$5:$I$305&lt;=AQ$4+5)*(Timeline!$J$5:$J$305&gt;=AQ$4+5)),SUMPRODUCT((INDEX(Timeline!$P$5:$AN$305,0,MATCH($A9,Timeline!$P$4:$AN$4,0))="x")*(Timeline!$K$5:$K$305="Task")*ISNUMBER(Timeline!$I$5:$I$305)*ISNUMBER(Timeline!$J$5:$J$305)*(Timeline!$I$5:$I$305&lt;=AQ$4+6)*(Timeline!$J$5:$J$305&gt;=AQ$4+6)))</f>
        <v>0</v>
      </c>
      <c r="AR9" s="67">
        <f>MAX(SUMPRODUCT((INDEX(Timeline!$P$5:$AN$305,0,MATCH($A9,Timeline!$P$4:$AN$4,0))="x")*(Timeline!$K$5:$K$305="Task")*ISNUMBER(Timeline!$I$5:$I$305)*ISNUMBER(Timeline!$J$5:$J$305)*(Timeline!$I$5:$I$305&lt;=AR$4+0)*(Timeline!$J$5:$J$305&gt;=AR$4+0)),SUMPRODUCT((INDEX(Timeline!$P$5:$AN$305,0,MATCH($A9,Timeline!$P$4:$AN$4,0))="x")*(Timeline!$K$5:$K$305="Task")*ISNUMBER(Timeline!$I$5:$I$305)*ISNUMBER(Timeline!$J$5:$J$305)*(Timeline!$I$5:$I$305&lt;=AR$4+1)*(Timeline!$J$5:$J$305&gt;=AR$4+1)),SUMPRODUCT((INDEX(Timeline!$P$5:$AN$305,0,MATCH($A9,Timeline!$P$4:$AN$4,0))="x")*(Timeline!$K$5:$K$305="Task")*ISNUMBER(Timeline!$I$5:$I$305)*ISNUMBER(Timeline!$J$5:$J$305)*(Timeline!$I$5:$I$305&lt;=AR$4+2)*(Timeline!$J$5:$J$305&gt;=AR$4+2)),SUMPRODUCT((INDEX(Timeline!$P$5:$AN$305,0,MATCH($A9,Timeline!$P$4:$AN$4,0))="x")*(Timeline!$K$5:$K$305="Task")*ISNUMBER(Timeline!$I$5:$I$305)*ISNUMBER(Timeline!$J$5:$J$305)*(Timeline!$I$5:$I$305&lt;=AR$4+3)*(Timeline!$J$5:$J$305&gt;=AR$4+3)),SUMPRODUCT((INDEX(Timeline!$P$5:$AN$305,0,MATCH($A9,Timeline!$P$4:$AN$4,0))="x")*(Timeline!$K$5:$K$305="Task")*ISNUMBER(Timeline!$I$5:$I$305)*ISNUMBER(Timeline!$J$5:$J$305)*(Timeline!$I$5:$I$305&lt;=AR$4+4)*(Timeline!$J$5:$J$305&gt;=AR$4+4)),SUMPRODUCT((INDEX(Timeline!$P$5:$AN$305,0,MATCH($A9,Timeline!$P$4:$AN$4,0))="x")*(Timeline!$K$5:$K$305="Task")*ISNUMBER(Timeline!$I$5:$I$305)*ISNUMBER(Timeline!$J$5:$J$305)*(Timeline!$I$5:$I$305&lt;=AR$4+5)*(Timeline!$J$5:$J$305&gt;=AR$4+5)),SUMPRODUCT((INDEX(Timeline!$P$5:$AN$305,0,MATCH($A9,Timeline!$P$4:$AN$4,0))="x")*(Timeline!$K$5:$K$305="Task")*ISNUMBER(Timeline!$I$5:$I$305)*ISNUMBER(Timeline!$J$5:$J$305)*(Timeline!$I$5:$I$305&lt;=AR$4+6)*(Timeline!$J$5:$J$305&gt;=AR$4+6)))</f>
        <v>0</v>
      </c>
      <c r="AS9" s="67">
        <f>MAX(SUMPRODUCT((INDEX(Timeline!$P$5:$AN$305,0,MATCH($A9,Timeline!$P$4:$AN$4,0))="x")*(Timeline!$K$5:$K$305="Task")*ISNUMBER(Timeline!$I$5:$I$305)*ISNUMBER(Timeline!$J$5:$J$305)*(Timeline!$I$5:$I$305&lt;=AS$4+0)*(Timeline!$J$5:$J$305&gt;=AS$4+0)),SUMPRODUCT((INDEX(Timeline!$P$5:$AN$305,0,MATCH($A9,Timeline!$P$4:$AN$4,0))="x")*(Timeline!$K$5:$K$305="Task")*ISNUMBER(Timeline!$I$5:$I$305)*ISNUMBER(Timeline!$J$5:$J$305)*(Timeline!$I$5:$I$305&lt;=AS$4+1)*(Timeline!$J$5:$J$305&gt;=AS$4+1)),SUMPRODUCT((INDEX(Timeline!$P$5:$AN$305,0,MATCH($A9,Timeline!$P$4:$AN$4,0))="x")*(Timeline!$K$5:$K$305="Task")*ISNUMBER(Timeline!$I$5:$I$305)*ISNUMBER(Timeline!$J$5:$J$305)*(Timeline!$I$5:$I$305&lt;=AS$4+2)*(Timeline!$J$5:$J$305&gt;=AS$4+2)),SUMPRODUCT((INDEX(Timeline!$P$5:$AN$305,0,MATCH($A9,Timeline!$P$4:$AN$4,0))="x")*(Timeline!$K$5:$K$305="Task")*ISNUMBER(Timeline!$I$5:$I$305)*ISNUMBER(Timeline!$J$5:$J$305)*(Timeline!$I$5:$I$305&lt;=AS$4+3)*(Timeline!$J$5:$J$305&gt;=AS$4+3)),SUMPRODUCT((INDEX(Timeline!$P$5:$AN$305,0,MATCH($A9,Timeline!$P$4:$AN$4,0))="x")*(Timeline!$K$5:$K$305="Task")*ISNUMBER(Timeline!$I$5:$I$305)*ISNUMBER(Timeline!$J$5:$J$305)*(Timeline!$I$5:$I$305&lt;=AS$4+4)*(Timeline!$J$5:$J$305&gt;=AS$4+4)),SUMPRODUCT((INDEX(Timeline!$P$5:$AN$305,0,MATCH($A9,Timeline!$P$4:$AN$4,0))="x")*(Timeline!$K$5:$K$305="Task")*ISNUMBER(Timeline!$I$5:$I$305)*ISNUMBER(Timeline!$J$5:$J$305)*(Timeline!$I$5:$I$305&lt;=AS$4+5)*(Timeline!$J$5:$J$305&gt;=AS$4+5)),SUMPRODUCT((INDEX(Timeline!$P$5:$AN$305,0,MATCH($A9,Timeline!$P$4:$AN$4,0))="x")*(Timeline!$K$5:$K$305="Task")*ISNUMBER(Timeline!$I$5:$I$305)*ISNUMBER(Timeline!$J$5:$J$305)*(Timeline!$I$5:$I$305&lt;=AS$4+6)*(Timeline!$J$5:$J$305&gt;=AS$4+6)))</f>
        <v>0</v>
      </c>
      <c r="AT9" s="67">
        <f>MAX(SUMPRODUCT((INDEX(Timeline!$P$5:$AN$305,0,MATCH($A9,Timeline!$P$4:$AN$4,0))="x")*(Timeline!$K$5:$K$305="Task")*ISNUMBER(Timeline!$I$5:$I$305)*ISNUMBER(Timeline!$J$5:$J$305)*(Timeline!$I$5:$I$305&lt;=AT$4+0)*(Timeline!$J$5:$J$305&gt;=AT$4+0)),SUMPRODUCT((INDEX(Timeline!$P$5:$AN$305,0,MATCH($A9,Timeline!$P$4:$AN$4,0))="x")*(Timeline!$K$5:$K$305="Task")*ISNUMBER(Timeline!$I$5:$I$305)*ISNUMBER(Timeline!$J$5:$J$305)*(Timeline!$I$5:$I$305&lt;=AT$4+1)*(Timeline!$J$5:$J$305&gt;=AT$4+1)),SUMPRODUCT((INDEX(Timeline!$P$5:$AN$305,0,MATCH($A9,Timeline!$P$4:$AN$4,0))="x")*(Timeline!$K$5:$K$305="Task")*ISNUMBER(Timeline!$I$5:$I$305)*ISNUMBER(Timeline!$J$5:$J$305)*(Timeline!$I$5:$I$305&lt;=AT$4+2)*(Timeline!$J$5:$J$305&gt;=AT$4+2)),SUMPRODUCT((INDEX(Timeline!$P$5:$AN$305,0,MATCH($A9,Timeline!$P$4:$AN$4,0))="x")*(Timeline!$K$5:$K$305="Task")*ISNUMBER(Timeline!$I$5:$I$305)*ISNUMBER(Timeline!$J$5:$J$305)*(Timeline!$I$5:$I$305&lt;=AT$4+3)*(Timeline!$J$5:$J$305&gt;=AT$4+3)),SUMPRODUCT((INDEX(Timeline!$P$5:$AN$305,0,MATCH($A9,Timeline!$P$4:$AN$4,0))="x")*(Timeline!$K$5:$K$305="Task")*ISNUMBER(Timeline!$I$5:$I$305)*ISNUMBER(Timeline!$J$5:$J$305)*(Timeline!$I$5:$I$305&lt;=AT$4+4)*(Timeline!$J$5:$J$305&gt;=AT$4+4)),SUMPRODUCT((INDEX(Timeline!$P$5:$AN$305,0,MATCH($A9,Timeline!$P$4:$AN$4,0))="x")*(Timeline!$K$5:$K$305="Task")*ISNUMBER(Timeline!$I$5:$I$305)*ISNUMBER(Timeline!$J$5:$J$305)*(Timeline!$I$5:$I$305&lt;=AT$4+5)*(Timeline!$J$5:$J$305&gt;=AT$4+5)),SUMPRODUCT((INDEX(Timeline!$P$5:$AN$305,0,MATCH($A9,Timeline!$P$4:$AN$4,0))="x")*(Timeline!$K$5:$K$305="Task")*ISNUMBER(Timeline!$I$5:$I$305)*ISNUMBER(Timeline!$J$5:$J$305)*(Timeline!$I$5:$I$305&lt;=AT$4+6)*(Timeline!$J$5:$J$305&gt;=AT$4+6)))</f>
        <v>0</v>
      </c>
      <c r="AU9" s="67">
        <f>MAX(SUMPRODUCT((INDEX(Timeline!$P$5:$AN$305,0,MATCH($A9,Timeline!$P$4:$AN$4,0))="x")*(Timeline!$K$5:$K$305="Task")*ISNUMBER(Timeline!$I$5:$I$305)*ISNUMBER(Timeline!$J$5:$J$305)*(Timeline!$I$5:$I$305&lt;=AU$4+0)*(Timeline!$J$5:$J$305&gt;=AU$4+0)),SUMPRODUCT((INDEX(Timeline!$P$5:$AN$305,0,MATCH($A9,Timeline!$P$4:$AN$4,0))="x")*(Timeline!$K$5:$K$305="Task")*ISNUMBER(Timeline!$I$5:$I$305)*ISNUMBER(Timeline!$J$5:$J$305)*(Timeline!$I$5:$I$305&lt;=AU$4+1)*(Timeline!$J$5:$J$305&gt;=AU$4+1)),SUMPRODUCT((INDEX(Timeline!$P$5:$AN$305,0,MATCH($A9,Timeline!$P$4:$AN$4,0))="x")*(Timeline!$K$5:$K$305="Task")*ISNUMBER(Timeline!$I$5:$I$305)*ISNUMBER(Timeline!$J$5:$J$305)*(Timeline!$I$5:$I$305&lt;=AU$4+2)*(Timeline!$J$5:$J$305&gt;=AU$4+2)),SUMPRODUCT((INDEX(Timeline!$P$5:$AN$305,0,MATCH($A9,Timeline!$P$4:$AN$4,0))="x")*(Timeline!$K$5:$K$305="Task")*ISNUMBER(Timeline!$I$5:$I$305)*ISNUMBER(Timeline!$J$5:$J$305)*(Timeline!$I$5:$I$305&lt;=AU$4+3)*(Timeline!$J$5:$J$305&gt;=AU$4+3)),SUMPRODUCT((INDEX(Timeline!$P$5:$AN$305,0,MATCH($A9,Timeline!$P$4:$AN$4,0))="x")*(Timeline!$K$5:$K$305="Task")*ISNUMBER(Timeline!$I$5:$I$305)*ISNUMBER(Timeline!$J$5:$J$305)*(Timeline!$I$5:$I$305&lt;=AU$4+4)*(Timeline!$J$5:$J$305&gt;=AU$4+4)),SUMPRODUCT((INDEX(Timeline!$P$5:$AN$305,0,MATCH($A9,Timeline!$P$4:$AN$4,0))="x")*(Timeline!$K$5:$K$305="Task")*ISNUMBER(Timeline!$I$5:$I$305)*ISNUMBER(Timeline!$J$5:$J$305)*(Timeline!$I$5:$I$305&lt;=AU$4+5)*(Timeline!$J$5:$J$305&gt;=AU$4+5)),SUMPRODUCT((INDEX(Timeline!$P$5:$AN$305,0,MATCH($A9,Timeline!$P$4:$AN$4,0))="x")*(Timeline!$K$5:$K$305="Task")*ISNUMBER(Timeline!$I$5:$I$305)*ISNUMBER(Timeline!$J$5:$J$305)*(Timeline!$I$5:$I$305&lt;=AU$4+6)*(Timeline!$J$5:$J$305&gt;=AU$4+6)))</f>
        <v>0</v>
      </c>
      <c r="AV9" s="67">
        <f>MAX(SUMPRODUCT((INDEX(Timeline!$P$5:$AN$305,0,MATCH($A9,Timeline!$P$4:$AN$4,0))="x")*(Timeline!$K$5:$K$305="Task")*ISNUMBER(Timeline!$I$5:$I$305)*ISNUMBER(Timeline!$J$5:$J$305)*(Timeline!$I$5:$I$305&lt;=AV$4+0)*(Timeline!$J$5:$J$305&gt;=AV$4+0)),SUMPRODUCT((INDEX(Timeline!$P$5:$AN$305,0,MATCH($A9,Timeline!$P$4:$AN$4,0))="x")*(Timeline!$K$5:$K$305="Task")*ISNUMBER(Timeline!$I$5:$I$305)*ISNUMBER(Timeline!$J$5:$J$305)*(Timeline!$I$5:$I$305&lt;=AV$4+1)*(Timeline!$J$5:$J$305&gt;=AV$4+1)),SUMPRODUCT((INDEX(Timeline!$P$5:$AN$305,0,MATCH($A9,Timeline!$P$4:$AN$4,0))="x")*(Timeline!$K$5:$K$305="Task")*ISNUMBER(Timeline!$I$5:$I$305)*ISNUMBER(Timeline!$J$5:$J$305)*(Timeline!$I$5:$I$305&lt;=AV$4+2)*(Timeline!$J$5:$J$305&gt;=AV$4+2)),SUMPRODUCT((INDEX(Timeline!$P$5:$AN$305,0,MATCH($A9,Timeline!$P$4:$AN$4,0))="x")*(Timeline!$K$5:$K$305="Task")*ISNUMBER(Timeline!$I$5:$I$305)*ISNUMBER(Timeline!$J$5:$J$305)*(Timeline!$I$5:$I$305&lt;=AV$4+3)*(Timeline!$J$5:$J$305&gt;=AV$4+3)),SUMPRODUCT((INDEX(Timeline!$P$5:$AN$305,0,MATCH($A9,Timeline!$P$4:$AN$4,0))="x")*(Timeline!$K$5:$K$305="Task")*ISNUMBER(Timeline!$I$5:$I$305)*ISNUMBER(Timeline!$J$5:$J$305)*(Timeline!$I$5:$I$305&lt;=AV$4+4)*(Timeline!$J$5:$J$305&gt;=AV$4+4)),SUMPRODUCT((INDEX(Timeline!$P$5:$AN$305,0,MATCH($A9,Timeline!$P$4:$AN$4,0))="x")*(Timeline!$K$5:$K$305="Task")*ISNUMBER(Timeline!$I$5:$I$305)*ISNUMBER(Timeline!$J$5:$J$305)*(Timeline!$I$5:$I$305&lt;=AV$4+5)*(Timeline!$J$5:$J$305&gt;=AV$4+5)),SUMPRODUCT((INDEX(Timeline!$P$5:$AN$305,0,MATCH($A9,Timeline!$P$4:$AN$4,0))="x")*(Timeline!$K$5:$K$305="Task")*ISNUMBER(Timeline!$I$5:$I$305)*ISNUMBER(Timeline!$J$5:$J$305)*(Timeline!$I$5:$I$305&lt;=AV$4+6)*(Timeline!$J$5:$J$305&gt;=AV$4+6)))</f>
        <v>0</v>
      </c>
      <c r="AW9" s="67">
        <f>MAX(SUMPRODUCT((INDEX(Timeline!$P$5:$AN$305,0,MATCH($A9,Timeline!$P$4:$AN$4,0))="x")*(Timeline!$K$5:$K$305="Task")*ISNUMBER(Timeline!$I$5:$I$305)*ISNUMBER(Timeline!$J$5:$J$305)*(Timeline!$I$5:$I$305&lt;=AW$4+0)*(Timeline!$J$5:$J$305&gt;=AW$4+0)),SUMPRODUCT((INDEX(Timeline!$P$5:$AN$305,0,MATCH($A9,Timeline!$P$4:$AN$4,0))="x")*(Timeline!$K$5:$K$305="Task")*ISNUMBER(Timeline!$I$5:$I$305)*ISNUMBER(Timeline!$J$5:$J$305)*(Timeline!$I$5:$I$305&lt;=AW$4+1)*(Timeline!$J$5:$J$305&gt;=AW$4+1)),SUMPRODUCT((INDEX(Timeline!$P$5:$AN$305,0,MATCH($A9,Timeline!$P$4:$AN$4,0))="x")*(Timeline!$K$5:$K$305="Task")*ISNUMBER(Timeline!$I$5:$I$305)*ISNUMBER(Timeline!$J$5:$J$305)*(Timeline!$I$5:$I$305&lt;=AW$4+2)*(Timeline!$J$5:$J$305&gt;=AW$4+2)),SUMPRODUCT((INDEX(Timeline!$P$5:$AN$305,0,MATCH($A9,Timeline!$P$4:$AN$4,0))="x")*(Timeline!$K$5:$K$305="Task")*ISNUMBER(Timeline!$I$5:$I$305)*ISNUMBER(Timeline!$J$5:$J$305)*(Timeline!$I$5:$I$305&lt;=AW$4+3)*(Timeline!$J$5:$J$305&gt;=AW$4+3)),SUMPRODUCT((INDEX(Timeline!$P$5:$AN$305,0,MATCH($A9,Timeline!$P$4:$AN$4,0))="x")*(Timeline!$K$5:$K$305="Task")*ISNUMBER(Timeline!$I$5:$I$305)*ISNUMBER(Timeline!$J$5:$J$305)*(Timeline!$I$5:$I$305&lt;=AW$4+4)*(Timeline!$J$5:$J$305&gt;=AW$4+4)),SUMPRODUCT((INDEX(Timeline!$P$5:$AN$305,0,MATCH($A9,Timeline!$P$4:$AN$4,0))="x")*(Timeline!$K$5:$K$305="Task")*ISNUMBER(Timeline!$I$5:$I$305)*ISNUMBER(Timeline!$J$5:$J$305)*(Timeline!$I$5:$I$305&lt;=AW$4+5)*(Timeline!$J$5:$J$305&gt;=AW$4+5)),SUMPRODUCT((INDEX(Timeline!$P$5:$AN$305,0,MATCH($A9,Timeline!$P$4:$AN$4,0))="x")*(Timeline!$K$5:$K$305="Task")*ISNUMBER(Timeline!$I$5:$I$305)*ISNUMBER(Timeline!$J$5:$J$305)*(Timeline!$I$5:$I$305&lt;=AW$4+6)*(Timeline!$J$5:$J$305&gt;=AW$4+6)))</f>
        <v>0</v>
      </c>
      <c r="AX9" s="67">
        <f>MAX(SUMPRODUCT((INDEX(Timeline!$P$5:$AN$305,0,MATCH($A9,Timeline!$P$4:$AN$4,0))="x")*(Timeline!$K$5:$K$305="Task")*ISNUMBER(Timeline!$I$5:$I$305)*ISNUMBER(Timeline!$J$5:$J$305)*(Timeline!$I$5:$I$305&lt;=AX$4+0)*(Timeline!$J$5:$J$305&gt;=AX$4+0)),SUMPRODUCT((INDEX(Timeline!$P$5:$AN$305,0,MATCH($A9,Timeline!$P$4:$AN$4,0))="x")*(Timeline!$K$5:$K$305="Task")*ISNUMBER(Timeline!$I$5:$I$305)*ISNUMBER(Timeline!$J$5:$J$305)*(Timeline!$I$5:$I$305&lt;=AX$4+1)*(Timeline!$J$5:$J$305&gt;=AX$4+1)),SUMPRODUCT((INDEX(Timeline!$P$5:$AN$305,0,MATCH($A9,Timeline!$P$4:$AN$4,0))="x")*(Timeline!$K$5:$K$305="Task")*ISNUMBER(Timeline!$I$5:$I$305)*ISNUMBER(Timeline!$J$5:$J$305)*(Timeline!$I$5:$I$305&lt;=AX$4+2)*(Timeline!$J$5:$J$305&gt;=AX$4+2)),SUMPRODUCT((INDEX(Timeline!$P$5:$AN$305,0,MATCH($A9,Timeline!$P$4:$AN$4,0))="x")*(Timeline!$K$5:$K$305="Task")*ISNUMBER(Timeline!$I$5:$I$305)*ISNUMBER(Timeline!$J$5:$J$305)*(Timeline!$I$5:$I$305&lt;=AX$4+3)*(Timeline!$J$5:$J$305&gt;=AX$4+3)),SUMPRODUCT((INDEX(Timeline!$P$5:$AN$305,0,MATCH($A9,Timeline!$P$4:$AN$4,0))="x")*(Timeline!$K$5:$K$305="Task")*ISNUMBER(Timeline!$I$5:$I$305)*ISNUMBER(Timeline!$J$5:$J$305)*(Timeline!$I$5:$I$305&lt;=AX$4+4)*(Timeline!$J$5:$J$305&gt;=AX$4+4)),SUMPRODUCT((INDEX(Timeline!$P$5:$AN$305,0,MATCH($A9,Timeline!$P$4:$AN$4,0))="x")*(Timeline!$K$5:$K$305="Task")*ISNUMBER(Timeline!$I$5:$I$305)*ISNUMBER(Timeline!$J$5:$J$305)*(Timeline!$I$5:$I$305&lt;=AX$4+5)*(Timeline!$J$5:$J$305&gt;=AX$4+5)),SUMPRODUCT((INDEX(Timeline!$P$5:$AN$305,0,MATCH($A9,Timeline!$P$4:$AN$4,0))="x")*(Timeline!$K$5:$K$305="Task")*ISNUMBER(Timeline!$I$5:$I$305)*ISNUMBER(Timeline!$J$5:$J$305)*(Timeline!$I$5:$I$305&lt;=AX$4+6)*(Timeline!$J$5:$J$305&gt;=AX$4+6)))</f>
        <v>0</v>
      </c>
      <c r="AY9" s="67">
        <f>MAX(SUMPRODUCT((INDEX(Timeline!$P$5:$AN$305,0,MATCH($A9,Timeline!$P$4:$AN$4,0))="x")*(Timeline!$K$5:$K$305="Task")*ISNUMBER(Timeline!$I$5:$I$305)*ISNUMBER(Timeline!$J$5:$J$305)*(Timeline!$I$5:$I$305&lt;=AY$4+0)*(Timeline!$J$5:$J$305&gt;=AY$4+0)),SUMPRODUCT((INDEX(Timeline!$P$5:$AN$305,0,MATCH($A9,Timeline!$P$4:$AN$4,0))="x")*(Timeline!$K$5:$K$305="Task")*ISNUMBER(Timeline!$I$5:$I$305)*ISNUMBER(Timeline!$J$5:$J$305)*(Timeline!$I$5:$I$305&lt;=AY$4+1)*(Timeline!$J$5:$J$305&gt;=AY$4+1)),SUMPRODUCT((INDEX(Timeline!$P$5:$AN$305,0,MATCH($A9,Timeline!$P$4:$AN$4,0))="x")*(Timeline!$K$5:$K$305="Task")*ISNUMBER(Timeline!$I$5:$I$305)*ISNUMBER(Timeline!$J$5:$J$305)*(Timeline!$I$5:$I$305&lt;=AY$4+2)*(Timeline!$J$5:$J$305&gt;=AY$4+2)),SUMPRODUCT((INDEX(Timeline!$P$5:$AN$305,0,MATCH($A9,Timeline!$P$4:$AN$4,0))="x")*(Timeline!$K$5:$K$305="Task")*ISNUMBER(Timeline!$I$5:$I$305)*ISNUMBER(Timeline!$J$5:$J$305)*(Timeline!$I$5:$I$305&lt;=AY$4+3)*(Timeline!$J$5:$J$305&gt;=AY$4+3)),SUMPRODUCT((INDEX(Timeline!$P$5:$AN$305,0,MATCH($A9,Timeline!$P$4:$AN$4,0))="x")*(Timeline!$K$5:$K$305="Task")*ISNUMBER(Timeline!$I$5:$I$305)*ISNUMBER(Timeline!$J$5:$J$305)*(Timeline!$I$5:$I$305&lt;=AY$4+4)*(Timeline!$J$5:$J$305&gt;=AY$4+4)),SUMPRODUCT((INDEX(Timeline!$P$5:$AN$305,0,MATCH($A9,Timeline!$P$4:$AN$4,0))="x")*(Timeline!$K$5:$K$305="Task")*ISNUMBER(Timeline!$I$5:$I$305)*ISNUMBER(Timeline!$J$5:$J$305)*(Timeline!$I$5:$I$305&lt;=AY$4+5)*(Timeline!$J$5:$J$305&gt;=AY$4+5)),SUMPRODUCT((INDEX(Timeline!$P$5:$AN$305,0,MATCH($A9,Timeline!$P$4:$AN$4,0))="x")*(Timeline!$K$5:$K$305="Task")*ISNUMBER(Timeline!$I$5:$I$305)*ISNUMBER(Timeline!$J$5:$J$305)*(Timeline!$I$5:$I$305&lt;=AY$4+6)*(Timeline!$J$5:$J$305&gt;=AY$4+6)))</f>
        <v>0</v>
      </c>
      <c r="AZ9" s="67">
        <f>MAX(SUMPRODUCT((INDEX(Timeline!$P$5:$AN$305,0,MATCH($A9,Timeline!$P$4:$AN$4,0))="x")*(Timeline!$K$5:$K$305="Task")*ISNUMBER(Timeline!$I$5:$I$305)*ISNUMBER(Timeline!$J$5:$J$305)*(Timeline!$I$5:$I$305&lt;=AZ$4+0)*(Timeline!$J$5:$J$305&gt;=AZ$4+0)),SUMPRODUCT((INDEX(Timeline!$P$5:$AN$305,0,MATCH($A9,Timeline!$P$4:$AN$4,0))="x")*(Timeline!$K$5:$K$305="Task")*ISNUMBER(Timeline!$I$5:$I$305)*ISNUMBER(Timeline!$J$5:$J$305)*(Timeline!$I$5:$I$305&lt;=AZ$4+1)*(Timeline!$J$5:$J$305&gt;=AZ$4+1)),SUMPRODUCT((INDEX(Timeline!$P$5:$AN$305,0,MATCH($A9,Timeline!$P$4:$AN$4,0))="x")*(Timeline!$K$5:$K$305="Task")*ISNUMBER(Timeline!$I$5:$I$305)*ISNUMBER(Timeline!$J$5:$J$305)*(Timeline!$I$5:$I$305&lt;=AZ$4+2)*(Timeline!$J$5:$J$305&gt;=AZ$4+2)),SUMPRODUCT((INDEX(Timeline!$P$5:$AN$305,0,MATCH($A9,Timeline!$P$4:$AN$4,0))="x")*(Timeline!$K$5:$K$305="Task")*ISNUMBER(Timeline!$I$5:$I$305)*ISNUMBER(Timeline!$J$5:$J$305)*(Timeline!$I$5:$I$305&lt;=AZ$4+3)*(Timeline!$J$5:$J$305&gt;=AZ$4+3)),SUMPRODUCT((INDEX(Timeline!$P$5:$AN$305,0,MATCH($A9,Timeline!$P$4:$AN$4,0))="x")*(Timeline!$K$5:$K$305="Task")*ISNUMBER(Timeline!$I$5:$I$305)*ISNUMBER(Timeline!$J$5:$J$305)*(Timeline!$I$5:$I$305&lt;=AZ$4+4)*(Timeline!$J$5:$J$305&gt;=AZ$4+4)),SUMPRODUCT((INDEX(Timeline!$P$5:$AN$305,0,MATCH($A9,Timeline!$P$4:$AN$4,0))="x")*(Timeline!$K$5:$K$305="Task")*ISNUMBER(Timeline!$I$5:$I$305)*ISNUMBER(Timeline!$J$5:$J$305)*(Timeline!$I$5:$I$305&lt;=AZ$4+5)*(Timeline!$J$5:$J$305&gt;=AZ$4+5)),SUMPRODUCT((INDEX(Timeline!$P$5:$AN$305,0,MATCH($A9,Timeline!$P$4:$AN$4,0))="x")*(Timeline!$K$5:$K$305="Task")*ISNUMBER(Timeline!$I$5:$I$305)*ISNUMBER(Timeline!$J$5:$J$305)*(Timeline!$I$5:$I$305&lt;=AZ$4+6)*(Timeline!$J$5:$J$305&gt;=AZ$4+6)))</f>
        <v>0</v>
      </c>
      <c r="BA9" s="67">
        <f>MAX(SUMPRODUCT((INDEX(Timeline!$P$5:$AN$305,0,MATCH($A9,Timeline!$P$4:$AN$4,0))="x")*(Timeline!$K$5:$K$305="Task")*ISNUMBER(Timeline!$I$5:$I$305)*ISNUMBER(Timeline!$J$5:$J$305)*(Timeline!$I$5:$I$305&lt;=BA$4+0)*(Timeline!$J$5:$J$305&gt;=BA$4+0)),SUMPRODUCT((INDEX(Timeline!$P$5:$AN$305,0,MATCH($A9,Timeline!$P$4:$AN$4,0))="x")*(Timeline!$K$5:$K$305="Task")*ISNUMBER(Timeline!$I$5:$I$305)*ISNUMBER(Timeline!$J$5:$J$305)*(Timeline!$I$5:$I$305&lt;=BA$4+1)*(Timeline!$J$5:$J$305&gt;=BA$4+1)),SUMPRODUCT((INDEX(Timeline!$P$5:$AN$305,0,MATCH($A9,Timeline!$P$4:$AN$4,0))="x")*(Timeline!$K$5:$K$305="Task")*ISNUMBER(Timeline!$I$5:$I$305)*ISNUMBER(Timeline!$J$5:$J$305)*(Timeline!$I$5:$I$305&lt;=BA$4+2)*(Timeline!$J$5:$J$305&gt;=BA$4+2)),SUMPRODUCT((INDEX(Timeline!$P$5:$AN$305,0,MATCH($A9,Timeline!$P$4:$AN$4,0))="x")*(Timeline!$K$5:$K$305="Task")*ISNUMBER(Timeline!$I$5:$I$305)*ISNUMBER(Timeline!$J$5:$J$305)*(Timeline!$I$5:$I$305&lt;=BA$4+3)*(Timeline!$J$5:$J$305&gt;=BA$4+3)),SUMPRODUCT((INDEX(Timeline!$P$5:$AN$305,0,MATCH($A9,Timeline!$P$4:$AN$4,0))="x")*(Timeline!$K$5:$K$305="Task")*ISNUMBER(Timeline!$I$5:$I$305)*ISNUMBER(Timeline!$J$5:$J$305)*(Timeline!$I$5:$I$305&lt;=BA$4+4)*(Timeline!$J$5:$J$305&gt;=BA$4+4)),SUMPRODUCT((INDEX(Timeline!$P$5:$AN$305,0,MATCH($A9,Timeline!$P$4:$AN$4,0))="x")*(Timeline!$K$5:$K$305="Task")*ISNUMBER(Timeline!$I$5:$I$305)*ISNUMBER(Timeline!$J$5:$J$305)*(Timeline!$I$5:$I$305&lt;=BA$4+5)*(Timeline!$J$5:$J$305&gt;=BA$4+5)),SUMPRODUCT((INDEX(Timeline!$P$5:$AN$305,0,MATCH($A9,Timeline!$P$4:$AN$4,0))="x")*(Timeline!$K$5:$K$305="Task")*ISNUMBER(Timeline!$I$5:$I$305)*ISNUMBER(Timeline!$J$5:$J$305)*(Timeline!$I$5:$I$305&lt;=BA$4+6)*(Timeline!$J$5:$J$305&gt;=BA$4+6)))</f>
        <v>0</v>
      </c>
    </row>
    <row r="10" spans="1:53" ht="15" customHeight="1">
      <c r="A10" s="66" t="s">
        <v>41</v>
      </c>
      <c r="B10" s="66" t="s">
        <v>9</v>
      </c>
      <c r="C10" s="67">
        <f>MAX(SUMPRODUCT((INDEX(Timeline!$P$5:$AN$305,0,MATCH($A10,Timeline!$P$4:$AN$4,0))="x")*(Timeline!$K$5:$K$305="Task")*ISNUMBER(Timeline!$I$5:$I$305)*ISNUMBER(Timeline!$J$5:$J$305)*(Timeline!$I$5:$I$305&lt;=C$4+0)*(Timeline!$J$5:$J$305&gt;=C$4+0)),SUMPRODUCT((INDEX(Timeline!$P$5:$AN$305,0,MATCH($A10,Timeline!$P$4:$AN$4,0))="x")*(Timeline!$K$5:$K$305="Task")*ISNUMBER(Timeline!$I$5:$I$305)*ISNUMBER(Timeline!$J$5:$J$305)*(Timeline!$I$5:$I$305&lt;=C$4+1)*(Timeline!$J$5:$J$305&gt;=C$4+1)),SUMPRODUCT((INDEX(Timeline!$P$5:$AN$305,0,MATCH($A10,Timeline!$P$4:$AN$4,0))="x")*(Timeline!$K$5:$K$305="Task")*ISNUMBER(Timeline!$I$5:$I$305)*ISNUMBER(Timeline!$J$5:$J$305)*(Timeline!$I$5:$I$305&lt;=C$4+2)*(Timeline!$J$5:$J$305&gt;=C$4+2)),SUMPRODUCT((INDEX(Timeline!$P$5:$AN$305,0,MATCH($A10,Timeline!$P$4:$AN$4,0))="x")*(Timeline!$K$5:$K$305="Task")*ISNUMBER(Timeline!$I$5:$I$305)*ISNUMBER(Timeline!$J$5:$J$305)*(Timeline!$I$5:$I$305&lt;=C$4+3)*(Timeline!$J$5:$J$305&gt;=C$4+3)),SUMPRODUCT((INDEX(Timeline!$P$5:$AN$305,0,MATCH($A10,Timeline!$P$4:$AN$4,0))="x")*(Timeline!$K$5:$K$305="Task")*ISNUMBER(Timeline!$I$5:$I$305)*ISNUMBER(Timeline!$J$5:$J$305)*(Timeline!$I$5:$I$305&lt;=C$4+4)*(Timeline!$J$5:$J$305&gt;=C$4+4)),SUMPRODUCT((INDEX(Timeline!$P$5:$AN$305,0,MATCH($A10,Timeline!$P$4:$AN$4,0))="x")*(Timeline!$K$5:$K$305="Task")*ISNUMBER(Timeline!$I$5:$I$305)*ISNUMBER(Timeline!$J$5:$J$305)*(Timeline!$I$5:$I$305&lt;=C$4+5)*(Timeline!$J$5:$J$305&gt;=C$4+5)),SUMPRODUCT((INDEX(Timeline!$P$5:$AN$305,0,MATCH($A10,Timeline!$P$4:$AN$4,0))="x")*(Timeline!$K$5:$K$305="Task")*ISNUMBER(Timeline!$I$5:$I$305)*ISNUMBER(Timeline!$J$5:$J$305)*(Timeline!$I$5:$I$305&lt;=C$4+6)*(Timeline!$J$5:$J$305&gt;=C$4+6)))</f>
        <v>0</v>
      </c>
      <c r="D10" s="67">
        <f>MAX(SUMPRODUCT((INDEX(Timeline!$P$5:$AN$305,0,MATCH($A10,Timeline!$P$4:$AN$4,0))="x")*(Timeline!$K$5:$K$305="Task")*ISNUMBER(Timeline!$I$5:$I$305)*ISNUMBER(Timeline!$J$5:$J$305)*(Timeline!$I$5:$I$305&lt;=D$4+0)*(Timeline!$J$5:$J$305&gt;=D$4+0)),SUMPRODUCT((INDEX(Timeline!$P$5:$AN$305,0,MATCH($A10,Timeline!$P$4:$AN$4,0))="x")*(Timeline!$K$5:$K$305="Task")*ISNUMBER(Timeline!$I$5:$I$305)*ISNUMBER(Timeline!$J$5:$J$305)*(Timeline!$I$5:$I$305&lt;=D$4+1)*(Timeline!$J$5:$J$305&gt;=D$4+1)),SUMPRODUCT((INDEX(Timeline!$P$5:$AN$305,0,MATCH($A10,Timeline!$P$4:$AN$4,0))="x")*(Timeline!$K$5:$K$305="Task")*ISNUMBER(Timeline!$I$5:$I$305)*ISNUMBER(Timeline!$J$5:$J$305)*(Timeline!$I$5:$I$305&lt;=D$4+2)*(Timeline!$J$5:$J$305&gt;=D$4+2)),SUMPRODUCT((INDEX(Timeline!$P$5:$AN$305,0,MATCH($A10,Timeline!$P$4:$AN$4,0))="x")*(Timeline!$K$5:$K$305="Task")*ISNUMBER(Timeline!$I$5:$I$305)*ISNUMBER(Timeline!$J$5:$J$305)*(Timeline!$I$5:$I$305&lt;=D$4+3)*(Timeline!$J$5:$J$305&gt;=D$4+3)),SUMPRODUCT((INDEX(Timeline!$P$5:$AN$305,0,MATCH($A10,Timeline!$P$4:$AN$4,0))="x")*(Timeline!$K$5:$K$305="Task")*ISNUMBER(Timeline!$I$5:$I$305)*ISNUMBER(Timeline!$J$5:$J$305)*(Timeline!$I$5:$I$305&lt;=D$4+4)*(Timeline!$J$5:$J$305&gt;=D$4+4)),SUMPRODUCT((INDEX(Timeline!$P$5:$AN$305,0,MATCH($A10,Timeline!$P$4:$AN$4,0))="x")*(Timeline!$K$5:$K$305="Task")*ISNUMBER(Timeline!$I$5:$I$305)*ISNUMBER(Timeline!$J$5:$J$305)*(Timeline!$I$5:$I$305&lt;=D$4+5)*(Timeline!$J$5:$J$305&gt;=D$4+5)),SUMPRODUCT((INDEX(Timeline!$P$5:$AN$305,0,MATCH($A10,Timeline!$P$4:$AN$4,0))="x")*(Timeline!$K$5:$K$305="Task")*ISNUMBER(Timeline!$I$5:$I$305)*ISNUMBER(Timeline!$J$5:$J$305)*(Timeline!$I$5:$I$305&lt;=D$4+6)*(Timeline!$J$5:$J$305&gt;=D$4+6)))</f>
        <v>0</v>
      </c>
      <c r="E10" s="67">
        <f>MAX(SUMPRODUCT((INDEX(Timeline!$P$5:$AN$305,0,MATCH($A10,Timeline!$P$4:$AN$4,0))="x")*(Timeline!$K$5:$K$305="Task")*ISNUMBER(Timeline!$I$5:$I$305)*ISNUMBER(Timeline!$J$5:$J$305)*(Timeline!$I$5:$I$305&lt;=E$4+0)*(Timeline!$J$5:$J$305&gt;=E$4+0)),SUMPRODUCT((INDEX(Timeline!$P$5:$AN$305,0,MATCH($A10,Timeline!$P$4:$AN$4,0))="x")*(Timeline!$K$5:$K$305="Task")*ISNUMBER(Timeline!$I$5:$I$305)*ISNUMBER(Timeline!$J$5:$J$305)*(Timeline!$I$5:$I$305&lt;=E$4+1)*(Timeline!$J$5:$J$305&gt;=E$4+1)),SUMPRODUCT((INDEX(Timeline!$P$5:$AN$305,0,MATCH($A10,Timeline!$P$4:$AN$4,0))="x")*(Timeline!$K$5:$K$305="Task")*ISNUMBER(Timeline!$I$5:$I$305)*ISNUMBER(Timeline!$J$5:$J$305)*(Timeline!$I$5:$I$305&lt;=E$4+2)*(Timeline!$J$5:$J$305&gt;=E$4+2)),SUMPRODUCT((INDEX(Timeline!$P$5:$AN$305,0,MATCH($A10,Timeline!$P$4:$AN$4,0))="x")*(Timeline!$K$5:$K$305="Task")*ISNUMBER(Timeline!$I$5:$I$305)*ISNUMBER(Timeline!$J$5:$J$305)*(Timeline!$I$5:$I$305&lt;=E$4+3)*(Timeline!$J$5:$J$305&gt;=E$4+3)),SUMPRODUCT((INDEX(Timeline!$P$5:$AN$305,0,MATCH($A10,Timeline!$P$4:$AN$4,0))="x")*(Timeline!$K$5:$K$305="Task")*ISNUMBER(Timeline!$I$5:$I$305)*ISNUMBER(Timeline!$J$5:$J$305)*(Timeline!$I$5:$I$305&lt;=E$4+4)*(Timeline!$J$5:$J$305&gt;=E$4+4)),SUMPRODUCT((INDEX(Timeline!$P$5:$AN$305,0,MATCH($A10,Timeline!$P$4:$AN$4,0))="x")*(Timeline!$K$5:$K$305="Task")*ISNUMBER(Timeline!$I$5:$I$305)*ISNUMBER(Timeline!$J$5:$J$305)*(Timeline!$I$5:$I$305&lt;=E$4+5)*(Timeline!$J$5:$J$305&gt;=E$4+5)),SUMPRODUCT((INDEX(Timeline!$P$5:$AN$305,0,MATCH($A10,Timeline!$P$4:$AN$4,0))="x")*(Timeline!$K$5:$K$305="Task")*ISNUMBER(Timeline!$I$5:$I$305)*ISNUMBER(Timeline!$J$5:$J$305)*(Timeline!$I$5:$I$305&lt;=E$4+6)*(Timeline!$J$5:$J$305&gt;=E$4+6)))</f>
        <v>0</v>
      </c>
      <c r="F10" s="67">
        <f>MAX(SUMPRODUCT((INDEX(Timeline!$P$5:$AN$305,0,MATCH($A10,Timeline!$P$4:$AN$4,0))="x")*(Timeline!$K$5:$K$305="Task")*ISNUMBER(Timeline!$I$5:$I$305)*ISNUMBER(Timeline!$J$5:$J$305)*(Timeline!$I$5:$I$305&lt;=F$4+0)*(Timeline!$J$5:$J$305&gt;=F$4+0)),SUMPRODUCT((INDEX(Timeline!$P$5:$AN$305,0,MATCH($A10,Timeline!$P$4:$AN$4,0))="x")*(Timeline!$K$5:$K$305="Task")*ISNUMBER(Timeline!$I$5:$I$305)*ISNUMBER(Timeline!$J$5:$J$305)*(Timeline!$I$5:$I$305&lt;=F$4+1)*(Timeline!$J$5:$J$305&gt;=F$4+1)),SUMPRODUCT((INDEX(Timeline!$P$5:$AN$305,0,MATCH($A10,Timeline!$P$4:$AN$4,0))="x")*(Timeline!$K$5:$K$305="Task")*ISNUMBER(Timeline!$I$5:$I$305)*ISNUMBER(Timeline!$J$5:$J$305)*(Timeline!$I$5:$I$305&lt;=F$4+2)*(Timeline!$J$5:$J$305&gt;=F$4+2)),SUMPRODUCT((INDEX(Timeline!$P$5:$AN$305,0,MATCH($A10,Timeline!$P$4:$AN$4,0))="x")*(Timeline!$K$5:$K$305="Task")*ISNUMBER(Timeline!$I$5:$I$305)*ISNUMBER(Timeline!$J$5:$J$305)*(Timeline!$I$5:$I$305&lt;=F$4+3)*(Timeline!$J$5:$J$305&gt;=F$4+3)),SUMPRODUCT((INDEX(Timeline!$P$5:$AN$305,0,MATCH($A10,Timeline!$P$4:$AN$4,0))="x")*(Timeline!$K$5:$K$305="Task")*ISNUMBER(Timeline!$I$5:$I$305)*ISNUMBER(Timeline!$J$5:$J$305)*(Timeline!$I$5:$I$305&lt;=F$4+4)*(Timeline!$J$5:$J$305&gt;=F$4+4)),SUMPRODUCT((INDEX(Timeline!$P$5:$AN$305,0,MATCH($A10,Timeline!$P$4:$AN$4,0))="x")*(Timeline!$K$5:$K$305="Task")*ISNUMBER(Timeline!$I$5:$I$305)*ISNUMBER(Timeline!$J$5:$J$305)*(Timeline!$I$5:$I$305&lt;=F$4+5)*(Timeline!$J$5:$J$305&gt;=F$4+5)),SUMPRODUCT((INDEX(Timeline!$P$5:$AN$305,0,MATCH($A10,Timeline!$P$4:$AN$4,0))="x")*(Timeline!$K$5:$K$305="Task")*ISNUMBER(Timeline!$I$5:$I$305)*ISNUMBER(Timeline!$J$5:$J$305)*(Timeline!$I$5:$I$305&lt;=F$4+6)*(Timeline!$J$5:$J$305&gt;=F$4+6)))</f>
        <v>2</v>
      </c>
      <c r="G10" s="67">
        <f>MAX(SUMPRODUCT((INDEX(Timeline!$P$5:$AN$305,0,MATCH($A10,Timeline!$P$4:$AN$4,0))="x")*(Timeline!$K$5:$K$305="Task")*ISNUMBER(Timeline!$I$5:$I$305)*ISNUMBER(Timeline!$J$5:$J$305)*(Timeline!$I$5:$I$305&lt;=G$4+0)*(Timeline!$J$5:$J$305&gt;=G$4+0)),SUMPRODUCT((INDEX(Timeline!$P$5:$AN$305,0,MATCH($A10,Timeline!$P$4:$AN$4,0))="x")*(Timeline!$K$5:$K$305="Task")*ISNUMBER(Timeline!$I$5:$I$305)*ISNUMBER(Timeline!$J$5:$J$305)*(Timeline!$I$5:$I$305&lt;=G$4+1)*(Timeline!$J$5:$J$305&gt;=G$4+1)),SUMPRODUCT((INDEX(Timeline!$P$5:$AN$305,0,MATCH($A10,Timeline!$P$4:$AN$4,0))="x")*(Timeline!$K$5:$K$305="Task")*ISNUMBER(Timeline!$I$5:$I$305)*ISNUMBER(Timeline!$J$5:$J$305)*(Timeline!$I$5:$I$305&lt;=G$4+2)*(Timeline!$J$5:$J$305&gt;=G$4+2)),SUMPRODUCT((INDEX(Timeline!$P$5:$AN$305,0,MATCH($A10,Timeline!$P$4:$AN$4,0))="x")*(Timeline!$K$5:$K$305="Task")*ISNUMBER(Timeline!$I$5:$I$305)*ISNUMBER(Timeline!$J$5:$J$305)*(Timeline!$I$5:$I$305&lt;=G$4+3)*(Timeline!$J$5:$J$305&gt;=G$4+3)),SUMPRODUCT((INDEX(Timeline!$P$5:$AN$305,0,MATCH($A10,Timeline!$P$4:$AN$4,0))="x")*(Timeline!$K$5:$K$305="Task")*ISNUMBER(Timeline!$I$5:$I$305)*ISNUMBER(Timeline!$J$5:$J$305)*(Timeline!$I$5:$I$305&lt;=G$4+4)*(Timeline!$J$5:$J$305&gt;=G$4+4)),SUMPRODUCT((INDEX(Timeline!$P$5:$AN$305,0,MATCH($A10,Timeline!$P$4:$AN$4,0))="x")*(Timeline!$K$5:$K$305="Task")*ISNUMBER(Timeline!$I$5:$I$305)*ISNUMBER(Timeline!$J$5:$J$305)*(Timeline!$I$5:$I$305&lt;=G$4+5)*(Timeline!$J$5:$J$305&gt;=G$4+5)),SUMPRODUCT((INDEX(Timeline!$P$5:$AN$305,0,MATCH($A10,Timeline!$P$4:$AN$4,0))="x")*(Timeline!$K$5:$K$305="Task")*ISNUMBER(Timeline!$I$5:$I$305)*ISNUMBER(Timeline!$J$5:$J$305)*(Timeline!$I$5:$I$305&lt;=G$4+6)*(Timeline!$J$5:$J$305&gt;=G$4+6)))</f>
        <v>7</v>
      </c>
      <c r="H10" s="67">
        <f>MAX(SUMPRODUCT((INDEX(Timeline!$P$5:$AN$305,0,MATCH($A10,Timeline!$P$4:$AN$4,0))="x")*(Timeline!$K$5:$K$305="Task")*ISNUMBER(Timeline!$I$5:$I$305)*ISNUMBER(Timeline!$J$5:$J$305)*(Timeline!$I$5:$I$305&lt;=H$4+0)*(Timeline!$J$5:$J$305&gt;=H$4+0)),SUMPRODUCT((INDEX(Timeline!$P$5:$AN$305,0,MATCH($A10,Timeline!$P$4:$AN$4,0))="x")*(Timeline!$K$5:$K$305="Task")*ISNUMBER(Timeline!$I$5:$I$305)*ISNUMBER(Timeline!$J$5:$J$305)*(Timeline!$I$5:$I$305&lt;=H$4+1)*(Timeline!$J$5:$J$305&gt;=H$4+1)),SUMPRODUCT((INDEX(Timeline!$P$5:$AN$305,0,MATCH($A10,Timeline!$P$4:$AN$4,0))="x")*(Timeline!$K$5:$K$305="Task")*ISNUMBER(Timeline!$I$5:$I$305)*ISNUMBER(Timeline!$J$5:$J$305)*(Timeline!$I$5:$I$305&lt;=H$4+2)*(Timeline!$J$5:$J$305&gt;=H$4+2)),SUMPRODUCT((INDEX(Timeline!$P$5:$AN$305,0,MATCH($A10,Timeline!$P$4:$AN$4,0))="x")*(Timeline!$K$5:$K$305="Task")*ISNUMBER(Timeline!$I$5:$I$305)*ISNUMBER(Timeline!$J$5:$J$305)*(Timeline!$I$5:$I$305&lt;=H$4+3)*(Timeline!$J$5:$J$305&gt;=H$4+3)),SUMPRODUCT((INDEX(Timeline!$P$5:$AN$305,0,MATCH($A10,Timeline!$P$4:$AN$4,0))="x")*(Timeline!$K$5:$K$305="Task")*ISNUMBER(Timeline!$I$5:$I$305)*ISNUMBER(Timeline!$J$5:$J$305)*(Timeline!$I$5:$I$305&lt;=H$4+4)*(Timeline!$J$5:$J$305&gt;=H$4+4)),SUMPRODUCT((INDEX(Timeline!$P$5:$AN$305,0,MATCH($A10,Timeline!$P$4:$AN$4,0))="x")*(Timeline!$K$5:$K$305="Task")*ISNUMBER(Timeline!$I$5:$I$305)*ISNUMBER(Timeline!$J$5:$J$305)*(Timeline!$I$5:$I$305&lt;=H$4+5)*(Timeline!$J$5:$J$305&gt;=H$4+5)),SUMPRODUCT((INDEX(Timeline!$P$5:$AN$305,0,MATCH($A10,Timeline!$P$4:$AN$4,0))="x")*(Timeline!$K$5:$K$305="Task")*ISNUMBER(Timeline!$I$5:$I$305)*ISNUMBER(Timeline!$J$5:$J$305)*(Timeline!$I$5:$I$305&lt;=H$4+6)*(Timeline!$J$5:$J$305&gt;=H$4+6)))</f>
        <v>7</v>
      </c>
      <c r="I10" s="67">
        <f>MAX(SUMPRODUCT((INDEX(Timeline!$P$5:$AN$305,0,MATCH($A10,Timeline!$P$4:$AN$4,0))="x")*(Timeline!$K$5:$K$305="Task")*ISNUMBER(Timeline!$I$5:$I$305)*ISNUMBER(Timeline!$J$5:$J$305)*(Timeline!$I$5:$I$305&lt;=I$4+0)*(Timeline!$J$5:$J$305&gt;=I$4+0)),SUMPRODUCT((INDEX(Timeline!$P$5:$AN$305,0,MATCH($A10,Timeline!$P$4:$AN$4,0))="x")*(Timeline!$K$5:$K$305="Task")*ISNUMBER(Timeline!$I$5:$I$305)*ISNUMBER(Timeline!$J$5:$J$305)*(Timeline!$I$5:$I$305&lt;=I$4+1)*(Timeline!$J$5:$J$305&gt;=I$4+1)),SUMPRODUCT((INDEX(Timeline!$P$5:$AN$305,0,MATCH($A10,Timeline!$P$4:$AN$4,0))="x")*(Timeline!$K$5:$K$305="Task")*ISNUMBER(Timeline!$I$5:$I$305)*ISNUMBER(Timeline!$J$5:$J$305)*(Timeline!$I$5:$I$305&lt;=I$4+2)*(Timeline!$J$5:$J$305&gt;=I$4+2)),SUMPRODUCT((INDEX(Timeline!$P$5:$AN$305,0,MATCH($A10,Timeline!$P$4:$AN$4,0))="x")*(Timeline!$K$5:$K$305="Task")*ISNUMBER(Timeline!$I$5:$I$305)*ISNUMBER(Timeline!$J$5:$J$305)*(Timeline!$I$5:$I$305&lt;=I$4+3)*(Timeline!$J$5:$J$305&gt;=I$4+3)),SUMPRODUCT((INDEX(Timeline!$P$5:$AN$305,0,MATCH($A10,Timeline!$P$4:$AN$4,0))="x")*(Timeline!$K$5:$K$305="Task")*ISNUMBER(Timeline!$I$5:$I$305)*ISNUMBER(Timeline!$J$5:$J$305)*(Timeline!$I$5:$I$305&lt;=I$4+4)*(Timeline!$J$5:$J$305&gt;=I$4+4)),SUMPRODUCT((INDEX(Timeline!$P$5:$AN$305,0,MATCH($A10,Timeline!$P$4:$AN$4,0))="x")*(Timeline!$K$5:$K$305="Task")*ISNUMBER(Timeline!$I$5:$I$305)*ISNUMBER(Timeline!$J$5:$J$305)*(Timeline!$I$5:$I$305&lt;=I$4+5)*(Timeline!$J$5:$J$305&gt;=I$4+5)),SUMPRODUCT((INDEX(Timeline!$P$5:$AN$305,0,MATCH($A10,Timeline!$P$4:$AN$4,0))="x")*(Timeline!$K$5:$K$305="Task")*ISNUMBER(Timeline!$I$5:$I$305)*ISNUMBER(Timeline!$J$5:$J$305)*(Timeline!$I$5:$I$305&lt;=I$4+6)*(Timeline!$J$5:$J$305&gt;=I$4+6)))</f>
        <v>8</v>
      </c>
      <c r="J10" s="67">
        <f>MAX(SUMPRODUCT((INDEX(Timeline!$P$5:$AN$305,0,MATCH($A10,Timeline!$P$4:$AN$4,0))="x")*(Timeline!$K$5:$K$305="Task")*ISNUMBER(Timeline!$I$5:$I$305)*ISNUMBER(Timeline!$J$5:$J$305)*(Timeline!$I$5:$I$305&lt;=J$4+0)*(Timeline!$J$5:$J$305&gt;=J$4+0)),SUMPRODUCT((INDEX(Timeline!$P$5:$AN$305,0,MATCH($A10,Timeline!$P$4:$AN$4,0))="x")*(Timeline!$K$5:$K$305="Task")*ISNUMBER(Timeline!$I$5:$I$305)*ISNUMBER(Timeline!$J$5:$J$305)*(Timeline!$I$5:$I$305&lt;=J$4+1)*(Timeline!$J$5:$J$305&gt;=J$4+1)),SUMPRODUCT((INDEX(Timeline!$P$5:$AN$305,0,MATCH($A10,Timeline!$P$4:$AN$4,0))="x")*(Timeline!$K$5:$K$305="Task")*ISNUMBER(Timeline!$I$5:$I$305)*ISNUMBER(Timeline!$J$5:$J$305)*(Timeline!$I$5:$I$305&lt;=J$4+2)*(Timeline!$J$5:$J$305&gt;=J$4+2)),SUMPRODUCT((INDEX(Timeline!$P$5:$AN$305,0,MATCH($A10,Timeline!$P$4:$AN$4,0))="x")*(Timeline!$K$5:$K$305="Task")*ISNUMBER(Timeline!$I$5:$I$305)*ISNUMBER(Timeline!$J$5:$J$305)*(Timeline!$I$5:$I$305&lt;=J$4+3)*(Timeline!$J$5:$J$305&gt;=J$4+3)),SUMPRODUCT((INDEX(Timeline!$P$5:$AN$305,0,MATCH($A10,Timeline!$P$4:$AN$4,0))="x")*(Timeline!$K$5:$K$305="Task")*ISNUMBER(Timeline!$I$5:$I$305)*ISNUMBER(Timeline!$J$5:$J$305)*(Timeline!$I$5:$I$305&lt;=J$4+4)*(Timeline!$J$5:$J$305&gt;=J$4+4)),SUMPRODUCT((INDEX(Timeline!$P$5:$AN$305,0,MATCH($A10,Timeline!$P$4:$AN$4,0))="x")*(Timeline!$K$5:$K$305="Task")*ISNUMBER(Timeline!$I$5:$I$305)*ISNUMBER(Timeline!$J$5:$J$305)*(Timeline!$I$5:$I$305&lt;=J$4+5)*(Timeline!$J$5:$J$305&gt;=J$4+5)),SUMPRODUCT((INDEX(Timeline!$P$5:$AN$305,0,MATCH($A10,Timeline!$P$4:$AN$4,0))="x")*(Timeline!$K$5:$K$305="Task")*ISNUMBER(Timeline!$I$5:$I$305)*ISNUMBER(Timeline!$J$5:$J$305)*(Timeline!$I$5:$I$305&lt;=J$4+6)*(Timeline!$J$5:$J$305&gt;=J$4+6)))</f>
        <v>8</v>
      </c>
      <c r="K10" s="67">
        <f>MAX(SUMPRODUCT((INDEX(Timeline!$P$5:$AN$305,0,MATCH($A10,Timeline!$P$4:$AN$4,0))="x")*(Timeline!$K$5:$K$305="Task")*ISNUMBER(Timeline!$I$5:$I$305)*ISNUMBER(Timeline!$J$5:$J$305)*(Timeline!$I$5:$I$305&lt;=K$4+0)*(Timeline!$J$5:$J$305&gt;=K$4+0)),SUMPRODUCT((INDEX(Timeline!$P$5:$AN$305,0,MATCH($A10,Timeline!$P$4:$AN$4,0))="x")*(Timeline!$K$5:$K$305="Task")*ISNUMBER(Timeline!$I$5:$I$305)*ISNUMBER(Timeline!$J$5:$J$305)*(Timeline!$I$5:$I$305&lt;=K$4+1)*(Timeline!$J$5:$J$305&gt;=K$4+1)),SUMPRODUCT((INDEX(Timeline!$P$5:$AN$305,0,MATCH($A10,Timeline!$P$4:$AN$4,0))="x")*(Timeline!$K$5:$K$305="Task")*ISNUMBER(Timeline!$I$5:$I$305)*ISNUMBER(Timeline!$J$5:$J$305)*(Timeline!$I$5:$I$305&lt;=K$4+2)*(Timeline!$J$5:$J$305&gt;=K$4+2)),SUMPRODUCT((INDEX(Timeline!$P$5:$AN$305,0,MATCH($A10,Timeline!$P$4:$AN$4,0))="x")*(Timeline!$K$5:$K$305="Task")*ISNUMBER(Timeline!$I$5:$I$305)*ISNUMBER(Timeline!$J$5:$J$305)*(Timeline!$I$5:$I$305&lt;=K$4+3)*(Timeline!$J$5:$J$305&gt;=K$4+3)),SUMPRODUCT((INDEX(Timeline!$P$5:$AN$305,0,MATCH($A10,Timeline!$P$4:$AN$4,0))="x")*(Timeline!$K$5:$K$305="Task")*ISNUMBER(Timeline!$I$5:$I$305)*ISNUMBER(Timeline!$J$5:$J$305)*(Timeline!$I$5:$I$305&lt;=K$4+4)*(Timeline!$J$5:$J$305&gt;=K$4+4)),SUMPRODUCT((INDEX(Timeline!$P$5:$AN$305,0,MATCH($A10,Timeline!$P$4:$AN$4,0))="x")*(Timeline!$K$5:$K$305="Task")*ISNUMBER(Timeline!$I$5:$I$305)*ISNUMBER(Timeline!$J$5:$J$305)*(Timeline!$I$5:$I$305&lt;=K$4+5)*(Timeline!$J$5:$J$305&gt;=K$4+5)),SUMPRODUCT((INDEX(Timeline!$P$5:$AN$305,0,MATCH($A10,Timeline!$P$4:$AN$4,0))="x")*(Timeline!$K$5:$K$305="Task")*ISNUMBER(Timeline!$I$5:$I$305)*ISNUMBER(Timeline!$J$5:$J$305)*(Timeline!$I$5:$I$305&lt;=K$4+6)*(Timeline!$J$5:$J$305&gt;=K$4+6)))</f>
        <v>8</v>
      </c>
      <c r="L10" s="67">
        <f>MAX(SUMPRODUCT((INDEX(Timeline!$P$5:$AN$305,0,MATCH($A10,Timeline!$P$4:$AN$4,0))="x")*(Timeline!$K$5:$K$305="Task")*ISNUMBER(Timeline!$I$5:$I$305)*ISNUMBER(Timeline!$J$5:$J$305)*(Timeline!$I$5:$I$305&lt;=L$4+0)*(Timeline!$J$5:$J$305&gt;=L$4+0)),SUMPRODUCT((INDEX(Timeline!$P$5:$AN$305,0,MATCH($A10,Timeline!$P$4:$AN$4,0))="x")*(Timeline!$K$5:$K$305="Task")*ISNUMBER(Timeline!$I$5:$I$305)*ISNUMBER(Timeline!$J$5:$J$305)*(Timeline!$I$5:$I$305&lt;=L$4+1)*(Timeline!$J$5:$J$305&gt;=L$4+1)),SUMPRODUCT((INDEX(Timeline!$P$5:$AN$305,0,MATCH($A10,Timeline!$P$4:$AN$4,0))="x")*(Timeline!$K$5:$K$305="Task")*ISNUMBER(Timeline!$I$5:$I$305)*ISNUMBER(Timeline!$J$5:$J$305)*(Timeline!$I$5:$I$305&lt;=L$4+2)*(Timeline!$J$5:$J$305&gt;=L$4+2)),SUMPRODUCT((INDEX(Timeline!$P$5:$AN$305,0,MATCH($A10,Timeline!$P$4:$AN$4,0))="x")*(Timeline!$K$5:$K$305="Task")*ISNUMBER(Timeline!$I$5:$I$305)*ISNUMBER(Timeline!$J$5:$J$305)*(Timeline!$I$5:$I$305&lt;=L$4+3)*(Timeline!$J$5:$J$305&gt;=L$4+3)),SUMPRODUCT((INDEX(Timeline!$P$5:$AN$305,0,MATCH($A10,Timeline!$P$4:$AN$4,0))="x")*(Timeline!$K$5:$K$305="Task")*ISNUMBER(Timeline!$I$5:$I$305)*ISNUMBER(Timeline!$J$5:$J$305)*(Timeline!$I$5:$I$305&lt;=L$4+4)*(Timeline!$J$5:$J$305&gt;=L$4+4)),SUMPRODUCT((INDEX(Timeline!$P$5:$AN$305,0,MATCH($A10,Timeline!$P$4:$AN$4,0))="x")*(Timeline!$K$5:$K$305="Task")*ISNUMBER(Timeline!$I$5:$I$305)*ISNUMBER(Timeline!$J$5:$J$305)*(Timeline!$I$5:$I$305&lt;=L$4+5)*(Timeline!$J$5:$J$305&gt;=L$4+5)),SUMPRODUCT((INDEX(Timeline!$P$5:$AN$305,0,MATCH($A10,Timeline!$P$4:$AN$4,0))="x")*(Timeline!$K$5:$K$305="Task")*ISNUMBER(Timeline!$I$5:$I$305)*ISNUMBER(Timeline!$J$5:$J$305)*(Timeline!$I$5:$I$305&lt;=L$4+6)*(Timeline!$J$5:$J$305&gt;=L$4+6)))</f>
        <v>9</v>
      </c>
      <c r="M10" s="67">
        <f>MAX(SUMPRODUCT((INDEX(Timeline!$P$5:$AN$305,0,MATCH($A10,Timeline!$P$4:$AN$4,0))="x")*(Timeline!$K$5:$K$305="Task")*ISNUMBER(Timeline!$I$5:$I$305)*ISNUMBER(Timeline!$J$5:$J$305)*(Timeline!$I$5:$I$305&lt;=M$4+0)*(Timeline!$J$5:$J$305&gt;=M$4+0)),SUMPRODUCT((INDEX(Timeline!$P$5:$AN$305,0,MATCH($A10,Timeline!$P$4:$AN$4,0))="x")*(Timeline!$K$5:$K$305="Task")*ISNUMBER(Timeline!$I$5:$I$305)*ISNUMBER(Timeline!$J$5:$J$305)*(Timeline!$I$5:$I$305&lt;=M$4+1)*(Timeline!$J$5:$J$305&gt;=M$4+1)),SUMPRODUCT((INDEX(Timeline!$P$5:$AN$305,0,MATCH($A10,Timeline!$P$4:$AN$4,0))="x")*(Timeline!$K$5:$K$305="Task")*ISNUMBER(Timeline!$I$5:$I$305)*ISNUMBER(Timeline!$J$5:$J$305)*(Timeline!$I$5:$I$305&lt;=M$4+2)*(Timeline!$J$5:$J$305&gt;=M$4+2)),SUMPRODUCT((INDEX(Timeline!$P$5:$AN$305,0,MATCH($A10,Timeline!$P$4:$AN$4,0))="x")*(Timeline!$K$5:$K$305="Task")*ISNUMBER(Timeline!$I$5:$I$305)*ISNUMBER(Timeline!$J$5:$J$305)*(Timeline!$I$5:$I$305&lt;=M$4+3)*(Timeline!$J$5:$J$305&gt;=M$4+3)),SUMPRODUCT((INDEX(Timeline!$P$5:$AN$305,0,MATCH($A10,Timeline!$P$4:$AN$4,0))="x")*(Timeline!$K$5:$K$305="Task")*ISNUMBER(Timeline!$I$5:$I$305)*ISNUMBER(Timeline!$J$5:$J$305)*(Timeline!$I$5:$I$305&lt;=M$4+4)*(Timeline!$J$5:$J$305&gt;=M$4+4)),SUMPRODUCT((INDEX(Timeline!$P$5:$AN$305,0,MATCH($A10,Timeline!$P$4:$AN$4,0))="x")*(Timeline!$K$5:$K$305="Task")*ISNUMBER(Timeline!$I$5:$I$305)*ISNUMBER(Timeline!$J$5:$J$305)*(Timeline!$I$5:$I$305&lt;=M$4+5)*(Timeline!$J$5:$J$305&gt;=M$4+5)),SUMPRODUCT((INDEX(Timeline!$P$5:$AN$305,0,MATCH($A10,Timeline!$P$4:$AN$4,0))="x")*(Timeline!$K$5:$K$305="Task")*ISNUMBER(Timeline!$I$5:$I$305)*ISNUMBER(Timeline!$J$5:$J$305)*(Timeline!$I$5:$I$305&lt;=M$4+6)*(Timeline!$J$5:$J$305&gt;=M$4+6)))</f>
        <v>6</v>
      </c>
      <c r="N10" s="67">
        <f>MAX(SUMPRODUCT((INDEX(Timeline!$P$5:$AN$305,0,MATCH($A10,Timeline!$P$4:$AN$4,0))="x")*(Timeline!$K$5:$K$305="Task")*ISNUMBER(Timeline!$I$5:$I$305)*ISNUMBER(Timeline!$J$5:$J$305)*(Timeline!$I$5:$I$305&lt;=N$4+0)*(Timeline!$J$5:$J$305&gt;=N$4+0)),SUMPRODUCT((INDEX(Timeline!$P$5:$AN$305,0,MATCH($A10,Timeline!$P$4:$AN$4,0))="x")*(Timeline!$K$5:$K$305="Task")*ISNUMBER(Timeline!$I$5:$I$305)*ISNUMBER(Timeline!$J$5:$J$305)*(Timeline!$I$5:$I$305&lt;=N$4+1)*(Timeline!$J$5:$J$305&gt;=N$4+1)),SUMPRODUCT((INDEX(Timeline!$P$5:$AN$305,0,MATCH($A10,Timeline!$P$4:$AN$4,0))="x")*(Timeline!$K$5:$K$305="Task")*ISNUMBER(Timeline!$I$5:$I$305)*ISNUMBER(Timeline!$J$5:$J$305)*(Timeline!$I$5:$I$305&lt;=N$4+2)*(Timeline!$J$5:$J$305&gt;=N$4+2)),SUMPRODUCT((INDEX(Timeline!$P$5:$AN$305,0,MATCH($A10,Timeline!$P$4:$AN$4,0))="x")*(Timeline!$K$5:$K$305="Task")*ISNUMBER(Timeline!$I$5:$I$305)*ISNUMBER(Timeline!$J$5:$J$305)*(Timeline!$I$5:$I$305&lt;=N$4+3)*(Timeline!$J$5:$J$305&gt;=N$4+3)),SUMPRODUCT((INDEX(Timeline!$P$5:$AN$305,0,MATCH($A10,Timeline!$P$4:$AN$4,0))="x")*(Timeline!$K$5:$K$305="Task")*ISNUMBER(Timeline!$I$5:$I$305)*ISNUMBER(Timeline!$J$5:$J$305)*(Timeline!$I$5:$I$305&lt;=N$4+4)*(Timeline!$J$5:$J$305&gt;=N$4+4)),SUMPRODUCT((INDEX(Timeline!$P$5:$AN$305,0,MATCH($A10,Timeline!$P$4:$AN$4,0))="x")*(Timeline!$K$5:$K$305="Task")*ISNUMBER(Timeline!$I$5:$I$305)*ISNUMBER(Timeline!$J$5:$J$305)*(Timeline!$I$5:$I$305&lt;=N$4+5)*(Timeline!$J$5:$J$305&gt;=N$4+5)),SUMPRODUCT((INDEX(Timeline!$P$5:$AN$305,0,MATCH($A10,Timeline!$P$4:$AN$4,0))="x")*(Timeline!$K$5:$K$305="Task")*ISNUMBER(Timeline!$I$5:$I$305)*ISNUMBER(Timeline!$J$5:$J$305)*(Timeline!$I$5:$I$305&lt;=N$4+6)*(Timeline!$J$5:$J$305&gt;=N$4+6)))</f>
        <v>4</v>
      </c>
      <c r="O10" s="67">
        <f>MAX(SUMPRODUCT((INDEX(Timeline!$P$5:$AN$305,0,MATCH($A10,Timeline!$P$4:$AN$4,0))="x")*(Timeline!$K$5:$K$305="Task")*ISNUMBER(Timeline!$I$5:$I$305)*ISNUMBER(Timeline!$J$5:$J$305)*(Timeline!$I$5:$I$305&lt;=O$4+0)*(Timeline!$J$5:$J$305&gt;=O$4+0)),SUMPRODUCT((INDEX(Timeline!$P$5:$AN$305,0,MATCH($A10,Timeline!$P$4:$AN$4,0))="x")*(Timeline!$K$5:$K$305="Task")*ISNUMBER(Timeline!$I$5:$I$305)*ISNUMBER(Timeline!$J$5:$J$305)*(Timeline!$I$5:$I$305&lt;=O$4+1)*(Timeline!$J$5:$J$305&gt;=O$4+1)),SUMPRODUCT((INDEX(Timeline!$P$5:$AN$305,0,MATCH($A10,Timeline!$P$4:$AN$4,0))="x")*(Timeline!$K$5:$K$305="Task")*ISNUMBER(Timeline!$I$5:$I$305)*ISNUMBER(Timeline!$J$5:$J$305)*(Timeline!$I$5:$I$305&lt;=O$4+2)*(Timeline!$J$5:$J$305&gt;=O$4+2)),SUMPRODUCT((INDEX(Timeline!$P$5:$AN$305,0,MATCH($A10,Timeline!$P$4:$AN$4,0))="x")*(Timeline!$K$5:$K$305="Task")*ISNUMBER(Timeline!$I$5:$I$305)*ISNUMBER(Timeline!$J$5:$J$305)*(Timeline!$I$5:$I$305&lt;=O$4+3)*(Timeline!$J$5:$J$305&gt;=O$4+3)),SUMPRODUCT((INDEX(Timeline!$P$5:$AN$305,0,MATCH($A10,Timeline!$P$4:$AN$4,0))="x")*(Timeline!$K$5:$K$305="Task")*ISNUMBER(Timeline!$I$5:$I$305)*ISNUMBER(Timeline!$J$5:$J$305)*(Timeline!$I$5:$I$305&lt;=O$4+4)*(Timeline!$J$5:$J$305&gt;=O$4+4)),SUMPRODUCT((INDEX(Timeline!$P$5:$AN$305,0,MATCH($A10,Timeline!$P$4:$AN$4,0))="x")*(Timeline!$K$5:$K$305="Task")*ISNUMBER(Timeline!$I$5:$I$305)*ISNUMBER(Timeline!$J$5:$J$305)*(Timeline!$I$5:$I$305&lt;=O$4+5)*(Timeline!$J$5:$J$305&gt;=O$4+5)),SUMPRODUCT((INDEX(Timeline!$P$5:$AN$305,0,MATCH($A10,Timeline!$P$4:$AN$4,0))="x")*(Timeline!$K$5:$K$305="Task")*ISNUMBER(Timeline!$I$5:$I$305)*ISNUMBER(Timeline!$J$5:$J$305)*(Timeline!$I$5:$I$305&lt;=O$4+6)*(Timeline!$J$5:$J$305&gt;=O$4+6)))</f>
        <v>2</v>
      </c>
      <c r="P10" s="67">
        <f>MAX(SUMPRODUCT((INDEX(Timeline!$P$5:$AN$305,0,MATCH($A10,Timeline!$P$4:$AN$4,0))="x")*(Timeline!$K$5:$K$305="Task")*ISNUMBER(Timeline!$I$5:$I$305)*ISNUMBER(Timeline!$J$5:$J$305)*(Timeline!$I$5:$I$305&lt;=P$4+0)*(Timeline!$J$5:$J$305&gt;=P$4+0)),SUMPRODUCT((INDEX(Timeline!$P$5:$AN$305,0,MATCH($A10,Timeline!$P$4:$AN$4,0))="x")*(Timeline!$K$5:$K$305="Task")*ISNUMBER(Timeline!$I$5:$I$305)*ISNUMBER(Timeline!$J$5:$J$305)*(Timeline!$I$5:$I$305&lt;=P$4+1)*(Timeline!$J$5:$J$305&gt;=P$4+1)),SUMPRODUCT((INDEX(Timeline!$P$5:$AN$305,0,MATCH($A10,Timeline!$P$4:$AN$4,0))="x")*(Timeline!$K$5:$K$305="Task")*ISNUMBER(Timeline!$I$5:$I$305)*ISNUMBER(Timeline!$J$5:$J$305)*(Timeline!$I$5:$I$305&lt;=P$4+2)*(Timeline!$J$5:$J$305&gt;=P$4+2)),SUMPRODUCT((INDEX(Timeline!$P$5:$AN$305,0,MATCH($A10,Timeline!$P$4:$AN$4,0))="x")*(Timeline!$K$5:$K$305="Task")*ISNUMBER(Timeline!$I$5:$I$305)*ISNUMBER(Timeline!$J$5:$J$305)*(Timeline!$I$5:$I$305&lt;=P$4+3)*(Timeline!$J$5:$J$305&gt;=P$4+3)),SUMPRODUCT((INDEX(Timeline!$P$5:$AN$305,0,MATCH($A10,Timeline!$P$4:$AN$4,0))="x")*(Timeline!$K$5:$K$305="Task")*ISNUMBER(Timeline!$I$5:$I$305)*ISNUMBER(Timeline!$J$5:$J$305)*(Timeline!$I$5:$I$305&lt;=P$4+4)*(Timeline!$J$5:$J$305&gt;=P$4+4)),SUMPRODUCT((INDEX(Timeline!$P$5:$AN$305,0,MATCH($A10,Timeline!$P$4:$AN$4,0))="x")*(Timeline!$K$5:$K$305="Task")*ISNUMBER(Timeline!$I$5:$I$305)*ISNUMBER(Timeline!$J$5:$J$305)*(Timeline!$I$5:$I$305&lt;=P$4+5)*(Timeline!$J$5:$J$305&gt;=P$4+5)),SUMPRODUCT((INDEX(Timeline!$P$5:$AN$305,0,MATCH($A10,Timeline!$P$4:$AN$4,0))="x")*(Timeline!$K$5:$K$305="Task")*ISNUMBER(Timeline!$I$5:$I$305)*ISNUMBER(Timeline!$J$5:$J$305)*(Timeline!$I$5:$I$305&lt;=P$4+6)*(Timeline!$J$5:$J$305&gt;=P$4+6)))</f>
        <v>2</v>
      </c>
      <c r="Q10" s="67">
        <f>MAX(SUMPRODUCT((INDEX(Timeline!$P$5:$AN$305,0,MATCH($A10,Timeline!$P$4:$AN$4,0))="x")*(Timeline!$K$5:$K$305="Task")*ISNUMBER(Timeline!$I$5:$I$305)*ISNUMBER(Timeline!$J$5:$J$305)*(Timeline!$I$5:$I$305&lt;=Q$4+0)*(Timeline!$J$5:$J$305&gt;=Q$4+0)),SUMPRODUCT((INDEX(Timeline!$P$5:$AN$305,0,MATCH($A10,Timeline!$P$4:$AN$4,0))="x")*(Timeline!$K$5:$K$305="Task")*ISNUMBER(Timeline!$I$5:$I$305)*ISNUMBER(Timeline!$J$5:$J$305)*(Timeline!$I$5:$I$305&lt;=Q$4+1)*(Timeline!$J$5:$J$305&gt;=Q$4+1)),SUMPRODUCT((INDEX(Timeline!$P$5:$AN$305,0,MATCH($A10,Timeline!$P$4:$AN$4,0))="x")*(Timeline!$K$5:$K$305="Task")*ISNUMBER(Timeline!$I$5:$I$305)*ISNUMBER(Timeline!$J$5:$J$305)*(Timeline!$I$5:$I$305&lt;=Q$4+2)*(Timeline!$J$5:$J$305&gt;=Q$4+2)),SUMPRODUCT((INDEX(Timeline!$P$5:$AN$305,0,MATCH($A10,Timeline!$P$4:$AN$4,0))="x")*(Timeline!$K$5:$K$305="Task")*ISNUMBER(Timeline!$I$5:$I$305)*ISNUMBER(Timeline!$J$5:$J$305)*(Timeline!$I$5:$I$305&lt;=Q$4+3)*(Timeline!$J$5:$J$305&gt;=Q$4+3)),SUMPRODUCT((INDEX(Timeline!$P$5:$AN$305,0,MATCH($A10,Timeline!$P$4:$AN$4,0))="x")*(Timeline!$K$5:$K$305="Task")*ISNUMBER(Timeline!$I$5:$I$305)*ISNUMBER(Timeline!$J$5:$J$305)*(Timeline!$I$5:$I$305&lt;=Q$4+4)*(Timeline!$J$5:$J$305&gt;=Q$4+4)),SUMPRODUCT((INDEX(Timeline!$P$5:$AN$305,0,MATCH($A10,Timeline!$P$4:$AN$4,0))="x")*(Timeline!$K$5:$K$305="Task")*ISNUMBER(Timeline!$I$5:$I$305)*ISNUMBER(Timeline!$J$5:$J$305)*(Timeline!$I$5:$I$305&lt;=Q$4+5)*(Timeline!$J$5:$J$305&gt;=Q$4+5)),SUMPRODUCT((INDEX(Timeline!$P$5:$AN$305,0,MATCH($A10,Timeline!$P$4:$AN$4,0))="x")*(Timeline!$K$5:$K$305="Task")*ISNUMBER(Timeline!$I$5:$I$305)*ISNUMBER(Timeline!$J$5:$J$305)*(Timeline!$I$5:$I$305&lt;=Q$4+6)*(Timeline!$J$5:$J$305&gt;=Q$4+6)))</f>
        <v>1</v>
      </c>
      <c r="R10" s="67">
        <f>MAX(SUMPRODUCT((INDEX(Timeline!$P$5:$AN$305,0,MATCH($A10,Timeline!$P$4:$AN$4,0))="x")*(Timeline!$K$5:$K$305="Task")*ISNUMBER(Timeline!$I$5:$I$305)*ISNUMBER(Timeline!$J$5:$J$305)*(Timeline!$I$5:$I$305&lt;=R$4+0)*(Timeline!$J$5:$J$305&gt;=R$4+0)),SUMPRODUCT((INDEX(Timeline!$P$5:$AN$305,0,MATCH($A10,Timeline!$P$4:$AN$4,0))="x")*(Timeline!$K$5:$K$305="Task")*ISNUMBER(Timeline!$I$5:$I$305)*ISNUMBER(Timeline!$J$5:$J$305)*(Timeline!$I$5:$I$305&lt;=R$4+1)*(Timeline!$J$5:$J$305&gt;=R$4+1)),SUMPRODUCT((INDEX(Timeline!$P$5:$AN$305,0,MATCH($A10,Timeline!$P$4:$AN$4,0))="x")*(Timeline!$K$5:$K$305="Task")*ISNUMBER(Timeline!$I$5:$I$305)*ISNUMBER(Timeline!$J$5:$J$305)*(Timeline!$I$5:$I$305&lt;=R$4+2)*(Timeline!$J$5:$J$305&gt;=R$4+2)),SUMPRODUCT((INDEX(Timeline!$P$5:$AN$305,0,MATCH($A10,Timeline!$P$4:$AN$4,0))="x")*(Timeline!$K$5:$K$305="Task")*ISNUMBER(Timeline!$I$5:$I$305)*ISNUMBER(Timeline!$J$5:$J$305)*(Timeline!$I$5:$I$305&lt;=R$4+3)*(Timeline!$J$5:$J$305&gt;=R$4+3)),SUMPRODUCT((INDEX(Timeline!$P$5:$AN$305,0,MATCH($A10,Timeline!$P$4:$AN$4,0))="x")*(Timeline!$K$5:$K$305="Task")*ISNUMBER(Timeline!$I$5:$I$305)*ISNUMBER(Timeline!$J$5:$J$305)*(Timeline!$I$5:$I$305&lt;=R$4+4)*(Timeline!$J$5:$J$305&gt;=R$4+4)),SUMPRODUCT((INDEX(Timeline!$P$5:$AN$305,0,MATCH($A10,Timeline!$P$4:$AN$4,0))="x")*(Timeline!$K$5:$K$305="Task")*ISNUMBER(Timeline!$I$5:$I$305)*ISNUMBER(Timeline!$J$5:$J$305)*(Timeline!$I$5:$I$305&lt;=R$4+5)*(Timeline!$J$5:$J$305&gt;=R$4+5)),SUMPRODUCT((INDEX(Timeline!$P$5:$AN$305,0,MATCH($A10,Timeline!$P$4:$AN$4,0))="x")*(Timeline!$K$5:$K$305="Task")*ISNUMBER(Timeline!$I$5:$I$305)*ISNUMBER(Timeline!$J$5:$J$305)*(Timeline!$I$5:$I$305&lt;=R$4+6)*(Timeline!$J$5:$J$305&gt;=R$4+6)))</f>
        <v>2</v>
      </c>
      <c r="S10" s="67">
        <f>MAX(SUMPRODUCT((INDEX(Timeline!$P$5:$AN$305,0,MATCH($A10,Timeline!$P$4:$AN$4,0))="x")*(Timeline!$K$5:$K$305="Task")*ISNUMBER(Timeline!$I$5:$I$305)*ISNUMBER(Timeline!$J$5:$J$305)*(Timeline!$I$5:$I$305&lt;=S$4+0)*(Timeline!$J$5:$J$305&gt;=S$4+0)),SUMPRODUCT((INDEX(Timeline!$P$5:$AN$305,0,MATCH($A10,Timeline!$P$4:$AN$4,0))="x")*(Timeline!$K$5:$K$305="Task")*ISNUMBER(Timeline!$I$5:$I$305)*ISNUMBER(Timeline!$J$5:$J$305)*(Timeline!$I$5:$I$305&lt;=S$4+1)*(Timeline!$J$5:$J$305&gt;=S$4+1)),SUMPRODUCT((INDEX(Timeline!$P$5:$AN$305,0,MATCH($A10,Timeline!$P$4:$AN$4,0))="x")*(Timeline!$K$5:$K$305="Task")*ISNUMBER(Timeline!$I$5:$I$305)*ISNUMBER(Timeline!$J$5:$J$305)*(Timeline!$I$5:$I$305&lt;=S$4+2)*(Timeline!$J$5:$J$305&gt;=S$4+2)),SUMPRODUCT((INDEX(Timeline!$P$5:$AN$305,0,MATCH($A10,Timeline!$P$4:$AN$4,0))="x")*(Timeline!$K$5:$K$305="Task")*ISNUMBER(Timeline!$I$5:$I$305)*ISNUMBER(Timeline!$J$5:$J$305)*(Timeline!$I$5:$I$305&lt;=S$4+3)*(Timeline!$J$5:$J$305&gt;=S$4+3)),SUMPRODUCT((INDEX(Timeline!$P$5:$AN$305,0,MATCH($A10,Timeline!$P$4:$AN$4,0))="x")*(Timeline!$K$5:$K$305="Task")*ISNUMBER(Timeline!$I$5:$I$305)*ISNUMBER(Timeline!$J$5:$J$305)*(Timeline!$I$5:$I$305&lt;=S$4+4)*(Timeline!$J$5:$J$305&gt;=S$4+4)),SUMPRODUCT((INDEX(Timeline!$P$5:$AN$305,0,MATCH($A10,Timeline!$P$4:$AN$4,0))="x")*(Timeline!$K$5:$K$305="Task")*ISNUMBER(Timeline!$I$5:$I$305)*ISNUMBER(Timeline!$J$5:$J$305)*(Timeline!$I$5:$I$305&lt;=S$4+5)*(Timeline!$J$5:$J$305&gt;=S$4+5)),SUMPRODUCT((INDEX(Timeline!$P$5:$AN$305,0,MATCH($A10,Timeline!$P$4:$AN$4,0))="x")*(Timeline!$K$5:$K$305="Task")*ISNUMBER(Timeline!$I$5:$I$305)*ISNUMBER(Timeline!$J$5:$J$305)*(Timeline!$I$5:$I$305&lt;=S$4+6)*(Timeline!$J$5:$J$305&gt;=S$4+6)))</f>
        <v>2</v>
      </c>
      <c r="T10" s="67">
        <f>MAX(SUMPRODUCT((INDEX(Timeline!$P$5:$AN$305,0,MATCH($A10,Timeline!$P$4:$AN$4,0))="x")*(Timeline!$K$5:$K$305="Task")*ISNUMBER(Timeline!$I$5:$I$305)*ISNUMBER(Timeline!$J$5:$J$305)*(Timeline!$I$5:$I$305&lt;=T$4+0)*(Timeline!$J$5:$J$305&gt;=T$4+0)),SUMPRODUCT((INDEX(Timeline!$P$5:$AN$305,0,MATCH($A10,Timeline!$P$4:$AN$4,0))="x")*(Timeline!$K$5:$K$305="Task")*ISNUMBER(Timeline!$I$5:$I$305)*ISNUMBER(Timeline!$J$5:$J$305)*(Timeline!$I$5:$I$305&lt;=T$4+1)*(Timeline!$J$5:$J$305&gt;=T$4+1)),SUMPRODUCT((INDEX(Timeline!$P$5:$AN$305,0,MATCH($A10,Timeline!$P$4:$AN$4,0))="x")*(Timeline!$K$5:$K$305="Task")*ISNUMBER(Timeline!$I$5:$I$305)*ISNUMBER(Timeline!$J$5:$J$305)*(Timeline!$I$5:$I$305&lt;=T$4+2)*(Timeline!$J$5:$J$305&gt;=T$4+2)),SUMPRODUCT((INDEX(Timeline!$P$5:$AN$305,0,MATCH($A10,Timeline!$P$4:$AN$4,0))="x")*(Timeline!$K$5:$K$305="Task")*ISNUMBER(Timeline!$I$5:$I$305)*ISNUMBER(Timeline!$J$5:$J$305)*(Timeline!$I$5:$I$305&lt;=T$4+3)*(Timeline!$J$5:$J$305&gt;=T$4+3)),SUMPRODUCT((INDEX(Timeline!$P$5:$AN$305,0,MATCH($A10,Timeline!$P$4:$AN$4,0))="x")*(Timeline!$K$5:$K$305="Task")*ISNUMBER(Timeline!$I$5:$I$305)*ISNUMBER(Timeline!$J$5:$J$305)*(Timeline!$I$5:$I$305&lt;=T$4+4)*(Timeline!$J$5:$J$305&gt;=T$4+4)),SUMPRODUCT((INDEX(Timeline!$P$5:$AN$305,0,MATCH($A10,Timeline!$P$4:$AN$4,0))="x")*(Timeline!$K$5:$K$305="Task")*ISNUMBER(Timeline!$I$5:$I$305)*ISNUMBER(Timeline!$J$5:$J$305)*(Timeline!$I$5:$I$305&lt;=T$4+5)*(Timeline!$J$5:$J$305&gt;=T$4+5)),SUMPRODUCT((INDEX(Timeline!$P$5:$AN$305,0,MATCH($A10,Timeline!$P$4:$AN$4,0))="x")*(Timeline!$K$5:$K$305="Task")*ISNUMBER(Timeline!$I$5:$I$305)*ISNUMBER(Timeline!$J$5:$J$305)*(Timeline!$I$5:$I$305&lt;=T$4+6)*(Timeline!$J$5:$J$305&gt;=T$4+6)))</f>
        <v>2</v>
      </c>
      <c r="U10" s="67">
        <f>MAX(SUMPRODUCT((INDEX(Timeline!$P$5:$AN$305,0,MATCH($A10,Timeline!$P$4:$AN$4,0))="x")*(Timeline!$K$5:$K$305="Task")*ISNUMBER(Timeline!$I$5:$I$305)*ISNUMBER(Timeline!$J$5:$J$305)*(Timeline!$I$5:$I$305&lt;=U$4+0)*(Timeline!$J$5:$J$305&gt;=U$4+0)),SUMPRODUCT((INDEX(Timeline!$P$5:$AN$305,0,MATCH($A10,Timeline!$P$4:$AN$4,0))="x")*(Timeline!$K$5:$K$305="Task")*ISNUMBER(Timeline!$I$5:$I$305)*ISNUMBER(Timeline!$J$5:$J$305)*(Timeline!$I$5:$I$305&lt;=U$4+1)*(Timeline!$J$5:$J$305&gt;=U$4+1)),SUMPRODUCT((INDEX(Timeline!$P$5:$AN$305,0,MATCH($A10,Timeline!$P$4:$AN$4,0))="x")*(Timeline!$K$5:$K$305="Task")*ISNUMBER(Timeline!$I$5:$I$305)*ISNUMBER(Timeline!$J$5:$J$305)*(Timeline!$I$5:$I$305&lt;=U$4+2)*(Timeline!$J$5:$J$305&gt;=U$4+2)),SUMPRODUCT((INDEX(Timeline!$P$5:$AN$305,0,MATCH($A10,Timeline!$P$4:$AN$4,0))="x")*(Timeline!$K$5:$K$305="Task")*ISNUMBER(Timeline!$I$5:$I$305)*ISNUMBER(Timeline!$J$5:$J$305)*(Timeline!$I$5:$I$305&lt;=U$4+3)*(Timeline!$J$5:$J$305&gt;=U$4+3)),SUMPRODUCT((INDEX(Timeline!$P$5:$AN$305,0,MATCH($A10,Timeline!$P$4:$AN$4,0))="x")*(Timeline!$K$5:$K$305="Task")*ISNUMBER(Timeline!$I$5:$I$305)*ISNUMBER(Timeline!$J$5:$J$305)*(Timeline!$I$5:$I$305&lt;=U$4+4)*(Timeline!$J$5:$J$305&gt;=U$4+4)),SUMPRODUCT((INDEX(Timeline!$P$5:$AN$305,0,MATCH($A10,Timeline!$P$4:$AN$4,0))="x")*(Timeline!$K$5:$K$305="Task")*ISNUMBER(Timeline!$I$5:$I$305)*ISNUMBER(Timeline!$J$5:$J$305)*(Timeline!$I$5:$I$305&lt;=U$4+5)*(Timeline!$J$5:$J$305&gt;=U$4+5)),SUMPRODUCT((INDEX(Timeline!$P$5:$AN$305,0,MATCH($A10,Timeline!$P$4:$AN$4,0))="x")*(Timeline!$K$5:$K$305="Task")*ISNUMBER(Timeline!$I$5:$I$305)*ISNUMBER(Timeline!$J$5:$J$305)*(Timeline!$I$5:$I$305&lt;=U$4+6)*(Timeline!$J$5:$J$305&gt;=U$4+6)))</f>
        <v>0</v>
      </c>
      <c r="V10" s="67">
        <f>MAX(SUMPRODUCT((INDEX(Timeline!$P$5:$AN$305,0,MATCH($A10,Timeline!$P$4:$AN$4,0))="x")*(Timeline!$K$5:$K$305="Task")*ISNUMBER(Timeline!$I$5:$I$305)*ISNUMBER(Timeline!$J$5:$J$305)*(Timeline!$I$5:$I$305&lt;=V$4+0)*(Timeline!$J$5:$J$305&gt;=V$4+0)),SUMPRODUCT((INDEX(Timeline!$P$5:$AN$305,0,MATCH($A10,Timeline!$P$4:$AN$4,0))="x")*(Timeline!$K$5:$K$305="Task")*ISNUMBER(Timeline!$I$5:$I$305)*ISNUMBER(Timeline!$J$5:$J$305)*(Timeline!$I$5:$I$305&lt;=V$4+1)*(Timeline!$J$5:$J$305&gt;=V$4+1)),SUMPRODUCT((INDEX(Timeline!$P$5:$AN$305,0,MATCH($A10,Timeline!$P$4:$AN$4,0))="x")*(Timeline!$K$5:$K$305="Task")*ISNUMBER(Timeline!$I$5:$I$305)*ISNUMBER(Timeline!$J$5:$J$305)*(Timeline!$I$5:$I$305&lt;=V$4+2)*(Timeline!$J$5:$J$305&gt;=V$4+2)),SUMPRODUCT((INDEX(Timeline!$P$5:$AN$305,0,MATCH($A10,Timeline!$P$4:$AN$4,0))="x")*(Timeline!$K$5:$K$305="Task")*ISNUMBER(Timeline!$I$5:$I$305)*ISNUMBER(Timeline!$J$5:$J$305)*(Timeline!$I$5:$I$305&lt;=V$4+3)*(Timeline!$J$5:$J$305&gt;=V$4+3)),SUMPRODUCT((INDEX(Timeline!$P$5:$AN$305,0,MATCH($A10,Timeline!$P$4:$AN$4,0))="x")*(Timeline!$K$5:$K$305="Task")*ISNUMBER(Timeline!$I$5:$I$305)*ISNUMBER(Timeline!$J$5:$J$305)*(Timeline!$I$5:$I$305&lt;=V$4+4)*(Timeline!$J$5:$J$305&gt;=V$4+4)),SUMPRODUCT((INDEX(Timeline!$P$5:$AN$305,0,MATCH($A10,Timeline!$P$4:$AN$4,0))="x")*(Timeline!$K$5:$K$305="Task")*ISNUMBER(Timeline!$I$5:$I$305)*ISNUMBER(Timeline!$J$5:$J$305)*(Timeline!$I$5:$I$305&lt;=V$4+5)*(Timeline!$J$5:$J$305&gt;=V$4+5)),SUMPRODUCT((INDEX(Timeline!$P$5:$AN$305,0,MATCH($A10,Timeline!$P$4:$AN$4,0))="x")*(Timeline!$K$5:$K$305="Task")*ISNUMBER(Timeline!$I$5:$I$305)*ISNUMBER(Timeline!$J$5:$J$305)*(Timeline!$I$5:$I$305&lt;=V$4+6)*(Timeline!$J$5:$J$305&gt;=V$4+6)))</f>
        <v>0</v>
      </c>
      <c r="W10" s="67">
        <f>MAX(SUMPRODUCT((INDEX(Timeline!$P$5:$AN$305,0,MATCH($A10,Timeline!$P$4:$AN$4,0))="x")*(Timeline!$K$5:$K$305="Task")*ISNUMBER(Timeline!$I$5:$I$305)*ISNUMBER(Timeline!$J$5:$J$305)*(Timeline!$I$5:$I$305&lt;=W$4+0)*(Timeline!$J$5:$J$305&gt;=W$4+0)),SUMPRODUCT((INDEX(Timeline!$P$5:$AN$305,0,MATCH($A10,Timeline!$P$4:$AN$4,0))="x")*(Timeline!$K$5:$K$305="Task")*ISNUMBER(Timeline!$I$5:$I$305)*ISNUMBER(Timeline!$J$5:$J$305)*(Timeline!$I$5:$I$305&lt;=W$4+1)*(Timeline!$J$5:$J$305&gt;=W$4+1)),SUMPRODUCT((INDEX(Timeline!$P$5:$AN$305,0,MATCH($A10,Timeline!$P$4:$AN$4,0))="x")*(Timeline!$K$5:$K$305="Task")*ISNUMBER(Timeline!$I$5:$I$305)*ISNUMBER(Timeline!$J$5:$J$305)*(Timeline!$I$5:$I$305&lt;=W$4+2)*(Timeline!$J$5:$J$305&gt;=W$4+2)),SUMPRODUCT((INDEX(Timeline!$P$5:$AN$305,0,MATCH($A10,Timeline!$P$4:$AN$4,0))="x")*(Timeline!$K$5:$K$305="Task")*ISNUMBER(Timeline!$I$5:$I$305)*ISNUMBER(Timeline!$J$5:$J$305)*(Timeline!$I$5:$I$305&lt;=W$4+3)*(Timeline!$J$5:$J$305&gt;=W$4+3)),SUMPRODUCT((INDEX(Timeline!$P$5:$AN$305,0,MATCH($A10,Timeline!$P$4:$AN$4,0))="x")*(Timeline!$K$5:$K$305="Task")*ISNUMBER(Timeline!$I$5:$I$305)*ISNUMBER(Timeline!$J$5:$J$305)*(Timeline!$I$5:$I$305&lt;=W$4+4)*(Timeline!$J$5:$J$305&gt;=W$4+4)),SUMPRODUCT((INDEX(Timeline!$P$5:$AN$305,0,MATCH($A10,Timeline!$P$4:$AN$4,0))="x")*(Timeline!$K$5:$K$305="Task")*ISNUMBER(Timeline!$I$5:$I$305)*ISNUMBER(Timeline!$J$5:$J$305)*(Timeline!$I$5:$I$305&lt;=W$4+5)*(Timeline!$J$5:$J$305&gt;=W$4+5)),SUMPRODUCT((INDEX(Timeline!$P$5:$AN$305,0,MATCH($A10,Timeline!$P$4:$AN$4,0))="x")*(Timeline!$K$5:$K$305="Task")*ISNUMBER(Timeline!$I$5:$I$305)*ISNUMBER(Timeline!$J$5:$J$305)*(Timeline!$I$5:$I$305&lt;=W$4+6)*(Timeline!$J$5:$J$305&gt;=W$4+6)))</f>
        <v>0</v>
      </c>
      <c r="X10" s="67">
        <f>MAX(SUMPRODUCT((INDEX(Timeline!$P$5:$AN$305,0,MATCH($A10,Timeline!$P$4:$AN$4,0))="x")*(Timeline!$K$5:$K$305="Task")*ISNUMBER(Timeline!$I$5:$I$305)*ISNUMBER(Timeline!$J$5:$J$305)*(Timeline!$I$5:$I$305&lt;=X$4+0)*(Timeline!$J$5:$J$305&gt;=X$4+0)),SUMPRODUCT((INDEX(Timeline!$P$5:$AN$305,0,MATCH($A10,Timeline!$P$4:$AN$4,0))="x")*(Timeline!$K$5:$K$305="Task")*ISNUMBER(Timeline!$I$5:$I$305)*ISNUMBER(Timeline!$J$5:$J$305)*(Timeline!$I$5:$I$305&lt;=X$4+1)*(Timeline!$J$5:$J$305&gt;=X$4+1)),SUMPRODUCT((INDEX(Timeline!$P$5:$AN$305,0,MATCH($A10,Timeline!$P$4:$AN$4,0))="x")*(Timeline!$K$5:$K$305="Task")*ISNUMBER(Timeline!$I$5:$I$305)*ISNUMBER(Timeline!$J$5:$J$305)*(Timeline!$I$5:$I$305&lt;=X$4+2)*(Timeline!$J$5:$J$305&gt;=X$4+2)),SUMPRODUCT((INDEX(Timeline!$P$5:$AN$305,0,MATCH($A10,Timeline!$P$4:$AN$4,0))="x")*(Timeline!$K$5:$K$305="Task")*ISNUMBER(Timeline!$I$5:$I$305)*ISNUMBER(Timeline!$J$5:$J$305)*(Timeline!$I$5:$I$305&lt;=X$4+3)*(Timeline!$J$5:$J$305&gt;=X$4+3)),SUMPRODUCT((INDEX(Timeline!$P$5:$AN$305,0,MATCH($A10,Timeline!$P$4:$AN$4,0))="x")*(Timeline!$K$5:$K$305="Task")*ISNUMBER(Timeline!$I$5:$I$305)*ISNUMBER(Timeline!$J$5:$J$305)*(Timeline!$I$5:$I$305&lt;=X$4+4)*(Timeline!$J$5:$J$305&gt;=X$4+4)),SUMPRODUCT((INDEX(Timeline!$P$5:$AN$305,0,MATCH($A10,Timeline!$P$4:$AN$4,0))="x")*(Timeline!$K$5:$K$305="Task")*ISNUMBER(Timeline!$I$5:$I$305)*ISNUMBER(Timeline!$J$5:$J$305)*(Timeline!$I$5:$I$305&lt;=X$4+5)*(Timeline!$J$5:$J$305&gt;=X$4+5)),SUMPRODUCT((INDEX(Timeline!$P$5:$AN$305,0,MATCH($A10,Timeline!$P$4:$AN$4,0))="x")*(Timeline!$K$5:$K$305="Task")*ISNUMBER(Timeline!$I$5:$I$305)*ISNUMBER(Timeline!$J$5:$J$305)*(Timeline!$I$5:$I$305&lt;=X$4+6)*(Timeline!$J$5:$J$305&gt;=X$4+6)))</f>
        <v>1</v>
      </c>
      <c r="Y10" s="67">
        <f>MAX(SUMPRODUCT((INDEX(Timeline!$P$5:$AN$305,0,MATCH($A10,Timeline!$P$4:$AN$4,0))="x")*(Timeline!$K$5:$K$305="Task")*ISNUMBER(Timeline!$I$5:$I$305)*ISNUMBER(Timeline!$J$5:$J$305)*(Timeline!$I$5:$I$305&lt;=Y$4+0)*(Timeline!$J$5:$J$305&gt;=Y$4+0)),SUMPRODUCT((INDEX(Timeline!$P$5:$AN$305,0,MATCH($A10,Timeline!$P$4:$AN$4,0))="x")*(Timeline!$K$5:$K$305="Task")*ISNUMBER(Timeline!$I$5:$I$305)*ISNUMBER(Timeline!$J$5:$J$305)*(Timeline!$I$5:$I$305&lt;=Y$4+1)*(Timeline!$J$5:$J$305&gt;=Y$4+1)),SUMPRODUCT((INDEX(Timeline!$P$5:$AN$305,0,MATCH($A10,Timeline!$P$4:$AN$4,0))="x")*(Timeline!$K$5:$K$305="Task")*ISNUMBER(Timeline!$I$5:$I$305)*ISNUMBER(Timeline!$J$5:$J$305)*(Timeline!$I$5:$I$305&lt;=Y$4+2)*(Timeline!$J$5:$J$305&gt;=Y$4+2)),SUMPRODUCT((INDEX(Timeline!$P$5:$AN$305,0,MATCH($A10,Timeline!$P$4:$AN$4,0))="x")*(Timeline!$K$5:$K$305="Task")*ISNUMBER(Timeline!$I$5:$I$305)*ISNUMBER(Timeline!$J$5:$J$305)*(Timeline!$I$5:$I$305&lt;=Y$4+3)*(Timeline!$J$5:$J$305&gt;=Y$4+3)),SUMPRODUCT((INDEX(Timeline!$P$5:$AN$305,0,MATCH($A10,Timeline!$P$4:$AN$4,0))="x")*(Timeline!$K$5:$K$305="Task")*ISNUMBER(Timeline!$I$5:$I$305)*ISNUMBER(Timeline!$J$5:$J$305)*(Timeline!$I$5:$I$305&lt;=Y$4+4)*(Timeline!$J$5:$J$305&gt;=Y$4+4)),SUMPRODUCT((INDEX(Timeline!$P$5:$AN$305,0,MATCH($A10,Timeline!$P$4:$AN$4,0))="x")*(Timeline!$K$5:$K$305="Task")*ISNUMBER(Timeline!$I$5:$I$305)*ISNUMBER(Timeline!$J$5:$J$305)*(Timeline!$I$5:$I$305&lt;=Y$4+5)*(Timeline!$J$5:$J$305&gt;=Y$4+5)),SUMPRODUCT((INDEX(Timeline!$P$5:$AN$305,0,MATCH($A10,Timeline!$P$4:$AN$4,0))="x")*(Timeline!$K$5:$K$305="Task")*ISNUMBER(Timeline!$I$5:$I$305)*ISNUMBER(Timeline!$J$5:$J$305)*(Timeline!$I$5:$I$305&lt;=Y$4+6)*(Timeline!$J$5:$J$305&gt;=Y$4+6)))</f>
        <v>1</v>
      </c>
      <c r="Z10" s="67">
        <f>MAX(SUMPRODUCT((INDEX(Timeline!$P$5:$AN$305,0,MATCH($A10,Timeline!$P$4:$AN$4,0))="x")*(Timeline!$K$5:$K$305="Task")*ISNUMBER(Timeline!$I$5:$I$305)*ISNUMBER(Timeline!$J$5:$J$305)*(Timeline!$I$5:$I$305&lt;=Z$4+0)*(Timeline!$J$5:$J$305&gt;=Z$4+0)),SUMPRODUCT((INDEX(Timeline!$P$5:$AN$305,0,MATCH($A10,Timeline!$P$4:$AN$4,0))="x")*(Timeline!$K$5:$K$305="Task")*ISNUMBER(Timeline!$I$5:$I$305)*ISNUMBER(Timeline!$J$5:$J$305)*(Timeline!$I$5:$I$305&lt;=Z$4+1)*(Timeline!$J$5:$J$305&gt;=Z$4+1)),SUMPRODUCT((INDEX(Timeline!$P$5:$AN$305,0,MATCH($A10,Timeline!$P$4:$AN$4,0))="x")*(Timeline!$K$5:$K$305="Task")*ISNUMBER(Timeline!$I$5:$I$305)*ISNUMBER(Timeline!$J$5:$J$305)*(Timeline!$I$5:$I$305&lt;=Z$4+2)*(Timeline!$J$5:$J$305&gt;=Z$4+2)),SUMPRODUCT((INDEX(Timeline!$P$5:$AN$305,0,MATCH($A10,Timeline!$P$4:$AN$4,0))="x")*(Timeline!$K$5:$K$305="Task")*ISNUMBER(Timeline!$I$5:$I$305)*ISNUMBER(Timeline!$J$5:$J$305)*(Timeline!$I$5:$I$305&lt;=Z$4+3)*(Timeline!$J$5:$J$305&gt;=Z$4+3)),SUMPRODUCT((INDEX(Timeline!$P$5:$AN$305,0,MATCH($A10,Timeline!$P$4:$AN$4,0))="x")*(Timeline!$K$5:$K$305="Task")*ISNUMBER(Timeline!$I$5:$I$305)*ISNUMBER(Timeline!$J$5:$J$305)*(Timeline!$I$5:$I$305&lt;=Z$4+4)*(Timeline!$J$5:$J$305&gt;=Z$4+4)),SUMPRODUCT((INDEX(Timeline!$P$5:$AN$305,0,MATCH($A10,Timeline!$P$4:$AN$4,0))="x")*(Timeline!$K$5:$K$305="Task")*ISNUMBER(Timeline!$I$5:$I$305)*ISNUMBER(Timeline!$J$5:$J$305)*(Timeline!$I$5:$I$305&lt;=Z$4+5)*(Timeline!$J$5:$J$305&gt;=Z$4+5)),SUMPRODUCT((INDEX(Timeline!$P$5:$AN$305,0,MATCH($A10,Timeline!$P$4:$AN$4,0))="x")*(Timeline!$K$5:$K$305="Task")*ISNUMBER(Timeline!$I$5:$I$305)*ISNUMBER(Timeline!$J$5:$J$305)*(Timeline!$I$5:$I$305&lt;=Z$4+6)*(Timeline!$J$5:$J$305&gt;=Z$4+6)))</f>
        <v>1</v>
      </c>
      <c r="AA10" s="67">
        <f>MAX(SUMPRODUCT((INDEX(Timeline!$P$5:$AN$305,0,MATCH($A10,Timeline!$P$4:$AN$4,0))="x")*(Timeline!$K$5:$K$305="Task")*ISNUMBER(Timeline!$I$5:$I$305)*ISNUMBER(Timeline!$J$5:$J$305)*(Timeline!$I$5:$I$305&lt;=AA$4+0)*(Timeline!$J$5:$J$305&gt;=AA$4+0)),SUMPRODUCT((INDEX(Timeline!$P$5:$AN$305,0,MATCH($A10,Timeline!$P$4:$AN$4,0))="x")*(Timeline!$K$5:$K$305="Task")*ISNUMBER(Timeline!$I$5:$I$305)*ISNUMBER(Timeline!$J$5:$J$305)*(Timeline!$I$5:$I$305&lt;=AA$4+1)*(Timeline!$J$5:$J$305&gt;=AA$4+1)),SUMPRODUCT((INDEX(Timeline!$P$5:$AN$305,0,MATCH($A10,Timeline!$P$4:$AN$4,0))="x")*(Timeline!$K$5:$K$305="Task")*ISNUMBER(Timeline!$I$5:$I$305)*ISNUMBER(Timeline!$J$5:$J$305)*(Timeline!$I$5:$I$305&lt;=AA$4+2)*(Timeline!$J$5:$J$305&gt;=AA$4+2)),SUMPRODUCT((INDEX(Timeline!$P$5:$AN$305,0,MATCH($A10,Timeline!$P$4:$AN$4,0))="x")*(Timeline!$K$5:$K$305="Task")*ISNUMBER(Timeline!$I$5:$I$305)*ISNUMBER(Timeline!$J$5:$J$305)*(Timeline!$I$5:$I$305&lt;=AA$4+3)*(Timeline!$J$5:$J$305&gt;=AA$4+3)),SUMPRODUCT((INDEX(Timeline!$P$5:$AN$305,0,MATCH($A10,Timeline!$P$4:$AN$4,0))="x")*(Timeline!$K$5:$K$305="Task")*ISNUMBER(Timeline!$I$5:$I$305)*ISNUMBER(Timeline!$J$5:$J$305)*(Timeline!$I$5:$I$305&lt;=AA$4+4)*(Timeline!$J$5:$J$305&gt;=AA$4+4)),SUMPRODUCT((INDEX(Timeline!$P$5:$AN$305,0,MATCH($A10,Timeline!$P$4:$AN$4,0))="x")*(Timeline!$K$5:$K$305="Task")*ISNUMBER(Timeline!$I$5:$I$305)*ISNUMBER(Timeline!$J$5:$J$305)*(Timeline!$I$5:$I$305&lt;=AA$4+5)*(Timeline!$J$5:$J$305&gt;=AA$4+5)),SUMPRODUCT((INDEX(Timeline!$P$5:$AN$305,0,MATCH($A10,Timeline!$P$4:$AN$4,0))="x")*(Timeline!$K$5:$K$305="Task")*ISNUMBER(Timeline!$I$5:$I$305)*ISNUMBER(Timeline!$J$5:$J$305)*(Timeline!$I$5:$I$305&lt;=AA$4+6)*(Timeline!$J$5:$J$305&gt;=AA$4+6)))</f>
        <v>1</v>
      </c>
      <c r="AB10" s="67">
        <f>MAX(SUMPRODUCT((INDEX(Timeline!$P$5:$AN$305,0,MATCH($A10,Timeline!$P$4:$AN$4,0))="x")*(Timeline!$K$5:$K$305="Task")*ISNUMBER(Timeline!$I$5:$I$305)*ISNUMBER(Timeline!$J$5:$J$305)*(Timeline!$I$5:$I$305&lt;=AB$4+0)*(Timeline!$J$5:$J$305&gt;=AB$4+0)),SUMPRODUCT((INDEX(Timeline!$P$5:$AN$305,0,MATCH($A10,Timeline!$P$4:$AN$4,0))="x")*(Timeline!$K$5:$K$305="Task")*ISNUMBER(Timeline!$I$5:$I$305)*ISNUMBER(Timeline!$J$5:$J$305)*(Timeline!$I$5:$I$305&lt;=AB$4+1)*(Timeline!$J$5:$J$305&gt;=AB$4+1)),SUMPRODUCT((INDEX(Timeline!$P$5:$AN$305,0,MATCH($A10,Timeline!$P$4:$AN$4,0))="x")*(Timeline!$K$5:$K$305="Task")*ISNUMBER(Timeline!$I$5:$I$305)*ISNUMBER(Timeline!$J$5:$J$305)*(Timeline!$I$5:$I$305&lt;=AB$4+2)*(Timeline!$J$5:$J$305&gt;=AB$4+2)),SUMPRODUCT((INDEX(Timeline!$P$5:$AN$305,0,MATCH($A10,Timeline!$P$4:$AN$4,0))="x")*(Timeline!$K$5:$K$305="Task")*ISNUMBER(Timeline!$I$5:$I$305)*ISNUMBER(Timeline!$J$5:$J$305)*(Timeline!$I$5:$I$305&lt;=AB$4+3)*(Timeline!$J$5:$J$305&gt;=AB$4+3)),SUMPRODUCT((INDEX(Timeline!$P$5:$AN$305,0,MATCH($A10,Timeline!$P$4:$AN$4,0))="x")*(Timeline!$K$5:$K$305="Task")*ISNUMBER(Timeline!$I$5:$I$305)*ISNUMBER(Timeline!$J$5:$J$305)*(Timeline!$I$5:$I$305&lt;=AB$4+4)*(Timeline!$J$5:$J$305&gt;=AB$4+4)),SUMPRODUCT((INDEX(Timeline!$P$5:$AN$305,0,MATCH($A10,Timeline!$P$4:$AN$4,0))="x")*(Timeline!$K$5:$K$305="Task")*ISNUMBER(Timeline!$I$5:$I$305)*ISNUMBER(Timeline!$J$5:$J$305)*(Timeline!$I$5:$I$305&lt;=AB$4+5)*(Timeline!$J$5:$J$305&gt;=AB$4+5)),SUMPRODUCT((INDEX(Timeline!$P$5:$AN$305,0,MATCH($A10,Timeline!$P$4:$AN$4,0))="x")*(Timeline!$K$5:$K$305="Task")*ISNUMBER(Timeline!$I$5:$I$305)*ISNUMBER(Timeline!$J$5:$J$305)*(Timeline!$I$5:$I$305&lt;=AB$4+6)*(Timeline!$J$5:$J$305&gt;=AB$4+6)))</f>
        <v>1</v>
      </c>
      <c r="AC10" s="67">
        <f>MAX(SUMPRODUCT((INDEX(Timeline!$P$5:$AN$305,0,MATCH($A10,Timeline!$P$4:$AN$4,0))="x")*(Timeline!$K$5:$K$305="Task")*ISNUMBER(Timeline!$I$5:$I$305)*ISNUMBER(Timeline!$J$5:$J$305)*(Timeline!$I$5:$I$305&lt;=AC$4+0)*(Timeline!$J$5:$J$305&gt;=AC$4+0)),SUMPRODUCT((INDEX(Timeline!$P$5:$AN$305,0,MATCH($A10,Timeline!$P$4:$AN$4,0))="x")*(Timeline!$K$5:$K$305="Task")*ISNUMBER(Timeline!$I$5:$I$305)*ISNUMBER(Timeline!$J$5:$J$305)*(Timeline!$I$5:$I$305&lt;=AC$4+1)*(Timeline!$J$5:$J$305&gt;=AC$4+1)),SUMPRODUCT((INDEX(Timeline!$P$5:$AN$305,0,MATCH($A10,Timeline!$P$4:$AN$4,0))="x")*(Timeline!$K$5:$K$305="Task")*ISNUMBER(Timeline!$I$5:$I$305)*ISNUMBER(Timeline!$J$5:$J$305)*(Timeline!$I$5:$I$305&lt;=AC$4+2)*(Timeline!$J$5:$J$305&gt;=AC$4+2)),SUMPRODUCT((INDEX(Timeline!$P$5:$AN$305,0,MATCH($A10,Timeline!$P$4:$AN$4,0))="x")*(Timeline!$K$5:$K$305="Task")*ISNUMBER(Timeline!$I$5:$I$305)*ISNUMBER(Timeline!$J$5:$J$305)*(Timeline!$I$5:$I$305&lt;=AC$4+3)*(Timeline!$J$5:$J$305&gt;=AC$4+3)),SUMPRODUCT((INDEX(Timeline!$P$5:$AN$305,0,MATCH($A10,Timeline!$P$4:$AN$4,0))="x")*(Timeline!$K$5:$K$305="Task")*ISNUMBER(Timeline!$I$5:$I$305)*ISNUMBER(Timeline!$J$5:$J$305)*(Timeline!$I$5:$I$305&lt;=AC$4+4)*(Timeline!$J$5:$J$305&gt;=AC$4+4)),SUMPRODUCT((INDEX(Timeline!$P$5:$AN$305,0,MATCH($A10,Timeline!$P$4:$AN$4,0))="x")*(Timeline!$K$5:$K$305="Task")*ISNUMBER(Timeline!$I$5:$I$305)*ISNUMBER(Timeline!$J$5:$J$305)*(Timeline!$I$5:$I$305&lt;=AC$4+5)*(Timeline!$J$5:$J$305&gt;=AC$4+5)),SUMPRODUCT((INDEX(Timeline!$P$5:$AN$305,0,MATCH($A10,Timeline!$P$4:$AN$4,0))="x")*(Timeline!$K$5:$K$305="Task")*ISNUMBER(Timeline!$I$5:$I$305)*ISNUMBER(Timeline!$J$5:$J$305)*(Timeline!$I$5:$I$305&lt;=AC$4+6)*(Timeline!$J$5:$J$305&gt;=AC$4+6)))</f>
        <v>1</v>
      </c>
      <c r="AD10" s="67">
        <f>MAX(SUMPRODUCT((INDEX(Timeline!$P$5:$AN$305,0,MATCH($A10,Timeline!$P$4:$AN$4,0))="x")*(Timeline!$K$5:$K$305="Task")*ISNUMBER(Timeline!$I$5:$I$305)*ISNUMBER(Timeline!$J$5:$J$305)*(Timeline!$I$5:$I$305&lt;=AD$4+0)*(Timeline!$J$5:$J$305&gt;=AD$4+0)),SUMPRODUCT((INDEX(Timeline!$P$5:$AN$305,0,MATCH($A10,Timeline!$P$4:$AN$4,0))="x")*(Timeline!$K$5:$K$305="Task")*ISNUMBER(Timeline!$I$5:$I$305)*ISNUMBER(Timeline!$J$5:$J$305)*(Timeline!$I$5:$I$305&lt;=AD$4+1)*(Timeline!$J$5:$J$305&gt;=AD$4+1)),SUMPRODUCT((INDEX(Timeline!$P$5:$AN$305,0,MATCH($A10,Timeline!$P$4:$AN$4,0))="x")*(Timeline!$K$5:$K$305="Task")*ISNUMBER(Timeline!$I$5:$I$305)*ISNUMBER(Timeline!$J$5:$J$305)*(Timeline!$I$5:$I$305&lt;=AD$4+2)*(Timeline!$J$5:$J$305&gt;=AD$4+2)),SUMPRODUCT((INDEX(Timeline!$P$5:$AN$305,0,MATCH($A10,Timeline!$P$4:$AN$4,0))="x")*(Timeline!$K$5:$K$305="Task")*ISNUMBER(Timeline!$I$5:$I$305)*ISNUMBER(Timeline!$J$5:$J$305)*(Timeline!$I$5:$I$305&lt;=AD$4+3)*(Timeline!$J$5:$J$305&gt;=AD$4+3)),SUMPRODUCT((INDEX(Timeline!$P$5:$AN$305,0,MATCH($A10,Timeline!$P$4:$AN$4,0))="x")*(Timeline!$K$5:$K$305="Task")*ISNUMBER(Timeline!$I$5:$I$305)*ISNUMBER(Timeline!$J$5:$J$305)*(Timeline!$I$5:$I$305&lt;=AD$4+4)*(Timeline!$J$5:$J$305&gt;=AD$4+4)),SUMPRODUCT((INDEX(Timeline!$P$5:$AN$305,0,MATCH($A10,Timeline!$P$4:$AN$4,0))="x")*(Timeline!$K$5:$K$305="Task")*ISNUMBER(Timeline!$I$5:$I$305)*ISNUMBER(Timeline!$J$5:$J$305)*(Timeline!$I$5:$I$305&lt;=AD$4+5)*(Timeline!$J$5:$J$305&gt;=AD$4+5)),SUMPRODUCT((INDEX(Timeline!$P$5:$AN$305,0,MATCH($A10,Timeline!$P$4:$AN$4,0))="x")*(Timeline!$K$5:$K$305="Task")*ISNUMBER(Timeline!$I$5:$I$305)*ISNUMBER(Timeline!$J$5:$J$305)*(Timeline!$I$5:$I$305&lt;=AD$4+6)*(Timeline!$J$5:$J$305&gt;=AD$4+6)))</f>
        <v>1</v>
      </c>
      <c r="AE10" s="67">
        <f>MAX(SUMPRODUCT((INDEX(Timeline!$P$5:$AN$305,0,MATCH($A10,Timeline!$P$4:$AN$4,0))="x")*(Timeline!$K$5:$K$305="Task")*ISNUMBER(Timeline!$I$5:$I$305)*ISNUMBER(Timeline!$J$5:$J$305)*(Timeline!$I$5:$I$305&lt;=AE$4+0)*(Timeline!$J$5:$J$305&gt;=AE$4+0)),SUMPRODUCT((INDEX(Timeline!$P$5:$AN$305,0,MATCH($A10,Timeline!$P$4:$AN$4,0))="x")*(Timeline!$K$5:$K$305="Task")*ISNUMBER(Timeline!$I$5:$I$305)*ISNUMBER(Timeline!$J$5:$J$305)*(Timeline!$I$5:$I$305&lt;=AE$4+1)*(Timeline!$J$5:$J$305&gt;=AE$4+1)),SUMPRODUCT((INDEX(Timeline!$P$5:$AN$305,0,MATCH($A10,Timeline!$P$4:$AN$4,0))="x")*(Timeline!$K$5:$K$305="Task")*ISNUMBER(Timeline!$I$5:$I$305)*ISNUMBER(Timeline!$J$5:$J$305)*(Timeline!$I$5:$I$305&lt;=AE$4+2)*(Timeline!$J$5:$J$305&gt;=AE$4+2)),SUMPRODUCT((INDEX(Timeline!$P$5:$AN$305,0,MATCH($A10,Timeline!$P$4:$AN$4,0))="x")*(Timeline!$K$5:$K$305="Task")*ISNUMBER(Timeline!$I$5:$I$305)*ISNUMBER(Timeline!$J$5:$J$305)*(Timeline!$I$5:$I$305&lt;=AE$4+3)*(Timeline!$J$5:$J$305&gt;=AE$4+3)),SUMPRODUCT((INDEX(Timeline!$P$5:$AN$305,0,MATCH($A10,Timeline!$P$4:$AN$4,0))="x")*(Timeline!$K$5:$K$305="Task")*ISNUMBER(Timeline!$I$5:$I$305)*ISNUMBER(Timeline!$J$5:$J$305)*(Timeline!$I$5:$I$305&lt;=AE$4+4)*(Timeline!$J$5:$J$305&gt;=AE$4+4)),SUMPRODUCT((INDEX(Timeline!$P$5:$AN$305,0,MATCH($A10,Timeline!$P$4:$AN$4,0))="x")*(Timeline!$K$5:$K$305="Task")*ISNUMBER(Timeline!$I$5:$I$305)*ISNUMBER(Timeline!$J$5:$J$305)*(Timeline!$I$5:$I$305&lt;=AE$4+5)*(Timeline!$J$5:$J$305&gt;=AE$4+5)),SUMPRODUCT((INDEX(Timeline!$P$5:$AN$305,0,MATCH($A10,Timeline!$P$4:$AN$4,0))="x")*(Timeline!$K$5:$K$305="Task")*ISNUMBER(Timeline!$I$5:$I$305)*ISNUMBER(Timeline!$J$5:$J$305)*(Timeline!$I$5:$I$305&lt;=AE$4+6)*(Timeline!$J$5:$J$305&gt;=AE$4+6)))</f>
        <v>1</v>
      </c>
      <c r="AF10" s="67">
        <f>MAX(SUMPRODUCT((INDEX(Timeline!$P$5:$AN$305,0,MATCH($A10,Timeline!$P$4:$AN$4,0))="x")*(Timeline!$K$5:$K$305="Task")*ISNUMBER(Timeline!$I$5:$I$305)*ISNUMBER(Timeline!$J$5:$J$305)*(Timeline!$I$5:$I$305&lt;=AF$4+0)*(Timeline!$J$5:$J$305&gt;=AF$4+0)),SUMPRODUCT((INDEX(Timeline!$P$5:$AN$305,0,MATCH($A10,Timeline!$P$4:$AN$4,0))="x")*(Timeline!$K$5:$K$305="Task")*ISNUMBER(Timeline!$I$5:$I$305)*ISNUMBER(Timeline!$J$5:$J$305)*(Timeline!$I$5:$I$305&lt;=AF$4+1)*(Timeline!$J$5:$J$305&gt;=AF$4+1)),SUMPRODUCT((INDEX(Timeline!$P$5:$AN$305,0,MATCH($A10,Timeline!$P$4:$AN$4,0))="x")*(Timeline!$K$5:$K$305="Task")*ISNUMBER(Timeline!$I$5:$I$305)*ISNUMBER(Timeline!$J$5:$J$305)*(Timeline!$I$5:$I$305&lt;=AF$4+2)*(Timeline!$J$5:$J$305&gt;=AF$4+2)),SUMPRODUCT((INDEX(Timeline!$P$5:$AN$305,0,MATCH($A10,Timeline!$P$4:$AN$4,0))="x")*(Timeline!$K$5:$K$305="Task")*ISNUMBER(Timeline!$I$5:$I$305)*ISNUMBER(Timeline!$J$5:$J$305)*(Timeline!$I$5:$I$305&lt;=AF$4+3)*(Timeline!$J$5:$J$305&gt;=AF$4+3)),SUMPRODUCT((INDEX(Timeline!$P$5:$AN$305,0,MATCH($A10,Timeline!$P$4:$AN$4,0))="x")*(Timeline!$K$5:$K$305="Task")*ISNUMBER(Timeline!$I$5:$I$305)*ISNUMBER(Timeline!$J$5:$J$305)*(Timeline!$I$5:$I$305&lt;=AF$4+4)*(Timeline!$J$5:$J$305&gt;=AF$4+4)),SUMPRODUCT((INDEX(Timeline!$P$5:$AN$305,0,MATCH($A10,Timeline!$P$4:$AN$4,0))="x")*(Timeline!$K$5:$K$305="Task")*ISNUMBER(Timeline!$I$5:$I$305)*ISNUMBER(Timeline!$J$5:$J$305)*(Timeline!$I$5:$I$305&lt;=AF$4+5)*(Timeline!$J$5:$J$305&gt;=AF$4+5)),SUMPRODUCT((INDEX(Timeline!$P$5:$AN$305,0,MATCH($A10,Timeline!$P$4:$AN$4,0))="x")*(Timeline!$K$5:$K$305="Task")*ISNUMBER(Timeline!$I$5:$I$305)*ISNUMBER(Timeline!$J$5:$J$305)*(Timeline!$I$5:$I$305&lt;=AF$4+6)*(Timeline!$J$5:$J$305&gt;=AF$4+6)))</f>
        <v>1</v>
      </c>
      <c r="AG10" s="67">
        <f>MAX(SUMPRODUCT((INDEX(Timeline!$P$5:$AN$305,0,MATCH($A10,Timeline!$P$4:$AN$4,0))="x")*(Timeline!$K$5:$K$305="Task")*ISNUMBER(Timeline!$I$5:$I$305)*ISNUMBER(Timeline!$J$5:$J$305)*(Timeline!$I$5:$I$305&lt;=AG$4+0)*(Timeline!$J$5:$J$305&gt;=AG$4+0)),SUMPRODUCT((INDEX(Timeline!$P$5:$AN$305,0,MATCH($A10,Timeline!$P$4:$AN$4,0))="x")*(Timeline!$K$5:$K$305="Task")*ISNUMBER(Timeline!$I$5:$I$305)*ISNUMBER(Timeline!$J$5:$J$305)*(Timeline!$I$5:$I$305&lt;=AG$4+1)*(Timeline!$J$5:$J$305&gt;=AG$4+1)),SUMPRODUCT((INDEX(Timeline!$P$5:$AN$305,0,MATCH($A10,Timeline!$P$4:$AN$4,0))="x")*(Timeline!$K$5:$K$305="Task")*ISNUMBER(Timeline!$I$5:$I$305)*ISNUMBER(Timeline!$J$5:$J$305)*(Timeline!$I$5:$I$305&lt;=AG$4+2)*(Timeline!$J$5:$J$305&gt;=AG$4+2)),SUMPRODUCT((INDEX(Timeline!$P$5:$AN$305,0,MATCH($A10,Timeline!$P$4:$AN$4,0))="x")*(Timeline!$K$5:$K$305="Task")*ISNUMBER(Timeline!$I$5:$I$305)*ISNUMBER(Timeline!$J$5:$J$305)*(Timeline!$I$5:$I$305&lt;=AG$4+3)*(Timeline!$J$5:$J$305&gt;=AG$4+3)),SUMPRODUCT((INDEX(Timeline!$P$5:$AN$305,0,MATCH($A10,Timeline!$P$4:$AN$4,0))="x")*(Timeline!$K$5:$K$305="Task")*ISNUMBER(Timeline!$I$5:$I$305)*ISNUMBER(Timeline!$J$5:$J$305)*(Timeline!$I$5:$I$305&lt;=AG$4+4)*(Timeline!$J$5:$J$305&gt;=AG$4+4)),SUMPRODUCT((INDEX(Timeline!$P$5:$AN$305,0,MATCH($A10,Timeline!$P$4:$AN$4,0))="x")*(Timeline!$K$5:$K$305="Task")*ISNUMBER(Timeline!$I$5:$I$305)*ISNUMBER(Timeline!$J$5:$J$305)*(Timeline!$I$5:$I$305&lt;=AG$4+5)*(Timeline!$J$5:$J$305&gt;=AG$4+5)),SUMPRODUCT((INDEX(Timeline!$P$5:$AN$305,0,MATCH($A10,Timeline!$P$4:$AN$4,0))="x")*(Timeline!$K$5:$K$305="Task")*ISNUMBER(Timeline!$I$5:$I$305)*ISNUMBER(Timeline!$J$5:$J$305)*(Timeline!$I$5:$I$305&lt;=AG$4+6)*(Timeline!$J$5:$J$305&gt;=AG$4+6)))</f>
        <v>0</v>
      </c>
      <c r="AH10" s="67">
        <f>MAX(SUMPRODUCT((INDEX(Timeline!$P$5:$AN$305,0,MATCH($A10,Timeline!$P$4:$AN$4,0))="x")*(Timeline!$K$5:$K$305="Task")*ISNUMBER(Timeline!$I$5:$I$305)*ISNUMBER(Timeline!$J$5:$J$305)*(Timeline!$I$5:$I$305&lt;=AH$4+0)*(Timeline!$J$5:$J$305&gt;=AH$4+0)),SUMPRODUCT((INDEX(Timeline!$P$5:$AN$305,0,MATCH($A10,Timeline!$P$4:$AN$4,0))="x")*(Timeline!$K$5:$K$305="Task")*ISNUMBER(Timeline!$I$5:$I$305)*ISNUMBER(Timeline!$J$5:$J$305)*(Timeline!$I$5:$I$305&lt;=AH$4+1)*(Timeline!$J$5:$J$305&gt;=AH$4+1)),SUMPRODUCT((INDEX(Timeline!$P$5:$AN$305,0,MATCH($A10,Timeline!$P$4:$AN$4,0))="x")*(Timeline!$K$5:$K$305="Task")*ISNUMBER(Timeline!$I$5:$I$305)*ISNUMBER(Timeline!$J$5:$J$305)*(Timeline!$I$5:$I$305&lt;=AH$4+2)*(Timeline!$J$5:$J$305&gt;=AH$4+2)),SUMPRODUCT((INDEX(Timeline!$P$5:$AN$305,0,MATCH($A10,Timeline!$P$4:$AN$4,0))="x")*(Timeline!$K$5:$K$305="Task")*ISNUMBER(Timeline!$I$5:$I$305)*ISNUMBER(Timeline!$J$5:$J$305)*(Timeline!$I$5:$I$305&lt;=AH$4+3)*(Timeline!$J$5:$J$305&gt;=AH$4+3)),SUMPRODUCT((INDEX(Timeline!$P$5:$AN$305,0,MATCH($A10,Timeline!$P$4:$AN$4,0))="x")*(Timeline!$K$5:$K$305="Task")*ISNUMBER(Timeline!$I$5:$I$305)*ISNUMBER(Timeline!$J$5:$J$305)*(Timeline!$I$5:$I$305&lt;=AH$4+4)*(Timeline!$J$5:$J$305&gt;=AH$4+4)),SUMPRODUCT((INDEX(Timeline!$P$5:$AN$305,0,MATCH($A10,Timeline!$P$4:$AN$4,0))="x")*(Timeline!$K$5:$K$305="Task")*ISNUMBER(Timeline!$I$5:$I$305)*ISNUMBER(Timeline!$J$5:$J$305)*(Timeline!$I$5:$I$305&lt;=AH$4+5)*(Timeline!$J$5:$J$305&gt;=AH$4+5)),SUMPRODUCT((INDEX(Timeline!$P$5:$AN$305,0,MATCH($A10,Timeline!$P$4:$AN$4,0))="x")*(Timeline!$K$5:$K$305="Task")*ISNUMBER(Timeline!$I$5:$I$305)*ISNUMBER(Timeline!$J$5:$J$305)*(Timeline!$I$5:$I$305&lt;=AH$4+6)*(Timeline!$J$5:$J$305&gt;=AH$4+6)))</f>
        <v>0</v>
      </c>
      <c r="AI10" s="67">
        <f>MAX(SUMPRODUCT((INDEX(Timeline!$P$5:$AN$305,0,MATCH($A10,Timeline!$P$4:$AN$4,0))="x")*(Timeline!$K$5:$K$305="Task")*ISNUMBER(Timeline!$I$5:$I$305)*ISNUMBER(Timeline!$J$5:$J$305)*(Timeline!$I$5:$I$305&lt;=AI$4+0)*(Timeline!$J$5:$J$305&gt;=AI$4+0)),SUMPRODUCT((INDEX(Timeline!$P$5:$AN$305,0,MATCH($A10,Timeline!$P$4:$AN$4,0))="x")*(Timeline!$K$5:$K$305="Task")*ISNUMBER(Timeline!$I$5:$I$305)*ISNUMBER(Timeline!$J$5:$J$305)*(Timeline!$I$5:$I$305&lt;=AI$4+1)*(Timeline!$J$5:$J$305&gt;=AI$4+1)),SUMPRODUCT((INDEX(Timeline!$P$5:$AN$305,0,MATCH($A10,Timeline!$P$4:$AN$4,0))="x")*(Timeline!$K$5:$K$305="Task")*ISNUMBER(Timeline!$I$5:$I$305)*ISNUMBER(Timeline!$J$5:$J$305)*(Timeline!$I$5:$I$305&lt;=AI$4+2)*(Timeline!$J$5:$J$305&gt;=AI$4+2)),SUMPRODUCT((INDEX(Timeline!$P$5:$AN$305,0,MATCH($A10,Timeline!$P$4:$AN$4,0))="x")*(Timeline!$K$5:$K$305="Task")*ISNUMBER(Timeline!$I$5:$I$305)*ISNUMBER(Timeline!$J$5:$J$305)*(Timeline!$I$5:$I$305&lt;=AI$4+3)*(Timeline!$J$5:$J$305&gt;=AI$4+3)),SUMPRODUCT((INDEX(Timeline!$P$5:$AN$305,0,MATCH($A10,Timeline!$P$4:$AN$4,0))="x")*(Timeline!$K$5:$K$305="Task")*ISNUMBER(Timeline!$I$5:$I$305)*ISNUMBER(Timeline!$J$5:$J$305)*(Timeline!$I$5:$I$305&lt;=AI$4+4)*(Timeline!$J$5:$J$305&gt;=AI$4+4)),SUMPRODUCT((INDEX(Timeline!$P$5:$AN$305,0,MATCH($A10,Timeline!$P$4:$AN$4,0))="x")*(Timeline!$K$5:$K$305="Task")*ISNUMBER(Timeline!$I$5:$I$305)*ISNUMBER(Timeline!$J$5:$J$305)*(Timeline!$I$5:$I$305&lt;=AI$4+5)*(Timeline!$J$5:$J$305&gt;=AI$4+5)),SUMPRODUCT((INDEX(Timeline!$P$5:$AN$305,0,MATCH($A10,Timeline!$P$4:$AN$4,0))="x")*(Timeline!$K$5:$K$305="Task")*ISNUMBER(Timeline!$I$5:$I$305)*ISNUMBER(Timeline!$J$5:$J$305)*(Timeline!$I$5:$I$305&lt;=AI$4+6)*(Timeline!$J$5:$J$305&gt;=AI$4+6)))</f>
        <v>0</v>
      </c>
      <c r="AJ10" s="67">
        <f>MAX(SUMPRODUCT((INDEX(Timeline!$P$5:$AN$305,0,MATCH($A10,Timeline!$P$4:$AN$4,0))="x")*(Timeline!$K$5:$K$305="Task")*ISNUMBER(Timeline!$I$5:$I$305)*ISNUMBER(Timeline!$J$5:$J$305)*(Timeline!$I$5:$I$305&lt;=AJ$4+0)*(Timeline!$J$5:$J$305&gt;=AJ$4+0)),SUMPRODUCT((INDEX(Timeline!$P$5:$AN$305,0,MATCH($A10,Timeline!$P$4:$AN$4,0))="x")*(Timeline!$K$5:$K$305="Task")*ISNUMBER(Timeline!$I$5:$I$305)*ISNUMBER(Timeline!$J$5:$J$305)*(Timeline!$I$5:$I$305&lt;=AJ$4+1)*(Timeline!$J$5:$J$305&gt;=AJ$4+1)),SUMPRODUCT((INDEX(Timeline!$P$5:$AN$305,0,MATCH($A10,Timeline!$P$4:$AN$4,0))="x")*(Timeline!$K$5:$K$305="Task")*ISNUMBER(Timeline!$I$5:$I$305)*ISNUMBER(Timeline!$J$5:$J$305)*(Timeline!$I$5:$I$305&lt;=AJ$4+2)*(Timeline!$J$5:$J$305&gt;=AJ$4+2)),SUMPRODUCT((INDEX(Timeline!$P$5:$AN$305,0,MATCH($A10,Timeline!$P$4:$AN$4,0))="x")*(Timeline!$K$5:$K$305="Task")*ISNUMBER(Timeline!$I$5:$I$305)*ISNUMBER(Timeline!$J$5:$J$305)*(Timeline!$I$5:$I$305&lt;=AJ$4+3)*(Timeline!$J$5:$J$305&gt;=AJ$4+3)),SUMPRODUCT((INDEX(Timeline!$P$5:$AN$305,0,MATCH($A10,Timeline!$P$4:$AN$4,0))="x")*(Timeline!$K$5:$K$305="Task")*ISNUMBER(Timeline!$I$5:$I$305)*ISNUMBER(Timeline!$J$5:$J$305)*(Timeline!$I$5:$I$305&lt;=AJ$4+4)*(Timeline!$J$5:$J$305&gt;=AJ$4+4)),SUMPRODUCT((INDEX(Timeline!$P$5:$AN$305,0,MATCH($A10,Timeline!$P$4:$AN$4,0))="x")*(Timeline!$K$5:$K$305="Task")*ISNUMBER(Timeline!$I$5:$I$305)*ISNUMBER(Timeline!$J$5:$J$305)*(Timeline!$I$5:$I$305&lt;=AJ$4+5)*(Timeline!$J$5:$J$305&gt;=AJ$4+5)),SUMPRODUCT((INDEX(Timeline!$P$5:$AN$305,0,MATCH($A10,Timeline!$P$4:$AN$4,0))="x")*(Timeline!$K$5:$K$305="Task")*ISNUMBER(Timeline!$I$5:$I$305)*ISNUMBER(Timeline!$J$5:$J$305)*(Timeline!$I$5:$I$305&lt;=AJ$4+6)*(Timeline!$J$5:$J$305&gt;=AJ$4+6)))</f>
        <v>0</v>
      </c>
      <c r="AK10" s="67">
        <f>MAX(SUMPRODUCT((INDEX(Timeline!$P$5:$AN$305,0,MATCH($A10,Timeline!$P$4:$AN$4,0))="x")*(Timeline!$K$5:$K$305="Task")*ISNUMBER(Timeline!$I$5:$I$305)*ISNUMBER(Timeline!$J$5:$J$305)*(Timeline!$I$5:$I$305&lt;=AK$4+0)*(Timeline!$J$5:$J$305&gt;=AK$4+0)),SUMPRODUCT((INDEX(Timeline!$P$5:$AN$305,0,MATCH($A10,Timeline!$P$4:$AN$4,0))="x")*(Timeline!$K$5:$K$305="Task")*ISNUMBER(Timeline!$I$5:$I$305)*ISNUMBER(Timeline!$J$5:$J$305)*(Timeline!$I$5:$I$305&lt;=AK$4+1)*(Timeline!$J$5:$J$305&gt;=AK$4+1)),SUMPRODUCT((INDEX(Timeline!$P$5:$AN$305,0,MATCH($A10,Timeline!$P$4:$AN$4,0))="x")*(Timeline!$K$5:$K$305="Task")*ISNUMBER(Timeline!$I$5:$I$305)*ISNUMBER(Timeline!$J$5:$J$305)*(Timeline!$I$5:$I$305&lt;=AK$4+2)*(Timeline!$J$5:$J$305&gt;=AK$4+2)),SUMPRODUCT((INDEX(Timeline!$P$5:$AN$305,0,MATCH($A10,Timeline!$P$4:$AN$4,0))="x")*(Timeline!$K$5:$K$305="Task")*ISNUMBER(Timeline!$I$5:$I$305)*ISNUMBER(Timeline!$J$5:$J$305)*(Timeline!$I$5:$I$305&lt;=AK$4+3)*(Timeline!$J$5:$J$305&gt;=AK$4+3)),SUMPRODUCT((INDEX(Timeline!$P$5:$AN$305,0,MATCH($A10,Timeline!$P$4:$AN$4,0))="x")*(Timeline!$K$5:$K$305="Task")*ISNUMBER(Timeline!$I$5:$I$305)*ISNUMBER(Timeline!$J$5:$J$305)*(Timeline!$I$5:$I$305&lt;=AK$4+4)*(Timeline!$J$5:$J$305&gt;=AK$4+4)),SUMPRODUCT((INDEX(Timeline!$P$5:$AN$305,0,MATCH($A10,Timeline!$P$4:$AN$4,0))="x")*(Timeline!$K$5:$K$305="Task")*ISNUMBER(Timeline!$I$5:$I$305)*ISNUMBER(Timeline!$J$5:$J$305)*(Timeline!$I$5:$I$305&lt;=AK$4+5)*(Timeline!$J$5:$J$305&gt;=AK$4+5)),SUMPRODUCT((INDEX(Timeline!$P$5:$AN$305,0,MATCH($A10,Timeline!$P$4:$AN$4,0))="x")*(Timeline!$K$5:$K$305="Task")*ISNUMBER(Timeline!$I$5:$I$305)*ISNUMBER(Timeline!$J$5:$J$305)*(Timeline!$I$5:$I$305&lt;=AK$4+6)*(Timeline!$J$5:$J$305&gt;=AK$4+6)))</f>
        <v>0</v>
      </c>
      <c r="AL10" s="67">
        <f>MAX(SUMPRODUCT((INDEX(Timeline!$P$5:$AN$305,0,MATCH($A10,Timeline!$P$4:$AN$4,0))="x")*(Timeline!$K$5:$K$305="Task")*ISNUMBER(Timeline!$I$5:$I$305)*ISNUMBER(Timeline!$J$5:$J$305)*(Timeline!$I$5:$I$305&lt;=AL$4+0)*(Timeline!$J$5:$J$305&gt;=AL$4+0)),SUMPRODUCT((INDEX(Timeline!$P$5:$AN$305,0,MATCH($A10,Timeline!$P$4:$AN$4,0))="x")*(Timeline!$K$5:$K$305="Task")*ISNUMBER(Timeline!$I$5:$I$305)*ISNUMBER(Timeline!$J$5:$J$305)*(Timeline!$I$5:$I$305&lt;=AL$4+1)*(Timeline!$J$5:$J$305&gt;=AL$4+1)),SUMPRODUCT((INDEX(Timeline!$P$5:$AN$305,0,MATCH($A10,Timeline!$P$4:$AN$4,0))="x")*(Timeline!$K$5:$K$305="Task")*ISNUMBER(Timeline!$I$5:$I$305)*ISNUMBER(Timeline!$J$5:$J$305)*(Timeline!$I$5:$I$305&lt;=AL$4+2)*(Timeline!$J$5:$J$305&gt;=AL$4+2)),SUMPRODUCT((INDEX(Timeline!$P$5:$AN$305,0,MATCH($A10,Timeline!$P$4:$AN$4,0))="x")*(Timeline!$K$5:$K$305="Task")*ISNUMBER(Timeline!$I$5:$I$305)*ISNUMBER(Timeline!$J$5:$J$305)*(Timeline!$I$5:$I$305&lt;=AL$4+3)*(Timeline!$J$5:$J$305&gt;=AL$4+3)),SUMPRODUCT((INDEX(Timeline!$P$5:$AN$305,0,MATCH($A10,Timeline!$P$4:$AN$4,0))="x")*(Timeline!$K$5:$K$305="Task")*ISNUMBER(Timeline!$I$5:$I$305)*ISNUMBER(Timeline!$J$5:$J$305)*(Timeline!$I$5:$I$305&lt;=AL$4+4)*(Timeline!$J$5:$J$305&gt;=AL$4+4)),SUMPRODUCT((INDEX(Timeline!$P$5:$AN$305,0,MATCH($A10,Timeline!$P$4:$AN$4,0))="x")*(Timeline!$K$5:$K$305="Task")*ISNUMBER(Timeline!$I$5:$I$305)*ISNUMBER(Timeline!$J$5:$J$305)*(Timeline!$I$5:$I$305&lt;=AL$4+5)*(Timeline!$J$5:$J$305&gt;=AL$4+5)),SUMPRODUCT((INDEX(Timeline!$P$5:$AN$305,0,MATCH($A10,Timeline!$P$4:$AN$4,0))="x")*(Timeline!$K$5:$K$305="Task")*ISNUMBER(Timeline!$I$5:$I$305)*ISNUMBER(Timeline!$J$5:$J$305)*(Timeline!$I$5:$I$305&lt;=AL$4+6)*(Timeline!$J$5:$J$305&gt;=AL$4+6)))</f>
        <v>0</v>
      </c>
      <c r="AM10" s="67">
        <f>MAX(SUMPRODUCT((INDEX(Timeline!$P$5:$AN$305,0,MATCH($A10,Timeline!$P$4:$AN$4,0))="x")*(Timeline!$K$5:$K$305="Task")*ISNUMBER(Timeline!$I$5:$I$305)*ISNUMBER(Timeline!$J$5:$J$305)*(Timeline!$I$5:$I$305&lt;=AM$4+0)*(Timeline!$J$5:$J$305&gt;=AM$4+0)),SUMPRODUCT((INDEX(Timeline!$P$5:$AN$305,0,MATCH($A10,Timeline!$P$4:$AN$4,0))="x")*(Timeline!$K$5:$K$305="Task")*ISNUMBER(Timeline!$I$5:$I$305)*ISNUMBER(Timeline!$J$5:$J$305)*(Timeline!$I$5:$I$305&lt;=AM$4+1)*(Timeline!$J$5:$J$305&gt;=AM$4+1)),SUMPRODUCT((INDEX(Timeline!$P$5:$AN$305,0,MATCH($A10,Timeline!$P$4:$AN$4,0))="x")*(Timeline!$K$5:$K$305="Task")*ISNUMBER(Timeline!$I$5:$I$305)*ISNUMBER(Timeline!$J$5:$J$305)*(Timeline!$I$5:$I$305&lt;=AM$4+2)*(Timeline!$J$5:$J$305&gt;=AM$4+2)),SUMPRODUCT((INDEX(Timeline!$P$5:$AN$305,0,MATCH($A10,Timeline!$P$4:$AN$4,0))="x")*(Timeline!$K$5:$K$305="Task")*ISNUMBER(Timeline!$I$5:$I$305)*ISNUMBER(Timeline!$J$5:$J$305)*(Timeline!$I$5:$I$305&lt;=AM$4+3)*(Timeline!$J$5:$J$305&gt;=AM$4+3)),SUMPRODUCT((INDEX(Timeline!$P$5:$AN$305,0,MATCH($A10,Timeline!$P$4:$AN$4,0))="x")*(Timeline!$K$5:$K$305="Task")*ISNUMBER(Timeline!$I$5:$I$305)*ISNUMBER(Timeline!$J$5:$J$305)*(Timeline!$I$5:$I$305&lt;=AM$4+4)*(Timeline!$J$5:$J$305&gt;=AM$4+4)),SUMPRODUCT((INDEX(Timeline!$P$5:$AN$305,0,MATCH($A10,Timeline!$P$4:$AN$4,0))="x")*(Timeline!$K$5:$K$305="Task")*ISNUMBER(Timeline!$I$5:$I$305)*ISNUMBER(Timeline!$J$5:$J$305)*(Timeline!$I$5:$I$305&lt;=AM$4+5)*(Timeline!$J$5:$J$305&gt;=AM$4+5)),SUMPRODUCT((INDEX(Timeline!$P$5:$AN$305,0,MATCH($A10,Timeline!$P$4:$AN$4,0))="x")*(Timeline!$K$5:$K$305="Task")*ISNUMBER(Timeline!$I$5:$I$305)*ISNUMBER(Timeline!$J$5:$J$305)*(Timeline!$I$5:$I$305&lt;=AM$4+6)*(Timeline!$J$5:$J$305&gt;=AM$4+6)))</f>
        <v>0</v>
      </c>
      <c r="AN10" s="67">
        <f>MAX(SUMPRODUCT((INDEX(Timeline!$P$5:$AN$305,0,MATCH($A10,Timeline!$P$4:$AN$4,0))="x")*(Timeline!$K$5:$K$305="Task")*ISNUMBER(Timeline!$I$5:$I$305)*ISNUMBER(Timeline!$J$5:$J$305)*(Timeline!$I$5:$I$305&lt;=AN$4+0)*(Timeline!$J$5:$J$305&gt;=AN$4+0)),SUMPRODUCT((INDEX(Timeline!$P$5:$AN$305,0,MATCH($A10,Timeline!$P$4:$AN$4,0))="x")*(Timeline!$K$5:$K$305="Task")*ISNUMBER(Timeline!$I$5:$I$305)*ISNUMBER(Timeline!$J$5:$J$305)*(Timeline!$I$5:$I$305&lt;=AN$4+1)*(Timeline!$J$5:$J$305&gt;=AN$4+1)),SUMPRODUCT((INDEX(Timeline!$P$5:$AN$305,0,MATCH($A10,Timeline!$P$4:$AN$4,0))="x")*(Timeline!$K$5:$K$305="Task")*ISNUMBER(Timeline!$I$5:$I$305)*ISNUMBER(Timeline!$J$5:$J$305)*(Timeline!$I$5:$I$305&lt;=AN$4+2)*(Timeline!$J$5:$J$305&gt;=AN$4+2)),SUMPRODUCT((INDEX(Timeline!$P$5:$AN$305,0,MATCH($A10,Timeline!$P$4:$AN$4,0))="x")*(Timeline!$K$5:$K$305="Task")*ISNUMBER(Timeline!$I$5:$I$305)*ISNUMBER(Timeline!$J$5:$J$305)*(Timeline!$I$5:$I$305&lt;=AN$4+3)*(Timeline!$J$5:$J$305&gt;=AN$4+3)),SUMPRODUCT((INDEX(Timeline!$P$5:$AN$305,0,MATCH($A10,Timeline!$P$4:$AN$4,0))="x")*(Timeline!$K$5:$K$305="Task")*ISNUMBER(Timeline!$I$5:$I$305)*ISNUMBER(Timeline!$J$5:$J$305)*(Timeline!$I$5:$I$305&lt;=AN$4+4)*(Timeline!$J$5:$J$305&gt;=AN$4+4)),SUMPRODUCT((INDEX(Timeline!$P$5:$AN$305,0,MATCH($A10,Timeline!$P$4:$AN$4,0))="x")*(Timeline!$K$5:$K$305="Task")*ISNUMBER(Timeline!$I$5:$I$305)*ISNUMBER(Timeline!$J$5:$J$305)*(Timeline!$I$5:$I$305&lt;=AN$4+5)*(Timeline!$J$5:$J$305&gt;=AN$4+5)),SUMPRODUCT((INDEX(Timeline!$P$5:$AN$305,0,MATCH($A10,Timeline!$P$4:$AN$4,0))="x")*(Timeline!$K$5:$K$305="Task")*ISNUMBER(Timeline!$I$5:$I$305)*ISNUMBER(Timeline!$J$5:$J$305)*(Timeline!$I$5:$I$305&lt;=AN$4+6)*(Timeline!$J$5:$J$305&gt;=AN$4+6)))</f>
        <v>0</v>
      </c>
      <c r="AO10" s="67">
        <f>MAX(SUMPRODUCT((INDEX(Timeline!$P$5:$AN$305,0,MATCH($A10,Timeline!$P$4:$AN$4,0))="x")*(Timeline!$K$5:$K$305="Task")*ISNUMBER(Timeline!$I$5:$I$305)*ISNUMBER(Timeline!$J$5:$J$305)*(Timeline!$I$5:$I$305&lt;=AO$4+0)*(Timeline!$J$5:$J$305&gt;=AO$4+0)),SUMPRODUCT((INDEX(Timeline!$P$5:$AN$305,0,MATCH($A10,Timeline!$P$4:$AN$4,0))="x")*(Timeline!$K$5:$K$305="Task")*ISNUMBER(Timeline!$I$5:$I$305)*ISNUMBER(Timeline!$J$5:$J$305)*(Timeline!$I$5:$I$305&lt;=AO$4+1)*(Timeline!$J$5:$J$305&gt;=AO$4+1)),SUMPRODUCT((INDEX(Timeline!$P$5:$AN$305,0,MATCH($A10,Timeline!$P$4:$AN$4,0))="x")*(Timeline!$K$5:$K$305="Task")*ISNUMBER(Timeline!$I$5:$I$305)*ISNUMBER(Timeline!$J$5:$J$305)*(Timeline!$I$5:$I$305&lt;=AO$4+2)*(Timeline!$J$5:$J$305&gt;=AO$4+2)),SUMPRODUCT((INDEX(Timeline!$P$5:$AN$305,0,MATCH($A10,Timeline!$P$4:$AN$4,0))="x")*(Timeline!$K$5:$K$305="Task")*ISNUMBER(Timeline!$I$5:$I$305)*ISNUMBER(Timeline!$J$5:$J$305)*(Timeline!$I$5:$I$305&lt;=AO$4+3)*(Timeline!$J$5:$J$305&gt;=AO$4+3)),SUMPRODUCT((INDEX(Timeline!$P$5:$AN$305,0,MATCH($A10,Timeline!$P$4:$AN$4,0))="x")*(Timeline!$K$5:$K$305="Task")*ISNUMBER(Timeline!$I$5:$I$305)*ISNUMBER(Timeline!$J$5:$J$305)*(Timeline!$I$5:$I$305&lt;=AO$4+4)*(Timeline!$J$5:$J$305&gt;=AO$4+4)),SUMPRODUCT((INDEX(Timeline!$P$5:$AN$305,0,MATCH($A10,Timeline!$P$4:$AN$4,0))="x")*(Timeline!$K$5:$K$305="Task")*ISNUMBER(Timeline!$I$5:$I$305)*ISNUMBER(Timeline!$J$5:$J$305)*(Timeline!$I$5:$I$305&lt;=AO$4+5)*(Timeline!$J$5:$J$305&gt;=AO$4+5)),SUMPRODUCT((INDEX(Timeline!$P$5:$AN$305,0,MATCH($A10,Timeline!$P$4:$AN$4,0))="x")*(Timeline!$K$5:$K$305="Task")*ISNUMBER(Timeline!$I$5:$I$305)*ISNUMBER(Timeline!$J$5:$J$305)*(Timeline!$I$5:$I$305&lt;=AO$4+6)*(Timeline!$J$5:$J$305&gt;=AO$4+6)))</f>
        <v>0</v>
      </c>
      <c r="AP10" s="67">
        <f>MAX(SUMPRODUCT((INDEX(Timeline!$P$5:$AN$305,0,MATCH($A10,Timeline!$P$4:$AN$4,0))="x")*(Timeline!$K$5:$K$305="Task")*ISNUMBER(Timeline!$I$5:$I$305)*ISNUMBER(Timeline!$J$5:$J$305)*(Timeline!$I$5:$I$305&lt;=AP$4+0)*(Timeline!$J$5:$J$305&gt;=AP$4+0)),SUMPRODUCT((INDEX(Timeline!$P$5:$AN$305,0,MATCH($A10,Timeline!$P$4:$AN$4,0))="x")*(Timeline!$K$5:$K$305="Task")*ISNUMBER(Timeline!$I$5:$I$305)*ISNUMBER(Timeline!$J$5:$J$305)*(Timeline!$I$5:$I$305&lt;=AP$4+1)*(Timeline!$J$5:$J$305&gt;=AP$4+1)),SUMPRODUCT((INDEX(Timeline!$P$5:$AN$305,0,MATCH($A10,Timeline!$P$4:$AN$4,0))="x")*(Timeline!$K$5:$K$305="Task")*ISNUMBER(Timeline!$I$5:$I$305)*ISNUMBER(Timeline!$J$5:$J$305)*(Timeline!$I$5:$I$305&lt;=AP$4+2)*(Timeline!$J$5:$J$305&gt;=AP$4+2)),SUMPRODUCT((INDEX(Timeline!$P$5:$AN$305,0,MATCH($A10,Timeline!$P$4:$AN$4,0))="x")*(Timeline!$K$5:$K$305="Task")*ISNUMBER(Timeline!$I$5:$I$305)*ISNUMBER(Timeline!$J$5:$J$305)*(Timeline!$I$5:$I$305&lt;=AP$4+3)*(Timeline!$J$5:$J$305&gt;=AP$4+3)),SUMPRODUCT((INDEX(Timeline!$P$5:$AN$305,0,MATCH($A10,Timeline!$P$4:$AN$4,0))="x")*(Timeline!$K$5:$K$305="Task")*ISNUMBER(Timeline!$I$5:$I$305)*ISNUMBER(Timeline!$J$5:$J$305)*(Timeline!$I$5:$I$305&lt;=AP$4+4)*(Timeline!$J$5:$J$305&gt;=AP$4+4)),SUMPRODUCT((INDEX(Timeline!$P$5:$AN$305,0,MATCH($A10,Timeline!$P$4:$AN$4,0))="x")*(Timeline!$K$5:$K$305="Task")*ISNUMBER(Timeline!$I$5:$I$305)*ISNUMBER(Timeline!$J$5:$J$305)*(Timeline!$I$5:$I$305&lt;=AP$4+5)*(Timeline!$J$5:$J$305&gt;=AP$4+5)),SUMPRODUCT((INDEX(Timeline!$P$5:$AN$305,0,MATCH($A10,Timeline!$P$4:$AN$4,0))="x")*(Timeline!$K$5:$K$305="Task")*ISNUMBER(Timeline!$I$5:$I$305)*ISNUMBER(Timeline!$J$5:$J$305)*(Timeline!$I$5:$I$305&lt;=AP$4+6)*(Timeline!$J$5:$J$305&gt;=AP$4+6)))</f>
        <v>0</v>
      </c>
      <c r="AQ10" s="67">
        <f>MAX(SUMPRODUCT((INDEX(Timeline!$P$5:$AN$305,0,MATCH($A10,Timeline!$P$4:$AN$4,0))="x")*(Timeline!$K$5:$K$305="Task")*ISNUMBER(Timeline!$I$5:$I$305)*ISNUMBER(Timeline!$J$5:$J$305)*(Timeline!$I$5:$I$305&lt;=AQ$4+0)*(Timeline!$J$5:$J$305&gt;=AQ$4+0)),SUMPRODUCT((INDEX(Timeline!$P$5:$AN$305,0,MATCH($A10,Timeline!$P$4:$AN$4,0))="x")*(Timeline!$K$5:$K$305="Task")*ISNUMBER(Timeline!$I$5:$I$305)*ISNUMBER(Timeline!$J$5:$J$305)*(Timeline!$I$5:$I$305&lt;=AQ$4+1)*(Timeline!$J$5:$J$305&gt;=AQ$4+1)),SUMPRODUCT((INDEX(Timeline!$P$5:$AN$305,0,MATCH($A10,Timeline!$P$4:$AN$4,0))="x")*(Timeline!$K$5:$K$305="Task")*ISNUMBER(Timeline!$I$5:$I$305)*ISNUMBER(Timeline!$J$5:$J$305)*(Timeline!$I$5:$I$305&lt;=AQ$4+2)*(Timeline!$J$5:$J$305&gt;=AQ$4+2)),SUMPRODUCT((INDEX(Timeline!$P$5:$AN$305,0,MATCH($A10,Timeline!$P$4:$AN$4,0))="x")*(Timeline!$K$5:$K$305="Task")*ISNUMBER(Timeline!$I$5:$I$305)*ISNUMBER(Timeline!$J$5:$J$305)*(Timeline!$I$5:$I$305&lt;=AQ$4+3)*(Timeline!$J$5:$J$305&gt;=AQ$4+3)),SUMPRODUCT((INDEX(Timeline!$P$5:$AN$305,0,MATCH($A10,Timeline!$P$4:$AN$4,0))="x")*(Timeline!$K$5:$K$305="Task")*ISNUMBER(Timeline!$I$5:$I$305)*ISNUMBER(Timeline!$J$5:$J$305)*(Timeline!$I$5:$I$305&lt;=AQ$4+4)*(Timeline!$J$5:$J$305&gt;=AQ$4+4)),SUMPRODUCT((INDEX(Timeline!$P$5:$AN$305,0,MATCH($A10,Timeline!$P$4:$AN$4,0))="x")*(Timeline!$K$5:$K$305="Task")*ISNUMBER(Timeline!$I$5:$I$305)*ISNUMBER(Timeline!$J$5:$J$305)*(Timeline!$I$5:$I$305&lt;=AQ$4+5)*(Timeline!$J$5:$J$305&gt;=AQ$4+5)),SUMPRODUCT((INDEX(Timeline!$P$5:$AN$305,0,MATCH($A10,Timeline!$P$4:$AN$4,0))="x")*(Timeline!$K$5:$K$305="Task")*ISNUMBER(Timeline!$I$5:$I$305)*ISNUMBER(Timeline!$J$5:$J$305)*(Timeline!$I$5:$I$305&lt;=AQ$4+6)*(Timeline!$J$5:$J$305&gt;=AQ$4+6)))</f>
        <v>0</v>
      </c>
      <c r="AR10" s="67">
        <f>MAX(SUMPRODUCT((INDEX(Timeline!$P$5:$AN$305,0,MATCH($A10,Timeline!$P$4:$AN$4,0))="x")*(Timeline!$K$5:$K$305="Task")*ISNUMBER(Timeline!$I$5:$I$305)*ISNUMBER(Timeline!$J$5:$J$305)*(Timeline!$I$5:$I$305&lt;=AR$4+0)*(Timeline!$J$5:$J$305&gt;=AR$4+0)),SUMPRODUCT((INDEX(Timeline!$P$5:$AN$305,0,MATCH($A10,Timeline!$P$4:$AN$4,0))="x")*(Timeline!$K$5:$K$305="Task")*ISNUMBER(Timeline!$I$5:$I$305)*ISNUMBER(Timeline!$J$5:$J$305)*(Timeline!$I$5:$I$305&lt;=AR$4+1)*(Timeline!$J$5:$J$305&gt;=AR$4+1)),SUMPRODUCT((INDEX(Timeline!$P$5:$AN$305,0,MATCH($A10,Timeline!$P$4:$AN$4,0))="x")*(Timeline!$K$5:$K$305="Task")*ISNUMBER(Timeline!$I$5:$I$305)*ISNUMBER(Timeline!$J$5:$J$305)*(Timeline!$I$5:$I$305&lt;=AR$4+2)*(Timeline!$J$5:$J$305&gt;=AR$4+2)),SUMPRODUCT((INDEX(Timeline!$P$5:$AN$305,0,MATCH($A10,Timeline!$P$4:$AN$4,0))="x")*(Timeline!$K$5:$K$305="Task")*ISNUMBER(Timeline!$I$5:$I$305)*ISNUMBER(Timeline!$J$5:$J$305)*(Timeline!$I$5:$I$305&lt;=AR$4+3)*(Timeline!$J$5:$J$305&gt;=AR$4+3)),SUMPRODUCT((INDEX(Timeline!$P$5:$AN$305,0,MATCH($A10,Timeline!$P$4:$AN$4,0))="x")*(Timeline!$K$5:$K$305="Task")*ISNUMBER(Timeline!$I$5:$I$305)*ISNUMBER(Timeline!$J$5:$J$305)*(Timeline!$I$5:$I$305&lt;=AR$4+4)*(Timeline!$J$5:$J$305&gt;=AR$4+4)),SUMPRODUCT((INDEX(Timeline!$P$5:$AN$305,0,MATCH($A10,Timeline!$P$4:$AN$4,0))="x")*(Timeline!$K$5:$K$305="Task")*ISNUMBER(Timeline!$I$5:$I$305)*ISNUMBER(Timeline!$J$5:$J$305)*(Timeline!$I$5:$I$305&lt;=AR$4+5)*(Timeline!$J$5:$J$305&gt;=AR$4+5)),SUMPRODUCT((INDEX(Timeline!$P$5:$AN$305,0,MATCH($A10,Timeline!$P$4:$AN$4,0))="x")*(Timeline!$K$5:$K$305="Task")*ISNUMBER(Timeline!$I$5:$I$305)*ISNUMBER(Timeline!$J$5:$J$305)*(Timeline!$I$5:$I$305&lt;=AR$4+6)*(Timeline!$J$5:$J$305&gt;=AR$4+6)))</f>
        <v>0</v>
      </c>
      <c r="AS10" s="67">
        <f>MAX(SUMPRODUCT((INDEX(Timeline!$P$5:$AN$305,0,MATCH($A10,Timeline!$P$4:$AN$4,0))="x")*(Timeline!$K$5:$K$305="Task")*ISNUMBER(Timeline!$I$5:$I$305)*ISNUMBER(Timeline!$J$5:$J$305)*(Timeline!$I$5:$I$305&lt;=AS$4+0)*(Timeline!$J$5:$J$305&gt;=AS$4+0)),SUMPRODUCT((INDEX(Timeline!$P$5:$AN$305,0,MATCH($A10,Timeline!$P$4:$AN$4,0))="x")*(Timeline!$K$5:$K$305="Task")*ISNUMBER(Timeline!$I$5:$I$305)*ISNUMBER(Timeline!$J$5:$J$305)*(Timeline!$I$5:$I$305&lt;=AS$4+1)*(Timeline!$J$5:$J$305&gt;=AS$4+1)),SUMPRODUCT((INDEX(Timeline!$P$5:$AN$305,0,MATCH($A10,Timeline!$P$4:$AN$4,0))="x")*(Timeline!$K$5:$K$305="Task")*ISNUMBER(Timeline!$I$5:$I$305)*ISNUMBER(Timeline!$J$5:$J$305)*(Timeline!$I$5:$I$305&lt;=AS$4+2)*(Timeline!$J$5:$J$305&gt;=AS$4+2)),SUMPRODUCT((INDEX(Timeline!$P$5:$AN$305,0,MATCH($A10,Timeline!$P$4:$AN$4,0))="x")*(Timeline!$K$5:$K$305="Task")*ISNUMBER(Timeline!$I$5:$I$305)*ISNUMBER(Timeline!$J$5:$J$305)*(Timeline!$I$5:$I$305&lt;=AS$4+3)*(Timeline!$J$5:$J$305&gt;=AS$4+3)),SUMPRODUCT((INDEX(Timeline!$P$5:$AN$305,0,MATCH($A10,Timeline!$P$4:$AN$4,0))="x")*(Timeline!$K$5:$K$305="Task")*ISNUMBER(Timeline!$I$5:$I$305)*ISNUMBER(Timeline!$J$5:$J$305)*(Timeline!$I$5:$I$305&lt;=AS$4+4)*(Timeline!$J$5:$J$305&gt;=AS$4+4)),SUMPRODUCT((INDEX(Timeline!$P$5:$AN$305,0,MATCH($A10,Timeline!$P$4:$AN$4,0))="x")*(Timeline!$K$5:$K$305="Task")*ISNUMBER(Timeline!$I$5:$I$305)*ISNUMBER(Timeline!$J$5:$J$305)*(Timeline!$I$5:$I$305&lt;=AS$4+5)*(Timeline!$J$5:$J$305&gt;=AS$4+5)),SUMPRODUCT((INDEX(Timeline!$P$5:$AN$305,0,MATCH($A10,Timeline!$P$4:$AN$4,0))="x")*(Timeline!$K$5:$K$305="Task")*ISNUMBER(Timeline!$I$5:$I$305)*ISNUMBER(Timeline!$J$5:$J$305)*(Timeline!$I$5:$I$305&lt;=AS$4+6)*(Timeline!$J$5:$J$305&gt;=AS$4+6)))</f>
        <v>0</v>
      </c>
      <c r="AT10" s="67">
        <f>MAX(SUMPRODUCT((INDEX(Timeline!$P$5:$AN$305,0,MATCH($A10,Timeline!$P$4:$AN$4,0))="x")*(Timeline!$K$5:$K$305="Task")*ISNUMBER(Timeline!$I$5:$I$305)*ISNUMBER(Timeline!$J$5:$J$305)*(Timeline!$I$5:$I$305&lt;=AT$4+0)*(Timeline!$J$5:$J$305&gt;=AT$4+0)),SUMPRODUCT((INDEX(Timeline!$P$5:$AN$305,0,MATCH($A10,Timeline!$P$4:$AN$4,0))="x")*(Timeline!$K$5:$K$305="Task")*ISNUMBER(Timeline!$I$5:$I$305)*ISNUMBER(Timeline!$J$5:$J$305)*(Timeline!$I$5:$I$305&lt;=AT$4+1)*(Timeline!$J$5:$J$305&gt;=AT$4+1)),SUMPRODUCT((INDEX(Timeline!$P$5:$AN$305,0,MATCH($A10,Timeline!$P$4:$AN$4,0))="x")*(Timeline!$K$5:$K$305="Task")*ISNUMBER(Timeline!$I$5:$I$305)*ISNUMBER(Timeline!$J$5:$J$305)*(Timeline!$I$5:$I$305&lt;=AT$4+2)*(Timeline!$J$5:$J$305&gt;=AT$4+2)),SUMPRODUCT((INDEX(Timeline!$P$5:$AN$305,0,MATCH($A10,Timeline!$P$4:$AN$4,0))="x")*(Timeline!$K$5:$K$305="Task")*ISNUMBER(Timeline!$I$5:$I$305)*ISNUMBER(Timeline!$J$5:$J$305)*(Timeline!$I$5:$I$305&lt;=AT$4+3)*(Timeline!$J$5:$J$305&gt;=AT$4+3)),SUMPRODUCT((INDEX(Timeline!$P$5:$AN$305,0,MATCH($A10,Timeline!$P$4:$AN$4,0))="x")*(Timeline!$K$5:$K$305="Task")*ISNUMBER(Timeline!$I$5:$I$305)*ISNUMBER(Timeline!$J$5:$J$305)*(Timeline!$I$5:$I$305&lt;=AT$4+4)*(Timeline!$J$5:$J$305&gt;=AT$4+4)),SUMPRODUCT((INDEX(Timeline!$P$5:$AN$305,0,MATCH($A10,Timeline!$P$4:$AN$4,0))="x")*(Timeline!$K$5:$K$305="Task")*ISNUMBER(Timeline!$I$5:$I$305)*ISNUMBER(Timeline!$J$5:$J$305)*(Timeline!$I$5:$I$305&lt;=AT$4+5)*(Timeline!$J$5:$J$305&gt;=AT$4+5)),SUMPRODUCT((INDEX(Timeline!$P$5:$AN$305,0,MATCH($A10,Timeline!$P$4:$AN$4,0))="x")*(Timeline!$K$5:$K$305="Task")*ISNUMBER(Timeline!$I$5:$I$305)*ISNUMBER(Timeline!$J$5:$J$305)*(Timeline!$I$5:$I$305&lt;=AT$4+6)*(Timeline!$J$5:$J$305&gt;=AT$4+6)))</f>
        <v>0</v>
      </c>
      <c r="AU10" s="67">
        <f>MAX(SUMPRODUCT((INDEX(Timeline!$P$5:$AN$305,0,MATCH($A10,Timeline!$P$4:$AN$4,0))="x")*(Timeline!$K$5:$K$305="Task")*ISNUMBER(Timeline!$I$5:$I$305)*ISNUMBER(Timeline!$J$5:$J$305)*(Timeline!$I$5:$I$305&lt;=AU$4+0)*(Timeline!$J$5:$J$305&gt;=AU$4+0)),SUMPRODUCT((INDEX(Timeline!$P$5:$AN$305,0,MATCH($A10,Timeline!$P$4:$AN$4,0))="x")*(Timeline!$K$5:$K$305="Task")*ISNUMBER(Timeline!$I$5:$I$305)*ISNUMBER(Timeline!$J$5:$J$305)*(Timeline!$I$5:$I$305&lt;=AU$4+1)*(Timeline!$J$5:$J$305&gt;=AU$4+1)),SUMPRODUCT((INDEX(Timeline!$P$5:$AN$305,0,MATCH($A10,Timeline!$P$4:$AN$4,0))="x")*(Timeline!$K$5:$K$305="Task")*ISNUMBER(Timeline!$I$5:$I$305)*ISNUMBER(Timeline!$J$5:$J$305)*(Timeline!$I$5:$I$305&lt;=AU$4+2)*(Timeline!$J$5:$J$305&gt;=AU$4+2)),SUMPRODUCT((INDEX(Timeline!$P$5:$AN$305,0,MATCH($A10,Timeline!$P$4:$AN$4,0))="x")*(Timeline!$K$5:$K$305="Task")*ISNUMBER(Timeline!$I$5:$I$305)*ISNUMBER(Timeline!$J$5:$J$305)*(Timeline!$I$5:$I$305&lt;=AU$4+3)*(Timeline!$J$5:$J$305&gt;=AU$4+3)),SUMPRODUCT((INDEX(Timeline!$P$5:$AN$305,0,MATCH($A10,Timeline!$P$4:$AN$4,0))="x")*(Timeline!$K$5:$K$305="Task")*ISNUMBER(Timeline!$I$5:$I$305)*ISNUMBER(Timeline!$J$5:$J$305)*(Timeline!$I$5:$I$305&lt;=AU$4+4)*(Timeline!$J$5:$J$305&gt;=AU$4+4)),SUMPRODUCT((INDEX(Timeline!$P$5:$AN$305,0,MATCH($A10,Timeline!$P$4:$AN$4,0))="x")*(Timeline!$K$5:$K$305="Task")*ISNUMBER(Timeline!$I$5:$I$305)*ISNUMBER(Timeline!$J$5:$J$305)*(Timeline!$I$5:$I$305&lt;=AU$4+5)*(Timeline!$J$5:$J$305&gt;=AU$4+5)),SUMPRODUCT((INDEX(Timeline!$P$5:$AN$305,0,MATCH($A10,Timeline!$P$4:$AN$4,0))="x")*(Timeline!$K$5:$K$305="Task")*ISNUMBER(Timeline!$I$5:$I$305)*ISNUMBER(Timeline!$J$5:$J$305)*(Timeline!$I$5:$I$305&lt;=AU$4+6)*(Timeline!$J$5:$J$305&gt;=AU$4+6)))</f>
        <v>0</v>
      </c>
      <c r="AV10" s="67">
        <f>MAX(SUMPRODUCT((INDEX(Timeline!$P$5:$AN$305,0,MATCH($A10,Timeline!$P$4:$AN$4,0))="x")*(Timeline!$K$5:$K$305="Task")*ISNUMBER(Timeline!$I$5:$I$305)*ISNUMBER(Timeline!$J$5:$J$305)*(Timeline!$I$5:$I$305&lt;=AV$4+0)*(Timeline!$J$5:$J$305&gt;=AV$4+0)),SUMPRODUCT((INDEX(Timeline!$P$5:$AN$305,0,MATCH($A10,Timeline!$P$4:$AN$4,0))="x")*(Timeline!$K$5:$K$305="Task")*ISNUMBER(Timeline!$I$5:$I$305)*ISNUMBER(Timeline!$J$5:$J$305)*(Timeline!$I$5:$I$305&lt;=AV$4+1)*(Timeline!$J$5:$J$305&gt;=AV$4+1)),SUMPRODUCT((INDEX(Timeline!$P$5:$AN$305,0,MATCH($A10,Timeline!$P$4:$AN$4,0))="x")*(Timeline!$K$5:$K$305="Task")*ISNUMBER(Timeline!$I$5:$I$305)*ISNUMBER(Timeline!$J$5:$J$305)*(Timeline!$I$5:$I$305&lt;=AV$4+2)*(Timeline!$J$5:$J$305&gt;=AV$4+2)),SUMPRODUCT((INDEX(Timeline!$P$5:$AN$305,0,MATCH($A10,Timeline!$P$4:$AN$4,0))="x")*(Timeline!$K$5:$K$305="Task")*ISNUMBER(Timeline!$I$5:$I$305)*ISNUMBER(Timeline!$J$5:$J$305)*(Timeline!$I$5:$I$305&lt;=AV$4+3)*(Timeline!$J$5:$J$305&gt;=AV$4+3)),SUMPRODUCT((INDEX(Timeline!$P$5:$AN$305,0,MATCH($A10,Timeline!$P$4:$AN$4,0))="x")*(Timeline!$K$5:$K$305="Task")*ISNUMBER(Timeline!$I$5:$I$305)*ISNUMBER(Timeline!$J$5:$J$305)*(Timeline!$I$5:$I$305&lt;=AV$4+4)*(Timeline!$J$5:$J$305&gt;=AV$4+4)),SUMPRODUCT((INDEX(Timeline!$P$5:$AN$305,0,MATCH($A10,Timeline!$P$4:$AN$4,0))="x")*(Timeline!$K$5:$K$305="Task")*ISNUMBER(Timeline!$I$5:$I$305)*ISNUMBER(Timeline!$J$5:$J$305)*(Timeline!$I$5:$I$305&lt;=AV$4+5)*(Timeline!$J$5:$J$305&gt;=AV$4+5)),SUMPRODUCT((INDEX(Timeline!$P$5:$AN$305,0,MATCH($A10,Timeline!$P$4:$AN$4,0))="x")*(Timeline!$K$5:$K$305="Task")*ISNUMBER(Timeline!$I$5:$I$305)*ISNUMBER(Timeline!$J$5:$J$305)*(Timeline!$I$5:$I$305&lt;=AV$4+6)*(Timeline!$J$5:$J$305&gt;=AV$4+6)))</f>
        <v>0</v>
      </c>
      <c r="AW10" s="67">
        <f>MAX(SUMPRODUCT((INDEX(Timeline!$P$5:$AN$305,0,MATCH($A10,Timeline!$P$4:$AN$4,0))="x")*(Timeline!$K$5:$K$305="Task")*ISNUMBER(Timeline!$I$5:$I$305)*ISNUMBER(Timeline!$J$5:$J$305)*(Timeline!$I$5:$I$305&lt;=AW$4+0)*(Timeline!$J$5:$J$305&gt;=AW$4+0)),SUMPRODUCT((INDEX(Timeline!$P$5:$AN$305,0,MATCH($A10,Timeline!$P$4:$AN$4,0))="x")*(Timeline!$K$5:$K$305="Task")*ISNUMBER(Timeline!$I$5:$I$305)*ISNUMBER(Timeline!$J$5:$J$305)*(Timeline!$I$5:$I$305&lt;=AW$4+1)*(Timeline!$J$5:$J$305&gt;=AW$4+1)),SUMPRODUCT((INDEX(Timeline!$P$5:$AN$305,0,MATCH($A10,Timeline!$P$4:$AN$4,0))="x")*(Timeline!$K$5:$K$305="Task")*ISNUMBER(Timeline!$I$5:$I$305)*ISNUMBER(Timeline!$J$5:$J$305)*(Timeline!$I$5:$I$305&lt;=AW$4+2)*(Timeline!$J$5:$J$305&gt;=AW$4+2)),SUMPRODUCT((INDEX(Timeline!$P$5:$AN$305,0,MATCH($A10,Timeline!$P$4:$AN$4,0))="x")*(Timeline!$K$5:$K$305="Task")*ISNUMBER(Timeline!$I$5:$I$305)*ISNUMBER(Timeline!$J$5:$J$305)*(Timeline!$I$5:$I$305&lt;=AW$4+3)*(Timeline!$J$5:$J$305&gt;=AW$4+3)),SUMPRODUCT((INDEX(Timeline!$P$5:$AN$305,0,MATCH($A10,Timeline!$P$4:$AN$4,0))="x")*(Timeline!$K$5:$K$305="Task")*ISNUMBER(Timeline!$I$5:$I$305)*ISNUMBER(Timeline!$J$5:$J$305)*(Timeline!$I$5:$I$305&lt;=AW$4+4)*(Timeline!$J$5:$J$305&gt;=AW$4+4)),SUMPRODUCT((INDEX(Timeline!$P$5:$AN$305,0,MATCH($A10,Timeline!$P$4:$AN$4,0))="x")*(Timeline!$K$5:$K$305="Task")*ISNUMBER(Timeline!$I$5:$I$305)*ISNUMBER(Timeline!$J$5:$J$305)*(Timeline!$I$5:$I$305&lt;=AW$4+5)*(Timeline!$J$5:$J$305&gt;=AW$4+5)),SUMPRODUCT((INDEX(Timeline!$P$5:$AN$305,0,MATCH($A10,Timeline!$P$4:$AN$4,0))="x")*(Timeline!$K$5:$K$305="Task")*ISNUMBER(Timeline!$I$5:$I$305)*ISNUMBER(Timeline!$J$5:$J$305)*(Timeline!$I$5:$I$305&lt;=AW$4+6)*(Timeline!$J$5:$J$305&gt;=AW$4+6)))</f>
        <v>0</v>
      </c>
      <c r="AX10" s="67">
        <f>MAX(SUMPRODUCT((INDEX(Timeline!$P$5:$AN$305,0,MATCH($A10,Timeline!$P$4:$AN$4,0))="x")*(Timeline!$K$5:$K$305="Task")*ISNUMBER(Timeline!$I$5:$I$305)*ISNUMBER(Timeline!$J$5:$J$305)*(Timeline!$I$5:$I$305&lt;=AX$4+0)*(Timeline!$J$5:$J$305&gt;=AX$4+0)),SUMPRODUCT((INDEX(Timeline!$P$5:$AN$305,0,MATCH($A10,Timeline!$P$4:$AN$4,0))="x")*(Timeline!$K$5:$K$305="Task")*ISNUMBER(Timeline!$I$5:$I$305)*ISNUMBER(Timeline!$J$5:$J$305)*(Timeline!$I$5:$I$305&lt;=AX$4+1)*(Timeline!$J$5:$J$305&gt;=AX$4+1)),SUMPRODUCT((INDEX(Timeline!$P$5:$AN$305,0,MATCH($A10,Timeline!$P$4:$AN$4,0))="x")*(Timeline!$K$5:$K$305="Task")*ISNUMBER(Timeline!$I$5:$I$305)*ISNUMBER(Timeline!$J$5:$J$305)*(Timeline!$I$5:$I$305&lt;=AX$4+2)*(Timeline!$J$5:$J$305&gt;=AX$4+2)),SUMPRODUCT((INDEX(Timeline!$P$5:$AN$305,0,MATCH($A10,Timeline!$P$4:$AN$4,0))="x")*(Timeline!$K$5:$K$305="Task")*ISNUMBER(Timeline!$I$5:$I$305)*ISNUMBER(Timeline!$J$5:$J$305)*(Timeline!$I$5:$I$305&lt;=AX$4+3)*(Timeline!$J$5:$J$305&gt;=AX$4+3)),SUMPRODUCT((INDEX(Timeline!$P$5:$AN$305,0,MATCH($A10,Timeline!$P$4:$AN$4,0))="x")*(Timeline!$K$5:$K$305="Task")*ISNUMBER(Timeline!$I$5:$I$305)*ISNUMBER(Timeline!$J$5:$J$305)*(Timeline!$I$5:$I$305&lt;=AX$4+4)*(Timeline!$J$5:$J$305&gt;=AX$4+4)),SUMPRODUCT((INDEX(Timeline!$P$5:$AN$305,0,MATCH($A10,Timeline!$P$4:$AN$4,0))="x")*(Timeline!$K$5:$K$305="Task")*ISNUMBER(Timeline!$I$5:$I$305)*ISNUMBER(Timeline!$J$5:$J$305)*(Timeline!$I$5:$I$305&lt;=AX$4+5)*(Timeline!$J$5:$J$305&gt;=AX$4+5)),SUMPRODUCT((INDEX(Timeline!$P$5:$AN$305,0,MATCH($A10,Timeline!$P$4:$AN$4,0))="x")*(Timeline!$K$5:$K$305="Task")*ISNUMBER(Timeline!$I$5:$I$305)*ISNUMBER(Timeline!$J$5:$J$305)*(Timeline!$I$5:$I$305&lt;=AX$4+6)*(Timeline!$J$5:$J$305&gt;=AX$4+6)))</f>
        <v>0</v>
      </c>
      <c r="AY10" s="67">
        <f>MAX(SUMPRODUCT((INDEX(Timeline!$P$5:$AN$305,0,MATCH($A10,Timeline!$P$4:$AN$4,0))="x")*(Timeline!$K$5:$K$305="Task")*ISNUMBER(Timeline!$I$5:$I$305)*ISNUMBER(Timeline!$J$5:$J$305)*(Timeline!$I$5:$I$305&lt;=AY$4+0)*(Timeline!$J$5:$J$305&gt;=AY$4+0)),SUMPRODUCT((INDEX(Timeline!$P$5:$AN$305,0,MATCH($A10,Timeline!$P$4:$AN$4,0))="x")*(Timeline!$K$5:$K$305="Task")*ISNUMBER(Timeline!$I$5:$I$305)*ISNUMBER(Timeline!$J$5:$J$305)*(Timeline!$I$5:$I$305&lt;=AY$4+1)*(Timeline!$J$5:$J$305&gt;=AY$4+1)),SUMPRODUCT((INDEX(Timeline!$P$5:$AN$305,0,MATCH($A10,Timeline!$P$4:$AN$4,0))="x")*(Timeline!$K$5:$K$305="Task")*ISNUMBER(Timeline!$I$5:$I$305)*ISNUMBER(Timeline!$J$5:$J$305)*(Timeline!$I$5:$I$305&lt;=AY$4+2)*(Timeline!$J$5:$J$305&gt;=AY$4+2)),SUMPRODUCT((INDEX(Timeline!$P$5:$AN$305,0,MATCH($A10,Timeline!$P$4:$AN$4,0))="x")*(Timeline!$K$5:$K$305="Task")*ISNUMBER(Timeline!$I$5:$I$305)*ISNUMBER(Timeline!$J$5:$J$305)*(Timeline!$I$5:$I$305&lt;=AY$4+3)*(Timeline!$J$5:$J$305&gt;=AY$4+3)),SUMPRODUCT((INDEX(Timeline!$P$5:$AN$305,0,MATCH($A10,Timeline!$P$4:$AN$4,0))="x")*(Timeline!$K$5:$K$305="Task")*ISNUMBER(Timeline!$I$5:$I$305)*ISNUMBER(Timeline!$J$5:$J$305)*(Timeline!$I$5:$I$305&lt;=AY$4+4)*(Timeline!$J$5:$J$305&gt;=AY$4+4)),SUMPRODUCT((INDEX(Timeline!$P$5:$AN$305,0,MATCH($A10,Timeline!$P$4:$AN$4,0))="x")*(Timeline!$K$5:$K$305="Task")*ISNUMBER(Timeline!$I$5:$I$305)*ISNUMBER(Timeline!$J$5:$J$305)*(Timeline!$I$5:$I$305&lt;=AY$4+5)*(Timeline!$J$5:$J$305&gt;=AY$4+5)),SUMPRODUCT((INDEX(Timeline!$P$5:$AN$305,0,MATCH($A10,Timeline!$P$4:$AN$4,0))="x")*(Timeline!$K$5:$K$305="Task")*ISNUMBER(Timeline!$I$5:$I$305)*ISNUMBER(Timeline!$J$5:$J$305)*(Timeline!$I$5:$I$305&lt;=AY$4+6)*(Timeline!$J$5:$J$305&gt;=AY$4+6)))</f>
        <v>0</v>
      </c>
      <c r="AZ10" s="67">
        <f>MAX(SUMPRODUCT((INDEX(Timeline!$P$5:$AN$305,0,MATCH($A10,Timeline!$P$4:$AN$4,0))="x")*(Timeline!$K$5:$K$305="Task")*ISNUMBER(Timeline!$I$5:$I$305)*ISNUMBER(Timeline!$J$5:$J$305)*(Timeline!$I$5:$I$305&lt;=AZ$4+0)*(Timeline!$J$5:$J$305&gt;=AZ$4+0)),SUMPRODUCT((INDEX(Timeline!$P$5:$AN$305,0,MATCH($A10,Timeline!$P$4:$AN$4,0))="x")*(Timeline!$K$5:$K$305="Task")*ISNUMBER(Timeline!$I$5:$I$305)*ISNUMBER(Timeline!$J$5:$J$305)*(Timeline!$I$5:$I$305&lt;=AZ$4+1)*(Timeline!$J$5:$J$305&gt;=AZ$4+1)),SUMPRODUCT((INDEX(Timeline!$P$5:$AN$305,0,MATCH($A10,Timeline!$P$4:$AN$4,0))="x")*(Timeline!$K$5:$K$305="Task")*ISNUMBER(Timeline!$I$5:$I$305)*ISNUMBER(Timeline!$J$5:$J$305)*(Timeline!$I$5:$I$305&lt;=AZ$4+2)*(Timeline!$J$5:$J$305&gt;=AZ$4+2)),SUMPRODUCT((INDEX(Timeline!$P$5:$AN$305,0,MATCH($A10,Timeline!$P$4:$AN$4,0))="x")*(Timeline!$K$5:$K$305="Task")*ISNUMBER(Timeline!$I$5:$I$305)*ISNUMBER(Timeline!$J$5:$J$305)*(Timeline!$I$5:$I$305&lt;=AZ$4+3)*(Timeline!$J$5:$J$305&gt;=AZ$4+3)),SUMPRODUCT((INDEX(Timeline!$P$5:$AN$305,0,MATCH($A10,Timeline!$P$4:$AN$4,0))="x")*(Timeline!$K$5:$K$305="Task")*ISNUMBER(Timeline!$I$5:$I$305)*ISNUMBER(Timeline!$J$5:$J$305)*(Timeline!$I$5:$I$305&lt;=AZ$4+4)*(Timeline!$J$5:$J$305&gt;=AZ$4+4)),SUMPRODUCT((INDEX(Timeline!$P$5:$AN$305,0,MATCH($A10,Timeline!$P$4:$AN$4,0))="x")*(Timeline!$K$5:$K$305="Task")*ISNUMBER(Timeline!$I$5:$I$305)*ISNUMBER(Timeline!$J$5:$J$305)*(Timeline!$I$5:$I$305&lt;=AZ$4+5)*(Timeline!$J$5:$J$305&gt;=AZ$4+5)),SUMPRODUCT((INDEX(Timeline!$P$5:$AN$305,0,MATCH($A10,Timeline!$P$4:$AN$4,0))="x")*(Timeline!$K$5:$K$305="Task")*ISNUMBER(Timeline!$I$5:$I$305)*ISNUMBER(Timeline!$J$5:$J$305)*(Timeline!$I$5:$I$305&lt;=AZ$4+6)*(Timeline!$J$5:$J$305&gt;=AZ$4+6)))</f>
        <v>0</v>
      </c>
      <c r="BA10" s="67">
        <f>MAX(SUMPRODUCT((INDEX(Timeline!$P$5:$AN$305,0,MATCH($A10,Timeline!$P$4:$AN$4,0))="x")*(Timeline!$K$5:$K$305="Task")*ISNUMBER(Timeline!$I$5:$I$305)*ISNUMBER(Timeline!$J$5:$J$305)*(Timeline!$I$5:$I$305&lt;=BA$4+0)*(Timeline!$J$5:$J$305&gt;=BA$4+0)),SUMPRODUCT((INDEX(Timeline!$P$5:$AN$305,0,MATCH($A10,Timeline!$P$4:$AN$4,0))="x")*(Timeline!$K$5:$K$305="Task")*ISNUMBER(Timeline!$I$5:$I$305)*ISNUMBER(Timeline!$J$5:$J$305)*(Timeline!$I$5:$I$305&lt;=BA$4+1)*(Timeline!$J$5:$J$305&gt;=BA$4+1)),SUMPRODUCT((INDEX(Timeline!$P$5:$AN$305,0,MATCH($A10,Timeline!$P$4:$AN$4,0))="x")*(Timeline!$K$5:$K$305="Task")*ISNUMBER(Timeline!$I$5:$I$305)*ISNUMBER(Timeline!$J$5:$J$305)*(Timeline!$I$5:$I$305&lt;=BA$4+2)*(Timeline!$J$5:$J$305&gt;=BA$4+2)),SUMPRODUCT((INDEX(Timeline!$P$5:$AN$305,0,MATCH($A10,Timeline!$P$4:$AN$4,0))="x")*(Timeline!$K$5:$K$305="Task")*ISNUMBER(Timeline!$I$5:$I$305)*ISNUMBER(Timeline!$J$5:$J$305)*(Timeline!$I$5:$I$305&lt;=BA$4+3)*(Timeline!$J$5:$J$305&gt;=BA$4+3)),SUMPRODUCT((INDEX(Timeline!$P$5:$AN$305,0,MATCH($A10,Timeline!$P$4:$AN$4,0))="x")*(Timeline!$K$5:$K$305="Task")*ISNUMBER(Timeline!$I$5:$I$305)*ISNUMBER(Timeline!$J$5:$J$305)*(Timeline!$I$5:$I$305&lt;=BA$4+4)*(Timeline!$J$5:$J$305&gt;=BA$4+4)),SUMPRODUCT((INDEX(Timeline!$P$5:$AN$305,0,MATCH($A10,Timeline!$P$4:$AN$4,0))="x")*(Timeline!$K$5:$K$305="Task")*ISNUMBER(Timeline!$I$5:$I$305)*ISNUMBER(Timeline!$J$5:$J$305)*(Timeline!$I$5:$I$305&lt;=BA$4+5)*(Timeline!$J$5:$J$305&gt;=BA$4+5)),SUMPRODUCT((INDEX(Timeline!$P$5:$AN$305,0,MATCH($A10,Timeline!$P$4:$AN$4,0))="x")*(Timeline!$K$5:$K$305="Task")*ISNUMBER(Timeline!$I$5:$I$305)*ISNUMBER(Timeline!$J$5:$J$305)*(Timeline!$I$5:$I$305&lt;=BA$4+6)*(Timeline!$J$5:$J$305&gt;=BA$4+6)))</f>
        <v>0</v>
      </c>
    </row>
    <row r="11" spans="1:53" ht="15" customHeight="1">
      <c r="A11" s="66" t="s">
        <v>42</v>
      </c>
      <c r="B11" s="66" t="s">
        <v>10</v>
      </c>
      <c r="C11" s="67">
        <f>MAX(SUMPRODUCT((INDEX(Timeline!$P$5:$AN$305,0,MATCH($A11,Timeline!$P$4:$AN$4,0))="x")*(Timeline!$K$5:$K$305="Task")*ISNUMBER(Timeline!$I$5:$I$305)*ISNUMBER(Timeline!$J$5:$J$305)*(Timeline!$I$5:$I$305&lt;=C$4+0)*(Timeline!$J$5:$J$305&gt;=C$4+0)),SUMPRODUCT((INDEX(Timeline!$P$5:$AN$305,0,MATCH($A11,Timeline!$P$4:$AN$4,0))="x")*(Timeline!$K$5:$K$305="Task")*ISNUMBER(Timeline!$I$5:$I$305)*ISNUMBER(Timeline!$J$5:$J$305)*(Timeline!$I$5:$I$305&lt;=C$4+1)*(Timeline!$J$5:$J$305&gt;=C$4+1)),SUMPRODUCT((INDEX(Timeline!$P$5:$AN$305,0,MATCH($A11,Timeline!$P$4:$AN$4,0))="x")*(Timeline!$K$5:$K$305="Task")*ISNUMBER(Timeline!$I$5:$I$305)*ISNUMBER(Timeline!$J$5:$J$305)*(Timeline!$I$5:$I$305&lt;=C$4+2)*(Timeline!$J$5:$J$305&gt;=C$4+2)),SUMPRODUCT((INDEX(Timeline!$P$5:$AN$305,0,MATCH($A11,Timeline!$P$4:$AN$4,0))="x")*(Timeline!$K$5:$K$305="Task")*ISNUMBER(Timeline!$I$5:$I$305)*ISNUMBER(Timeline!$J$5:$J$305)*(Timeline!$I$5:$I$305&lt;=C$4+3)*(Timeline!$J$5:$J$305&gt;=C$4+3)),SUMPRODUCT((INDEX(Timeline!$P$5:$AN$305,0,MATCH($A11,Timeline!$P$4:$AN$4,0))="x")*(Timeline!$K$5:$K$305="Task")*ISNUMBER(Timeline!$I$5:$I$305)*ISNUMBER(Timeline!$J$5:$J$305)*(Timeline!$I$5:$I$305&lt;=C$4+4)*(Timeline!$J$5:$J$305&gt;=C$4+4)),SUMPRODUCT((INDEX(Timeline!$P$5:$AN$305,0,MATCH($A11,Timeline!$P$4:$AN$4,0))="x")*(Timeline!$K$5:$K$305="Task")*ISNUMBER(Timeline!$I$5:$I$305)*ISNUMBER(Timeline!$J$5:$J$305)*(Timeline!$I$5:$I$305&lt;=C$4+5)*(Timeline!$J$5:$J$305&gt;=C$4+5)),SUMPRODUCT((INDEX(Timeline!$P$5:$AN$305,0,MATCH($A11,Timeline!$P$4:$AN$4,0))="x")*(Timeline!$K$5:$K$305="Task")*ISNUMBER(Timeline!$I$5:$I$305)*ISNUMBER(Timeline!$J$5:$J$305)*(Timeline!$I$5:$I$305&lt;=C$4+6)*(Timeline!$J$5:$J$305&gt;=C$4+6)))</f>
        <v>0</v>
      </c>
      <c r="D11" s="67">
        <f>MAX(SUMPRODUCT((INDEX(Timeline!$P$5:$AN$305,0,MATCH($A11,Timeline!$P$4:$AN$4,0))="x")*(Timeline!$K$5:$K$305="Task")*ISNUMBER(Timeline!$I$5:$I$305)*ISNUMBER(Timeline!$J$5:$J$305)*(Timeline!$I$5:$I$305&lt;=D$4+0)*(Timeline!$J$5:$J$305&gt;=D$4+0)),SUMPRODUCT((INDEX(Timeline!$P$5:$AN$305,0,MATCH($A11,Timeline!$P$4:$AN$4,0))="x")*(Timeline!$K$5:$K$305="Task")*ISNUMBER(Timeline!$I$5:$I$305)*ISNUMBER(Timeline!$J$5:$J$305)*(Timeline!$I$5:$I$305&lt;=D$4+1)*(Timeline!$J$5:$J$305&gt;=D$4+1)),SUMPRODUCT((INDEX(Timeline!$P$5:$AN$305,0,MATCH($A11,Timeline!$P$4:$AN$4,0))="x")*(Timeline!$K$5:$K$305="Task")*ISNUMBER(Timeline!$I$5:$I$305)*ISNUMBER(Timeline!$J$5:$J$305)*(Timeline!$I$5:$I$305&lt;=D$4+2)*(Timeline!$J$5:$J$305&gt;=D$4+2)),SUMPRODUCT((INDEX(Timeline!$P$5:$AN$305,0,MATCH($A11,Timeline!$P$4:$AN$4,0))="x")*(Timeline!$K$5:$K$305="Task")*ISNUMBER(Timeline!$I$5:$I$305)*ISNUMBER(Timeline!$J$5:$J$305)*(Timeline!$I$5:$I$305&lt;=D$4+3)*(Timeline!$J$5:$J$305&gt;=D$4+3)),SUMPRODUCT((INDEX(Timeline!$P$5:$AN$305,0,MATCH($A11,Timeline!$P$4:$AN$4,0))="x")*(Timeline!$K$5:$K$305="Task")*ISNUMBER(Timeline!$I$5:$I$305)*ISNUMBER(Timeline!$J$5:$J$305)*(Timeline!$I$5:$I$305&lt;=D$4+4)*(Timeline!$J$5:$J$305&gt;=D$4+4)),SUMPRODUCT((INDEX(Timeline!$P$5:$AN$305,0,MATCH($A11,Timeline!$P$4:$AN$4,0))="x")*(Timeline!$K$5:$K$305="Task")*ISNUMBER(Timeline!$I$5:$I$305)*ISNUMBER(Timeline!$J$5:$J$305)*(Timeline!$I$5:$I$305&lt;=D$4+5)*(Timeline!$J$5:$J$305&gt;=D$4+5)),SUMPRODUCT((INDEX(Timeline!$P$5:$AN$305,0,MATCH($A11,Timeline!$P$4:$AN$4,0))="x")*(Timeline!$K$5:$K$305="Task")*ISNUMBER(Timeline!$I$5:$I$305)*ISNUMBER(Timeline!$J$5:$J$305)*(Timeline!$I$5:$I$305&lt;=D$4+6)*(Timeline!$J$5:$J$305&gt;=D$4+6)))</f>
        <v>0</v>
      </c>
      <c r="E11" s="67">
        <f>MAX(SUMPRODUCT((INDEX(Timeline!$P$5:$AN$305,0,MATCH($A11,Timeline!$P$4:$AN$4,0))="x")*(Timeline!$K$5:$K$305="Task")*ISNUMBER(Timeline!$I$5:$I$305)*ISNUMBER(Timeline!$J$5:$J$305)*(Timeline!$I$5:$I$305&lt;=E$4+0)*(Timeline!$J$5:$J$305&gt;=E$4+0)),SUMPRODUCT((INDEX(Timeline!$P$5:$AN$305,0,MATCH($A11,Timeline!$P$4:$AN$4,0))="x")*(Timeline!$K$5:$K$305="Task")*ISNUMBER(Timeline!$I$5:$I$305)*ISNUMBER(Timeline!$J$5:$J$305)*(Timeline!$I$5:$I$305&lt;=E$4+1)*(Timeline!$J$5:$J$305&gt;=E$4+1)),SUMPRODUCT((INDEX(Timeline!$P$5:$AN$305,0,MATCH($A11,Timeline!$P$4:$AN$4,0))="x")*(Timeline!$K$5:$K$305="Task")*ISNUMBER(Timeline!$I$5:$I$305)*ISNUMBER(Timeline!$J$5:$J$305)*(Timeline!$I$5:$I$305&lt;=E$4+2)*(Timeline!$J$5:$J$305&gt;=E$4+2)),SUMPRODUCT((INDEX(Timeline!$P$5:$AN$305,0,MATCH($A11,Timeline!$P$4:$AN$4,0))="x")*(Timeline!$K$5:$K$305="Task")*ISNUMBER(Timeline!$I$5:$I$305)*ISNUMBER(Timeline!$J$5:$J$305)*(Timeline!$I$5:$I$305&lt;=E$4+3)*(Timeline!$J$5:$J$305&gt;=E$4+3)),SUMPRODUCT((INDEX(Timeline!$P$5:$AN$305,0,MATCH($A11,Timeline!$P$4:$AN$4,0))="x")*(Timeline!$K$5:$K$305="Task")*ISNUMBER(Timeline!$I$5:$I$305)*ISNUMBER(Timeline!$J$5:$J$305)*(Timeline!$I$5:$I$305&lt;=E$4+4)*(Timeline!$J$5:$J$305&gt;=E$4+4)),SUMPRODUCT((INDEX(Timeline!$P$5:$AN$305,0,MATCH($A11,Timeline!$P$4:$AN$4,0))="x")*(Timeline!$K$5:$K$305="Task")*ISNUMBER(Timeline!$I$5:$I$305)*ISNUMBER(Timeline!$J$5:$J$305)*(Timeline!$I$5:$I$305&lt;=E$4+5)*(Timeline!$J$5:$J$305&gt;=E$4+5)),SUMPRODUCT((INDEX(Timeline!$P$5:$AN$305,0,MATCH($A11,Timeline!$P$4:$AN$4,0))="x")*(Timeline!$K$5:$K$305="Task")*ISNUMBER(Timeline!$I$5:$I$305)*ISNUMBER(Timeline!$J$5:$J$305)*(Timeline!$I$5:$I$305&lt;=E$4+6)*(Timeline!$J$5:$J$305&gt;=E$4+6)))</f>
        <v>0</v>
      </c>
      <c r="F11" s="67">
        <f>MAX(SUMPRODUCT((INDEX(Timeline!$P$5:$AN$305,0,MATCH($A11,Timeline!$P$4:$AN$4,0))="x")*(Timeline!$K$5:$K$305="Task")*ISNUMBER(Timeline!$I$5:$I$305)*ISNUMBER(Timeline!$J$5:$J$305)*(Timeline!$I$5:$I$305&lt;=F$4+0)*(Timeline!$J$5:$J$305&gt;=F$4+0)),SUMPRODUCT((INDEX(Timeline!$P$5:$AN$305,0,MATCH($A11,Timeline!$P$4:$AN$4,0))="x")*(Timeline!$K$5:$K$305="Task")*ISNUMBER(Timeline!$I$5:$I$305)*ISNUMBER(Timeline!$J$5:$J$305)*(Timeline!$I$5:$I$305&lt;=F$4+1)*(Timeline!$J$5:$J$305&gt;=F$4+1)),SUMPRODUCT((INDEX(Timeline!$P$5:$AN$305,0,MATCH($A11,Timeline!$P$4:$AN$4,0))="x")*(Timeline!$K$5:$K$305="Task")*ISNUMBER(Timeline!$I$5:$I$305)*ISNUMBER(Timeline!$J$5:$J$305)*(Timeline!$I$5:$I$305&lt;=F$4+2)*(Timeline!$J$5:$J$305&gt;=F$4+2)),SUMPRODUCT((INDEX(Timeline!$P$5:$AN$305,0,MATCH($A11,Timeline!$P$4:$AN$4,0))="x")*(Timeline!$K$5:$K$305="Task")*ISNUMBER(Timeline!$I$5:$I$305)*ISNUMBER(Timeline!$J$5:$J$305)*(Timeline!$I$5:$I$305&lt;=F$4+3)*(Timeline!$J$5:$J$305&gt;=F$4+3)),SUMPRODUCT((INDEX(Timeline!$P$5:$AN$305,0,MATCH($A11,Timeline!$P$4:$AN$4,0))="x")*(Timeline!$K$5:$K$305="Task")*ISNUMBER(Timeline!$I$5:$I$305)*ISNUMBER(Timeline!$J$5:$J$305)*(Timeline!$I$5:$I$305&lt;=F$4+4)*(Timeline!$J$5:$J$305&gt;=F$4+4)),SUMPRODUCT((INDEX(Timeline!$P$5:$AN$305,0,MATCH($A11,Timeline!$P$4:$AN$4,0))="x")*(Timeline!$K$5:$K$305="Task")*ISNUMBER(Timeline!$I$5:$I$305)*ISNUMBER(Timeline!$J$5:$J$305)*(Timeline!$I$5:$I$305&lt;=F$4+5)*(Timeline!$J$5:$J$305&gt;=F$4+5)),SUMPRODUCT((INDEX(Timeline!$P$5:$AN$305,0,MATCH($A11,Timeline!$P$4:$AN$4,0))="x")*(Timeline!$K$5:$K$305="Task")*ISNUMBER(Timeline!$I$5:$I$305)*ISNUMBER(Timeline!$J$5:$J$305)*(Timeline!$I$5:$I$305&lt;=F$4+6)*(Timeline!$J$5:$J$305&gt;=F$4+6)))</f>
        <v>1</v>
      </c>
      <c r="G11" s="67">
        <f>MAX(SUMPRODUCT((INDEX(Timeline!$P$5:$AN$305,0,MATCH($A11,Timeline!$P$4:$AN$4,0))="x")*(Timeline!$K$5:$K$305="Task")*ISNUMBER(Timeline!$I$5:$I$305)*ISNUMBER(Timeline!$J$5:$J$305)*(Timeline!$I$5:$I$305&lt;=G$4+0)*(Timeline!$J$5:$J$305&gt;=G$4+0)),SUMPRODUCT((INDEX(Timeline!$P$5:$AN$305,0,MATCH($A11,Timeline!$P$4:$AN$4,0))="x")*(Timeline!$K$5:$K$305="Task")*ISNUMBER(Timeline!$I$5:$I$305)*ISNUMBER(Timeline!$J$5:$J$305)*(Timeline!$I$5:$I$305&lt;=G$4+1)*(Timeline!$J$5:$J$305&gt;=G$4+1)),SUMPRODUCT((INDEX(Timeline!$P$5:$AN$305,0,MATCH($A11,Timeline!$P$4:$AN$4,0))="x")*(Timeline!$K$5:$K$305="Task")*ISNUMBER(Timeline!$I$5:$I$305)*ISNUMBER(Timeline!$J$5:$J$305)*(Timeline!$I$5:$I$305&lt;=G$4+2)*(Timeline!$J$5:$J$305&gt;=G$4+2)),SUMPRODUCT((INDEX(Timeline!$P$5:$AN$305,0,MATCH($A11,Timeline!$P$4:$AN$4,0))="x")*(Timeline!$K$5:$K$305="Task")*ISNUMBER(Timeline!$I$5:$I$305)*ISNUMBER(Timeline!$J$5:$J$305)*(Timeline!$I$5:$I$305&lt;=G$4+3)*(Timeline!$J$5:$J$305&gt;=G$4+3)),SUMPRODUCT((INDEX(Timeline!$P$5:$AN$305,0,MATCH($A11,Timeline!$P$4:$AN$4,0))="x")*(Timeline!$K$5:$K$305="Task")*ISNUMBER(Timeline!$I$5:$I$305)*ISNUMBER(Timeline!$J$5:$J$305)*(Timeline!$I$5:$I$305&lt;=G$4+4)*(Timeline!$J$5:$J$305&gt;=G$4+4)),SUMPRODUCT((INDEX(Timeline!$P$5:$AN$305,0,MATCH($A11,Timeline!$P$4:$AN$4,0))="x")*(Timeline!$K$5:$K$305="Task")*ISNUMBER(Timeline!$I$5:$I$305)*ISNUMBER(Timeline!$J$5:$J$305)*(Timeline!$I$5:$I$305&lt;=G$4+5)*(Timeline!$J$5:$J$305&gt;=G$4+5)),SUMPRODUCT((INDEX(Timeline!$P$5:$AN$305,0,MATCH($A11,Timeline!$P$4:$AN$4,0))="x")*(Timeline!$K$5:$K$305="Task")*ISNUMBER(Timeline!$I$5:$I$305)*ISNUMBER(Timeline!$J$5:$J$305)*(Timeline!$I$5:$I$305&lt;=G$4+6)*(Timeline!$J$5:$J$305&gt;=G$4+6)))</f>
        <v>3</v>
      </c>
      <c r="H11" s="67">
        <f>MAX(SUMPRODUCT((INDEX(Timeline!$P$5:$AN$305,0,MATCH($A11,Timeline!$P$4:$AN$4,0))="x")*(Timeline!$K$5:$K$305="Task")*ISNUMBER(Timeline!$I$5:$I$305)*ISNUMBER(Timeline!$J$5:$J$305)*(Timeline!$I$5:$I$305&lt;=H$4+0)*(Timeline!$J$5:$J$305&gt;=H$4+0)),SUMPRODUCT((INDEX(Timeline!$P$5:$AN$305,0,MATCH($A11,Timeline!$P$4:$AN$4,0))="x")*(Timeline!$K$5:$K$305="Task")*ISNUMBER(Timeline!$I$5:$I$305)*ISNUMBER(Timeline!$J$5:$J$305)*(Timeline!$I$5:$I$305&lt;=H$4+1)*(Timeline!$J$5:$J$305&gt;=H$4+1)),SUMPRODUCT((INDEX(Timeline!$P$5:$AN$305,0,MATCH($A11,Timeline!$P$4:$AN$4,0))="x")*(Timeline!$K$5:$K$305="Task")*ISNUMBER(Timeline!$I$5:$I$305)*ISNUMBER(Timeline!$J$5:$J$305)*(Timeline!$I$5:$I$305&lt;=H$4+2)*(Timeline!$J$5:$J$305&gt;=H$4+2)),SUMPRODUCT((INDEX(Timeline!$P$5:$AN$305,0,MATCH($A11,Timeline!$P$4:$AN$4,0))="x")*(Timeline!$K$5:$K$305="Task")*ISNUMBER(Timeline!$I$5:$I$305)*ISNUMBER(Timeline!$J$5:$J$305)*(Timeline!$I$5:$I$305&lt;=H$4+3)*(Timeline!$J$5:$J$305&gt;=H$4+3)),SUMPRODUCT((INDEX(Timeline!$P$5:$AN$305,0,MATCH($A11,Timeline!$P$4:$AN$4,0))="x")*(Timeline!$K$5:$K$305="Task")*ISNUMBER(Timeline!$I$5:$I$305)*ISNUMBER(Timeline!$J$5:$J$305)*(Timeline!$I$5:$I$305&lt;=H$4+4)*(Timeline!$J$5:$J$305&gt;=H$4+4)),SUMPRODUCT((INDEX(Timeline!$P$5:$AN$305,0,MATCH($A11,Timeline!$P$4:$AN$4,0))="x")*(Timeline!$K$5:$K$305="Task")*ISNUMBER(Timeline!$I$5:$I$305)*ISNUMBER(Timeline!$J$5:$J$305)*(Timeline!$I$5:$I$305&lt;=H$4+5)*(Timeline!$J$5:$J$305&gt;=H$4+5)),SUMPRODUCT((INDEX(Timeline!$P$5:$AN$305,0,MATCH($A11,Timeline!$P$4:$AN$4,0))="x")*(Timeline!$K$5:$K$305="Task")*ISNUMBER(Timeline!$I$5:$I$305)*ISNUMBER(Timeline!$J$5:$J$305)*(Timeline!$I$5:$I$305&lt;=H$4+6)*(Timeline!$J$5:$J$305&gt;=H$4+6)))</f>
        <v>3</v>
      </c>
      <c r="I11" s="67">
        <f>MAX(SUMPRODUCT((INDEX(Timeline!$P$5:$AN$305,0,MATCH($A11,Timeline!$P$4:$AN$4,0))="x")*(Timeline!$K$5:$K$305="Task")*ISNUMBER(Timeline!$I$5:$I$305)*ISNUMBER(Timeline!$J$5:$J$305)*(Timeline!$I$5:$I$305&lt;=I$4+0)*(Timeline!$J$5:$J$305&gt;=I$4+0)),SUMPRODUCT((INDEX(Timeline!$P$5:$AN$305,0,MATCH($A11,Timeline!$P$4:$AN$4,0))="x")*(Timeline!$K$5:$K$305="Task")*ISNUMBER(Timeline!$I$5:$I$305)*ISNUMBER(Timeline!$J$5:$J$305)*(Timeline!$I$5:$I$305&lt;=I$4+1)*(Timeline!$J$5:$J$305&gt;=I$4+1)),SUMPRODUCT((INDEX(Timeline!$P$5:$AN$305,0,MATCH($A11,Timeline!$P$4:$AN$4,0))="x")*(Timeline!$K$5:$K$305="Task")*ISNUMBER(Timeline!$I$5:$I$305)*ISNUMBER(Timeline!$J$5:$J$305)*(Timeline!$I$5:$I$305&lt;=I$4+2)*(Timeline!$J$5:$J$305&gt;=I$4+2)),SUMPRODUCT((INDEX(Timeline!$P$5:$AN$305,0,MATCH($A11,Timeline!$P$4:$AN$4,0))="x")*(Timeline!$K$5:$K$305="Task")*ISNUMBER(Timeline!$I$5:$I$305)*ISNUMBER(Timeline!$J$5:$J$305)*(Timeline!$I$5:$I$305&lt;=I$4+3)*(Timeline!$J$5:$J$305&gt;=I$4+3)),SUMPRODUCT((INDEX(Timeline!$P$5:$AN$305,0,MATCH($A11,Timeline!$P$4:$AN$4,0))="x")*(Timeline!$K$5:$K$305="Task")*ISNUMBER(Timeline!$I$5:$I$305)*ISNUMBER(Timeline!$J$5:$J$305)*(Timeline!$I$5:$I$305&lt;=I$4+4)*(Timeline!$J$5:$J$305&gt;=I$4+4)),SUMPRODUCT((INDEX(Timeline!$P$5:$AN$305,0,MATCH($A11,Timeline!$P$4:$AN$4,0))="x")*(Timeline!$K$5:$K$305="Task")*ISNUMBER(Timeline!$I$5:$I$305)*ISNUMBER(Timeline!$J$5:$J$305)*(Timeline!$I$5:$I$305&lt;=I$4+5)*(Timeline!$J$5:$J$305&gt;=I$4+5)),SUMPRODUCT((INDEX(Timeline!$P$5:$AN$305,0,MATCH($A11,Timeline!$P$4:$AN$4,0))="x")*(Timeline!$K$5:$K$305="Task")*ISNUMBER(Timeline!$I$5:$I$305)*ISNUMBER(Timeline!$J$5:$J$305)*(Timeline!$I$5:$I$305&lt;=I$4+6)*(Timeline!$J$5:$J$305&gt;=I$4+6)))</f>
        <v>5</v>
      </c>
      <c r="J11" s="67">
        <f>MAX(SUMPRODUCT((INDEX(Timeline!$P$5:$AN$305,0,MATCH($A11,Timeline!$P$4:$AN$4,0))="x")*(Timeline!$K$5:$K$305="Task")*ISNUMBER(Timeline!$I$5:$I$305)*ISNUMBER(Timeline!$J$5:$J$305)*(Timeline!$I$5:$I$305&lt;=J$4+0)*(Timeline!$J$5:$J$305&gt;=J$4+0)),SUMPRODUCT((INDEX(Timeline!$P$5:$AN$305,0,MATCH($A11,Timeline!$P$4:$AN$4,0))="x")*(Timeline!$K$5:$K$305="Task")*ISNUMBER(Timeline!$I$5:$I$305)*ISNUMBER(Timeline!$J$5:$J$305)*(Timeline!$I$5:$I$305&lt;=J$4+1)*(Timeline!$J$5:$J$305&gt;=J$4+1)),SUMPRODUCT((INDEX(Timeline!$P$5:$AN$305,0,MATCH($A11,Timeline!$P$4:$AN$4,0))="x")*(Timeline!$K$5:$K$305="Task")*ISNUMBER(Timeline!$I$5:$I$305)*ISNUMBER(Timeline!$J$5:$J$305)*(Timeline!$I$5:$I$305&lt;=J$4+2)*(Timeline!$J$5:$J$305&gt;=J$4+2)),SUMPRODUCT((INDEX(Timeline!$P$5:$AN$305,0,MATCH($A11,Timeline!$P$4:$AN$4,0))="x")*(Timeline!$K$5:$K$305="Task")*ISNUMBER(Timeline!$I$5:$I$305)*ISNUMBER(Timeline!$J$5:$J$305)*(Timeline!$I$5:$I$305&lt;=J$4+3)*(Timeline!$J$5:$J$305&gt;=J$4+3)),SUMPRODUCT((INDEX(Timeline!$P$5:$AN$305,0,MATCH($A11,Timeline!$P$4:$AN$4,0))="x")*(Timeline!$K$5:$K$305="Task")*ISNUMBER(Timeline!$I$5:$I$305)*ISNUMBER(Timeline!$J$5:$J$305)*(Timeline!$I$5:$I$305&lt;=J$4+4)*(Timeline!$J$5:$J$305&gt;=J$4+4)),SUMPRODUCT((INDEX(Timeline!$P$5:$AN$305,0,MATCH($A11,Timeline!$P$4:$AN$4,0))="x")*(Timeline!$K$5:$K$305="Task")*ISNUMBER(Timeline!$I$5:$I$305)*ISNUMBER(Timeline!$J$5:$J$305)*(Timeline!$I$5:$I$305&lt;=J$4+5)*(Timeline!$J$5:$J$305&gt;=J$4+5)),SUMPRODUCT((INDEX(Timeline!$P$5:$AN$305,0,MATCH($A11,Timeline!$P$4:$AN$4,0))="x")*(Timeline!$K$5:$K$305="Task")*ISNUMBER(Timeline!$I$5:$I$305)*ISNUMBER(Timeline!$J$5:$J$305)*(Timeline!$I$5:$I$305&lt;=J$4+6)*(Timeline!$J$5:$J$305&gt;=J$4+6)))</f>
        <v>7</v>
      </c>
      <c r="K11" s="67">
        <f>MAX(SUMPRODUCT((INDEX(Timeline!$P$5:$AN$305,0,MATCH($A11,Timeline!$P$4:$AN$4,0))="x")*(Timeline!$K$5:$K$305="Task")*ISNUMBER(Timeline!$I$5:$I$305)*ISNUMBER(Timeline!$J$5:$J$305)*(Timeline!$I$5:$I$305&lt;=K$4+0)*(Timeline!$J$5:$J$305&gt;=K$4+0)),SUMPRODUCT((INDEX(Timeline!$P$5:$AN$305,0,MATCH($A11,Timeline!$P$4:$AN$4,0))="x")*(Timeline!$K$5:$K$305="Task")*ISNUMBER(Timeline!$I$5:$I$305)*ISNUMBER(Timeline!$J$5:$J$305)*(Timeline!$I$5:$I$305&lt;=K$4+1)*(Timeline!$J$5:$J$305&gt;=K$4+1)),SUMPRODUCT((INDEX(Timeline!$P$5:$AN$305,0,MATCH($A11,Timeline!$P$4:$AN$4,0))="x")*(Timeline!$K$5:$K$305="Task")*ISNUMBER(Timeline!$I$5:$I$305)*ISNUMBER(Timeline!$J$5:$J$305)*(Timeline!$I$5:$I$305&lt;=K$4+2)*(Timeline!$J$5:$J$305&gt;=K$4+2)),SUMPRODUCT((INDEX(Timeline!$P$5:$AN$305,0,MATCH($A11,Timeline!$P$4:$AN$4,0))="x")*(Timeline!$K$5:$K$305="Task")*ISNUMBER(Timeline!$I$5:$I$305)*ISNUMBER(Timeline!$J$5:$J$305)*(Timeline!$I$5:$I$305&lt;=K$4+3)*(Timeline!$J$5:$J$305&gt;=K$4+3)),SUMPRODUCT((INDEX(Timeline!$P$5:$AN$305,0,MATCH($A11,Timeline!$P$4:$AN$4,0))="x")*(Timeline!$K$5:$K$305="Task")*ISNUMBER(Timeline!$I$5:$I$305)*ISNUMBER(Timeline!$J$5:$J$305)*(Timeline!$I$5:$I$305&lt;=K$4+4)*(Timeline!$J$5:$J$305&gt;=K$4+4)),SUMPRODUCT((INDEX(Timeline!$P$5:$AN$305,0,MATCH($A11,Timeline!$P$4:$AN$4,0))="x")*(Timeline!$K$5:$K$305="Task")*ISNUMBER(Timeline!$I$5:$I$305)*ISNUMBER(Timeline!$J$5:$J$305)*(Timeline!$I$5:$I$305&lt;=K$4+5)*(Timeline!$J$5:$J$305&gt;=K$4+5)),SUMPRODUCT((INDEX(Timeline!$P$5:$AN$305,0,MATCH($A11,Timeline!$P$4:$AN$4,0))="x")*(Timeline!$K$5:$K$305="Task")*ISNUMBER(Timeline!$I$5:$I$305)*ISNUMBER(Timeline!$J$5:$J$305)*(Timeline!$I$5:$I$305&lt;=K$4+6)*(Timeline!$J$5:$J$305&gt;=K$4+6)))</f>
        <v>7</v>
      </c>
      <c r="L11" s="67">
        <f>MAX(SUMPRODUCT((INDEX(Timeline!$P$5:$AN$305,0,MATCH($A11,Timeline!$P$4:$AN$4,0))="x")*(Timeline!$K$5:$K$305="Task")*ISNUMBER(Timeline!$I$5:$I$305)*ISNUMBER(Timeline!$J$5:$J$305)*(Timeline!$I$5:$I$305&lt;=L$4+0)*(Timeline!$J$5:$J$305&gt;=L$4+0)),SUMPRODUCT((INDEX(Timeline!$P$5:$AN$305,0,MATCH($A11,Timeline!$P$4:$AN$4,0))="x")*(Timeline!$K$5:$K$305="Task")*ISNUMBER(Timeline!$I$5:$I$305)*ISNUMBER(Timeline!$J$5:$J$305)*(Timeline!$I$5:$I$305&lt;=L$4+1)*(Timeline!$J$5:$J$305&gt;=L$4+1)),SUMPRODUCT((INDEX(Timeline!$P$5:$AN$305,0,MATCH($A11,Timeline!$P$4:$AN$4,0))="x")*(Timeline!$K$5:$K$305="Task")*ISNUMBER(Timeline!$I$5:$I$305)*ISNUMBER(Timeline!$J$5:$J$305)*(Timeline!$I$5:$I$305&lt;=L$4+2)*(Timeline!$J$5:$J$305&gt;=L$4+2)),SUMPRODUCT((INDEX(Timeline!$P$5:$AN$305,0,MATCH($A11,Timeline!$P$4:$AN$4,0))="x")*(Timeline!$K$5:$K$305="Task")*ISNUMBER(Timeline!$I$5:$I$305)*ISNUMBER(Timeline!$J$5:$J$305)*(Timeline!$I$5:$I$305&lt;=L$4+3)*(Timeline!$J$5:$J$305&gt;=L$4+3)),SUMPRODUCT((INDEX(Timeline!$P$5:$AN$305,0,MATCH($A11,Timeline!$P$4:$AN$4,0))="x")*(Timeline!$K$5:$K$305="Task")*ISNUMBER(Timeline!$I$5:$I$305)*ISNUMBER(Timeline!$J$5:$J$305)*(Timeline!$I$5:$I$305&lt;=L$4+4)*(Timeline!$J$5:$J$305&gt;=L$4+4)),SUMPRODUCT((INDEX(Timeline!$P$5:$AN$305,0,MATCH($A11,Timeline!$P$4:$AN$4,0))="x")*(Timeline!$K$5:$K$305="Task")*ISNUMBER(Timeline!$I$5:$I$305)*ISNUMBER(Timeline!$J$5:$J$305)*(Timeline!$I$5:$I$305&lt;=L$4+5)*(Timeline!$J$5:$J$305&gt;=L$4+5)),SUMPRODUCT((INDEX(Timeline!$P$5:$AN$305,0,MATCH($A11,Timeline!$P$4:$AN$4,0))="x")*(Timeline!$K$5:$K$305="Task")*ISNUMBER(Timeline!$I$5:$I$305)*ISNUMBER(Timeline!$J$5:$J$305)*(Timeline!$I$5:$I$305&lt;=L$4+6)*(Timeline!$J$5:$J$305&gt;=L$4+6)))</f>
        <v>8</v>
      </c>
      <c r="M11" s="67">
        <f>MAX(SUMPRODUCT((INDEX(Timeline!$P$5:$AN$305,0,MATCH($A11,Timeline!$P$4:$AN$4,0))="x")*(Timeline!$K$5:$K$305="Task")*ISNUMBER(Timeline!$I$5:$I$305)*ISNUMBER(Timeline!$J$5:$J$305)*(Timeline!$I$5:$I$305&lt;=M$4+0)*(Timeline!$J$5:$J$305&gt;=M$4+0)),SUMPRODUCT((INDEX(Timeline!$P$5:$AN$305,0,MATCH($A11,Timeline!$P$4:$AN$4,0))="x")*(Timeline!$K$5:$K$305="Task")*ISNUMBER(Timeline!$I$5:$I$305)*ISNUMBER(Timeline!$J$5:$J$305)*(Timeline!$I$5:$I$305&lt;=M$4+1)*(Timeline!$J$5:$J$305&gt;=M$4+1)),SUMPRODUCT((INDEX(Timeline!$P$5:$AN$305,0,MATCH($A11,Timeline!$P$4:$AN$4,0))="x")*(Timeline!$K$5:$K$305="Task")*ISNUMBER(Timeline!$I$5:$I$305)*ISNUMBER(Timeline!$J$5:$J$305)*(Timeline!$I$5:$I$305&lt;=M$4+2)*(Timeline!$J$5:$J$305&gt;=M$4+2)),SUMPRODUCT((INDEX(Timeline!$P$5:$AN$305,0,MATCH($A11,Timeline!$P$4:$AN$4,0))="x")*(Timeline!$K$5:$K$305="Task")*ISNUMBER(Timeline!$I$5:$I$305)*ISNUMBER(Timeline!$J$5:$J$305)*(Timeline!$I$5:$I$305&lt;=M$4+3)*(Timeline!$J$5:$J$305&gt;=M$4+3)),SUMPRODUCT((INDEX(Timeline!$P$5:$AN$305,0,MATCH($A11,Timeline!$P$4:$AN$4,0))="x")*(Timeline!$K$5:$K$305="Task")*ISNUMBER(Timeline!$I$5:$I$305)*ISNUMBER(Timeline!$J$5:$J$305)*(Timeline!$I$5:$I$305&lt;=M$4+4)*(Timeline!$J$5:$J$305&gt;=M$4+4)),SUMPRODUCT((INDEX(Timeline!$P$5:$AN$305,0,MATCH($A11,Timeline!$P$4:$AN$4,0))="x")*(Timeline!$K$5:$K$305="Task")*ISNUMBER(Timeline!$I$5:$I$305)*ISNUMBER(Timeline!$J$5:$J$305)*(Timeline!$I$5:$I$305&lt;=M$4+5)*(Timeline!$J$5:$J$305&gt;=M$4+5)),SUMPRODUCT((INDEX(Timeline!$P$5:$AN$305,0,MATCH($A11,Timeline!$P$4:$AN$4,0))="x")*(Timeline!$K$5:$K$305="Task")*ISNUMBER(Timeline!$I$5:$I$305)*ISNUMBER(Timeline!$J$5:$J$305)*(Timeline!$I$5:$I$305&lt;=M$4+6)*(Timeline!$J$5:$J$305&gt;=M$4+6)))</f>
        <v>6</v>
      </c>
      <c r="N11" s="67">
        <f>MAX(SUMPRODUCT((INDEX(Timeline!$P$5:$AN$305,0,MATCH($A11,Timeline!$P$4:$AN$4,0))="x")*(Timeline!$K$5:$K$305="Task")*ISNUMBER(Timeline!$I$5:$I$305)*ISNUMBER(Timeline!$J$5:$J$305)*(Timeline!$I$5:$I$305&lt;=N$4+0)*(Timeline!$J$5:$J$305&gt;=N$4+0)),SUMPRODUCT((INDEX(Timeline!$P$5:$AN$305,0,MATCH($A11,Timeline!$P$4:$AN$4,0))="x")*(Timeline!$K$5:$K$305="Task")*ISNUMBER(Timeline!$I$5:$I$305)*ISNUMBER(Timeline!$J$5:$J$305)*(Timeline!$I$5:$I$305&lt;=N$4+1)*(Timeline!$J$5:$J$305&gt;=N$4+1)),SUMPRODUCT((INDEX(Timeline!$P$5:$AN$305,0,MATCH($A11,Timeline!$P$4:$AN$4,0))="x")*(Timeline!$K$5:$K$305="Task")*ISNUMBER(Timeline!$I$5:$I$305)*ISNUMBER(Timeline!$J$5:$J$305)*(Timeline!$I$5:$I$305&lt;=N$4+2)*(Timeline!$J$5:$J$305&gt;=N$4+2)),SUMPRODUCT((INDEX(Timeline!$P$5:$AN$305,0,MATCH($A11,Timeline!$P$4:$AN$4,0))="x")*(Timeline!$K$5:$K$305="Task")*ISNUMBER(Timeline!$I$5:$I$305)*ISNUMBER(Timeline!$J$5:$J$305)*(Timeline!$I$5:$I$305&lt;=N$4+3)*(Timeline!$J$5:$J$305&gt;=N$4+3)),SUMPRODUCT((INDEX(Timeline!$P$5:$AN$305,0,MATCH($A11,Timeline!$P$4:$AN$4,0))="x")*(Timeline!$K$5:$K$305="Task")*ISNUMBER(Timeline!$I$5:$I$305)*ISNUMBER(Timeline!$J$5:$J$305)*(Timeline!$I$5:$I$305&lt;=N$4+4)*(Timeline!$J$5:$J$305&gt;=N$4+4)),SUMPRODUCT((INDEX(Timeline!$P$5:$AN$305,0,MATCH($A11,Timeline!$P$4:$AN$4,0))="x")*(Timeline!$K$5:$K$305="Task")*ISNUMBER(Timeline!$I$5:$I$305)*ISNUMBER(Timeline!$J$5:$J$305)*(Timeline!$I$5:$I$305&lt;=N$4+5)*(Timeline!$J$5:$J$305&gt;=N$4+5)),SUMPRODUCT((INDEX(Timeline!$P$5:$AN$305,0,MATCH($A11,Timeline!$P$4:$AN$4,0))="x")*(Timeline!$K$5:$K$305="Task")*ISNUMBER(Timeline!$I$5:$I$305)*ISNUMBER(Timeline!$J$5:$J$305)*(Timeline!$I$5:$I$305&lt;=N$4+6)*(Timeline!$J$5:$J$305&gt;=N$4+6)))</f>
        <v>6</v>
      </c>
      <c r="O11" s="67">
        <f>MAX(SUMPRODUCT((INDEX(Timeline!$P$5:$AN$305,0,MATCH($A11,Timeline!$P$4:$AN$4,0))="x")*(Timeline!$K$5:$K$305="Task")*ISNUMBER(Timeline!$I$5:$I$305)*ISNUMBER(Timeline!$J$5:$J$305)*(Timeline!$I$5:$I$305&lt;=O$4+0)*(Timeline!$J$5:$J$305&gt;=O$4+0)),SUMPRODUCT((INDEX(Timeline!$P$5:$AN$305,0,MATCH($A11,Timeline!$P$4:$AN$4,0))="x")*(Timeline!$K$5:$K$305="Task")*ISNUMBER(Timeline!$I$5:$I$305)*ISNUMBER(Timeline!$J$5:$J$305)*(Timeline!$I$5:$I$305&lt;=O$4+1)*(Timeline!$J$5:$J$305&gt;=O$4+1)),SUMPRODUCT((INDEX(Timeline!$P$5:$AN$305,0,MATCH($A11,Timeline!$P$4:$AN$4,0))="x")*(Timeline!$K$5:$K$305="Task")*ISNUMBER(Timeline!$I$5:$I$305)*ISNUMBER(Timeline!$J$5:$J$305)*(Timeline!$I$5:$I$305&lt;=O$4+2)*(Timeline!$J$5:$J$305&gt;=O$4+2)),SUMPRODUCT((INDEX(Timeline!$P$5:$AN$305,0,MATCH($A11,Timeline!$P$4:$AN$4,0))="x")*(Timeline!$K$5:$K$305="Task")*ISNUMBER(Timeline!$I$5:$I$305)*ISNUMBER(Timeline!$J$5:$J$305)*(Timeline!$I$5:$I$305&lt;=O$4+3)*(Timeline!$J$5:$J$305&gt;=O$4+3)),SUMPRODUCT((INDEX(Timeline!$P$5:$AN$305,0,MATCH($A11,Timeline!$P$4:$AN$4,0))="x")*(Timeline!$K$5:$K$305="Task")*ISNUMBER(Timeline!$I$5:$I$305)*ISNUMBER(Timeline!$J$5:$J$305)*(Timeline!$I$5:$I$305&lt;=O$4+4)*(Timeline!$J$5:$J$305&gt;=O$4+4)),SUMPRODUCT((INDEX(Timeline!$P$5:$AN$305,0,MATCH($A11,Timeline!$P$4:$AN$4,0))="x")*(Timeline!$K$5:$K$305="Task")*ISNUMBER(Timeline!$I$5:$I$305)*ISNUMBER(Timeline!$J$5:$J$305)*(Timeline!$I$5:$I$305&lt;=O$4+5)*(Timeline!$J$5:$J$305&gt;=O$4+5)),SUMPRODUCT((INDEX(Timeline!$P$5:$AN$305,0,MATCH($A11,Timeline!$P$4:$AN$4,0))="x")*(Timeline!$K$5:$K$305="Task")*ISNUMBER(Timeline!$I$5:$I$305)*ISNUMBER(Timeline!$J$5:$J$305)*(Timeline!$I$5:$I$305&lt;=O$4+6)*(Timeline!$J$5:$J$305&gt;=O$4+6)))</f>
        <v>7</v>
      </c>
      <c r="P11" s="67">
        <f>MAX(SUMPRODUCT((INDEX(Timeline!$P$5:$AN$305,0,MATCH($A11,Timeline!$P$4:$AN$4,0))="x")*(Timeline!$K$5:$K$305="Task")*ISNUMBER(Timeline!$I$5:$I$305)*ISNUMBER(Timeline!$J$5:$J$305)*(Timeline!$I$5:$I$305&lt;=P$4+0)*(Timeline!$J$5:$J$305&gt;=P$4+0)),SUMPRODUCT((INDEX(Timeline!$P$5:$AN$305,0,MATCH($A11,Timeline!$P$4:$AN$4,0))="x")*(Timeline!$K$5:$K$305="Task")*ISNUMBER(Timeline!$I$5:$I$305)*ISNUMBER(Timeline!$J$5:$J$305)*(Timeline!$I$5:$I$305&lt;=P$4+1)*(Timeline!$J$5:$J$305&gt;=P$4+1)),SUMPRODUCT((INDEX(Timeline!$P$5:$AN$305,0,MATCH($A11,Timeline!$P$4:$AN$4,0))="x")*(Timeline!$K$5:$K$305="Task")*ISNUMBER(Timeline!$I$5:$I$305)*ISNUMBER(Timeline!$J$5:$J$305)*(Timeline!$I$5:$I$305&lt;=P$4+2)*(Timeline!$J$5:$J$305&gt;=P$4+2)),SUMPRODUCT((INDEX(Timeline!$P$5:$AN$305,0,MATCH($A11,Timeline!$P$4:$AN$4,0))="x")*(Timeline!$K$5:$K$305="Task")*ISNUMBER(Timeline!$I$5:$I$305)*ISNUMBER(Timeline!$J$5:$J$305)*(Timeline!$I$5:$I$305&lt;=P$4+3)*(Timeline!$J$5:$J$305&gt;=P$4+3)),SUMPRODUCT((INDEX(Timeline!$P$5:$AN$305,0,MATCH($A11,Timeline!$P$4:$AN$4,0))="x")*(Timeline!$K$5:$K$305="Task")*ISNUMBER(Timeline!$I$5:$I$305)*ISNUMBER(Timeline!$J$5:$J$305)*(Timeline!$I$5:$I$305&lt;=P$4+4)*(Timeline!$J$5:$J$305&gt;=P$4+4)),SUMPRODUCT((INDEX(Timeline!$P$5:$AN$305,0,MATCH($A11,Timeline!$P$4:$AN$4,0))="x")*(Timeline!$K$5:$K$305="Task")*ISNUMBER(Timeline!$I$5:$I$305)*ISNUMBER(Timeline!$J$5:$J$305)*(Timeline!$I$5:$I$305&lt;=P$4+5)*(Timeline!$J$5:$J$305&gt;=P$4+5)),SUMPRODUCT((INDEX(Timeline!$P$5:$AN$305,0,MATCH($A11,Timeline!$P$4:$AN$4,0))="x")*(Timeline!$K$5:$K$305="Task")*ISNUMBER(Timeline!$I$5:$I$305)*ISNUMBER(Timeline!$J$5:$J$305)*(Timeline!$I$5:$I$305&lt;=P$4+6)*(Timeline!$J$5:$J$305&gt;=P$4+6)))</f>
        <v>7</v>
      </c>
      <c r="Q11" s="67">
        <f>MAX(SUMPRODUCT((INDEX(Timeline!$P$5:$AN$305,0,MATCH($A11,Timeline!$P$4:$AN$4,0))="x")*(Timeline!$K$5:$K$305="Task")*ISNUMBER(Timeline!$I$5:$I$305)*ISNUMBER(Timeline!$J$5:$J$305)*(Timeline!$I$5:$I$305&lt;=Q$4+0)*(Timeline!$J$5:$J$305&gt;=Q$4+0)),SUMPRODUCT((INDEX(Timeline!$P$5:$AN$305,0,MATCH($A11,Timeline!$P$4:$AN$4,0))="x")*(Timeline!$K$5:$K$305="Task")*ISNUMBER(Timeline!$I$5:$I$305)*ISNUMBER(Timeline!$J$5:$J$305)*(Timeline!$I$5:$I$305&lt;=Q$4+1)*(Timeline!$J$5:$J$305&gt;=Q$4+1)),SUMPRODUCT((INDEX(Timeline!$P$5:$AN$305,0,MATCH($A11,Timeline!$P$4:$AN$4,0))="x")*(Timeline!$K$5:$K$305="Task")*ISNUMBER(Timeline!$I$5:$I$305)*ISNUMBER(Timeline!$J$5:$J$305)*(Timeline!$I$5:$I$305&lt;=Q$4+2)*(Timeline!$J$5:$J$305&gt;=Q$4+2)),SUMPRODUCT((INDEX(Timeline!$P$5:$AN$305,0,MATCH($A11,Timeline!$P$4:$AN$4,0))="x")*(Timeline!$K$5:$K$305="Task")*ISNUMBER(Timeline!$I$5:$I$305)*ISNUMBER(Timeline!$J$5:$J$305)*(Timeline!$I$5:$I$305&lt;=Q$4+3)*(Timeline!$J$5:$J$305&gt;=Q$4+3)),SUMPRODUCT((INDEX(Timeline!$P$5:$AN$305,0,MATCH($A11,Timeline!$P$4:$AN$4,0))="x")*(Timeline!$K$5:$K$305="Task")*ISNUMBER(Timeline!$I$5:$I$305)*ISNUMBER(Timeline!$J$5:$J$305)*(Timeline!$I$5:$I$305&lt;=Q$4+4)*(Timeline!$J$5:$J$305&gt;=Q$4+4)),SUMPRODUCT((INDEX(Timeline!$P$5:$AN$305,0,MATCH($A11,Timeline!$P$4:$AN$4,0))="x")*(Timeline!$K$5:$K$305="Task")*ISNUMBER(Timeline!$I$5:$I$305)*ISNUMBER(Timeline!$J$5:$J$305)*(Timeline!$I$5:$I$305&lt;=Q$4+5)*(Timeline!$J$5:$J$305&gt;=Q$4+5)),SUMPRODUCT((INDEX(Timeline!$P$5:$AN$305,0,MATCH($A11,Timeline!$P$4:$AN$4,0))="x")*(Timeline!$K$5:$K$305="Task")*ISNUMBER(Timeline!$I$5:$I$305)*ISNUMBER(Timeline!$J$5:$J$305)*(Timeline!$I$5:$I$305&lt;=Q$4+6)*(Timeline!$J$5:$J$305&gt;=Q$4+6)))</f>
        <v>4</v>
      </c>
      <c r="R11" s="67">
        <f>MAX(SUMPRODUCT((INDEX(Timeline!$P$5:$AN$305,0,MATCH($A11,Timeline!$P$4:$AN$4,0))="x")*(Timeline!$K$5:$K$305="Task")*ISNUMBER(Timeline!$I$5:$I$305)*ISNUMBER(Timeline!$J$5:$J$305)*(Timeline!$I$5:$I$305&lt;=R$4+0)*(Timeline!$J$5:$J$305&gt;=R$4+0)),SUMPRODUCT((INDEX(Timeline!$P$5:$AN$305,0,MATCH($A11,Timeline!$P$4:$AN$4,0))="x")*(Timeline!$K$5:$K$305="Task")*ISNUMBER(Timeline!$I$5:$I$305)*ISNUMBER(Timeline!$J$5:$J$305)*(Timeline!$I$5:$I$305&lt;=R$4+1)*(Timeline!$J$5:$J$305&gt;=R$4+1)),SUMPRODUCT((INDEX(Timeline!$P$5:$AN$305,0,MATCH($A11,Timeline!$P$4:$AN$4,0))="x")*(Timeline!$K$5:$K$305="Task")*ISNUMBER(Timeline!$I$5:$I$305)*ISNUMBER(Timeline!$J$5:$J$305)*(Timeline!$I$5:$I$305&lt;=R$4+2)*(Timeline!$J$5:$J$305&gt;=R$4+2)),SUMPRODUCT((INDEX(Timeline!$P$5:$AN$305,0,MATCH($A11,Timeline!$P$4:$AN$4,0))="x")*(Timeline!$K$5:$K$305="Task")*ISNUMBER(Timeline!$I$5:$I$305)*ISNUMBER(Timeline!$J$5:$J$305)*(Timeline!$I$5:$I$305&lt;=R$4+3)*(Timeline!$J$5:$J$305&gt;=R$4+3)),SUMPRODUCT((INDEX(Timeline!$P$5:$AN$305,0,MATCH($A11,Timeline!$P$4:$AN$4,0))="x")*(Timeline!$K$5:$K$305="Task")*ISNUMBER(Timeline!$I$5:$I$305)*ISNUMBER(Timeline!$J$5:$J$305)*(Timeline!$I$5:$I$305&lt;=R$4+4)*(Timeline!$J$5:$J$305&gt;=R$4+4)),SUMPRODUCT((INDEX(Timeline!$P$5:$AN$305,0,MATCH($A11,Timeline!$P$4:$AN$4,0))="x")*(Timeline!$K$5:$K$305="Task")*ISNUMBER(Timeline!$I$5:$I$305)*ISNUMBER(Timeline!$J$5:$J$305)*(Timeline!$I$5:$I$305&lt;=R$4+5)*(Timeline!$J$5:$J$305&gt;=R$4+5)),SUMPRODUCT((INDEX(Timeline!$P$5:$AN$305,0,MATCH($A11,Timeline!$P$4:$AN$4,0))="x")*(Timeline!$K$5:$K$305="Task")*ISNUMBER(Timeline!$I$5:$I$305)*ISNUMBER(Timeline!$J$5:$J$305)*(Timeline!$I$5:$I$305&lt;=R$4+6)*(Timeline!$J$5:$J$305&gt;=R$4+6)))</f>
        <v>4</v>
      </c>
      <c r="S11" s="67">
        <f>MAX(SUMPRODUCT((INDEX(Timeline!$P$5:$AN$305,0,MATCH($A11,Timeline!$P$4:$AN$4,0))="x")*(Timeline!$K$5:$K$305="Task")*ISNUMBER(Timeline!$I$5:$I$305)*ISNUMBER(Timeline!$J$5:$J$305)*(Timeline!$I$5:$I$305&lt;=S$4+0)*(Timeline!$J$5:$J$305&gt;=S$4+0)),SUMPRODUCT((INDEX(Timeline!$P$5:$AN$305,0,MATCH($A11,Timeline!$P$4:$AN$4,0))="x")*(Timeline!$K$5:$K$305="Task")*ISNUMBER(Timeline!$I$5:$I$305)*ISNUMBER(Timeline!$J$5:$J$305)*(Timeline!$I$5:$I$305&lt;=S$4+1)*(Timeline!$J$5:$J$305&gt;=S$4+1)),SUMPRODUCT((INDEX(Timeline!$P$5:$AN$305,0,MATCH($A11,Timeline!$P$4:$AN$4,0))="x")*(Timeline!$K$5:$K$305="Task")*ISNUMBER(Timeline!$I$5:$I$305)*ISNUMBER(Timeline!$J$5:$J$305)*(Timeline!$I$5:$I$305&lt;=S$4+2)*(Timeline!$J$5:$J$305&gt;=S$4+2)),SUMPRODUCT((INDEX(Timeline!$P$5:$AN$305,0,MATCH($A11,Timeline!$P$4:$AN$4,0))="x")*(Timeline!$K$5:$K$305="Task")*ISNUMBER(Timeline!$I$5:$I$305)*ISNUMBER(Timeline!$J$5:$J$305)*(Timeline!$I$5:$I$305&lt;=S$4+3)*(Timeline!$J$5:$J$305&gt;=S$4+3)),SUMPRODUCT((INDEX(Timeline!$P$5:$AN$305,0,MATCH($A11,Timeline!$P$4:$AN$4,0))="x")*(Timeline!$K$5:$K$305="Task")*ISNUMBER(Timeline!$I$5:$I$305)*ISNUMBER(Timeline!$J$5:$J$305)*(Timeline!$I$5:$I$305&lt;=S$4+4)*(Timeline!$J$5:$J$305&gt;=S$4+4)),SUMPRODUCT((INDEX(Timeline!$P$5:$AN$305,0,MATCH($A11,Timeline!$P$4:$AN$4,0))="x")*(Timeline!$K$5:$K$305="Task")*ISNUMBER(Timeline!$I$5:$I$305)*ISNUMBER(Timeline!$J$5:$J$305)*(Timeline!$I$5:$I$305&lt;=S$4+5)*(Timeline!$J$5:$J$305&gt;=S$4+5)),SUMPRODUCT((INDEX(Timeline!$P$5:$AN$305,0,MATCH($A11,Timeline!$P$4:$AN$4,0))="x")*(Timeline!$K$5:$K$305="Task")*ISNUMBER(Timeline!$I$5:$I$305)*ISNUMBER(Timeline!$J$5:$J$305)*(Timeline!$I$5:$I$305&lt;=S$4+6)*(Timeline!$J$5:$J$305&gt;=S$4+6)))</f>
        <v>4</v>
      </c>
      <c r="T11" s="67">
        <f>MAX(SUMPRODUCT((INDEX(Timeline!$P$5:$AN$305,0,MATCH($A11,Timeline!$P$4:$AN$4,0))="x")*(Timeline!$K$5:$K$305="Task")*ISNUMBER(Timeline!$I$5:$I$305)*ISNUMBER(Timeline!$J$5:$J$305)*(Timeline!$I$5:$I$305&lt;=T$4+0)*(Timeline!$J$5:$J$305&gt;=T$4+0)),SUMPRODUCT((INDEX(Timeline!$P$5:$AN$305,0,MATCH($A11,Timeline!$P$4:$AN$4,0))="x")*(Timeline!$K$5:$K$305="Task")*ISNUMBER(Timeline!$I$5:$I$305)*ISNUMBER(Timeline!$J$5:$J$305)*(Timeline!$I$5:$I$305&lt;=T$4+1)*(Timeline!$J$5:$J$305&gt;=T$4+1)),SUMPRODUCT((INDEX(Timeline!$P$5:$AN$305,0,MATCH($A11,Timeline!$P$4:$AN$4,0))="x")*(Timeline!$K$5:$K$305="Task")*ISNUMBER(Timeline!$I$5:$I$305)*ISNUMBER(Timeline!$J$5:$J$305)*(Timeline!$I$5:$I$305&lt;=T$4+2)*(Timeline!$J$5:$J$305&gt;=T$4+2)),SUMPRODUCT((INDEX(Timeline!$P$5:$AN$305,0,MATCH($A11,Timeline!$P$4:$AN$4,0))="x")*(Timeline!$K$5:$K$305="Task")*ISNUMBER(Timeline!$I$5:$I$305)*ISNUMBER(Timeline!$J$5:$J$305)*(Timeline!$I$5:$I$305&lt;=T$4+3)*(Timeline!$J$5:$J$305&gt;=T$4+3)),SUMPRODUCT((INDEX(Timeline!$P$5:$AN$305,0,MATCH($A11,Timeline!$P$4:$AN$4,0))="x")*(Timeline!$K$5:$K$305="Task")*ISNUMBER(Timeline!$I$5:$I$305)*ISNUMBER(Timeline!$J$5:$J$305)*(Timeline!$I$5:$I$305&lt;=T$4+4)*(Timeline!$J$5:$J$305&gt;=T$4+4)),SUMPRODUCT((INDEX(Timeline!$P$5:$AN$305,0,MATCH($A11,Timeline!$P$4:$AN$4,0))="x")*(Timeline!$K$5:$K$305="Task")*ISNUMBER(Timeline!$I$5:$I$305)*ISNUMBER(Timeline!$J$5:$J$305)*(Timeline!$I$5:$I$305&lt;=T$4+5)*(Timeline!$J$5:$J$305&gt;=T$4+5)),SUMPRODUCT((INDEX(Timeline!$P$5:$AN$305,0,MATCH($A11,Timeline!$P$4:$AN$4,0))="x")*(Timeline!$K$5:$K$305="Task")*ISNUMBER(Timeline!$I$5:$I$305)*ISNUMBER(Timeline!$J$5:$J$305)*(Timeline!$I$5:$I$305&lt;=T$4+6)*(Timeline!$J$5:$J$305&gt;=T$4+6)))</f>
        <v>2</v>
      </c>
      <c r="U11" s="67">
        <f>MAX(SUMPRODUCT((INDEX(Timeline!$P$5:$AN$305,0,MATCH($A11,Timeline!$P$4:$AN$4,0))="x")*(Timeline!$K$5:$K$305="Task")*ISNUMBER(Timeline!$I$5:$I$305)*ISNUMBER(Timeline!$J$5:$J$305)*(Timeline!$I$5:$I$305&lt;=U$4+0)*(Timeline!$J$5:$J$305&gt;=U$4+0)),SUMPRODUCT((INDEX(Timeline!$P$5:$AN$305,0,MATCH($A11,Timeline!$P$4:$AN$4,0))="x")*(Timeline!$K$5:$K$305="Task")*ISNUMBER(Timeline!$I$5:$I$305)*ISNUMBER(Timeline!$J$5:$J$305)*(Timeline!$I$5:$I$305&lt;=U$4+1)*(Timeline!$J$5:$J$305&gt;=U$4+1)),SUMPRODUCT((INDEX(Timeline!$P$5:$AN$305,0,MATCH($A11,Timeline!$P$4:$AN$4,0))="x")*(Timeline!$K$5:$K$305="Task")*ISNUMBER(Timeline!$I$5:$I$305)*ISNUMBER(Timeline!$J$5:$J$305)*(Timeline!$I$5:$I$305&lt;=U$4+2)*(Timeline!$J$5:$J$305&gt;=U$4+2)),SUMPRODUCT((INDEX(Timeline!$P$5:$AN$305,0,MATCH($A11,Timeline!$P$4:$AN$4,0))="x")*(Timeline!$K$5:$K$305="Task")*ISNUMBER(Timeline!$I$5:$I$305)*ISNUMBER(Timeline!$J$5:$J$305)*(Timeline!$I$5:$I$305&lt;=U$4+3)*(Timeline!$J$5:$J$305&gt;=U$4+3)),SUMPRODUCT((INDEX(Timeline!$P$5:$AN$305,0,MATCH($A11,Timeline!$P$4:$AN$4,0))="x")*(Timeline!$K$5:$K$305="Task")*ISNUMBER(Timeline!$I$5:$I$305)*ISNUMBER(Timeline!$J$5:$J$305)*(Timeline!$I$5:$I$305&lt;=U$4+4)*(Timeline!$J$5:$J$305&gt;=U$4+4)),SUMPRODUCT((INDEX(Timeline!$P$5:$AN$305,0,MATCH($A11,Timeline!$P$4:$AN$4,0))="x")*(Timeline!$K$5:$K$305="Task")*ISNUMBER(Timeline!$I$5:$I$305)*ISNUMBER(Timeline!$J$5:$J$305)*(Timeline!$I$5:$I$305&lt;=U$4+5)*(Timeline!$J$5:$J$305&gt;=U$4+5)),SUMPRODUCT((INDEX(Timeline!$P$5:$AN$305,0,MATCH($A11,Timeline!$P$4:$AN$4,0))="x")*(Timeline!$K$5:$K$305="Task")*ISNUMBER(Timeline!$I$5:$I$305)*ISNUMBER(Timeline!$J$5:$J$305)*(Timeline!$I$5:$I$305&lt;=U$4+6)*(Timeline!$J$5:$J$305&gt;=U$4+6)))</f>
        <v>0</v>
      </c>
      <c r="V11" s="67">
        <f>MAX(SUMPRODUCT((INDEX(Timeline!$P$5:$AN$305,0,MATCH($A11,Timeline!$P$4:$AN$4,0))="x")*(Timeline!$K$5:$K$305="Task")*ISNUMBER(Timeline!$I$5:$I$305)*ISNUMBER(Timeline!$J$5:$J$305)*(Timeline!$I$5:$I$305&lt;=V$4+0)*(Timeline!$J$5:$J$305&gt;=V$4+0)),SUMPRODUCT((INDEX(Timeline!$P$5:$AN$305,0,MATCH($A11,Timeline!$P$4:$AN$4,0))="x")*(Timeline!$K$5:$K$305="Task")*ISNUMBER(Timeline!$I$5:$I$305)*ISNUMBER(Timeline!$J$5:$J$305)*(Timeline!$I$5:$I$305&lt;=V$4+1)*(Timeline!$J$5:$J$305&gt;=V$4+1)),SUMPRODUCT((INDEX(Timeline!$P$5:$AN$305,0,MATCH($A11,Timeline!$P$4:$AN$4,0))="x")*(Timeline!$K$5:$K$305="Task")*ISNUMBER(Timeline!$I$5:$I$305)*ISNUMBER(Timeline!$J$5:$J$305)*(Timeline!$I$5:$I$305&lt;=V$4+2)*(Timeline!$J$5:$J$305&gt;=V$4+2)),SUMPRODUCT((INDEX(Timeline!$P$5:$AN$305,0,MATCH($A11,Timeline!$P$4:$AN$4,0))="x")*(Timeline!$K$5:$K$305="Task")*ISNUMBER(Timeline!$I$5:$I$305)*ISNUMBER(Timeline!$J$5:$J$305)*(Timeline!$I$5:$I$305&lt;=V$4+3)*(Timeline!$J$5:$J$305&gt;=V$4+3)),SUMPRODUCT((INDEX(Timeline!$P$5:$AN$305,0,MATCH($A11,Timeline!$P$4:$AN$4,0))="x")*(Timeline!$K$5:$K$305="Task")*ISNUMBER(Timeline!$I$5:$I$305)*ISNUMBER(Timeline!$J$5:$J$305)*(Timeline!$I$5:$I$305&lt;=V$4+4)*(Timeline!$J$5:$J$305&gt;=V$4+4)),SUMPRODUCT((INDEX(Timeline!$P$5:$AN$305,0,MATCH($A11,Timeline!$P$4:$AN$4,0))="x")*(Timeline!$K$5:$K$305="Task")*ISNUMBER(Timeline!$I$5:$I$305)*ISNUMBER(Timeline!$J$5:$J$305)*(Timeline!$I$5:$I$305&lt;=V$4+5)*(Timeline!$J$5:$J$305&gt;=V$4+5)),SUMPRODUCT((INDEX(Timeline!$P$5:$AN$305,0,MATCH($A11,Timeline!$P$4:$AN$4,0))="x")*(Timeline!$K$5:$K$305="Task")*ISNUMBER(Timeline!$I$5:$I$305)*ISNUMBER(Timeline!$J$5:$J$305)*(Timeline!$I$5:$I$305&lt;=V$4+6)*(Timeline!$J$5:$J$305&gt;=V$4+6)))</f>
        <v>0</v>
      </c>
      <c r="W11" s="67">
        <f>MAX(SUMPRODUCT((INDEX(Timeline!$P$5:$AN$305,0,MATCH($A11,Timeline!$P$4:$AN$4,0))="x")*(Timeline!$K$5:$K$305="Task")*ISNUMBER(Timeline!$I$5:$I$305)*ISNUMBER(Timeline!$J$5:$J$305)*(Timeline!$I$5:$I$305&lt;=W$4+0)*(Timeline!$J$5:$J$305&gt;=W$4+0)),SUMPRODUCT((INDEX(Timeline!$P$5:$AN$305,0,MATCH($A11,Timeline!$P$4:$AN$4,0))="x")*(Timeline!$K$5:$K$305="Task")*ISNUMBER(Timeline!$I$5:$I$305)*ISNUMBER(Timeline!$J$5:$J$305)*(Timeline!$I$5:$I$305&lt;=W$4+1)*(Timeline!$J$5:$J$305&gt;=W$4+1)),SUMPRODUCT((INDEX(Timeline!$P$5:$AN$305,0,MATCH($A11,Timeline!$P$4:$AN$4,0))="x")*(Timeline!$K$5:$K$305="Task")*ISNUMBER(Timeline!$I$5:$I$305)*ISNUMBER(Timeline!$J$5:$J$305)*(Timeline!$I$5:$I$305&lt;=W$4+2)*(Timeline!$J$5:$J$305&gt;=W$4+2)),SUMPRODUCT((INDEX(Timeline!$P$5:$AN$305,0,MATCH($A11,Timeline!$P$4:$AN$4,0))="x")*(Timeline!$K$5:$K$305="Task")*ISNUMBER(Timeline!$I$5:$I$305)*ISNUMBER(Timeline!$J$5:$J$305)*(Timeline!$I$5:$I$305&lt;=W$4+3)*(Timeline!$J$5:$J$305&gt;=W$4+3)),SUMPRODUCT((INDEX(Timeline!$P$5:$AN$305,0,MATCH($A11,Timeline!$P$4:$AN$4,0))="x")*(Timeline!$K$5:$K$305="Task")*ISNUMBER(Timeline!$I$5:$I$305)*ISNUMBER(Timeline!$J$5:$J$305)*(Timeline!$I$5:$I$305&lt;=W$4+4)*(Timeline!$J$5:$J$305&gt;=W$4+4)),SUMPRODUCT((INDEX(Timeline!$P$5:$AN$305,0,MATCH($A11,Timeline!$P$4:$AN$4,0))="x")*(Timeline!$K$5:$K$305="Task")*ISNUMBER(Timeline!$I$5:$I$305)*ISNUMBER(Timeline!$J$5:$J$305)*(Timeline!$I$5:$I$305&lt;=W$4+5)*(Timeline!$J$5:$J$305&gt;=W$4+5)),SUMPRODUCT((INDEX(Timeline!$P$5:$AN$305,0,MATCH($A11,Timeline!$P$4:$AN$4,0))="x")*(Timeline!$K$5:$K$305="Task")*ISNUMBER(Timeline!$I$5:$I$305)*ISNUMBER(Timeline!$J$5:$J$305)*(Timeline!$I$5:$I$305&lt;=W$4+6)*(Timeline!$J$5:$J$305&gt;=W$4+6)))</f>
        <v>4</v>
      </c>
      <c r="X11" s="67">
        <f>MAX(SUMPRODUCT((INDEX(Timeline!$P$5:$AN$305,0,MATCH($A11,Timeline!$P$4:$AN$4,0))="x")*(Timeline!$K$5:$K$305="Task")*ISNUMBER(Timeline!$I$5:$I$305)*ISNUMBER(Timeline!$J$5:$J$305)*(Timeline!$I$5:$I$305&lt;=X$4+0)*(Timeline!$J$5:$J$305&gt;=X$4+0)),SUMPRODUCT((INDEX(Timeline!$P$5:$AN$305,0,MATCH($A11,Timeline!$P$4:$AN$4,0))="x")*(Timeline!$K$5:$K$305="Task")*ISNUMBER(Timeline!$I$5:$I$305)*ISNUMBER(Timeline!$J$5:$J$305)*(Timeline!$I$5:$I$305&lt;=X$4+1)*(Timeline!$J$5:$J$305&gt;=X$4+1)),SUMPRODUCT((INDEX(Timeline!$P$5:$AN$305,0,MATCH($A11,Timeline!$P$4:$AN$4,0))="x")*(Timeline!$K$5:$K$305="Task")*ISNUMBER(Timeline!$I$5:$I$305)*ISNUMBER(Timeline!$J$5:$J$305)*(Timeline!$I$5:$I$305&lt;=X$4+2)*(Timeline!$J$5:$J$305&gt;=X$4+2)),SUMPRODUCT((INDEX(Timeline!$P$5:$AN$305,0,MATCH($A11,Timeline!$P$4:$AN$4,0))="x")*(Timeline!$K$5:$K$305="Task")*ISNUMBER(Timeline!$I$5:$I$305)*ISNUMBER(Timeline!$J$5:$J$305)*(Timeline!$I$5:$I$305&lt;=X$4+3)*(Timeline!$J$5:$J$305&gt;=X$4+3)),SUMPRODUCT((INDEX(Timeline!$P$5:$AN$305,0,MATCH($A11,Timeline!$P$4:$AN$4,0))="x")*(Timeline!$K$5:$K$305="Task")*ISNUMBER(Timeline!$I$5:$I$305)*ISNUMBER(Timeline!$J$5:$J$305)*(Timeline!$I$5:$I$305&lt;=X$4+4)*(Timeline!$J$5:$J$305&gt;=X$4+4)),SUMPRODUCT((INDEX(Timeline!$P$5:$AN$305,0,MATCH($A11,Timeline!$P$4:$AN$4,0))="x")*(Timeline!$K$5:$K$305="Task")*ISNUMBER(Timeline!$I$5:$I$305)*ISNUMBER(Timeline!$J$5:$J$305)*(Timeline!$I$5:$I$305&lt;=X$4+5)*(Timeline!$J$5:$J$305&gt;=X$4+5)),SUMPRODUCT((INDEX(Timeline!$P$5:$AN$305,0,MATCH($A11,Timeline!$P$4:$AN$4,0))="x")*(Timeline!$K$5:$K$305="Task")*ISNUMBER(Timeline!$I$5:$I$305)*ISNUMBER(Timeline!$J$5:$J$305)*(Timeline!$I$5:$I$305&lt;=X$4+6)*(Timeline!$J$5:$J$305&gt;=X$4+6)))</f>
        <v>4</v>
      </c>
      <c r="Y11" s="67">
        <f>MAX(SUMPRODUCT((INDEX(Timeline!$P$5:$AN$305,0,MATCH($A11,Timeline!$P$4:$AN$4,0))="x")*(Timeline!$K$5:$K$305="Task")*ISNUMBER(Timeline!$I$5:$I$305)*ISNUMBER(Timeline!$J$5:$J$305)*(Timeline!$I$5:$I$305&lt;=Y$4+0)*(Timeline!$J$5:$J$305&gt;=Y$4+0)),SUMPRODUCT((INDEX(Timeline!$P$5:$AN$305,0,MATCH($A11,Timeline!$P$4:$AN$4,0))="x")*(Timeline!$K$5:$K$305="Task")*ISNUMBER(Timeline!$I$5:$I$305)*ISNUMBER(Timeline!$J$5:$J$305)*(Timeline!$I$5:$I$305&lt;=Y$4+1)*(Timeline!$J$5:$J$305&gt;=Y$4+1)),SUMPRODUCT((INDEX(Timeline!$P$5:$AN$305,0,MATCH($A11,Timeline!$P$4:$AN$4,0))="x")*(Timeline!$K$5:$K$305="Task")*ISNUMBER(Timeline!$I$5:$I$305)*ISNUMBER(Timeline!$J$5:$J$305)*(Timeline!$I$5:$I$305&lt;=Y$4+2)*(Timeline!$J$5:$J$305&gt;=Y$4+2)),SUMPRODUCT((INDEX(Timeline!$P$5:$AN$305,0,MATCH($A11,Timeline!$P$4:$AN$4,0))="x")*(Timeline!$K$5:$K$305="Task")*ISNUMBER(Timeline!$I$5:$I$305)*ISNUMBER(Timeline!$J$5:$J$305)*(Timeline!$I$5:$I$305&lt;=Y$4+3)*(Timeline!$J$5:$J$305&gt;=Y$4+3)),SUMPRODUCT((INDEX(Timeline!$P$5:$AN$305,0,MATCH($A11,Timeline!$P$4:$AN$4,0))="x")*(Timeline!$K$5:$K$305="Task")*ISNUMBER(Timeline!$I$5:$I$305)*ISNUMBER(Timeline!$J$5:$J$305)*(Timeline!$I$5:$I$305&lt;=Y$4+4)*(Timeline!$J$5:$J$305&gt;=Y$4+4)),SUMPRODUCT((INDEX(Timeline!$P$5:$AN$305,0,MATCH($A11,Timeline!$P$4:$AN$4,0))="x")*(Timeline!$K$5:$K$305="Task")*ISNUMBER(Timeline!$I$5:$I$305)*ISNUMBER(Timeline!$J$5:$J$305)*(Timeline!$I$5:$I$305&lt;=Y$4+5)*(Timeline!$J$5:$J$305&gt;=Y$4+5)),SUMPRODUCT((INDEX(Timeline!$P$5:$AN$305,0,MATCH($A11,Timeline!$P$4:$AN$4,0))="x")*(Timeline!$K$5:$K$305="Task")*ISNUMBER(Timeline!$I$5:$I$305)*ISNUMBER(Timeline!$J$5:$J$305)*(Timeline!$I$5:$I$305&lt;=Y$4+6)*(Timeline!$J$5:$J$305&gt;=Y$4+6)))</f>
        <v>3</v>
      </c>
      <c r="Z11" s="67">
        <f>MAX(SUMPRODUCT((INDEX(Timeline!$P$5:$AN$305,0,MATCH($A11,Timeline!$P$4:$AN$4,0))="x")*(Timeline!$K$5:$K$305="Task")*ISNUMBER(Timeline!$I$5:$I$305)*ISNUMBER(Timeline!$J$5:$J$305)*(Timeline!$I$5:$I$305&lt;=Z$4+0)*(Timeline!$J$5:$J$305&gt;=Z$4+0)),SUMPRODUCT((INDEX(Timeline!$P$5:$AN$305,0,MATCH($A11,Timeline!$P$4:$AN$4,0))="x")*(Timeline!$K$5:$K$305="Task")*ISNUMBER(Timeline!$I$5:$I$305)*ISNUMBER(Timeline!$J$5:$J$305)*(Timeline!$I$5:$I$305&lt;=Z$4+1)*(Timeline!$J$5:$J$305&gt;=Z$4+1)),SUMPRODUCT((INDEX(Timeline!$P$5:$AN$305,0,MATCH($A11,Timeline!$P$4:$AN$4,0))="x")*(Timeline!$K$5:$K$305="Task")*ISNUMBER(Timeline!$I$5:$I$305)*ISNUMBER(Timeline!$J$5:$J$305)*(Timeline!$I$5:$I$305&lt;=Z$4+2)*(Timeline!$J$5:$J$305&gt;=Z$4+2)),SUMPRODUCT((INDEX(Timeline!$P$5:$AN$305,0,MATCH($A11,Timeline!$P$4:$AN$4,0))="x")*(Timeline!$K$5:$K$305="Task")*ISNUMBER(Timeline!$I$5:$I$305)*ISNUMBER(Timeline!$J$5:$J$305)*(Timeline!$I$5:$I$305&lt;=Z$4+3)*(Timeline!$J$5:$J$305&gt;=Z$4+3)),SUMPRODUCT((INDEX(Timeline!$P$5:$AN$305,0,MATCH($A11,Timeline!$P$4:$AN$4,0))="x")*(Timeline!$K$5:$K$305="Task")*ISNUMBER(Timeline!$I$5:$I$305)*ISNUMBER(Timeline!$J$5:$J$305)*(Timeline!$I$5:$I$305&lt;=Z$4+4)*(Timeline!$J$5:$J$305&gt;=Z$4+4)),SUMPRODUCT((INDEX(Timeline!$P$5:$AN$305,0,MATCH($A11,Timeline!$P$4:$AN$4,0))="x")*(Timeline!$K$5:$K$305="Task")*ISNUMBER(Timeline!$I$5:$I$305)*ISNUMBER(Timeline!$J$5:$J$305)*(Timeline!$I$5:$I$305&lt;=Z$4+5)*(Timeline!$J$5:$J$305&gt;=Z$4+5)),SUMPRODUCT((INDEX(Timeline!$P$5:$AN$305,0,MATCH($A11,Timeline!$P$4:$AN$4,0))="x")*(Timeline!$K$5:$K$305="Task")*ISNUMBER(Timeline!$I$5:$I$305)*ISNUMBER(Timeline!$J$5:$J$305)*(Timeline!$I$5:$I$305&lt;=Z$4+6)*(Timeline!$J$5:$J$305&gt;=Z$4+6)))</f>
        <v>1</v>
      </c>
      <c r="AA11" s="67">
        <f>MAX(SUMPRODUCT((INDEX(Timeline!$P$5:$AN$305,0,MATCH($A11,Timeline!$P$4:$AN$4,0))="x")*(Timeline!$K$5:$K$305="Task")*ISNUMBER(Timeline!$I$5:$I$305)*ISNUMBER(Timeline!$J$5:$J$305)*(Timeline!$I$5:$I$305&lt;=AA$4+0)*(Timeline!$J$5:$J$305&gt;=AA$4+0)),SUMPRODUCT((INDEX(Timeline!$P$5:$AN$305,0,MATCH($A11,Timeline!$P$4:$AN$4,0))="x")*(Timeline!$K$5:$K$305="Task")*ISNUMBER(Timeline!$I$5:$I$305)*ISNUMBER(Timeline!$J$5:$J$305)*(Timeline!$I$5:$I$305&lt;=AA$4+1)*(Timeline!$J$5:$J$305&gt;=AA$4+1)),SUMPRODUCT((INDEX(Timeline!$P$5:$AN$305,0,MATCH($A11,Timeline!$P$4:$AN$4,0))="x")*(Timeline!$K$5:$K$305="Task")*ISNUMBER(Timeline!$I$5:$I$305)*ISNUMBER(Timeline!$J$5:$J$305)*(Timeline!$I$5:$I$305&lt;=AA$4+2)*(Timeline!$J$5:$J$305&gt;=AA$4+2)),SUMPRODUCT((INDEX(Timeline!$P$5:$AN$305,0,MATCH($A11,Timeline!$P$4:$AN$4,0))="x")*(Timeline!$K$5:$K$305="Task")*ISNUMBER(Timeline!$I$5:$I$305)*ISNUMBER(Timeline!$J$5:$J$305)*(Timeline!$I$5:$I$305&lt;=AA$4+3)*(Timeline!$J$5:$J$305&gt;=AA$4+3)),SUMPRODUCT((INDEX(Timeline!$P$5:$AN$305,0,MATCH($A11,Timeline!$P$4:$AN$4,0))="x")*(Timeline!$K$5:$K$305="Task")*ISNUMBER(Timeline!$I$5:$I$305)*ISNUMBER(Timeline!$J$5:$J$305)*(Timeline!$I$5:$I$305&lt;=AA$4+4)*(Timeline!$J$5:$J$305&gt;=AA$4+4)),SUMPRODUCT((INDEX(Timeline!$P$5:$AN$305,0,MATCH($A11,Timeline!$P$4:$AN$4,0))="x")*(Timeline!$K$5:$K$305="Task")*ISNUMBER(Timeline!$I$5:$I$305)*ISNUMBER(Timeline!$J$5:$J$305)*(Timeline!$I$5:$I$305&lt;=AA$4+5)*(Timeline!$J$5:$J$305&gt;=AA$4+5)),SUMPRODUCT((INDEX(Timeline!$P$5:$AN$305,0,MATCH($A11,Timeline!$P$4:$AN$4,0))="x")*(Timeline!$K$5:$K$305="Task")*ISNUMBER(Timeline!$I$5:$I$305)*ISNUMBER(Timeline!$J$5:$J$305)*(Timeline!$I$5:$I$305&lt;=AA$4+6)*(Timeline!$J$5:$J$305&gt;=AA$4+6)))</f>
        <v>1</v>
      </c>
      <c r="AB11" s="67">
        <f>MAX(SUMPRODUCT((INDEX(Timeline!$P$5:$AN$305,0,MATCH($A11,Timeline!$P$4:$AN$4,0))="x")*(Timeline!$K$5:$K$305="Task")*ISNUMBER(Timeline!$I$5:$I$305)*ISNUMBER(Timeline!$J$5:$J$305)*(Timeline!$I$5:$I$305&lt;=AB$4+0)*(Timeline!$J$5:$J$305&gt;=AB$4+0)),SUMPRODUCT((INDEX(Timeline!$P$5:$AN$305,0,MATCH($A11,Timeline!$P$4:$AN$4,0))="x")*(Timeline!$K$5:$K$305="Task")*ISNUMBER(Timeline!$I$5:$I$305)*ISNUMBER(Timeline!$J$5:$J$305)*(Timeline!$I$5:$I$305&lt;=AB$4+1)*(Timeline!$J$5:$J$305&gt;=AB$4+1)),SUMPRODUCT((INDEX(Timeline!$P$5:$AN$305,0,MATCH($A11,Timeline!$P$4:$AN$4,0))="x")*(Timeline!$K$5:$K$305="Task")*ISNUMBER(Timeline!$I$5:$I$305)*ISNUMBER(Timeline!$J$5:$J$305)*(Timeline!$I$5:$I$305&lt;=AB$4+2)*(Timeline!$J$5:$J$305&gt;=AB$4+2)),SUMPRODUCT((INDEX(Timeline!$P$5:$AN$305,0,MATCH($A11,Timeline!$P$4:$AN$4,0))="x")*(Timeline!$K$5:$K$305="Task")*ISNUMBER(Timeline!$I$5:$I$305)*ISNUMBER(Timeline!$J$5:$J$305)*(Timeline!$I$5:$I$305&lt;=AB$4+3)*(Timeline!$J$5:$J$305&gt;=AB$4+3)),SUMPRODUCT((INDEX(Timeline!$P$5:$AN$305,0,MATCH($A11,Timeline!$P$4:$AN$4,0))="x")*(Timeline!$K$5:$K$305="Task")*ISNUMBER(Timeline!$I$5:$I$305)*ISNUMBER(Timeline!$J$5:$J$305)*(Timeline!$I$5:$I$305&lt;=AB$4+4)*(Timeline!$J$5:$J$305&gt;=AB$4+4)),SUMPRODUCT((INDEX(Timeline!$P$5:$AN$305,0,MATCH($A11,Timeline!$P$4:$AN$4,0))="x")*(Timeline!$K$5:$K$305="Task")*ISNUMBER(Timeline!$I$5:$I$305)*ISNUMBER(Timeline!$J$5:$J$305)*(Timeline!$I$5:$I$305&lt;=AB$4+5)*(Timeline!$J$5:$J$305&gt;=AB$4+5)),SUMPRODUCT((INDEX(Timeline!$P$5:$AN$305,0,MATCH($A11,Timeline!$P$4:$AN$4,0))="x")*(Timeline!$K$5:$K$305="Task")*ISNUMBER(Timeline!$I$5:$I$305)*ISNUMBER(Timeline!$J$5:$J$305)*(Timeline!$I$5:$I$305&lt;=AB$4+6)*(Timeline!$J$5:$J$305&gt;=AB$4+6)))</f>
        <v>1</v>
      </c>
      <c r="AC11" s="67">
        <f>MAX(SUMPRODUCT((INDEX(Timeline!$P$5:$AN$305,0,MATCH($A11,Timeline!$P$4:$AN$4,0))="x")*(Timeline!$K$5:$K$305="Task")*ISNUMBER(Timeline!$I$5:$I$305)*ISNUMBER(Timeline!$J$5:$J$305)*(Timeline!$I$5:$I$305&lt;=AC$4+0)*(Timeline!$J$5:$J$305&gt;=AC$4+0)),SUMPRODUCT((INDEX(Timeline!$P$5:$AN$305,0,MATCH($A11,Timeline!$P$4:$AN$4,0))="x")*(Timeline!$K$5:$K$305="Task")*ISNUMBER(Timeline!$I$5:$I$305)*ISNUMBER(Timeline!$J$5:$J$305)*(Timeline!$I$5:$I$305&lt;=AC$4+1)*(Timeline!$J$5:$J$305&gt;=AC$4+1)),SUMPRODUCT((INDEX(Timeline!$P$5:$AN$305,0,MATCH($A11,Timeline!$P$4:$AN$4,0))="x")*(Timeline!$K$5:$K$305="Task")*ISNUMBER(Timeline!$I$5:$I$305)*ISNUMBER(Timeline!$J$5:$J$305)*(Timeline!$I$5:$I$305&lt;=AC$4+2)*(Timeline!$J$5:$J$305&gt;=AC$4+2)),SUMPRODUCT((INDEX(Timeline!$P$5:$AN$305,0,MATCH($A11,Timeline!$P$4:$AN$4,0))="x")*(Timeline!$K$5:$K$305="Task")*ISNUMBER(Timeline!$I$5:$I$305)*ISNUMBER(Timeline!$J$5:$J$305)*(Timeline!$I$5:$I$305&lt;=AC$4+3)*(Timeline!$J$5:$J$305&gt;=AC$4+3)),SUMPRODUCT((INDEX(Timeline!$P$5:$AN$305,0,MATCH($A11,Timeline!$P$4:$AN$4,0))="x")*(Timeline!$K$5:$K$305="Task")*ISNUMBER(Timeline!$I$5:$I$305)*ISNUMBER(Timeline!$J$5:$J$305)*(Timeline!$I$5:$I$305&lt;=AC$4+4)*(Timeline!$J$5:$J$305&gt;=AC$4+4)),SUMPRODUCT((INDEX(Timeline!$P$5:$AN$305,0,MATCH($A11,Timeline!$P$4:$AN$4,0))="x")*(Timeline!$K$5:$K$305="Task")*ISNUMBER(Timeline!$I$5:$I$305)*ISNUMBER(Timeline!$J$5:$J$305)*(Timeline!$I$5:$I$305&lt;=AC$4+5)*(Timeline!$J$5:$J$305&gt;=AC$4+5)),SUMPRODUCT((INDEX(Timeline!$P$5:$AN$305,0,MATCH($A11,Timeline!$P$4:$AN$4,0))="x")*(Timeline!$K$5:$K$305="Task")*ISNUMBER(Timeline!$I$5:$I$305)*ISNUMBER(Timeline!$J$5:$J$305)*(Timeline!$I$5:$I$305&lt;=AC$4+6)*(Timeline!$J$5:$J$305&gt;=AC$4+6)))</f>
        <v>1</v>
      </c>
      <c r="AD11" s="67">
        <f>MAX(SUMPRODUCT((INDEX(Timeline!$P$5:$AN$305,0,MATCH($A11,Timeline!$P$4:$AN$4,0))="x")*(Timeline!$K$5:$K$305="Task")*ISNUMBER(Timeline!$I$5:$I$305)*ISNUMBER(Timeline!$J$5:$J$305)*(Timeline!$I$5:$I$305&lt;=AD$4+0)*(Timeline!$J$5:$J$305&gt;=AD$4+0)),SUMPRODUCT((INDEX(Timeline!$P$5:$AN$305,0,MATCH($A11,Timeline!$P$4:$AN$4,0))="x")*(Timeline!$K$5:$K$305="Task")*ISNUMBER(Timeline!$I$5:$I$305)*ISNUMBER(Timeline!$J$5:$J$305)*(Timeline!$I$5:$I$305&lt;=AD$4+1)*(Timeline!$J$5:$J$305&gt;=AD$4+1)),SUMPRODUCT((INDEX(Timeline!$P$5:$AN$305,0,MATCH($A11,Timeline!$P$4:$AN$4,0))="x")*(Timeline!$K$5:$K$305="Task")*ISNUMBER(Timeline!$I$5:$I$305)*ISNUMBER(Timeline!$J$5:$J$305)*(Timeline!$I$5:$I$305&lt;=AD$4+2)*(Timeline!$J$5:$J$305&gt;=AD$4+2)),SUMPRODUCT((INDEX(Timeline!$P$5:$AN$305,0,MATCH($A11,Timeline!$P$4:$AN$4,0))="x")*(Timeline!$K$5:$K$305="Task")*ISNUMBER(Timeline!$I$5:$I$305)*ISNUMBER(Timeline!$J$5:$J$305)*(Timeline!$I$5:$I$305&lt;=AD$4+3)*(Timeline!$J$5:$J$305&gt;=AD$4+3)),SUMPRODUCT((INDEX(Timeline!$P$5:$AN$305,0,MATCH($A11,Timeline!$P$4:$AN$4,0))="x")*(Timeline!$K$5:$K$305="Task")*ISNUMBER(Timeline!$I$5:$I$305)*ISNUMBER(Timeline!$J$5:$J$305)*(Timeline!$I$5:$I$305&lt;=AD$4+4)*(Timeline!$J$5:$J$305&gt;=AD$4+4)),SUMPRODUCT((INDEX(Timeline!$P$5:$AN$305,0,MATCH($A11,Timeline!$P$4:$AN$4,0))="x")*(Timeline!$K$5:$K$305="Task")*ISNUMBER(Timeline!$I$5:$I$305)*ISNUMBER(Timeline!$J$5:$J$305)*(Timeline!$I$5:$I$305&lt;=AD$4+5)*(Timeline!$J$5:$J$305&gt;=AD$4+5)),SUMPRODUCT((INDEX(Timeline!$P$5:$AN$305,0,MATCH($A11,Timeline!$P$4:$AN$4,0))="x")*(Timeline!$K$5:$K$305="Task")*ISNUMBER(Timeline!$I$5:$I$305)*ISNUMBER(Timeline!$J$5:$J$305)*(Timeline!$I$5:$I$305&lt;=AD$4+6)*(Timeline!$J$5:$J$305&gt;=AD$4+6)))</f>
        <v>1</v>
      </c>
      <c r="AE11" s="67">
        <f>MAX(SUMPRODUCT((INDEX(Timeline!$P$5:$AN$305,0,MATCH($A11,Timeline!$P$4:$AN$4,0))="x")*(Timeline!$K$5:$K$305="Task")*ISNUMBER(Timeline!$I$5:$I$305)*ISNUMBER(Timeline!$J$5:$J$305)*(Timeline!$I$5:$I$305&lt;=AE$4+0)*(Timeline!$J$5:$J$305&gt;=AE$4+0)),SUMPRODUCT((INDEX(Timeline!$P$5:$AN$305,0,MATCH($A11,Timeline!$P$4:$AN$4,0))="x")*(Timeline!$K$5:$K$305="Task")*ISNUMBER(Timeline!$I$5:$I$305)*ISNUMBER(Timeline!$J$5:$J$305)*(Timeline!$I$5:$I$305&lt;=AE$4+1)*(Timeline!$J$5:$J$305&gt;=AE$4+1)),SUMPRODUCT((INDEX(Timeline!$P$5:$AN$305,0,MATCH($A11,Timeline!$P$4:$AN$4,0))="x")*(Timeline!$K$5:$K$305="Task")*ISNUMBER(Timeline!$I$5:$I$305)*ISNUMBER(Timeline!$J$5:$J$305)*(Timeline!$I$5:$I$305&lt;=AE$4+2)*(Timeline!$J$5:$J$305&gt;=AE$4+2)),SUMPRODUCT((INDEX(Timeline!$P$5:$AN$305,0,MATCH($A11,Timeline!$P$4:$AN$4,0))="x")*(Timeline!$K$5:$K$305="Task")*ISNUMBER(Timeline!$I$5:$I$305)*ISNUMBER(Timeline!$J$5:$J$305)*(Timeline!$I$5:$I$305&lt;=AE$4+3)*(Timeline!$J$5:$J$305&gt;=AE$4+3)),SUMPRODUCT((INDEX(Timeline!$P$5:$AN$305,0,MATCH($A11,Timeline!$P$4:$AN$4,0))="x")*(Timeline!$K$5:$K$305="Task")*ISNUMBER(Timeline!$I$5:$I$305)*ISNUMBER(Timeline!$J$5:$J$305)*(Timeline!$I$5:$I$305&lt;=AE$4+4)*(Timeline!$J$5:$J$305&gt;=AE$4+4)),SUMPRODUCT((INDEX(Timeline!$P$5:$AN$305,0,MATCH($A11,Timeline!$P$4:$AN$4,0))="x")*(Timeline!$K$5:$K$305="Task")*ISNUMBER(Timeline!$I$5:$I$305)*ISNUMBER(Timeline!$J$5:$J$305)*(Timeline!$I$5:$I$305&lt;=AE$4+5)*(Timeline!$J$5:$J$305&gt;=AE$4+5)),SUMPRODUCT((INDEX(Timeline!$P$5:$AN$305,0,MATCH($A11,Timeline!$P$4:$AN$4,0))="x")*(Timeline!$K$5:$K$305="Task")*ISNUMBER(Timeline!$I$5:$I$305)*ISNUMBER(Timeline!$J$5:$J$305)*(Timeline!$I$5:$I$305&lt;=AE$4+6)*(Timeline!$J$5:$J$305&gt;=AE$4+6)))</f>
        <v>1</v>
      </c>
      <c r="AF11" s="67">
        <f>MAX(SUMPRODUCT((INDEX(Timeline!$P$5:$AN$305,0,MATCH($A11,Timeline!$P$4:$AN$4,0))="x")*(Timeline!$K$5:$K$305="Task")*ISNUMBER(Timeline!$I$5:$I$305)*ISNUMBER(Timeline!$J$5:$J$305)*(Timeline!$I$5:$I$305&lt;=AF$4+0)*(Timeline!$J$5:$J$305&gt;=AF$4+0)),SUMPRODUCT((INDEX(Timeline!$P$5:$AN$305,0,MATCH($A11,Timeline!$P$4:$AN$4,0))="x")*(Timeline!$K$5:$K$305="Task")*ISNUMBER(Timeline!$I$5:$I$305)*ISNUMBER(Timeline!$J$5:$J$305)*(Timeline!$I$5:$I$305&lt;=AF$4+1)*(Timeline!$J$5:$J$305&gt;=AF$4+1)),SUMPRODUCT((INDEX(Timeline!$P$5:$AN$305,0,MATCH($A11,Timeline!$P$4:$AN$4,0))="x")*(Timeline!$K$5:$K$305="Task")*ISNUMBER(Timeline!$I$5:$I$305)*ISNUMBER(Timeline!$J$5:$J$305)*(Timeline!$I$5:$I$305&lt;=AF$4+2)*(Timeline!$J$5:$J$305&gt;=AF$4+2)),SUMPRODUCT((INDEX(Timeline!$P$5:$AN$305,0,MATCH($A11,Timeline!$P$4:$AN$4,0))="x")*(Timeline!$K$5:$K$305="Task")*ISNUMBER(Timeline!$I$5:$I$305)*ISNUMBER(Timeline!$J$5:$J$305)*(Timeline!$I$5:$I$305&lt;=AF$4+3)*(Timeline!$J$5:$J$305&gt;=AF$4+3)),SUMPRODUCT((INDEX(Timeline!$P$5:$AN$305,0,MATCH($A11,Timeline!$P$4:$AN$4,0))="x")*(Timeline!$K$5:$K$305="Task")*ISNUMBER(Timeline!$I$5:$I$305)*ISNUMBER(Timeline!$J$5:$J$305)*(Timeline!$I$5:$I$305&lt;=AF$4+4)*(Timeline!$J$5:$J$305&gt;=AF$4+4)),SUMPRODUCT((INDEX(Timeline!$P$5:$AN$305,0,MATCH($A11,Timeline!$P$4:$AN$4,0))="x")*(Timeline!$K$5:$K$305="Task")*ISNUMBER(Timeline!$I$5:$I$305)*ISNUMBER(Timeline!$J$5:$J$305)*(Timeline!$I$5:$I$305&lt;=AF$4+5)*(Timeline!$J$5:$J$305&gt;=AF$4+5)),SUMPRODUCT((INDEX(Timeline!$P$5:$AN$305,0,MATCH($A11,Timeline!$P$4:$AN$4,0))="x")*(Timeline!$K$5:$K$305="Task")*ISNUMBER(Timeline!$I$5:$I$305)*ISNUMBER(Timeline!$J$5:$J$305)*(Timeline!$I$5:$I$305&lt;=AF$4+6)*(Timeline!$J$5:$J$305&gt;=AF$4+6)))</f>
        <v>1</v>
      </c>
      <c r="AG11" s="67">
        <f>MAX(SUMPRODUCT((INDEX(Timeline!$P$5:$AN$305,0,MATCH($A11,Timeline!$P$4:$AN$4,0))="x")*(Timeline!$K$5:$K$305="Task")*ISNUMBER(Timeline!$I$5:$I$305)*ISNUMBER(Timeline!$J$5:$J$305)*(Timeline!$I$5:$I$305&lt;=AG$4+0)*(Timeline!$J$5:$J$305&gt;=AG$4+0)),SUMPRODUCT((INDEX(Timeline!$P$5:$AN$305,0,MATCH($A11,Timeline!$P$4:$AN$4,0))="x")*(Timeline!$K$5:$K$305="Task")*ISNUMBER(Timeline!$I$5:$I$305)*ISNUMBER(Timeline!$J$5:$J$305)*(Timeline!$I$5:$I$305&lt;=AG$4+1)*(Timeline!$J$5:$J$305&gt;=AG$4+1)),SUMPRODUCT((INDEX(Timeline!$P$5:$AN$305,0,MATCH($A11,Timeline!$P$4:$AN$4,0))="x")*(Timeline!$K$5:$K$305="Task")*ISNUMBER(Timeline!$I$5:$I$305)*ISNUMBER(Timeline!$J$5:$J$305)*(Timeline!$I$5:$I$305&lt;=AG$4+2)*(Timeline!$J$5:$J$305&gt;=AG$4+2)),SUMPRODUCT((INDEX(Timeline!$P$5:$AN$305,0,MATCH($A11,Timeline!$P$4:$AN$4,0))="x")*(Timeline!$K$5:$K$305="Task")*ISNUMBER(Timeline!$I$5:$I$305)*ISNUMBER(Timeline!$J$5:$J$305)*(Timeline!$I$5:$I$305&lt;=AG$4+3)*(Timeline!$J$5:$J$305&gt;=AG$4+3)),SUMPRODUCT((INDEX(Timeline!$P$5:$AN$305,0,MATCH($A11,Timeline!$P$4:$AN$4,0))="x")*(Timeline!$K$5:$K$305="Task")*ISNUMBER(Timeline!$I$5:$I$305)*ISNUMBER(Timeline!$J$5:$J$305)*(Timeline!$I$5:$I$305&lt;=AG$4+4)*(Timeline!$J$5:$J$305&gt;=AG$4+4)),SUMPRODUCT((INDEX(Timeline!$P$5:$AN$305,0,MATCH($A11,Timeline!$P$4:$AN$4,0))="x")*(Timeline!$K$5:$K$305="Task")*ISNUMBER(Timeline!$I$5:$I$305)*ISNUMBER(Timeline!$J$5:$J$305)*(Timeline!$I$5:$I$305&lt;=AG$4+5)*(Timeline!$J$5:$J$305&gt;=AG$4+5)),SUMPRODUCT((INDEX(Timeline!$P$5:$AN$305,0,MATCH($A11,Timeline!$P$4:$AN$4,0))="x")*(Timeline!$K$5:$K$305="Task")*ISNUMBER(Timeline!$I$5:$I$305)*ISNUMBER(Timeline!$J$5:$J$305)*(Timeline!$I$5:$I$305&lt;=AG$4+6)*(Timeline!$J$5:$J$305&gt;=AG$4+6)))</f>
        <v>0</v>
      </c>
      <c r="AH11" s="67">
        <f>MAX(SUMPRODUCT((INDEX(Timeline!$P$5:$AN$305,0,MATCH($A11,Timeline!$P$4:$AN$4,0))="x")*(Timeline!$K$5:$K$305="Task")*ISNUMBER(Timeline!$I$5:$I$305)*ISNUMBER(Timeline!$J$5:$J$305)*(Timeline!$I$5:$I$305&lt;=AH$4+0)*(Timeline!$J$5:$J$305&gt;=AH$4+0)),SUMPRODUCT((INDEX(Timeline!$P$5:$AN$305,0,MATCH($A11,Timeline!$P$4:$AN$4,0))="x")*(Timeline!$K$5:$K$305="Task")*ISNUMBER(Timeline!$I$5:$I$305)*ISNUMBER(Timeline!$J$5:$J$305)*(Timeline!$I$5:$I$305&lt;=AH$4+1)*(Timeline!$J$5:$J$305&gt;=AH$4+1)),SUMPRODUCT((INDEX(Timeline!$P$5:$AN$305,0,MATCH($A11,Timeline!$P$4:$AN$4,0))="x")*(Timeline!$K$5:$K$305="Task")*ISNUMBER(Timeline!$I$5:$I$305)*ISNUMBER(Timeline!$J$5:$J$305)*(Timeline!$I$5:$I$305&lt;=AH$4+2)*(Timeline!$J$5:$J$305&gt;=AH$4+2)),SUMPRODUCT((INDEX(Timeline!$P$5:$AN$305,0,MATCH($A11,Timeline!$P$4:$AN$4,0))="x")*(Timeline!$K$5:$K$305="Task")*ISNUMBER(Timeline!$I$5:$I$305)*ISNUMBER(Timeline!$J$5:$J$305)*(Timeline!$I$5:$I$305&lt;=AH$4+3)*(Timeline!$J$5:$J$305&gt;=AH$4+3)),SUMPRODUCT((INDEX(Timeline!$P$5:$AN$305,0,MATCH($A11,Timeline!$P$4:$AN$4,0))="x")*(Timeline!$K$5:$K$305="Task")*ISNUMBER(Timeline!$I$5:$I$305)*ISNUMBER(Timeline!$J$5:$J$305)*(Timeline!$I$5:$I$305&lt;=AH$4+4)*(Timeline!$J$5:$J$305&gt;=AH$4+4)),SUMPRODUCT((INDEX(Timeline!$P$5:$AN$305,0,MATCH($A11,Timeline!$P$4:$AN$4,0))="x")*(Timeline!$K$5:$K$305="Task")*ISNUMBER(Timeline!$I$5:$I$305)*ISNUMBER(Timeline!$J$5:$J$305)*(Timeline!$I$5:$I$305&lt;=AH$4+5)*(Timeline!$J$5:$J$305&gt;=AH$4+5)),SUMPRODUCT((INDEX(Timeline!$P$5:$AN$305,0,MATCH($A11,Timeline!$P$4:$AN$4,0))="x")*(Timeline!$K$5:$K$305="Task")*ISNUMBER(Timeline!$I$5:$I$305)*ISNUMBER(Timeline!$J$5:$J$305)*(Timeline!$I$5:$I$305&lt;=AH$4+6)*(Timeline!$J$5:$J$305&gt;=AH$4+6)))</f>
        <v>0</v>
      </c>
      <c r="AI11" s="67">
        <f>MAX(SUMPRODUCT((INDEX(Timeline!$P$5:$AN$305,0,MATCH($A11,Timeline!$P$4:$AN$4,0))="x")*(Timeline!$K$5:$K$305="Task")*ISNUMBER(Timeline!$I$5:$I$305)*ISNUMBER(Timeline!$J$5:$J$305)*(Timeline!$I$5:$I$305&lt;=AI$4+0)*(Timeline!$J$5:$J$305&gt;=AI$4+0)),SUMPRODUCT((INDEX(Timeline!$P$5:$AN$305,0,MATCH($A11,Timeline!$P$4:$AN$4,0))="x")*(Timeline!$K$5:$K$305="Task")*ISNUMBER(Timeline!$I$5:$I$305)*ISNUMBER(Timeline!$J$5:$J$305)*(Timeline!$I$5:$I$305&lt;=AI$4+1)*(Timeline!$J$5:$J$305&gt;=AI$4+1)),SUMPRODUCT((INDEX(Timeline!$P$5:$AN$305,0,MATCH($A11,Timeline!$P$4:$AN$4,0))="x")*(Timeline!$K$5:$K$305="Task")*ISNUMBER(Timeline!$I$5:$I$305)*ISNUMBER(Timeline!$J$5:$J$305)*(Timeline!$I$5:$I$305&lt;=AI$4+2)*(Timeline!$J$5:$J$305&gt;=AI$4+2)),SUMPRODUCT((INDEX(Timeline!$P$5:$AN$305,0,MATCH($A11,Timeline!$P$4:$AN$4,0))="x")*(Timeline!$K$5:$K$305="Task")*ISNUMBER(Timeline!$I$5:$I$305)*ISNUMBER(Timeline!$J$5:$J$305)*(Timeline!$I$5:$I$305&lt;=AI$4+3)*(Timeline!$J$5:$J$305&gt;=AI$4+3)),SUMPRODUCT((INDEX(Timeline!$P$5:$AN$305,0,MATCH($A11,Timeline!$P$4:$AN$4,0))="x")*(Timeline!$K$5:$K$305="Task")*ISNUMBER(Timeline!$I$5:$I$305)*ISNUMBER(Timeline!$J$5:$J$305)*(Timeline!$I$5:$I$305&lt;=AI$4+4)*(Timeline!$J$5:$J$305&gt;=AI$4+4)),SUMPRODUCT((INDEX(Timeline!$P$5:$AN$305,0,MATCH($A11,Timeline!$P$4:$AN$4,0))="x")*(Timeline!$K$5:$K$305="Task")*ISNUMBER(Timeline!$I$5:$I$305)*ISNUMBER(Timeline!$J$5:$J$305)*(Timeline!$I$5:$I$305&lt;=AI$4+5)*(Timeline!$J$5:$J$305&gt;=AI$4+5)),SUMPRODUCT((INDEX(Timeline!$P$5:$AN$305,0,MATCH($A11,Timeline!$P$4:$AN$4,0))="x")*(Timeline!$K$5:$K$305="Task")*ISNUMBER(Timeline!$I$5:$I$305)*ISNUMBER(Timeline!$J$5:$J$305)*(Timeline!$I$5:$I$305&lt;=AI$4+6)*(Timeline!$J$5:$J$305&gt;=AI$4+6)))</f>
        <v>0</v>
      </c>
      <c r="AJ11" s="67">
        <f>MAX(SUMPRODUCT((INDEX(Timeline!$P$5:$AN$305,0,MATCH($A11,Timeline!$P$4:$AN$4,0))="x")*(Timeline!$K$5:$K$305="Task")*ISNUMBER(Timeline!$I$5:$I$305)*ISNUMBER(Timeline!$J$5:$J$305)*(Timeline!$I$5:$I$305&lt;=AJ$4+0)*(Timeline!$J$5:$J$305&gt;=AJ$4+0)),SUMPRODUCT((INDEX(Timeline!$P$5:$AN$305,0,MATCH($A11,Timeline!$P$4:$AN$4,0))="x")*(Timeline!$K$5:$K$305="Task")*ISNUMBER(Timeline!$I$5:$I$305)*ISNUMBER(Timeline!$J$5:$J$305)*(Timeline!$I$5:$I$305&lt;=AJ$4+1)*(Timeline!$J$5:$J$305&gt;=AJ$4+1)),SUMPRODUCT((INDEX(Timeline!$P$5:$AN$305,0,MATCH($A11,Timeline!$P$4:$AN$4,0))="x")*(Timeline!$K$5:$K$305="Task")*ISNUMBER(Timeline!$I$5:$I$305)*ISNUMBER(Timeline!$J$5:$J$305)*(Timeline!$I$5:$I$305&lt;=AJ$4+2)*(Timeline!$J$5:$J$305&gt;=AJ$4+2)),SUMPRODUCT((INDEX(Timeline!$P$5:$AN$305,0,MATCH($A11,Timeline!$P$4:$AN$4,0))="x")*(Timeline!$K$5:$K$305="Task")*ISNUMBER(Timeline!$I$5:$I$305)*ISNUMBER(Timeline!$J$5:$J$305)*(Timeline!$I$5:$I$305&lt;=AJ$4+3)*(Timeline!$J$5:$J$305&gt;=AJ$4+3)),SUMPRODUCT((INDEX(Timeline!$P$5:$AN$305,0,MATCH($A11,Timeline!$P$4:$AN$4,0))="x")*(Timeline!$K$5:$K$305="Task")*ISNUMBER(Timeline!$I$5:$I$305)*ISNUMBER(Timeline!$J$5:$J$305)*(Timeline!$I$5:$I$305&lt;=AJ$4+4)*(Timeline!$J$5:$J$305&gt;=AJ$4+4)),SUMPRODUCT((INDEX(Timeline!$P$5:$AN$305,0,MATCH($A11,Timeline!$P$4:$AN$4,0))="x")*(Timeline!$K$5:$K$305="Task")*ISNUMBER(Timeline!$I$5:$I$305)*ISNUMBER(Timeline!$J$5:$J$305)*(Timeline!$I$5:$I$305&lt;=AJ$4+5)*(Timeline!$J$5:$J$305&gt;=AJ$4+5)),SUMPRODUCT((INDEX(Timeline!$P$5:$AN$305,0,MATCH($A11,Timeline!$P$4:$AN$4,0))="x")*(Timeline!$K$5:$K$305="Task")*ISNUMBER(Timeline!$I$5:$I$305)*ISNUMBER(Timeline!$J$5:$J$305)*(Timeline!$I$5:$I$305&lt;=AJ$4+6)*(Timeline!$J$5:$J$305&gt;=AJ$4+6)))</f>
        <v>0</v>
      </c>
      <c r="AK11" s="67">
        <f>MAX(SUMPRODUCT((INDEX(Timeline!$P$5:$AN$305,0,MATCH($A11,Timeline!$P$4:$AN$4,0))="x")*(Timeline!$K$5:$K$305="Task")*ISNUMBER(Timeline!$I$5:$I$305)*ISNUMBER(Timeline!$J$5:$J$305)*(Timeline!$I$5:$I$305&lt;=AK$4+0)*(Timeline!$J$5:$J$305&gt;=AK$4+0)),SUMPRODUCT((INDEX(Timeline!$P$5:$AN$305,0,MATCH($A11,Timeline!$P$4:$AN$4,0))="x")*(Timeline!$K$5:$K$305="Task")*ISNUMBER(Timeline!$I$5:$I$305)*ISNUMBER(Timeline!$J$5:$J$305)*(Timeline!$I$5:$I$305&lt;=AK$4+1)*(Timeline!$J$5:$J$305&gt;=AK$4+1)),SUMPRODUCT((INDEX(Timeline!$P$5:$AN$305,0,MATCH($A11,Timeline!$P$4:$AN$4,0))="x")*(Timeline!$K$5:$K$305="Task")*ISNUMBER(Timeline!$I$5:$I$305)*ISNUMBER(Timeline!$J$5:$J$305)*(Timeline!$I$5:$I$305&lt;=AK$4+2)*(Timeline!$J$5:$J$305&gt;=AK$4+2)),SUMPRODUCT((INDEX(Timeline!$P$5:$AN$305,0,MATCH($A11,Timeline!$P$4:$AN$4,0))="x")*(Timeline!$K$5:$K$305="Task")*ISNUMBER(Timeline!$I$5:$I$305)*ISNUMBER(Timeline!$J$5:$J$305)*(Timeline!$I$5:$I$305&lt;=AK$4+3)*(Timeline!$J$5:$J$305&gt;=AK$4+3)),SUMPRODUCT((INDEX(Timeline!$P$5:$AN$305,0,MATCH($A11,Timeline!$P$4:$AN$4,0))="x")*(Timeline!$K$5:$K$305="Task")*ISNUMBER(Timeline!$I$5:$I$305)*ISNUMBER(Timeline!$J$5:$J$305)*(Timeline!$I$5:$I$305&lt;=AK$4+4)*(Timeline!$J$5:$J$305&gt;=AK$4+4)),SUMPRODUCT((INDEX(Timeline!$P$5:$AN$305,0,MATCH($A11,Timeline!$P$4:$AN$4,0))="x")*(Timeline!$K$5:$K$305="Task")*ISNUMBER(Timeline!$I$5:$I$305)*ISNUMBER(Timeline!$J$5:$J$305)*(Timeline!$I$5:$I$305&lt;=AK$4+5)*(Timeline!$J$5:$J$305&gt;=AK$4+5)),SUMPRODUCT((INDEX(Timeline!$P$5:$AN$305,0,MATCH($A11,Timeline!$P$4:$AN$4,0))="x")*(Timeline!$K$5:$K$305="Task")*ISNUMBER(Timeline!$I$5:$I$305)*ISNUMBER(Timeline!$J$5:$J$305)*(Timeline!$I$5:$I$305&lt;=AK$4+6)*(Timeline!$J$5:$J$305&gt;=AK$4+6)))</f>
        <v>0</v>
      </c>
      <c r="AL11" s="67">
        <f>MAX(SUMPRODUCT((INDEX(Timeline!$P$5:$AN$305,0,MATCH($A11,Timeline!$P$4:$AN$4,0))="x")*(Timeline!$K$5:$K$305="Task")*ISNUMBER(Timeline!$I$5:$I$305)*ISNUMBER(Timeline!$J$5:$J$305)*(Timeline!$I$5:$I$305&lt;=AL$4+0)*(Timeline!$J$5:$J$305&gt;=AL$4+0)),SUMPRODUCT((INDEX(Timeline!$P$5:$AN$305,0,MATCH($A11,Timeline!$P$4:$AN$4,0))="x")*(Timeline!$K$5:$K$305="Task")*ISNUMBER(Timeline!$I$5:$I$305)*ISNUMBER(Timeline!$J$5:$J$305)*(Timeline!$I$5:$I$305&lt;=AL$4+1)*(Timeline!$J$5:$J$305&gt;=AL$4+1)),SUMPRODUCT((INDEX(Timeline!$P$5:$AN$305,0,MATCH($A11,Timeline!$P$4:$AN$4,0))="x")*(Timeline!$K$5:$K$305="Task")*ISNUMBER(Timeline!$I$5:$I$305)*ISNUMBER(Timeline!$J$5:$J$305)*(Timeline!$I$5:$I$305&lt;=AL$4+2)*(Timeline!$J$5:$J$305&gt;=AL$4+2)),SUMPRODUCT((INDEX(Timeline!$P$5:$AN$305,0,MATCH($A11,Timeline!$P$4:$AN$4,0))="x")*(Timeline!$K$5:$K$305="Task")*ISNUMBER(Timeline!$I$5:$I$305)*ISNUMBER(Timeline!$J$5:$J$305)*(Timeline!$I$5:$I$305&lt;=AL$4+3)*(Timeline!$J$5:$J$305&gt;=AL$4+3)),SUMPRODUCT((INDEX(Timeline!$P$5:$AN$305,0,MATCH($A11,Timeline!$P$4:$AN$4,0))="x")*(Timeline!$K$5:$K$305="Task")*ISNUMBER(Timeline!$I$5:$I$305)*ISNUMBER(Timeline!$J$5:$J$305)*(Timeline!$I$5:$I$305&lt;=AL$4+4)*(Timeline!$J$5:$J$305&gt;=AL$4+4)),SUMPRODUCT((INDEX(Timeline!$P$5:$AN$305,0,MATCH($A11,Timeline!$P$4:$AN$4,0))="x")*(Timeline!$K$5:$K$305="Task")*ISNUMBER(Timeline!$I$5:$I$305)*ISNUMBER(Timeline!$J$5:$J$305)*(Timeline!$I$5:$I$305&lt;=AL$4+5)*(Timeline!$J$5:$J$305&gt;=AL$4+5)),SUMPRODUCT((INDEX(Timeline!$P$5:$AN$305,0,MATCH($A11,Timeline!$P$4:$AN$4,0))="x")*(Timeline!$K$5:$K$305="Task")*ISNUMBER(Timeline!$I$5:$I$305)*ISNUMBER(Timeline!$J$5:$J$305)*(Timeline!$I$5:$I$305&lt;=AL$4+6)*(Timeline!$J$5:$J$305&gt;=AL$4+6)))</f>
        <v>0</v>
      </c>
      <c r="AM11" s="67">
        <f>MAX(SUMPRODUCT((INDEX(Timeline!$P$5:$AN$305,0,MATCH($A11,Timeline!$P$4:$AN$4,0))="x")*(Timeline!$K$5:$K$305="Task")*ISNUMBER(Timeline!$I$5:$I$305)*ISNUMBER(Timeline!$J$5:$J$305)*(Timeline!$I$5:$I$305&lt;=AM$4+0)*(Timeline!$J$5:$J$305&gt;=AM$4+0)),SUMPRODUCT((INDEX(Timeline!$P$5:$AN$305,0,MATCH($A11,Timeline!$P$4:$AN$4,0))="x")*(Timeline!$K$5:$K$305="Task")*ISNUMBER(Timeline!$I$5:$I$305)*ISNUMBER(Timeline!$J$5:$J$305)*(Timeline!$I$5:$I$305&lt;=AM$4+1)*(Timeline!$J$5:$J$305&gt;=AM$4+1)),SUMPRODUCT((INDEX(Timeline!$P$5:$AN$305,0,MATCH($A11,Timeline!$P$4:$AN$4,0))="x")*(Timeline!$K$5:$K$305="Task")*ISNUMBER(Timeline!$I$5:$I$305)*ISNUMBER(Timeline!$J$5:$J$305)*(Timeline!$I$5:$I$305&lt;=AM$4+2)*(Timeline!$J$5:$J$305&gt;=AM$4+2)),SUMPRODUCT((INDEX(Timeline!$P$5:$AN$305,0,MATCH($A11,Timeline!$P$4:$AN$4,0))="x")*(Timeline!$K$5:$K$305="Task")*ISNUMBER(Timeline!$I$5:$I$305)*ISNUMBER(Timeline!$J$5:$J$305)*(Timeline!$I$5:$I$305&lt;=AM$4+3)*(Timeline!$J$5:$J$305&gt;=AM$4+3)),SUMPRODUCT((INDEX(Timeline!$P$5:$AN$305,0,MATCH($A11,Timeline!$P$4:$AN$4,0))="x")*(Timeline!$K$5:$K$305="Task")*ISNUMBER(Timeline!$I$5:$I$305)*ISNUMBER(Timeline!$J$5:$J$305)*(Timeline!$I$5:$I$305&lt;=AM$4+4)*(Timeline!$J$5:$J$305&gt;=AM$4+4)),SUMPRODUCT((INDEX(Timeline!$P$5:$AN$305,0,MATCH($A11,Timeline!$P$4:$AN$4,0))="x")*(Timeline!$K$5:$K$305="Task")*ISNUMBER(Timeline!$I$5:$I$305)*ISNUMBER(Timeline!$J$5:$J$305)*(Timeline!$I$5:$I$305&lt;=AM$4+5)*(Timeline!$J$5:$J$305&gt;=AM$4+5)),SUMPRODUCT((INDEX(Timeline!$P$5:$AN$305,0,MATCH($A11,Timeline!$P$4:$AN$4,0))="x")*(Timeline!$K$5:$K$305="Task")*ISNUMBER(Timeline!$I$5:$I$305)*ISNUMBER(Timeline!$J$5:$J$305)*(Timeline!$I$5:$I$305&lt;=AM$4+6)*(Timeline!$J$5:$J$305&gt;=AM$4+6)))</f>
        <v>0</v>
      </c>
      <c r="AN11" s="67">
        <f>MAX(SUMPRODUCT((INDEX(Timeline!$P$5:$AN$305,0,MATCH($A11,Timeline!$P$4:$AN$4,0))="x")*(Timeline!$K$5:$K$305="Task")*ISNUMBER(Timeline!$I$5:$I$305)*ISNUMBER(Timeline!$J$5:$J$305)*(Timeline!$I$5:$I$305&lt;=AN$4+0)*(Timeline!$J$5:$J$305&gt;=AN$4+0)),SUMPRODUCT((INDEX(Timeline!$P$5:$AN$305,0,MATCH($A11,Timeline!$P$4:$AN$4,0))="x")*(Timeline!$K$5:$K$305="Task")*ISNUMBER(Timeline!$I$5:$I$305)*ISNUMBER(Timeline!$J$5:$J$305)*(Timeline!$I$5:$I$305&lt;=AN$4+1)*(Timeline!$J$5:$J$305&gt;=AN$4+1)),SUMPRODUCT((INDEX(Timeline!$P$5:$AN$305,0,MATCH($A11,Timeline!$P$4:$AN$4,0))="x")*(Timeline!$K$5:$K$305="Task")*ISNUMBER(Timeline!$I$5:$I$305)*ISNUMBER(Timeline!$J$5:$J$305)*(Timeline!$I$5:$I$305&lt;=AN$4+2)*(Timeline!$J$5:$J$305&gt;=AN$4+2)),SUMPRODUCT((INDEX(Timeline!$P$5:$AN$305,0,MATCH($A11,Timeline!$P$4:$AN$4,0))="x")*(Timeline!$K$5:$K$305="Task")*ISNUMBER(Timeline!$I$5:$I$305)*ISNUMBER(Timeline!$J$5:$J$305)*(Timeline!$I$5:$I$305&lt;=AN$4+3)*(Timeline!$J$5:$J$305&gt;=AN$4+3)),SUMPRODUCT((INDEX(Timeline!$P$5:$AN$305,0,MATCH($A11,Timeline!$P$4:$AN$4,0))="x")*(Timeline!$K$5:$K$305="Task")*ISNUMBER(Timeline!$I$5:$I$305)*ISNUMBER(Timeline!$J$5:$J$305)*(Timeline!$I$5:$I$305&lt;=AN$4+4)*(Timeline!$J$5:$J$305&gt;=AN$4+4)),SUMPRODUCT((INDEX(Timeline!$P$5:$AN$305,0,MATCH($A11,Timeline!$P$4:$AN$4,0))="x")*(Timeline!$K$5:$K$305="Task")*ISNUMBER(Timeline!$I$5:$I$305)*ISNUMBER(Timeline!$J$5:$J$305)*(Timeline!$I$5:$I$305&lt;=AN$4+5)*(Timeline!$J$5:$J$305&gt;=AN$4+5)),SUMPRODUCT((INDEX(Timeline!$P$5:$AN$305,0,MATCH($A11,Timeline!$P$4:$AN$4,0))="x")*(Timeline!$K$5:$K$305="Task")*ISNUMBER(Timeline!$I$5:$I$305)*ISNUMBER(Timeline!$J$5:$J$305)*(Timeline!$I$5:$I$305&lt;=AN$4+6)*(Timeline!$J$5:$J$305&gt;=AN$4+6)))</f>
        <v>0</v>
      </c>
      <c r="AO11" s="67">
        <f>MAX(SUMPRODUCT((INDEX(Timeline!$P$5:$AN$305,0,MATCH($A11,Timeline!$P$4:$AN$4,0))="x")*(Timeline!$K$5:$K$305="Task")*ISNUMBER(Timeline!$I$5:$I$305)*ISNUMBER(Timeline!$J$5:$J$305)*(Timeline!$I$5:$I$305&lt;=AO$4+0)*(Timeline!$J$5:$J$305&gt;=AO$4+0)),SUMPRODUCT((INDEX(Timeline!$P$5:$AN$305,0,MATCH($A11,Timeline!$P$4:$AN$4,0))="x")*(Timeline!$K$5:$K$305="Task")*ISNUMBER(Timeline!$I$5:$I$305)*ISNUMBER(Timeline!$J$5:$J$305)*(Timeline!$I$5:$I$305&lt;=AO$4+1)*(Timeline!$J$5:$J$305&gt;=AO$4+1)),SUMPRODUCT((INDEX(Timeline!$P$5:$AN$305,0,MATCH($A11,Timeline!$P$4:$AN$4,0))="x")*(Timeline!$K$5:$K$305="Task")*ISNUMBER(Timeline!$I$5:$I$305)*ISNUMBER(Timeline!$J$5:$J$305)*(Timeline!$I$5:$I$305&lt;=AO$4+2)*(Timeline!$J$5:$J$305&gt;=AO$4+2)),SUMPRODUCT((INDEX(Timeline!$P$5:$AN$305,0,MATCH($A11,Timeline!$P$4:$AN$4,0))="x")*(Timeline!$K$5:$K$305="Task")*ISNUMBER(Timeline!$I$5:$I$305)*ISNUMBER(Timeline!$J$5:$J$305)*(Timeline!$I$5:$I$305&lt;=AO$4+3)*(Timeline!$J$5:$J$305&gt;=AO$4+3)),SUMPRODUCT((INDEX(Timeline!$P$5:$AN$305,0,MATCH($A11,Timeline!$P$4:$AN$4,0))="x")*(Timeline!$K$5:$K$305="Task")*ISNUMBER(Timeline!$I$5:$I$305)*ISNUMBER(Timeline!$J$5:$J$305)*(Timeline!$I$5:$I$305&lt;=AO$4+4)*(Timeline!$J$5:$J$305&gt;=AO$4+4)),SUMPRODUCT((INDEX(Timeline!$P$5:$AN$305,0,MATCH($A11,Timeline!$P$4:$AN$4,0))="x")*(Timeline!$K$5:$K$305="Task")*ISNUMBER(Timeline!$I$5:$I$305)*ISNUMBER(Timeline!$J$5:$J$305)*(Timeline!$I$5:$I$305&lt;=AO$4+5)*(Timeline!$J$5:$J$305&gt;=AO$4+5)),SUMPRODUCT((INDEX(Timeline!$P$5:$AN$305,0,MATCH($A11,Timeline!$P$4:$AN$4,0))="x")*(Timeline!$K$5:$K$305="Task")*ISNUMBER(Timeline!$I$5:$I$305)*ISNUMBER(Timeline!$J$5:$J$305)*(Timeline!$I$5:$I$305&lt;=AO$4+6)*(Timeline!$J$5:$J$305&gt;=AO$4+6)))</f>
        <v>0</v>
      </c>
      <c r="AP11" s="67">
        <f>MAX(SUMPRODUCT((INDEX(Timeline!$P$5:$AN$305,0,MATCH($A11,Timeline!$P$4:$AN$4,0))="x")*(Timeline!$K$5:$K$305="Task")*ISNUMBER(Timeline!$I$5:$I$305)*ISNUMBER(Timeline!$J$5:$J$305)*(Timeline!$I$5:$I$305&lt;=AP$4+0)*(Timeline!$J$5:$J$305&gt;=AP$4+0)),SUMPRODUCT((INDEX(Timeline!$P$5:$AN$305,0,MATCH($A11,Timeline!$P$4:$AN$4,0))="x")*(Timeline!$K$5:$K$305="Task")*ISNUMBER(Timeline!$I$5:$I$305)*ISNUMBER(Timeline!$J$5:$J$305)*(Timeline!$I$5:$I$305&lt;=AP$4+1)*(Timeline!$J$5:$J$305&gt;=AP$4+1)),SUMPRODUCT((INDEX(Timeline!$P$5:$AN$305,0,MATCH($A11,Timeline!$P$4:$AN$4,0))="x")*(Timeline!$K$5:$K$305="Task")*ISNUMBER(Timeline!$I$5:$I$305)*ISNUMBER(Timeline!$J$5:$J$305)*(Timeline!$I$5:$I$305&lt;=AP$4+2)*(Timeline!$J$5:$J$305&gt;=AP$4+2)),SUMPRODUCT((INDEX(Timeline!$P$5:$AN$305,0,MATCH($A11,Timeline!$P$4:$AN$4,0))="x")*(Timeline!$K$5:$K$305="Task")*ISNUMBER(Timeline!$I$5:$I$305)*ISNUMBER(Timeline!$J$5:$J$305)*(Timeline!$I$5:$I$305&lt;=AP$4+3)*(Timeline!$J$5:$J$305&gt;=AP$4+3)),SUMPRODUCT((INDEX(Timeline!$P$5:$AN$305,0,MATCH($A11,Timeline!$P$4:$AN$4,0))="x")*(Timeline!$K$5:$K$305="Task")*ISNUMBER(Timeline!$I$5:$I$305)*ISNUMBER(Timeline!$J$5:$J$305)*(Timeline!$I$5:$I$305&lt;=AP$4+4)*(Timeline!$J$5:$J$305&gt;=AP$4+4)),SUMPRODUCT((INDEX(Timeline!$P$5:$AN$305,0,MATCH($A11,Timeline!$P$4:$AN$4,0))="x")*(Timeline!$K$5:$K$305="Task")*ISNUMBER(Timeline!$I$5:$I$305)*ISNUMBER(Timeline!$J$5:$J$305)*(Timeline!$I$5:$I$305&lt;=AP$4+5)*(Timeline!$J$5:$J$305&gt;=AP$4+5)),SUMPRODUCT((INDEX(Timeline!$P$5:$AN$305,0,MATCH($A11,Timeline!$P$4:$AN$4,0))="x")*(Timeline!$K$5:$K$305="Task")*ISNUMBER(Timeline!$I$5:$I$305)*ISNUMBER(Timeline!$J$5:$J$305)*(Timeline!$I$5:$I$305&lt;=AP$4+6)*(Timeline!$J$5:$J$305&gt;=AP$4+6)))</f>
        <v>0</v>
      </c>
      <c r="AQ11" s="67">
        <f>MAX(SUMPRODUCT((INDEX(Timeline!$P$5:$AN$305,0,MATCH($A11,Timeline!$P$4:$AN$4,0))="x")*(Timeline!$K$5:$K$305="Task")*ISNUMBER(Timeline!$I$5:$I$305)*ISNUMBER(Timeline!$J$5:$J$305)*(Timeline!$I$5:$I$305&lt;=AQ$4+0)*(Timeline!$J$5:$J$305&gt;=AQ$4+0)),SUMPRODUCT((INDEX(Timeline!$P$5:$AN$305,0,MATCH($A11,Timeline!$P$4:$AN$4,0))="x")*(Timeline!$K$5:$K$305="Task")*ISNUMBER(Timeline!$I$5:$I$305)*ISNUMBER(Timeline!$J$5:$J$305)*(Timeline!$I$5:$I$305&lt;=AQ$4+1)*(Timeline!$J$5:$J$305&gt;=AQ$4+1)),SUMPRODUCT((INDEX(Timeline!$P$5:$AN$305,0,MATCH($A11,Timeline!$P$4:$AN$4,0))="x")*(Timeline!$K$5:$K$305="Task")*ISNUMBER(Timeline!$I$5:$I$305)*ISNUMBER(Timeline!$J$5:$J$305)*(Timeline!$I$5:$I$305&lt;=AQ$4+2)*(Timeline!$J$5:$J$305&gt;=AQ$4+2)),SUMPRODUCT((INDEX(Timeline!$P$5:$AN$305,0,MATCH($A11,Timeline!$P$4:$AN$4,0))="x")*(Timeline!$K$5:$K$305="Task")*ISNUMBER(Timeline!$I$5:$I$305)*ISNUMBER(Timeline!$J$5:$J$305)*(Timeline!$I$5:$I$305&lt;=AQ$4+3)*(Timeline!$J$5:$J$305&gt;=AQ$4+3)),SUMPRODUCT((INDEX(Timeline!$P$5:$AN$305,0,MATCH($A11,Timeline!$P$4:$AN$4,0))="x")*(Timeline!$K$5:$K$305="Task")*ISNUMBER(Timeline!$I$5:$I$305)*ISNUMBER(Timeline!$J$5:$J$305)*(Timeline!$I$5:$I$305&lt;=AQ$4+4)*(Timeline!$J$5:$J$305&gt;=AQ$4+4)),SUMPRODUCT((INDEX(Timeline!$P$5:$AN$305,0,MATCH($A11,Timeline!$P$4:$AN$4,0))="x")*(Timeline!$K$5:$K$305="Task")*ISNUMBER(Timeline!$I$5:$I$305)*ISNUMBER(Timeline!$J$5:$J$305)*(Timeline!$I$5:$I$305&lt;=AQ$4+5)*(Timeline!$J$5:$J$305&gt;=AQ$4+5)),SUMPRODUCT((INDEX(Timeline!$P$5:$AN$305,0,MATCH($A11,Timeline!$P$4:$AN$4,0))="x")*(Timeline!$K$5:$K$305="Task")*ISNUMBER(Timeline!$I$5:$I$305)*ISNUMBER(Timeline!$J$5:$J$305)*(Timeline!$I$5:$I$305&lt;=AQ$4+6)*(Timeline!$J$5:$J$305&gt;=AQ$4+6)))</f>
        <v>0</v>
      </c>
      <c r="AR11" s="67">
        <f>MAX(SUMPRODUCT((INDEX(Timeline!$P$5:$AN$305,0,MATCH($A11,Timeline!$P$4:$AN$4,0))="x")*(Timeline!$K$5:$K$305="Task")*ISNUMBER(Timeline!$I$5:$I$305)*ISNUMBER(Timeline!$J$5:$J$305)*(Timeline!$I$5:$I$305&lt;=AR$4+0)*(Timeline!$J$5:$J$305&gt;=AR$4+0)),SUMPRODUCT((INDEX(Timeline!$P$5:$AN$305,0,MATCH($A11,Timeline!$P$4:$AN$4,0))="x")*(Timeline!$K$5:$K$305="Task")*ISNUMBER(Timeline!$I$5:$I$305)*ISNUMBER(Timeline!$J$5:$J$305)*(Timeline!$I$5:$I$305&lt;=AR$4+1)*(Timeline!$J$5:$J$305&gt;=AR$4+1)),SUMPRODUCT((INDEX(Timeline!$P$5:$AN$305,0,MATCH($A11,Timeline!$P$4:$AN$4,0))="x")*(Timeline!$K$5:$K$305="Task")*ISNUMBER(Timeline!$I$5:$I$305)*ISNUMBER(Timeline!$J$5:$J$305)*(Timeline!$I$5:$I$305&lt;=AR$4+2)*(Timeline!$J$5:$J$305&gt;=AR$4+2)),SUMPRODUCT((INDEX(Timeline!$P$5:$AN$305,0,MATCH($A11,Timeline!$P$4:$AN$4,0))="x")*(Timeline!$K$5:$K$305="Task")*ISNUMBER(Timeline!$I$5:$I$305)*ISNUMBER(Timeline!$J$5:$J$305)*(Timeline!$I$5:$I$305&lt;=AR$4+3)*(Timeline!$J$5:$J$305&gt;=AR$4+3)),SUMPRODUCT((INDEX(Timeline!$P$5:$AN$305,0,MATCH($A11,Timeline!$P$4:$AN$4,0))="x")*(Timeline!$K$5:$K$305="Task")*ISNUMBER(Timeline!$I$5:$I$305)*ISNUMBER(Timeline!$J$5:$J$305)*(Timeline!$I$5:$I$305&lt;=AR$4+4)*(Timeline!$J$5:$J$305&gt;=AR$4+4)),SUMPRODUCT((INDEX(Timeline!$P$5:$AN$305,0,MATCH($A11,Timeline!$P$4:$AN$4,0))="x")*(Timeline!$K$5:$K$305="Task")*ISNUMBER(Timeline!$I$5:$I$305)*ISNUMBER(Timeline!$J$5:$J$305)*(Timeline!$I$5:$I$305&lt;=AR$4+5)*(Timeline!$J$5:$J$305&gt;=AR$4+5)),SUMPRODUCT((INDEX(Timeline!$P$5:$AN$305,0,MATCH($A11,Timeline!$P$4:$AN$4,0))="x")*(Timeline!$K$5:$K$305="Task")*ISNUMBER(Timeline!$I$5:$I$305)*ISNUMBER(Timeline!$J$5:$J$305)*(Timeline!$I$5:$I$305&lt;=AR$4+6)*(Timeline!$J$5:$J$305&gt;=AR$4+6)))</f>
        <v>0</v>
      </c>
      <c r="AS11" s="67">
        <f>MAX(SUMPRODUCT((INDEX(Timeline!$P$5:$AN$305,0,MATCH($A11,Timeline!$P$4:$AN$4,0))="x")*(Timeline!$K$5:$K$305="Task")*ISNUMBER(Timeline!$I$5:$I$305)*ISNUMBER(Timeline!$J$5:$J$305)*(Timeline!$I$5:$I$305&lt;=AS$4+0)*(Timeline!$J$5:$J$305&gt;=AS$4+0)),SUMPRODUCT((INDEX(Timeline!$P$5:$AN$305,0,MATCH($A11,Timeline!$P$4:$AN$4,0))="x")*(Timeline!$K$5:$K$305="Task")*ISNUMBER(Timeline!$I$5:$I$305)*ISNUMBER(Timeline!$J$5:$J$305)*(Timeline!$I$5:$I$305&lt;=AS$4+1)*(Timeline!$J$5:$J$305&gt;=AS$4+1)),SUMPRODUCT((INDEX(Timeline!$P$5:$AN$305,0,MATCH($A11,Timeline!$P$4:$AN$4,0))="x")*(Timeline!$K$5:$K$305="Task")*ISNUMBER(Timeline!$I$5:$I$305)*ISNUMBER(Timeline!$J$5:$J$305)*(Timeline!$I$5:$I$305&lt;=AS$4+2)*(Timeline!$J$5:$J$305&gt;=AS$4+2)),SUMPRODUCT((INDEX(Timeline!$P$5:$AN$305,0,MATCH($A11,Timeline!$P$4:$AN$4,0))="x")*(Timeline!$K$5:$K$305="Task")*ISNUMBER(Timeline!$I$5:$I$305)*ISNUMBER(Timeline!$J$5:$J$305)*(Timeline!$I$5:$I$305&lt;=AS$4+3)*(Timeline!$J$5:$J$305&gt;=AS$4+3)),SUMPRODUCT((INDEX(Timeline!$P$5:$AN$305,0,MATCH($A11,Timeline!$P$4:$AN$4,0))="x")*(Timeline!$K$5:$K$305="Task")*ISNUMBER(Timeline!$I$5:$I$305)*ISNUMBER(Timeline!$J$5:$J$305)*(Timeline!$I$5:$I$305&lt;=AS$4+4)*(Timeline!$J$5:$J$305&gt;=AS$4+4)),SUMPRODUCT((INDEX(Timeline!$P$5:$AN$305,0,MATCH($A11,Timeline!$P$4:$AN$4,0))="x")*(Timeline!$K$5:$K$305="Task")*ISNUMBER(Timeline!$I$5:$I$305)*ISNUMBER(Timeline!$J$5:$J$305)*(Timeline!$I$5:$I$305&lt;=AS$4+5)*(Timeline!$J$5:$J$305&gt;=AS$4+5)),SUMPRODUCT((INDEX(Timeline!$P$5:$AN$305,0,MATCH($A11,Timeline!$P$4:$AN$4,0))="x")*(Timeline!$K$5:$K$305="Task")*ISNUMBER(Timeline!$I$5:$I$305)*ISNUMBER(Timeline!$J$5:$J$305)*(Timeline!$I$5:$I$305&lt;=AS$4+6)*(Timeline!$J$5:$J$305&gt;=AS$4+6)))</f>
        <v>0</v>
      </c>
      <c r="AT11" s="67">
        <f>MAX(SUMPRODUCT((INDEX(Timeline!$P$5:$AN$305,0,MATCH($A11,Timeline!$P$4:$AN$4,0))="x")*(Timeline!$K$5:$K$305="Task")*ISNUMBER(Timeline!$I$5:$I$305)*ISNUMBER(Timeline!$J$5:$J$305)*(Timeline!$I$5:$I$305&lt;=AT$4+0)*(Timeline!$J$5:$J$305&gt;=AT$4+0)),SUMPRODUCT((INDEX(Timeline!$P$5:$AN$305,0,MATCH($A11,Timeline!$P$4:$AN$4,0))="x")*(Timeline!$K$5:$K$305="Task")*ISNUMBER(Timeline!$I$5:$I$305)*ISNUMBER(Timeline!$J$5:$J$305)*(Timeline!$I$5:$I$305&lt;=AT$4+1)*(Timeline!$J$5:$J$305&gt;=AT$4+1)),SUMPRODUCT((INDEX(Timeline!$P$5:$AN$305,0,MATCH($A11,Timeline!$P$4:$AN$4,0))="x")*(Timeline!$K$5:$K$305="Task")*ISNUMBER(Timeline!$I$5:$I$305)*ISNUMBER(Timeline!$J$5:$J$305)*(Timeline!$I$5:$I$305&lt;=AT$4+2)*(Timeline!$J$5:$J$305&gt;=AT$4+2)),SUMPRODUCT((INDEX(Timeline!$P$5:$AN$305,0,MATCH($A11,Timeline!$P$4:$AN$4,0))="x")*(Timeline!$K$5:$K$305="Task")*ISNUMBER(Timeline!$I$5:$I$305)*ISNUMBER(Timeline!$J$5:$J$305)*(Timeline!$I$5:$I$305&lt;=AT$4+3)*(Timeline!$J$5:$J$305&gt;=AT$4+3)),SUMPRODUCT((INDEX(Timeline!$P$5:$AN$305,0,MATCH($A11,Timeline!$P$4:$AN$4,0))="x")*(Timeline!$K$5:$K$305="Task")*ISNUMBER(Timeline!$I$5:$I$305)*ISNUMBER(Timeline!$J$5:$J$305)*(Timeline!$I$5:$I$305&lt;=AT$4+4)*(Timeline!$J$5:$J$305&gt;=AT$4+4)),SUMPRODUCT((INDEX(Timeline!$P$5:$AN$305,0,MATCH($A11,Timeline!$P$4:$AN$4,0))="x")*(Timeline!$K$5:$K$305="Task")*ISNUMBER(Timeline!$I$5:$I$305)*ISNUMBER(Timeline!$J$5:$J$305)*(Timeline!$I$5:$I$305&lt;=AT$4+5)*(Timeline!$J$5:$J$305&gt;=AT$4+5)),SUMPRODUCT((INDEX(Timeline!$P$5:$AN$305,0,MATCH($A11,Timeline!$P$4:$AN$4,0))="x")*(Timeline!$K$5:$K$305="Task")*ISNUMBER(Timeline!$I$5:$I$305)*ISNUMBER(Timeline!$J$5:$J$305)*(Timeline!$I$5:$I$305&lt;=AT$4+6)*(Timeline!$J$5:$J$305&gt;=AT$4+6)))</f>
        <v>0</v>
      </c>
      <c r="AU11" s="67">
        <f>MAX(SUMPRODUCT((INDEX(Timeline!$P$5:$AN$305,0,MATCH($A11,Timeline!$P$4:$AN$4,0))="x")*(Timeline!$K$5:$K$305="Task")*ISNUMBER(Timeline!$I$5:$I$305)*ISNUMBER(Timeline!$J$5:$J$305)*(Timeline!$I$5:$I$305&lt;=AU$4+0)*(Timeline!$J$5:$J$305&gt;=AU$4+0)),SUMPRODUCT((INDEX(Timeline!$P$5:$AN$305,0,MATCH($A11,Timeline!$P$4:$AN$4,0))="x")*(Timeline!$K$5:$K$305="Task")*ISNUMBER(Timeline!$I$5:$I$305)*ISNUMBER(Timeline!$J$5:$J$305)*(Timeline!$I$5:$I$305&lt;=AU$4+1)*(Timeline!$J$5:$J$305&gt;=AU$4+1)),SUMPRODUCT((INDEX(Timeline!$P$5:$AN$305,0,MATCH($A11,Timeline!$P$4:$AN$4,0))="x")*(Timeline!$K$5:$K$305="Task")*ISNUMBER(Timeline!$I$5:$I$305)*ISNUMBER(Timeline!$J$5:$J$305)*(Timeline!$I$5:$I$305&lt;=AU$4+2)*(Timeline!$J$5:$J$305&gt;=AU$4+2)),SUMPRODUCT((INDEX(Timeline!$P$5:$AN$305,0,MATCH($A11,Timeline!$P$4:$AN$4,0))="x")*(Timeline!$K$5:$K$305="Task")*ISNUMBER(Timeline!$I$5:$I$305)*ISNUMBER(Timeline!$J$5:$J$305)*(Timeline!$I$5:$I$305&lt;=AU$4+3)*(Timeline!$J$5:$J$305&gt;=AU$4+3)),SUMPRODUCT((INDEX(Timeline!$P$5:$AN$305,0,MATCH($A11,Timeline!$P$4:$AN$4,0))="x")*(Timeline!$K$5:$K$305="Task")*ISNUMBER(Timeline!$I$5:$I$305)*ISNUMBER(Timeline!$J$5:$J$305)*(Timeline!$I$5:$I$305&lt;=AU$4+4)*(Timeline!$J$5:$J$305&gt;=AU$4+4)),SUMPRODUCT((INDEX(Timeline!$P$5:$AN$305,0,MATCH($A11,Timeline!$P$4:$AN$4,0))="x")*(Timeline!$K$5:$K$305="Task")*ISNUMBER(Timeline!$I$5:$I$305)*ISNUMBER(Timeline!$J$5:$J$305)*(Timeline!$I$5:$I$305&lt;=AU$4+5)*(Timeline!$J$5:$J$305&gt;=AU$4+5)),SUMPRODUCT((INDEX(Timeline!$P$5:$AN$305,0,MATCH($A11,Timeline!$P$4:$AN$4,0))="x")*(Timeline!$K$5:$K$305="Task")*ISNUMBER(Timeline!$I$5:$I$305)*ISNUMBER(Timeline!$J$5:$J$305)*(Timeline!$I$5:$I$305&lt;=AU$4+6)*(Timeline!$J$5:$J$305&gt;=AU$4+6)))</f>
        <v>0</v>
      </c>
      <c r="AV11" s="67">
        <f>MAX(SUMPRODUCT((INDEX(Timeline!$P$5:$AN$305,0,MATCH($A11,Timeline!$P$4:$AN$4,0))="x")*(Timeline!$K$5:$K$305="Task")*ISNUMBER(Timeline!$I$5:$I$305)*ISNUMBER(Timeline!$J$5:$J$305)*(Timeline!$I$5:$I$305&lt;=AV$4+0)*(Timeline!$J$5:$J$305&gt;=AV$4+0)),SUMPRODUCT((INDEX(Timeline!$P$5:$AN$305,0,MATCH($A11,Timeline!$P$4:$AN$4,0))="x")*(Timeline!$K$5:$K$305="Task")*ISNUMBER(Timeline!$I$5:$I$305)*ISNUMBER(Timeline!$J$5:$J$305)*(Timeline!$I$5:$I$305&lt;=AV$4+1)*(Timeline!$J$5:$J$305&gt;=AV$4+1)),SUMPRODUCT((INDEX(Timeline!$P$5:$AN$305,0,MATCH($A11,Timeline!$P$4:$AN$4,0))="x")*(Timeline!$K$5:$K$305="Task")*ISNUMBER(Timeline!$I$5:$I$305)*ISNUMBER(Timeline!$J$5:$J$305)*(Timeline!$I$5:$I$305&lt;=AV$4+2)*(Timeline!$J$5:$J$305&gt;=AV$4+2)),SUMPRODUCT((INDEX(Timeline!$P$5:$AN$305,0,MATCH($A11,Timeline!$P$4:$AN$4,0))="x")*(Timeline!$K$5:$K$305="Task")*ISNUMBER(Timeline!$I$5:$I$305)*ISNUMBER(Timeline!$J$5:$J$305)*(Timeline!$I$5:$I$305&lt;=AV$4+3)*(Timeline!$J$5:$J$305&gt;=AV$4+3)),SUMPRODUCT((INDEX(Timeline!$P$5:$AN$305,0,MATCH($A11,Timeline!$P$4:$AN$4,0))="x")*(Timeline!$K$5:$K$305="Task")*ISNUMBER(Timeline!$I$5:$I$305)*ISNUMBER(Timeline!$J$5:$J$305)*(Timeline!$I$5:$I$305&lt;=AV$4+4)*(Timeline!$J$5:$J$305&gt;=AV$4+4)),SUMPRODUCT((INDEX(Timeline!$P$5:$AN$305,0,MATCH($A11,Timeline!$P$4:$AN$4,0))="x")*(Timeline!$K$5:$K$305="Task")*ISNUMBER(Timeline!$I$5:$I$305)*ISNUMBER(Timeline!$J$5:$J$305)*(Timeline!$I$5:$I$305&lt;=AV$4+5)*(Timeline!$J$5:$J$305&gt;=AV$4+5)),SUMPRODUCT((INDEX(Timeline!$P$5:$AN$305,0,MATCH($A11,Timeline!$P$4:$AN$4,0))="x")*(Timeline!$K$5:$K$305="Task")*ISNUMBER(Timeline!$I$5:$I$305)*ISNUMBER(Timeline!$J$5:$J$305)*(Timeline!$I$5:$I$305&lt;=AV$4+6)*(Timeline!$J$5:$J$305&gt;=AV$4+6)))</f>
        <v>0</v>
      </c>
      <c r="AW11" s="67">
        <f>MAX(SUMPRODUCT((INDEX(Timeline!$P$5:$AN$305,0,MATCH($A11,Timeline!$P$4:$AN$4,0))="x")*(Timeline!$K$5:$K$305="Task")*ISNUMBER(Timeline!$I$5:$I$305)*ISNUMBER(Timeline!$J$5:$J$305)*(Timeline!$I$5:$I$305&lt;=AW$4+0)*(Timeline!$J$5:$J$305&gt;=AW$4+0)),SUMPRODUCT((INDEX(Timeline!$P$5:$AN$305,0,MATCH($A11,Timeline!$P$4:$AN$4,0))="x")*(Timeline!$K$5:$K$305="Task")*ISNUMBER(Timeline!$I$5:$I$305)*ISNUMBER(Timeline!$J$5:$J$305)*(Timeline!$I$5:$I$305&lt;=AW$4+1)*(Timeline!$J$5:$J$305&gt;=AW$4+1)),SUMPRODUCT((INDEX(Timeline!$P$5:$AN$305,0,MATCH($A11,Timeline!$P$4:$AN$4,0))="x")*(Timeline!$K$5:$K$305="Task")*ISNUMBER(Timeline!$I$5:$I$305)*ISNUMBER(Timeline!$J$5:$J$305)*(Timeline!$I$5:$I$305&lt;=AW$4+2)*(Timeline!$J$5:$J$305&gt;=AW$4+2)),SUMPRODUCT((INDEX(Timeline!$P$5:$AN$305,0,MATCH($A11,Timeline!$P$4:$AN$4,0))="x")*(Timeline!$K$5:$K$305="Task")*ISNUMBER(Timeline!$I$5:$I$305)*ISNUMBER(Timeline!$J$5:$J$305)*(Timeline!$I$5:$I$305&lt;=AW$4+3)*(Timeline!$J$5:$J$305&gt;=AW$4+3)),SUMPRODUCT((INDEX(Timeline!$P$5:$AN$305,0,MATCH($A11,Timeline!$P$4:$AN$4,0))="x")*(Timeline!$K$5:$K$305="Task")*ISNUMBER(Timeline!$I$5:$I$305)*ISNUMBER(Timeline!$J$5:$J$305)*(Timeline!$I$5:$I$305&lt;=AW$4+4)*(Timeline!$J$5:$J$305&gt;=AW$4+4)),SUMPRODUCT((INDEX(Timeline!$P$5:$AN$305,0,MATCH($A11,Timeline!$P$4:$AN$4,0))="x")*(Timeline!$K$5:$K$305="Task")*ISNUMBER(Timeline!$I$5:$I$305)*ISNUMBER(Timeline!$J$5:$J$305)*(Timeline!$I$5:$I$305&lt;=AW$4+5)*(Timeline!$J$5:$J$305&gt;=AW$4+5)),SUMPRODUCT((INDEX(Timeline!$P$5:$AN$305,0,MATCH($A11,Timeline!$P$4:$AN$4,0))="x")*(Timeline!$K$5:$K$305="Task")*ISNUMBER(Timeline!$I$5:$I$305)*ISNUMBER(Timeline!$J$5:$J$305)*(Timeline!$I$5:$I$305&lt;=AW$4+6)*(Timeline!$J$5:$J$305&gt;=AW$4+6)))</f>
        <v>0</v>
      </c>
      <c r="AX11" s="67">
        <f>MAX(SUMPRODUCT((INDEX(Timeline!$P$5:$AN$305,0,MATCH($A11,Timeline!$P$4:$AN$4,0))="x")*(Timeline!$K$5:$K$305="Task")*ISNUMBER(Timeline!$I$5:$I$305)*ISNUMBER(Timeline!$J$5:$J$305)*(Timeline!$I$5:$I$305&lt;=AX$4+0)*(Timeline!$J$5:$J$305&gt;=AX$4+0)),SUMPRODUCT((INDEX(Timeline!$P$5:$AN$305,0,MATCH($A11,Timeline!$P$4:$AN$4,0))="x")*(Timeline!$K$5:$K$305="Task")*ISNUMBER(Timeline!$I$5:$I$305)*ISNUMBER(Timeline!$J$5:$J$305)*(Timeline!$I$5:$I$305&lt;=AX$4+1)*(Timeline!$J$5:$J$305&gt;=AX$4+1)),SUMPRODUCT((INDEX(Timeline!$P$5:$AN$305,0,MATCH($A11,Timeline!$P$4:$AN$4,0))="x")*(Timeline!$K$5:$K$305="Task")*ISNUMBER(Timeline!$I$5:$I$305)*ISNUMBER(Timeline!$J$5:$J$305)*(Timeline!$I$5:$I$305&lt;=AX$4+2)*(Timeline!$J$5:$J$305&gt;=AX$4+2)),SUMPRODUCT((INDEX(Timeline!$P$5:$AN$305,0,MATCH($A11,Timeline!$P$4:$AN$4,0))="x")*(Timeline!$K$5:$K$305="Task")*ISNUMBER(Timeline!$I$5:$I$305)*ISNUMBER(Timeline!$J$5:$J$305)*(Timeline!$I$5:$I$305&lt;=AX$4+3)*(Timeline!$J$5:$J$305&gt;=AX$4+3)),SUMPRODUCT((INDEX(Timeline!$P$5:$AN$305,0,MATCH($A11,Timeline!$P$4:$AN$4,0))="x")*(Timeline!$K$5:$K$305="Task")*ISNUMBER(Timeline!$I$5:$I$305)*ISNUMBER(Timeline!$J$5:$J$305)*(Timeline!$I$5:$I$305&lt;=AX$4+4)*(Timeline!$J$5:$J$305&gt;=AX$4+4)),SUMPRODUCT((INDEX(Timeline!$P$5:$AN$305,0,MATCH($A11,Timeline!$P$4:$AN$4,0))="x")*(Timeline!$K$5:$K$305="Task")*ISNUMBER(Timeline!$I$5:$I$305)*ISNUMBER(Timeline!$J$5:$J$305)*(Timeline!$I$5:$I$305&lt;=AX$4+5)*(Timeline!$J$5:$J$305&gt;=AX$4+5)),SUMPRODUCT((INDEX(Timeline!$P$5:$AN$305,0,MATCH($A11,Timeline!$P$4:$AN$4,0))="x")*(Timeline!$K$5:$K$305="Task")*ISNUMBER(Timeline!$I$5:$I$305)*ISNUMBER(Timeline!$J$5:$J$305)*(Timeline!$I$5:$I$305&lt;=AX$4+6)*(Timeline!$J$5:$J$305&gt;=AX$4+6)))</f>
        <v>0</v>
      </c>
      <c r="AY11" s="67">
        <f>MAX(SUMPRODUCT((INDEX(Timeline!$P$5:$AN$305,0,MATCH($A11,Timeline!$P$4:$AN$4,0))="x")*(Timeline!$K$5:$K$305="Task")*ISNUMBER(Timeline!$I$5:$I$305)*ISNUMBER(Timeline!$J$5:$J$305)*(Timeline!$I$5:$I$305&lt;=AY$4+0)*(Timeline!$J$5:$J$305&gt;=AY$4+0)),SUMPRODUCT((INDEX(Timeline!$P$5:$AN$305,0,MATCH($A11,Timeline!$P$4:$AN$4,0))="x")*(Timeline!$K$5:$K$305="Task")*ISNUMBER(Timeline!$I$5:$I$305)*ISNUMBER(Timeline!$J$5:$J$305)*(Timeline!$I$5:$I$305&lt;=AY$4+1)*(Timeline!$J$5:$J$305&gt;=AY$4+1)),SUMPRODUCT((INDEX(Timeline!$P$5:$AN$305,0,MATCH($A11,Timeline!$P$4:$AN$4,0))="x")*(Timeline!$K$5:$K$305="Task")*ISNUMBER(Timeline!$I$5:$I$305)*ISNUMBER(Timeline!$J$5:$J$305)*(Timeline!$I$5:$I$305&lt;=AY$4+2)*(Timeline!$J$5:$J$305&gt;=AY$4+2)),SUMPRODUCT((INDEX(Timeline!$P$5:$AN$305,0,MATCH($A11,Timeline!$P$4:$AN$4,0))="x")*(Timeline!$K$5:$K$305="Task")*ISNUMBER(Timeline!$I$5:$I$305)*ISNUMBER(Timeline!$J$5:$J$305)*(Timeline!$I$5:$I$305&lt;=AY$4+3)*(Timeline!$J$5:$J$305&gt;=AY$4+3)),SUMPRODUCT((INDEX(Timeline!$P$5:$AN$305,0,MATCH($A11,Timeline!$P$4:$AN$4,0))="x")*(Timeline!$K$5:$K$305="Task")*ISNUMBER(Timeline!$I$5:$I$305)*ISNUMBER(Timeline!$J$5:$J$305)*(Timeline!$I$5:$I$305&lt;=AY$4+4)*(Timeline!$J$5:$J$305&gt;=AY$4+4)),SUMPRODUCT((INDEX(Timeline!$P$5:$AN$305,0,MATCH($A11,Timeline!$P$4:$AN$4,0))="x")*(Timeline!$K$5:$K$305="Task")*ISNUMBER(Timeline!$I$5:$I$305)*ISNUMBER(Timeline!$J$5:$J$305)*(Timeline!$I$5:$I$305&lt;=AY$4+5)*(Timeline!$J$5:$J$305&gt;=AY$4+5)),SUMPRODUCT((INDEX(Timeline!$P$5:$AN$305,0,MATCH($A11,Timeline!$P$4:$AN$4,0))="x")*(Timeline!$K$5:$K$305="Task")*ISNUMBER(Timeline!$I$5:$I$305)*ISNUMBER(Timeline!$J$5:$J$305)*(Timeline!$I$5:$I$305&lt;=AY$4+6)*(Timeline!$J$5:$J$305&gt;=AY$4+6)))</f>
        <v>0</v>
      </c>
      <c r="AZ11" s="67">
        <f>MAX(SUMPRODUCT((INDEX(Timeline!$P$5:$AN$305,0,MATCH($A11,Timeline!$P$4:$AN$4,0))="x")*(Timeline!$K$5:$K$305="Task")*ISNUMBER(Timeline!$I$5:$I$305)*ISNUMBER(Timeline!$J$5:$J$305)*(Timeline!$I$5:$I$305&lt;=AZ$4+0)*(Timeline!$J$5:$J$305&gt;=AZ$4+0)),SUMPRODUCT((INDEX(Timeline!$P$5:$AN$305,0,MATCH($A11,Timeline!$P$4:$AN$4,0))="x")*(Timeline!$K$5:$K$305="Task")*ISNUMBER(Timeline!$I$5:$I$305)*ISNUMBER(Timeline!$J$5:$J$305)*(Timeline!$I$5:$I$305&lt;=AZ$4+1)*(Timeline!$J$5:$J$305&gt;=AZ$4+1)),SUMPRODUCT((INDEX(Timeline!$P$5:$AN$305,0,MATCH($A11,Timeline!$P$4:$AN$4,0))="x")*(Timeline!$K$5:$K$305="Task")*ISNUMBER(Timeline!$I$5:$I$305)*ISNUMBER(Timeline!$J$5:$J$305)*(Timeline!$I$5:$I$305&lt;=AZ$4+2)*(Timeline!$J$5:$J$305&gt;=AZ$4+2)),SUMPRODUCT((INDEX(Timeline!$P$5:$AN$305,0,MATCH($A11,Timeline!$P$4:$AN$4,0))="x")*(Timeline!$K$5:$K$305="Task")*ISNUMBER(Timeline!$I$5:$I$305)*ISNUMBER(Timeline!$J$5:$J$305)*(Timeline!$I$5:$I$305&lt;=AZ$4+3)*(Timeline!$J$5:$J$305&gt;=AZ$4+3)),SUMPRODUCT((INDEX(Timeline!$P$5:$AN$305,0,MATCH($A11,Timeline!$P$4:$AN$4,0))="x")*(Timeline!$K$5:$K$305="Task")*ISNUMBER(Timeline!$I$5:$I$305)*ISNUMBER(Timeline!$J$5:$J$305)*(Timeline!$I$5:$I$305&lt;=AZ$4+4)*(Timeline!$J$5:$J$305&gt;=AZ$4+4)),SUMPRODUCT((INDEX(Timeline!$P$5:$AN$305,0,MATCH($A11,Timeline!$P$4:$AN$4,0))="x")*(Timeline!$K$5:$K$305="Task")*ISNUMBER(Timeline!$I$5:$I$305)*ISNUMBER(Timeline!$J$5:$J$305)*(Timeline!$I$5:$I$305&lt;=AZ$4+5)*(Timeline!$J$5:$J$305&gt;=AZ$4+5)),SUMPRODUCT((INDEX(Timeline!$P$5:$AN$305,0,MATCH($A11,Timeline!$P$4:$AN$4,0))="x")*(Timeline!$K$5:$K$305="Task")*ISNUMBER(Timeline!$I$5:$I$305)*ISNUMBER(Timeline!$J$5:$J$305)*(Timeline!$I$5:$I$305&lt;=AZ$4+6)*(Timeline!$J$5:$J$305&gt;=AZ$4+6)))</f>
        <v>0</v>
      </c>
      <c r="BA11" s="67">
        <f>MAX(SUMPRODUCT((INDEX(Timeline!$P$5:$AN$305,0,MATCH($A11,Timeline!$P$4:$AN$4,0))="x")*(Timeline!$K$5:$K$305="Task")*ISNUMBER(Timeline!$I$5:$I$305)*ISNUMBER(Timeline!$J$5:$J$305)*(Timeline!$I$5:$I$305&lt;=BA$4+0)*(Timeline!$J$5:$J$305&gt;=BA$4+0)),SUMPRODUCT((INDEX(Timeline!$P$5:$AN$305,0,MATCH($A11,Timeline!$P$4:$AN$4,0))="x")*(Timeline!$K$5:$K$305="Task")*ISNUMBER(Timeline!$I$5:$I$305)*ISNUMBER(Timeline!$J$5:$J$305)*(Timeline!$I$5:$I$305&lt;=BA$4+1)*(Timeline!$J$5:$J$305&gt;=BA$4+1)),SUMPRODUCT((INDEX(Timeline!$P$5:$AN$305,0,MATCH($A11,Timeline!$P$4:$AN$4,0))="x")*(Timeline!$K$5:$K$305="Task")*ISNUMBER(Timeline!$I$5:$I$305)*ISNUMBER(Timeline!$J$5:$J$305)*(Timeline!$I$5:$I$305&lt;=BA$4+2)*(Timeline!$J$5:$J$305&gt;=BA$4+2)),SUMPRODUCT((INDEX(Timeline!$P$5:$AN$305,0,MATCH($A11,Timeline!$P$4:$AN$4,0))="x")*(Timeline!$K$5:$K$305="Task")*ISNUMBER(Timeline!$I$5:$I$305)*ISNUMBER(Timeline!$J$5:$J$305)*(Timeline!$I$5:$I$305&lt;=BA$4+3)*(Timeline!$J$5:$J$305&gt;=BA$4+3)),SUMPRODUCT((INDEX(Timeline!$P$5:$AN$305,0,MATCH($A11,Timeline!$P$4:$AN$4,0))="x")*(Timeline!$K$5:$K$305="Task")*ISNUMBER(Timeline!$I$5:$I$305)*ISNUMBER(Timeline!$J$5:$J$305)*(Timeline!$I$5:$I$305&lt;=BA$4+4)*(Timeline!$J$5:$J$305&gt;=BA$4+4)),SUMPRODUCT((INDEX(Timeline!$P$5:$AN$305,0,MATCH($A11,Timeline!$P$4:$AN$4,0))="x")*(Timeline!$K$5:$K$305="Task")*ISNUMBER(Timeline!$I$5:$I$305)*ISNUMBER(Timeline!$J$5:$J$305)*(Timeline!$I$5:$I$305&lt;=BA$4+5)*(Timeline!$J$5:$J$305&gt;=BA$4+5)),SUMPRODUCT((INDEX(Timeline!$P$5:$AN$305,0,MATCH($A11,Timeline!$P$4:$AN$4,0))="x")*(Timeline!$K$5:$K$305="Task")*ISNUMBER(Timeline!$I$5:$I$305)*ISNUMBER(Timeline!$J$5:$J$305)*(Timeline!$I$5:$I$305&lt;=BA$4+6)*(Timeline!$J$5:$J$305&gt;=BA$4+6)))</f>
        <v>0</v>
      </c>
    </row>
    <row r="12" spans="1:53" ht="15" customHeight="1">
      <c r="A12" s="66" t="s">
        <v>43</v>
      </c>
      <c r="B12" s="66" t="s">
        <v>11</v>
      </c>
      <c r="C12" s="67">
        <f>MAX(SUMPRODUCT((INDEX(Timeline!$P$5:$AN$305,0,MATCH($A12,Timeline!$P$4:$AN$4,0))="x")*(Timeline!$K$5:$K$305="Task")*ISNUMBER(Timeline!$I$5:$I$305)*ISNUMBER(Timeline!$J$5:$J$305)*(Timeline!$I$5:$I$305&lt;=C$4+0)*(Timeline!$J$5:$J$305&gt;=C$4+0)),SUMPRODUCT((INDEX(Timeline!$P$5:$AN$305,0,MATCH($A12,Timeline!$P$4:$AN$4,0))="x")*(Timeline!$K$5:$K$305="Task")*ISNUMBER(Timeline!$I$5:$I$305)*ISNUMBER(Timeline!$J$5:$J$305)*(Timeline!$I$5:$I$305&lt;=C$4+1)*(Timeline!$J$5:$J$305&gt;=C$4+1)),SUMPRODUCT((INDEX(Timeline!$P$5:$AN$305,0,MATCH($A12,Timeline!$P$4:$AN$4,0))="x")*(Timeline!$K$5:$K$305="Task")*ISNUMBER(Timeline!$I$5:$I$305)*ISNUMBER(Timeline!$J$5:$J$305)*(Timeline!$I$5:$I$305&lt;=C$4+2)*(Timeline!$J$5:$J$305&gt;=C$4+2)),SUMPRODUCT((INDEX(Timeline!$P$5:$AN$305,0,MATCH($A12,Timeline!$P$4:$AN$4,0))="x")*(Timeline!$K$5:$K$305="Task")*ISNUMBER(Timeline!$I$5:$I$305)*ISNUMBER(Timeline!$J$5:$J$305)*(Timeline!$I$5:$I$305&lt;=C$4+3)*(Timeline!$J$5:$J$305&gt;=C$4+3)),SUMPRODUCT((INDEX(Timeline!$P$5:$AN$305,0,MATCH($A12,Timeline!$P$4:$AN$4,0))="x")*(Timeline!$K$5:$K$305="Task")*ISNUMBER(Timeline!$I$5:$I$305)*ISNUMBER(Timeline!$J$5:$J$305)*(Timeline!$I$5:$I$305&lt;=C$4+4)*(Timeline!$J$5:$J$305&gt;=C$4+4)),SUMPRODUCT((INDEX(Timeline!$P$5:$AN$305,0,MATCH($A12,Timeline!$P$4:$AN$4,0))="x")*(Timeline!$K$5:$K$305="Task")*ISNUMBER(Timeline!$I$5:$I$305)*ISNUMBER(Timeline!$J$5:$J$305)*(Timeline!$I$5:$I$305&lt;=C$4+5)*(Timeline!$J$5:$J$305&gt;=C$4+5)),SUMPRODUCT((INDEX(Timeline!$P$5:$AN$305,0,MATCH($A12,Timeline!$P$4:$AN$4,0))="x")*(Timeline!$K$5:$K$305="Task")*ISNUMBER(Timeline!$I$5:$I$305)*ISNUMBER(Timeline!$J$5:$J$305)*(Timeline!$I$5:$I$305&lt;=C$4+6)*(Timeline!$J$5:$J$305&gt;=C$4+6)))</f>
        <v>0</v>
      </c>
      <c r="D12" s="67">
        <f>MAX(SUMPRODUCT((INDEX(Timeline!$P$5:$AN$305,0,MATCH($A12,Timeline!$P$4:$AN$4,0))="x")*(Timeline!$K$5:$K$305="Task")*ISNUMBER(Timeline!$I$5:$I$305)*ISNUMBER(Timeline!$J$5:$J$305)*(Timeline!$I$5:$I$305&lt;=D$4+0)*(Timeline!$J$5:$J$305&gt;=D$4+0)),SUMPRODUCT((INDEX(Timeline!$P$5:$AN$305,0,MATCH($A12,Timeline!$P$4:$AN$4,0))="x")*(Timeline!$K$5:$K$305="Task")*ISNUMBER(Timeline!$I$5:$I$305)*ISNUMBER(Timeline!$J$5:$J$305)*(Timeline!$I$5:$I$305&lt;=D$4+1)*(Timeline!$J$5:$J$305&gt;=D$4+1)),SUMPRODUCT((INDEX(Timeline!$P$5:$AN$305,0,MATCH($A12,Timeline!$P$4:$AN$4,0))="x")*(Timeline!$K$5:$K$305="Task")*ISNUMBER(Timeline!$I$5:$I$305)*ISNUMBER(Timeline!$J$5:$J$305)*(Timeline!$I$5:$I$305&lt;=D$4+2)*(Timeline!$J$5:$J$305&gt;=D$4+2)),SUMPRODUCT((INDEX(Timeline!$P$5:$AN$305,0,MATCH($A12,Timeline!$P$4:$AN$4,0))="x")*(Timeline!$K$5:$K$305="Task")*ISNUMBER(Timeline!$I$5:$I$305)*ISNUMBER(Timeline!$J$5:$J$305)*(Timeline!$I$5:$I$305&lt;=D$4+3)*(Timeline!$J$5:$J$305&gt;=D$4+3)),SUMPRODUCT((INDEX(Timeline!$P$5:$AN$305,0,MATCH($A12,Timeline!$P$4:$AN$4,0))="x")*(Timeline!$K$5:$K$305="Task")*ISNUMBER(Timeline!$I$5:$I$305)*ISNUMBER(Timeline!$J$5:$J$305)*(Timeline!$I$5:$I$305&lt;=D$4+4)*(Timeline!$J$5:$J$305&gt;=D$4+4)),SUMPRODUCT((INDEX(Timeline!$P$5:$AN$305,0,MATCH($A12,Timeline!$P$4:$AN$4,0))="x")*(Timeline!$K$5:$K$305="Task")*ISNUMBER(Timeline!$I$5:$I$305)*ISNUMBER(Timeline!$J$5:$J$305)*(Timeline!$I$5:$I$305&lt;=D$4+5)*(Timeline!$J$5:$J$305&gt;=D$4+5)),SUMPRODUCT((INDEX(Timeline!$P$5:$AN$305,0,MATCH($A12,Timeline!$P$4:$AN$4,0))="x")*(Timeline!$K$5:$K$305="Task")*ISNUMBER(Timeline!$I$5:$I$305)*ISNUMBER(Timeline!$J$5:$J$305)*(Timeline!$I$5:$I$305&lt;=D$4+6)*(Timeline!$J$5:$J$305&gt;=D$4+6)))</f>
        <v>0</v>
      </c>
      <c r="E12" s="67">
        <f>MAX(SUMPRODUCT((INDEX(Timeline!$P$5:$AN$305,0,MATCH($A12,Timeline!$P$4:$AN$4,0))="x")*(Timeline!$K$5:$K$305="Task")*ISNUMBER(Timeline!$I$5:$I$305)*ISNUMBER(Timeline!$J$5:$J$305)*(Timeline!$I$5:$I$305&lt;=E$4+0)*(Timeline!$J$5:$J$305&gt;=E$4+0)),SUMPRODUCT((INDEX(Timeline!$P$5:$AN$305,0,MATCH($A12,Timeline!$P$4:$AN$4,0))="x")*(Timeline!$K$5:$K$305="Task")*ISNUMBER(Timeline!$I$5:$I$305)*ISNUMBER(Timeline!$J$5:$J$305)*(Timeline!$I$5:$I$305&lt;=E$4+1)*(Timeline!$J$5:$J$305&gt;=E$4+1)),SUMPRODUCT((INDEX(Timeline!$P$5:$AN$305,0,MATCH($A12,Timeline!$P$4:$AN$4,0))="x")*(Timeline!$K$5:$K$305="Task")*ISNUMBER(Timeline!$I$5:$I$305)*ISNUMBER(Timeline!$J$5:$J$305)*(Timeline!$I$5:$I$305&lt;=E$4+2)*(Timeline!$J$5:$J$305&gt;=E$4+2)),SUMPRODUCT((INDEX(Timeline!$P$5:$AN$305,0,MATCH($A12,Timeline!$P$4:$AN$4,0))="x")*(Timeline!$K$5:$K$305="Task")*ISNUMBER(Timeline!$I$5:$I$305)*ISNUMBER(Timeline!$J$5:$J$305)*(Timeline!$I$5:$I$305&lt;=E$4+3)*(Timeline!$J$5:$J$305&gt;=E$4+3)),SUMPRODUCT((INDEX(Timeline!$P$5:$AN$305,0,MATCH($A12,Timeline!$P$4:$AN$4,0))="x")*(Timeline!$K$5:$K$305="Task")*ISNUMBER(Timeline!$I$5:$I$305)*ISNUMBER(Timeline!$J$5:$J$305)*(Timeline!$I$5:$I$305&lt;=E$4+4)*(Timeline!$J$5:$J$305&gt;=E$4+4)),SUMPRODUCT((INDEX(Timeline!$P$5:$AN$305,0,MATCH($A12,Timeline!$P$4:$AN$4,0))="x")*(Timeline!$K$5:$K$305="Task")*ISNUMBER(Timeline!$I$5:$I$305)*ISNUMBER(Timeline!$J$5:$J$305)*(Timeline!$I$5:$I$305&lt;=E$4+5)*(Timeline!$J$5:$J$305&gt;=E$4+5)),SUMPRODUCT((INDEX(Timeline!$P$5:$AN$305,0,MATCH($A12,Timeline!$P$4:$AN$4,0))="x")*(Timeline!$K$5:$K$305="Task")*ISNUMBER(Timeline!$I$5:$I$305)*ISNUMBER(Timeline!$J$5:$J$305)*(Timeline!$I$5:$I$305&lt;=E$4+6)*(Timeline!$J$5:$J$305&gt;=E$4+6)))</f>
        <v>0</v>
      </c>
      <c r="F12" s="67">
        <f>MAX(SUMPRODUCT((INDEX(Timeline!$P$5:$AN$305,0,MATCH($A12,Timeline!$P$4:$AN$4,0))="x")*(Timeline!$K$5:$K$305="Task")*ISNUMBER(Timeline!$I$5:$I$305)*ISNUMBER(Timeline!$J$5:$J$305)*(Timeline!$I$5:$I$305&lt;=F$4+0)*(Timeline!$J$5:$J$305&gt;=F$4+0)),SUMPRODUCT((INDEX(Timeline!$P$5:$AN$305,0,MATCH($A12,Timeline!$P$4:$AN$4,0))="x")*(Timeline!$K$5:$K$305="Task")*ISNUMBER(Timeline!$I$5:$I$305)*ISNUMBER(Timeline!$J$5:$J$305)*(Timeline!$I$5:$I$305&lt;=F$4+1)*(Timeline!$J$5:$J$305&gt;=F$4+1)),SUMPRODUCT((INDEX(Timeline!$P$5:$AN$305,0,MATCH($A12,Timeline!$P$4:$AN$4,0))="x")*(Timeline!$K$5:$K$305="Task")*ISNUMBER(Timeline!$I$5:$I$305)*ISNUMBER(Timeline!$J$5:$J$305)*(Timeline!$I$5:$I$305&lt;=F$4+2)*(Timeline!$J$5:$J$305&gt;=F$4+2)),SUMPRODUCT((INDEX(Timeline!$P$5:$AN$305,0,MATCH($A12,Timeline!$P$4:$AN$4,0))="x")*(Timeline!$K$5:$K$305="Task")*ISNUMBER(Timeline!$I$5:$I$305)*ISNUMBER(Timeline!$J$5:$J$305)*(Timeline!$I$5:$I$305&lt;=F$4+3)*(Timeline!$J$5:$J$305&gt;=F$4+3)),SUMPRODUCT((INDEX(Timeline!$P$5:$AN$305,0,MATCH($A12,Timeline!$P$4:$AN$4,0))="x")*(Timeline!$K$5:$K$305="Task")*ISNUMBER(Timeline!$I$5:$I$305)*ISNUMBER(Timeline!$J$5:$J$305)*(Timeline!$I$5:$I$305&lt;=F$4+4)*(Timeline!$J$5:$J$305&gt;=F$4+4)),SUMPRODUCT((INDEX(Timeline!$P$5:$AN$305,0,MATCH($A12,Timeline!$P$4:$AN$4,0))="x")*(Timeline!$K$5:$K$305="Task")*ISNUMBER(Timeline!$I$5:$I$305)*ISNUMBER(Timeline!$J$5:$J$305)*(Timeline!$I$5:$I$305&lt;=F$4+5)*(Timeline!$J$5:$J$305&gt;=F$4+5)),SUMPRODUCT((INDEX(Timeline!$P$5:$AN$305,0,MATCH($A12,Timeline!$P$4:$AN$4,0))="x")*(Timeline!$K$5:$K$305="Task")*ISNUMBER(Timeline!$I$5:$I$305)*ISNUMBER(Timeline!$J$5:$J$305)*(Timeline!$I$5:$I$305&lt;=F$4+6)*(Timeline!$J$5:$J$305&gt;=F$4+6)))</f>
        <v>1</v>
      </c>
      <c r="G12" s="67">
        <f>MAX(SUMPRODUCT((INDEX(Timeline!$P$5:$AN$305,0,MATCH($A12,Timeline!$P$4:$AN$4,0))="x")*(Timeline!$K$5:$K$305="Task")*ISNUMBER(Timeline!$I$5:$I$305)*ISNUMBER(Timeline!$J$5:$J$305)*(Timeline!$I$5:$I$305&lt;=G$4+0)*(Timeline!$J$5:$J$305&gt;=G$4+0)),SUMPRODUCT((INDEX(Timeline!$P$5:$AN$305,0,MATCH($A12,Timeline!$P$4:$AN$4,0))="x")*(Timeline!$K$5:$K$305="Task")*ISNUMBER(Timeline!$I$5:$I$305)*ISNUMBER(Timeline!$J$5:$J$305)*(Timeline!$I$5:$I$305&lt;=G$4+1)*(Timeline!$J$5:$J$305&gt;=G$4+1)),SUMPRODUCT((INDEX(Timeline!$P$5:$AN$305,0,MATCH($A12,Timeline!$P$4:$AN$4,0))="x")*(Timeline!$K$5:$K$305="Task")*ISNUMBER(Timeline!$I$5:$I$305)*ISNUMBER(Timeline!$J$5:$J$305)*(Timeline!$I$5:$I$305&lt;=G$4+2)*(Timeline!$J$5:$J$305&gt;=G$4+2)),SUMPRODUCT((INDEX(Timeline!$P$5:$AN$305,0,MATCH($A12,Timeline!$P$4:$AN$4,0))="x")*(Timeline!$K$5:$K$305="Task")*ISNUMBER(Timeline!$I$5:$I$305)*ISNUMBER(Timeline!$J$5:$J$305)*(Timeline!$I$5:$I$305&lt;=G$4+3)*(Timeline!$J$5:$J$305&gt;=G$4+3)),SUMPRODUCT((INDEX(Timeline!$P$5:$AN$305,0,MATCH($A12,Timeline!$P$4:$AN$4,0))="x")*(Timeline!$K$5:$K$305="Task")*ISNUMBER(Timeline!$I$5:$I$305)*ISNUMBER(Timeline!$J$5:$J$305)*(Timeline!$I$5:$I$305&lt;=G$4+4)*(Timeline!$J$5:$J$305&gt;=G$4+4)),SUMPRODUCT((INDEX(Timeline!$P$5:$AN$305,0,MATCH($A12,Timeline!$P$4:$AN$4,0))="x")*(Timeline!$K$5:$K$305="Task")*ISNUMBER(Timeline!$I$5:$I$305)*ISNUMBER(Timeline!$J$5:$J$305)*(Timeline!$I$5:$I$305&lt;=G$4+5)*(Timeline!$J$5:$J$305&gt;=G$4+5)),SUMPRODUCT((INDEX(Timeline!$P$5:$AN$305,0,MATCH($A12,Timeline!$P$4:$AN$4,0))="x")*(Timeline!$K$5:$K$305="Task")*ISNUMBER(Timeline!$I$5:$I$305)*ISNUMBER(Timeline!$J$5:$J$305)*(Timeline!$I$5:$I$305&lt;=G$4+6)*(Timeline!$J$5:$J$305&gt;=G$4+6)))</f>
        <v>4</v>
      </c>
      <c r="H12" s="67">
        <f>MAX(SUMPRODUCT((INDEX(Timeline!$P$5:$AN$305,0,MATCH($A12,Timeline!$P$4:$AN$4,0))="x")*(Timeline!$K$5:$K$305="Task")*ISNUMBER(Timeline!$I$5:$I$305)*ISNUMBER(Timeline!$J$5:$J$305)*(Timeline!$I$5:$I$305&lt;=H$4+0)*(Timeline!$J$5:$J$305&gt;=H$4+0)),SUMPRODUCT((INDEX(Timeline!$P$5:$AN$305,0,MATCH($A12,Timeline!$P$4:$AN$4,0))="x")*(Timeline!$K$5:$K$305="Task")*ISNUMBER(Timeline!$I$5:$I$305)*ISNUMBER(Timeline!$J$5:$J$305)*(Timeline!$I$5:$I$305&lt;=H$4+1)*(Timeline!$J$5:$J$305&gt;=H$4+1)),SUMPRODUCT((INDEX(Timeline!$P$5:$AN$305,0,MATCH($A12,Timeline!$P$4:$AN$4,0))="x")*(Timeline!$K$5:$K$305="Task")*ISNUMBER(Timeline!$I$5:$I$305)*ISNUMBER(Timeline!$J$5:$J$305)*(Timeline!$I$5:$I$305&lt;=H$4+2)*(Timeline!$J$5:$J$305&gt;=H$4+2)),SUMPRODUCT((INDEX(Timeline!$P$5:$AN$305,0,MATCH($A12,Timeline!$P$4:$AN$4,0))="x")*(Timeline!$K$5:$K$305="Task")*ISNUMBER(Timeline!$I$5:$I$305)*ISNUMBER(Timeline!$J$5:$J$305)*(Timeline!$I$5:$I$305&lt;=H$4+3)*(Timeline!$J$5:$J$305&gt;=H$4+3)),SUMPRODUCT((INDEX(Timeline!$P$5:$AN$305,0,MATCH($A12,Timeline!$P$4:$AN$4,0))="x")*(Timeline!$K$5:$K$305="Task")*ISNUMBER(Timeline!$I$5:$I$305)*ISNUMBER(Timeline!$J$5:$J$305)*(Timeline!$I$5:$I$305&lt;=H$4+4)*(Timeline!$J$5:$J$305&gt;=H$4+4)),SUMPRODUCT((INDEX(Timeline!$P$5:$AN$305,0,MATCH($A12,Timeline!$P$4:$AN$4,0))="x")*(Timeline!$K$5:$K$305="Task")*ISNUMBER(Timeline!$I$5:$I$305)*ISNUMBER(Timeline!$J$5:$J$305)*(Timeline!$I$5:$I$305&lt;=H$4+5)*(Timeline!$J$5:$J$305&gt;=H$4+5)),SUMPRODUCT((INDEX(Timeline!$P$5:$AN$305,0,MATCH($A12,Timeline!$P$4:$AN$4,0))="x")*(Timeline!$K$5:$K$305="Task")*ISNUMBER(Timeline!$I$5:$I$305)*ISNUMBER(Timeline!$J$5:$J$305)*(Timeline!$I$5:$I$305&lt;=H$4+6)*(Timeline!$J$5:$J$305&gt;=H$4+6)))</f>
        <v>5</v>
      </c>
      <c r="I12" s="67">
        <f>MAX(SUMPRODUCT((INDEX(Timeline!$P$5:$AN$305,0,MATCH($A12,Timeline!$P$4:$AN$4,0))="x")*(Timeline!$K$5:$K$305="Task")*ISNUMBER(Timeline!$I$5:$I$305)*ISNUMBER(Timeline!$J$5:$J$305)*(Timeline!$I$5:$I$305&lt;=I$4+0)*(Timeline!$J$5:$J$305&gt;=I$4+0)),SUMPRODUCT((INDEX(Timeline!$P$5:$AN$305,0,MATCH($A12,Timeline!$P$4:$AN$4,0))="x")*(Timeline!$K$5:$K$305="Task")*ISNUMBER(Timeline!$I$5:$I$305)*ISNUMBER(Timeline!$J$5:$J$305)*(Timeline!$I$5:$I$305&lt;=I$4+1)*(Timeline!$J$5:$J$305&gt;=I$4+1)),SUMPRODUCT((INDEX(Timeline!$P$5:$AN$305,0,MATCH($A12,Timeline!$P$4:$AN$4,0))="x")*(Timeline!$K$5:$K$305="Task")*ISNUMBER(Timeline!$I$5:$I$305)*ISNUMBER(Timeline!$J$5:$J$305)*(Timeline!$I$5:$I$305&lt;=I$4+2)*(Timeline!$J$5:$J$305&gt;=I$4+2)),SUMPRODUCT((INDEX(Timeline!$P$5:$AN$305,0,MATCH($A12,Timeline!$P$4:$AN$4,0))="x")*(Timeline!$K$5:$K$305="Task")*ISNUMBER(Timeline!$I$5:$I$305)*ISNUMBER(Timeline!$J$5:$J$305)*(Timeline!$I$5:$I$305&lt;=I$4+3)*(Timeline!$J$5:$J$305&gt;=I$4+3)),SUMPRODUCT((INDEX(Timeline!$P$5:$AN$305,0,MATCH($A12,Timeline!$P$4:$AN$4,0))="x")*(Timeline!$K$5:$K$305="Task")*ISNUMBER(Timeline!$I$5:$I$305)*ISNUMBER(Timeline!$J$5:$J$305)*(Timeline!$I$5:$I$305&lt;=I$4+4)*(Timeline!$J$5:$J$305&gt;=I$4+4)),SUMPRODUCT((INDEX(Timeline!$P$5:$AN$305,0,MATCH($A12,Timeline!$P$4:$AN$4,0))="x")*(Timeline!$K$5:$K$305="Task")*ISNUMBER(Timeline!$I$5:$I$305)*ISNUMBER(Timeline!$J$5:$J$305)*(Timeline!$I$5:$I$305&lt;=I$4+5)*(Timeline!$J$5:$J$305&gt;=I$4+5)),SUMPRODUCT((INDEX(Timeline!$P$5:$AN$305,0,MATCH($A12,Timeline!$P$4:$AN$4,0))="x")*(Timeline!$K$5:$K$305="Task")*ISNUMBER(Timeline!$I$5:$I$305)*ISNUMBER(Timeline!$J$5:$J$305)*(Timeline!$I$5:$I$305&lt;=I$4+6)*(Timeline!$J$5:$J$305&gt;=I$4+6)))</f>
        <v>5</v>
      </c>
      <c r="J12" s="67">
        <f>MAX(SUMPRODUCT((INDEX(Timeline!$P$5:$AN$305,0,MATCH($A12,Timeline!$P$4:$AN$4,0))="x")*(Timeline!$K$5:$K$305="Task")*ISNUMBER(Timeline!$I$5:$I$305)*ISNUMBER(Timeline!$J$5:$J$305)*(Timeline!$I$5:$I$305&lt;=J$4+0)*(Timeline!$J$5:$J$305&gt;=J$4+0)),SUMPRODUCT((INDEX(Timeline!$P$5:$AN$305,0,MATCH($A12,Timeline!$P$4:$AN$4,0))="x")*(Timeline!$K$5:$K$305="Task")*ISNUMBER(Timeline!$I$5:$I$305)*ISNUMBER(Timeline!$J$5:$J$305)*(Timeline!$I$5:$I$305&lt;=J$4+1)*(Timeline!$J$5:$J$305&gt;=J$4+1)),SUMPRODUCT((INDEX(Timeline!$P$5:$AN$305,0,MATCH($A12,Timeline!$P$4:$AN$4,0))="x")*(Timeline!$K$5:$K$305="Task")*ISNUMBER(Timeline!$I$5:$I$305)*ISNUMBER(Timeline!$J$5:$J$305)*(Timeline!$I$5:$I$305&lt;=J$4+2)*(Timeline!$J$5:$J$305&gt;=J$4+2)),SUMPRODUCT((INDEX(Timeline!$P$5:$AN$305,0,MATCH($A12,Timeline!$P$4:$AN$4,0))="x")*(Timeline!$K$5:$K$305="Task")*ISNUMBER(Timeline!$I$5:$I$305)*ISNUMBER(Timeline!$J$5:$J$305)*(Timeline!$I$5:$I$305&lt;=J$4+3)*(Timeline!$J$5:$J$305&gt;=J$4+3)),SUMPRODUCT((INDEX(Timeline!$P$5:$AN$305,0,MATCH($A12,Timeline!$P$4:$AN$4,0))="x")*(Timeline!$K$5:$K$305="Task")*ISNUMBER(Timeline!$I$5:$I$305)*ISNUMBER(Timeline!$J$5:$J$305)*(Timeline!$I$5:$I$305&lt;=J$4+4)*(Timeline!$J$5:$J$305&gt;=J$4+4)),SUMPRODUCT((INDEX(Timeline!$P$5:$AN$305,0,MATCH($A12,Timeline!$P$4:$AN$4,0))="x")*(Timeline!$K$5:$K$305="Task")*ISNUMBER(Timeline!$I$5:$I$305)*ISNUMBER(Timeline!$J$5:$J$305)*(Timeline!$I$5:$I$305&lt;=J$4+5)*(Timeline!$J$5:$J$305&gt;=J$4+5)),SUMPRODUCT((INDEX(Timeline!$P$5:$AN$305,0,MATCH($A12,Timeline!$P$4:$AN$4,0))="x")*(Timeline!$K$5:$K$305="Task")*ISNUMBER(Timeline!$I$5:$I$305)*ISNUMBER(Timeline!$J$5:$J$305)*(Timeline!$I$5:$I$305&lt;=J$4+6)*(Timeline!$J$5:$J$305&gt;=J$4+6)))</f>
        <v>5</v>
      </c>
      <c r="K12" s="67">
        <f>MAX(SUMPRODUCT((INDEX(Timeline!$P$5:$AN$305,0,MATCH($A12,Timeline!$P$4:$AN$4,0))="x")*(Timeline!$K$5:$K$305="Task")*ISNUMBER(Timeline!$I$5:$I$305)*ISNUMBER(Timeline!$J$5:$J$305)*(Timeline!$I$5:$I$305&lt;=K$4+0)*(Timeline!$J$5:$J$305&gt;=K$4+0)),SUMPRODUCT((INDEX(Timeline!$P$5:$AN$305,0,MATCH($A12,Timeline!$P$4:$AN$4,0))="x")*(Timeline!$K$5:$K$305="Task")*ISNUMBER(Timeline!$I$5:$I$305)*ISNUMBER(Timeline!$J$5:$J$305)*(Timeline!$I$5:$I$305&lt;=K$4+1)*(Timeline!$J$5:$J$305&gt;=K$4+1)),SUMPRODUCT((INDEX(Timeline!$P$5:$AN$305,0,MATCH($A12,Timeline!$P$4:$AN$4,0))="x")*(Timeline!$K$5:$K$305="Task")*ISNUMBER(Timeline!$I$5:$I$305)*ISNUMBER(Timeline!$J$5:$J$305)*(Timeline!$I$5:$I$305&lt;=K$4+2)*(Timeline!$J$5:$J$305&gt;=K$4+2)),SUMPRODUCT((INDEX(Timeline!$P$5:$AN$305,0,MATCH($A12,Timeline!$P$4:$AN$4,0))="x")*(Timeline!$K$5:$K$305="Task")*ISNUMBER(Timeline!$I$5:$I$305)*ISNUMBER(Timeline!$J$5:$J$305)*(Timeline!$I$5:$I$305&lt;=K$4+3)*(Timeline!$J$5:$J$305&gt;=K$4+3)),SUMPRODUCT((INDEX(Timeline!$P$5:$AN$305,0,MATCH($A12,Timeline!$P$4:$AN$4,0))="x")*(Timeline!$K$5:$K$305="Task")*ISNUMBER(Timeline!$I$5:$I$305)*ISNUMBER(Timeline!$J$5:$J$305)*(Timeline!$I$5:$I$305&lt;=K$4+4)*(Timeline!$J$5:$J$305&gt;=K$4+4)),SUMPRODUCT((INDEX(Timeline!$P$5:$AN$305,0,MATCH($A12,Timeline!$P$4:$AN$4,0))="x")*(Timeline!$K$5:$K$305="Task")*ISNUMBER(Timeline!$I$5:$I$305)*ISNUMBER(Timeline!$J$5:$J$305)*(Timeline!$I$5:$I$305&lt;=K$4+5)*(Timeline!$J$5:$J$305&gt;=K$4+5)),SUMPRODUCT((INDEX(Timeline!$P$5:$AN$305,0,MATCH($A12,Timeline!$P$4:$AN$4,0))="x")*(Timeline!$K$5:$K$305="Task")*ISNUMBER(Timeline!$I$5:$I$305)*ISNUMBER(Timeline!$J$5:$J$305)*(Timeline!$I$5:$I$305&lt;=K$4+6)*(Timeline!$J$5:$J$305&gt;=K$4+6)))</f>
        <v>6</v>
      </c>
      <c r="L12" s="67">
        <f>MAX(SUMPRODUCT((INDEX(Timeline!$P$5:$AN$305,0,MATCH($A12,Timeline!$P$4:$AN$4,0))="x")*(Timeline!$K$5:$K$305="Task")*ISNUMBER(Timeline!$I$5:$I$305)*ISNUMBER(Timeline!$J$5:$J$305)*(Timeline!$I$5:$I$305&lt;=L$4+0)*(Timeline!$J$5:$J$305&gt;=L$4+0)),SUMPRODUCT((INDEX(Timeline!$P$5:$AN$305,0,MATCH($A12,Timeline!$P$4:$AN$4,0))="x")*(Timeline!$K$5:$K$305="Task")*ISNUMBER(Timeline!$I$5:$I$305)*ISNUMBER(Timeline!$J$5:$J$305)*(Timeline!$I$5:$I$305&lt;=L$4+1)*(Timeline!$J$5:$J$305&gt;=L$4+1)),SUMPRODUCT((INDEX(Timeline!$P$5:$AN$305,0,MATCH($A12,Timeline!$P$4:$AN$4,0))="x")*(Timeline!$K$5:$K$305="Task")*ISNUMBER(Timeline!$I$5:$I$305)*ISNUMBER(Timeline!$J$5:$J$305)*(Timeline!$I$5:$I$305&lt;=L$4+2)*(Timeline!$J$5:$J$305&gt;=L$4+2)),SUMPRODUCT((INDEX(Timeline!$P$5:$AN$305,0,MATCH($A12,Timeline!$P$4:$AN$4,0))="x")*(Timeline!$K$5:$K$305="Task")*ISNUMBER(Timeline!$I$5:$I$305)*ISNUMBER(Timeline!$J$5:$J$305)*(Timeline!$I$5:$I$305&lt;=L$4+3)*(Timeline!$J$5:$J$305&gt;=L$4+3)),SUMPRODUCT((INDEX(Timeline!$P$5:$AN$305,0,MATCH($A12,Timeline!$P$4:$AN$4,0))="x")*(Timeline!$K$5:$K$305="Task")*ISNUMBER(Timeline!$I$5:$I$305)*ISNUMBER(Timeline!$J$5:$J$305)*(Timeline!$I$5:$I$305&lt;=L$4+4)*(Timeline!$J$5:$J$305&gt;=L$4+4)),SUMPRODUCT((INDEX(Timeline!$P$5:$AN$305,0,MATCH($A12,Timeline!$P$4:$AN$4,0))="x")*(Timeline!$K$5:$K$305="Task")*ISNUMBER(Timeline!$I$5:$I$305)*ISNUMBER(Timeline!$J$5:$J$305)*(Timeline!$I$5:$I$305&lt;=L$4+5)*(Timeline!$J$5:$J$305&gt;=L$4+5)),SUMPRODUCT((INDEX(Timeline!$P$5:$AN$305,0,MATCH($A12,Timeline!$P$4:$AN$4,0))="x")*(Timeline!$K$5:$K$305="Task")*ISNUMBER(Timeline!$I$5:$I$305)*ISNUMBER(Timeline!$J$5:$J$305)*(Timeline!$I$5:$I$305&lt;=L$4+6)*(Timeline!$J$5:$J$305&gt;=L$4+6)))</f>
        <v>10</v>
      </c>
      <c r="M12" s="67">
        <f>MAX(SUMPRODUCT((INDEX(Timeline!$P$5:$AN$305,0,MATCH($A12,Timeline!$P$4:$AN$4,0))="x")*(Timeline!$K$5:$K$305="Task")*ISNUMBER(Timeline!$I$5:$I$305)*ISNUMBER(Timeline!$J$5:$J$305)*(Timeline!$I$5:$I$305&lt;=M$4+0)*(Timeline!$J$5:$J$305&gt;=M$4+0)),SUMPRODUCT((INDEX(Timeline!$P$5:$AN$305,0,MATCH($A12,Timeline!$P$4:$AN$4,0))="x")*(Timeline!$K$5:$K$305="Task")*ISNUMBER(Timeline!$I$5:$I$305)*ISNUMBER(Timeline!$J$5:$J$305)*(Timeline!$I$5:$I$305&lt;=M$4+1)*(Timeline!$J$5:$J$305&gt;=M$4+1)),SUMPRODUCT((INDEX(Timeline!$P$5:$AN$305,0,MATCH($A12,Timeline!$P$4:$AN$4,0))="x")*(Timeline!$K$5:$K$305="Task")*ISNUMBER(Timeline!$I$5:$I$305)*ISNUMBER(Timeline!$J$5:$J$305)*(Timeline!$I$5:$I$305&lt;=M$4+2)*(Timeline!$J$5:$J$305&gt;=M$4+2)),SUMPRODUCT((INDEX(Timeline!$P$5:$AN$305,0,MATCH($A12,Timeline!$P$4:$AN$4,0))="x")*(Timeline!$K$5:$K$305="Task")*ISNUMBER(Timeline!$I$5:$I$305)*ISNUMBER(Timeline!$J$5:$J$305)*(Timeline!$I$5:$I$305&lt;=M$4+3)*(Timeline!$J$5:$J$305&gt;=M$4+3)),SUMPRODUCT((INDEX(Timeline!$P$5:$AN$305,0,MATCH($A12,Timeline!$P$4:$AN$4,0))="x")*(Timeline!$K$5:$K$305="Task")*ISNUMBER(Timeline!$I$5:$I$305)*ISNUMBER(Timeline!$J$5:$J$305)*(Timeline!$I$5:$I$305&lt;=M$4+4)*(Timeline!$J$5:$J$305&gt;=M$4+4)),SUMPRODUCT((INDEX(Timeline!$P$5:$AN$305,0,MATCH($A12,Timeline!$P$4:$AN$4,0))="x")*(Timeline!$K$5:$K$305="Task")*ISNUMBER(Timeline!$I$5:$I$305)*ISNUMBER(Timeline!$J$5:$J$305)*(Timeline!$I$5:$I$305&lt;=M$4+5)*(Timeline!$J$5:$J$305&gt;=M$4+5)),SUMPRODUCT((INDEX(Timeline!$P$5:$AN$305,0,MATCH($A12,Timeline!$P$4:$AN$4,0))="x")*(Timeline!$K$5:$K$305="Task")*ISNUMBER(Timeline!$I$5:$I$305)*ISNUMBER(Timeline!$J$5:$J$305)*(Timeline!$I$5:$I$305&lt;=M$4+6)*(Timeline!$J$5:$J$305&gt;=M$4+6)))</f>
        <v>6</v>
      </c>
      <c r="N12" s="67">
        <f>MAX(SUMPRODUCT((INDEX(Timeline!$P$5:$AN$305,0,MATCH($A12,Timeline!$P$4:$AN$4,0))="x")*(Timeline!$K$5:$K$305="Task")*ISNUMBER(Timeline!$I$5:$I$305)*ISNUMBER(Timeline!$J$5:$J$305)*(Timeline!$I$5:$I$305&lt;=N$4+0)*(Timeline!$J$5:$J$305&gt;=N$4+0)),SUMPRODUCT((INDEX(Timeline!$P$5:$AN$305,0,MATCH($A12,Timeline!$P$4:$AN$4,0))="x")*(Timeline!$K$5:$K$305="Task")*ISNUMBER(Timeline!$I$5:$I$305)*ISNUMBER(Timeline!$J$5:$J$305)*(Timeline!$I$5:$I$305&lt;=N$4+1)*(Timeline!$J$5:$J$305&gt;=N$4+1)),SUMPRODUCT((INDEX(Timeline!$P$5:$AN$305,0,MATCH($A12,Timeline!$P$4:$AN$4,0))="x")*(Timeline!$K$5:$K$305="Task")*ISNUMBER(Timeline!$I$5:$I$305)*ISNUMBER(Timeline!$J$5:$J$305)*(Timeline!$I$5:$I$305&lt;=N$4+2)*(Timeline!$J$5:$J$305&gt;=N$4+2)),SUMPRODUCT((INDEX(Timeline!$P$5:$AN$305,0,MATCH($A12,Timeline!$P$4:$AN$4,0))="x")*(Timeline!$K$5:$K$305="Task")*ISNUMBER(Timeline!$I$5:$I$305)*ISNUMBER(Timeline!$J$5:$J$305)*(Timeline!$I$5:$I$305&lt;=N$4+3)*(Timeline!$J$5:$J$305&gt;=N$4+3)),SUMPRODUCT((INDEX(Timeline!$P$5:$AN$305,0,MATCH($A12,Timeline!$P$4:$AN$4,0))="x")*(Timeline!$K$5:$K$305="Task")*ISNUMBER(Timeline!$I$5:$I$305)*ISNUMBER(Timeline!$J$5:$J$305)*(Timeline!$I$5:$I$305&lt;=N$4+4)*(Timeline!$J$5:$J$305&gt;=N$4+4)),SUMPRODUCT((INDEX(Timeline!$P$5:$AN$305,0,MATCH($A12,Timeline!$P$4:$AN$4,0))="x")*(Timeline!$K$5:$K$305="Task")*ISNUMBER(Timeline!$I$5:$I$305)*ISNUMBER(Timeline!$J$5:$J$305)*(Timeline!$I$5:$I$305&lt;=N$4+5)*(Timeline!$J$5:$J$305&gt;=N$4+5)),SUMPRODUCT((INDEX(Timeline!$P$5:$AN$305,0,MATCH($A12,Timeline!$P$4:$AN$4,0))="x")*(Timeline!$K$5:$K$305="Task")*ISNUMBER(Timeline!$I$5:$I$305)*ISNUMBER(Timeline!$J$5:$J$305)*(Timeline!$I$5:$I$305&lt;=N$4+6)*(Timeline!$J$5:$J$305&gt;=N$4+6)))</f>
        <v>5</v>
      </c>
      <c r="O12" s="67">
        <f>MAX(SUMPRODUCT((INDEX(Timeline!$P$5:$AN$305,0,MATCH($A12,Timeline!$P$4:$AN$4,0))="x")*(Timeline!$K$5:$K$305="Task")*ISNUMBER(Timeline!$I$5:$I$305)*ISNUMBER(Timeline!$J$5:$J$305)*(Timeline!$I$5:$I$305&lt;=O$4+0)*(Timeline!$J$5:$J$305&gt;=O$4+0)),SUMPRODUCT((INDEX(Timeline!$P$5:$AN$305,0,MATCH($A12,Timeline!$P$4:$AN$4,0))="x")*(Timeline!$K$5:$K$305="Task")*ISNUMBER(Timeline!$I$5:$I$305)*ISNUMBER(Timeline!$J$5:$J$305)*(Timeline!$I$5:$I$305&lt;=O$4+1)*(Timeline!$J$5:$J$305&gt;=O$4+1)),SUMPRODUCT((INDEX(Timeline!$P$5:$AN$305,0,MATCH($A12,Timeline!$P$4:$AN$4,0))="x")*(Timeline!$K$5:$K$305="Task")*ISNUMBER(Timeline!$I$5:$I$305)*ISNUMBER(Timeline!$J$5:$J$305)*(Timeline!$I$5:$I$305&lt;=O$4+2)*(Timeline!$J$5:$J$305&gt;=O$4+2)),SUMPRODUCT((INDEX(Timeline!$P$5:$AN$305,0,MATCH($A12,Timeline!$P$4:$AN$4,0))="x")*(Timeline!$K$5:$K$305="Task")*ISNUMBER(Timeline!$I$5:$I$305)*ISNUMBER(Timeline!$J$5:$J$305)*(Timeline!$I$5:$I$305&lt;=O$4+3)*(Timeline!$J$5:$J$305&gt;=O$4+3)),SUMPRODUCT((INDEX(Timeline!$P$5:$AN$305,0,MATCH($A12,Timeline!$P$4:$AN$4,0))="x")*(Timeline!$K$5:$K$305="Task")*ISNUMBER(Timeline!$I$5:$I$305)*ISNUMBER(Timeline!$J$5:$J$305)*(Timeline!$I$5:$I$305&lt;=O$4+4)*(Timeline!$J$5:$J$305&gt;=O$4+4)),SUMPRODUCT((INDEX(Timeline!$P$5:$AN$305,0,MATCH($A12,Timeline!$P$4:$AN$4,0))="x")*(Timeline!$K$5:$K$305="Task")*ISNUMBER(Timeline!$I$5:$I$305)*ISNUMBER(Timeline!$J$5:$J$305)*(Timeline!$I$5:$I$305&lt;=O$4+5)*(Timeline!$J$5:$J$305&gt;=O$4+5)),SUMPRODUCT((INDEX(Timeline!$P$5:$AN$305,0,MATCH($A12,Timeline!$P$4:$AN$4,0))="x")*(Timeline!$K$5:$K$305="Task")*ISNUMBER(Timeline!$I$5:$I$305)*ISNUMBER(Timeline!$J$5:$J$305)*(Timeline!$I$5:$I$305&lt;=O$4+6)*(Timeline!$J$5:$J$305&gt;=O$4+6)))</f>
        <v>6</v>
      </c>
      <c r="P12" s="67">
        <f>MAX(SUMPRODUCT((INDEX(Timeline!$P$5:$AN$305,0,MATCH($A12,Timeline!$P$4:$AN$4,0))="x")*(Timeline!$K$5:$K$305="Task")*ISNUMBER(Timeline!$I$5:$I$305)*ISNUMBER(Timeline!$J$5:$J$305)*(Timeline!$I$5:$I$305&lt;=P$4+0)*(Timeline!$J$5:$J$305&gt;=P$4+0)),SUMPRODUCT((INDEX(Timeline!$P$5:$AN$305,0,MATCH($A12,Timeline!$P$4:$AN$4,0))="x")*(Timeline!$K$5:$K$305="Task")*ISNUMBER(Timeline!$I$5:$I$305)*ISNUMBER(Timeline!$J$5:$J$305)*(Timeline!$I$5:$I$305&lt;=P$4+1)*(Timeline!$J$5:$J$305&gt;=P$4+1)),SUMPRODUCT((INDEX(Timeline!$P$5:$AN$305,0,MATCH($A12,Timeline!$P$4:$AN$4,0))="x")*(Timeline!$K$5:$K$305="Task")*ISNUMBER(Timeline!$I$5:$I$305)*ISNUMBER(Timeline!$J$5:$J$305)*(Timeline!$I$5:$I$305&lt;=P$4+2)*(Timeline!$J$5:$J$305&gt;=P$4+2)),SUMPRODUCT((INDEX(Timeline!$P$5:$AN$305,0,MATCH($A12,Timeline!$P$4:$AN$4,0))="x")*(Timeline!$K$5:$K$305="Task")*ISNUMBER(Timeline!$I$5:$I$305)*ISNUMBER(Timeline!$J$5:$J$305)*(Timeline!$I$5:$I$305&lt;=P$4+3)*(Timeline!$J$5:$J$305&gt;=P$4+3)),SUMPRODUCT((INDEX(Timeline!$P$5:$AN$305,0,MATCH($A12,Timeline!$P$4:$AN$4,0))="x")*(Timeline!$K$5:$K$305="Task")*ISNUMBER(Timeline!$I$5:$I$305)*ISNUMBER(Timeline!$J$5:$J$305)*(Timeline!$I$5:$I$305&lt;=P$4+4)*(Timeline!$J$5:$J$305&gt;=P$4+4)),SUMPRODUCT((INDEX(Timeline!$P$5:$AN$305,0,MATCH($A12,Timeline!$P$4:$AN$4,0))="x")*(Timeline!$K$5:$K$305="Task")*ISNUMBER(Timeline!$I$5:$I$305)*ISNUMBER(Timeline!$J$5:$J$305)*(Timeline!$I$5:$I$305&lt;=P$4+5)*(Timeline!$J$5:$J$305&gt;=P$4+5)),SUMPRODUCT((INDEX(Timeline!$P$5:$AN$305,0,MATCH($A12,Timeline!$P$4:$AN$4,0))="x")*(Timeline!$K$5:$K$305="Task")*ISNUMBER(Timeline!$I$5:$I$305)*ISNUMBER(Timeline!$J$5:$J$305)*(Timeline!$I$5:$I$305&lt;=P$4+6)*(Timeline!$J$5:$J$305&gt;=P$4+6)))</f>
        <v>6</v>
      </c>
      <c r="Q12" s="67">
        <f>MAX(SUMPRODUCT((INDEX(Timeline!$P$5:$AN$305,0,MATCH($A12,Timeline!$P$4:$AN$4,0))="x")*(Timeline!$K$5:$K$305="Task")*ISNUMBER(Timeline!$I$5:$I$305)*ISNUMBER(Timeline!$J$5:$J$305)*(Timeline!$I$5:$I$305&lt;=Q$4+0)*(Timeline!$J$5:$J$305&gt;=Q$4+0)),SUMPRODUCT((INDEX(Timeline!$P$5:$AN$305,0,MATCH($A12,Timeline!$P$4:$AN$4,0))="x")*(Timeline!$K$5:$K$305="Task")*ISNUMBER(Timeline!$I$5:$I$305)*ISNUMBER(Timeline!$J$5:$J$305)*(Timeline!$I$5:$I$305&lt;=Q$4+1)*(Timeline!$J$5:$J$305&gt;=Q$4+1)),SUMPRODUCT((INDEX(Timeline!$P$5:$AN$305,0,MATCH($A12,Timeline!$P$4:$AN$4,0))="x")*(Timeline!$K$5:$K$305="Task")*ISNUMBER(Timeline!$I$5:$I$305)*ISNUMBER(Timeline!$J$5:$J$305)*(Timeline!$I$5:$I$305&lt;=Q$4+2)*(Timeline!$J$5:$J$305&gt;=Q$4+2)),SUMPRODUCT((INDEX(Timeline!$P$5:$AN$305,0,MATCH($A12,Timeline!$P$4:$AN$4,0))="x")*(Timeline!$K$5:$K$305="Task")*ISNUMBER(Timeline!$I$5:$I$305)*ISNUMBER(Timeline!$J$5:$J$305)*(Timeline!$I$5:$I$305&lt;=Q$4+3)*(Timeline!$J$5:$J$305&gt;=Q$4+3)),SUMPRODUCT((INDEX(Timeline!$P$5:$AN$305,0,MATCH($A12,Timeline!$P$4:$AN$4,0))="x")*(Timeline!$K$5:$K$305="Task")*ISNUMBER(Timeline!$I$5:$I$305)*ISNUMBER(Timeline!$J$5:$J$305)*(Timeline!$I$5:$I$305&lt;=Q$4+4)*(Timeline!$J$5:$J$305&gt;=Q$4+4)),SUMPRODUCT((INDEX(Timeline!$P$5:$AN$305,0,MATCH($A12,Timeline!$P$4:$AN$4,0))="x")*(Timeline!$K$5:$K$305="Task")*ISNUMBER(Timeline!$I$5:$I$305)*ISNUMBER(Timeline!$J$5:$J$305)*(Timeline!$I$5:$I$305&lt;=Q$4+5)*(Timeline!$J$5:$J$305&gt;=Q$4+5)),SUMPRODUCT((INDEX(Timeline!$P$5:$AN$305,0,MATCH($A12,Timeline!$P$4:$AN$4,0))="x")*(Timeline!$K$5:$K$305="Task")*ISNUMBER(Timeline!$I$5:$I$305)*ISNUMBER(Timeline!$J$5:$J$305)*(Timeline!$I$5:$I$305&lt;=Q$4+6)*(Timeline!$J$5:$J$305&gt;=Q$4+6)))</f>
        <v>6</v>
      </c>
      <c r="R12" s="67">
        <f>MAX(SUMPRODUCT((INDEX(Timeline!$P$5:$AN$305,0,MATCH($A12,Timeline!$P$4:$AN$4,0))="x")*(Timeline!$K$5:$K$305="Task")*ISNUMBER(Timeline!$I$5:$I$305)*ISNUMBER(Timeline!$J$5:$J$305)*(Timeline!$I$5:$I$305&lt;=R$4+0)*(Timeline!$J$5:$J$305&gt;=R$4+0)),SUMPRODUCT((INDEX(Timeline!$P$5:$AN$305,0,MATCH($A12,Timeline!$P$4:$AN$4,0))="x")*(Timeline!$K$5:$K$305="Task")*ISNUMBER(Timeline!$I$5:$I$305)*ISNUMBER(Timeline!$J$5:$J$305)*(Timeline!$I$5:$I$305&lt;=R$4+1)*(Timeline!$J$5:$J$305&gt;=R$4+1)),SUMPRODUCT((INDEX(Timeline!$P$5:$AN$305,0,MATCH($A12,Timeline!$P$4:$AN$4,0))="x")*(Timeline!$K$5:$K$305="Task")*ISNUMBER(Timeline!$I$5:$I$305)*ISNUMBER(Timeline!$J$5:$J$305)*(Timeline!$I$5:$I$305&lt;=R$4+2)*(Timeline!$J$5:$J$305&gt;=R$4+2)),SUMPRODUCT((INDEX(Timeline!$P$5:$AN$305,0,MATCH($A12,Timeline!$P$4:$AN$4,0))="x")*(Timeline!$K$5:$K$305="Task")*ISNUMBER(Timeline!$I$5:$I$305)*ISNUMBER(Timeline!$J$5:$J$305)*(Timeline!$I$5:$I$305&lt;=R$4+3)*(Timeline!$J$5:$J$305&gt;=R$4+3)),SUMPRODUCT((INDEX(Timeline!$P$5:$AN$305,0,MATCH($A12,Timeline!$P$4:$AN$4,0))="x")*(Timeline!$K$5:$K$305="Task")*ISNUMBER(Timeline!$I$5:$I$305)*ISNUMBER(Timeline!$J$5:$J$305)*(Timeline!$I$5:$I$305&lt;=R$4+4)*(Timeline!$J$5:$J$305&gt;=R$4+4)),SUMPRODUCT((INDEX(Timeline!$P$5:$AN$305,0,MATCH($A12,Timeline!$P$4:$AN$4,0))="x")*(Timeline!$K$5:$K$305="Task")*ISNUMBER(Timeline!$I$5:$I$305)*ISNUMBER(Timeline!$J$5:$J$305)*(Timeline!$I$5:$I$305&lt;=R$4+5)*(Timeline!$J$5:$J$305&gt;=R$4+5)),SUMPRODUCT((INDEX(Timeline!$P$5:$AN$305,0,MATCH($A12,Timeline!$P$4:$AN$4,0))="x")*(Timeline!$K$5:$K$305="Task")*ISNUMBER(Timeline!$I$5:$I$305)*ISNUMBER(Timeline!$J$5:$J$305)*(Timeline!$I$5:$I$305&lt;=R$4+6)*(Timeline!$J$5:$J$305&gt;=R$4+6)))</f>
        <v>5</v>
      </c>
      <c r="S12" s="67">
        <f>MAX(SUMPRODUCT((INDEX(Timeline!$P$5:$AN$305,0,MATCH($A12,Timeline!$P$4:$AN$4,0))="x")*(Timeline!$K$5:$K$305="Task")*ISNUMBER(Timeline!$I$5:$I$305)*ISNUMBER(Timeline!$J$5:$J$305)*(Timeline!$I$5:$I$305&lt;=S$4+0)*(Timeline!$J$5:$J$305&gt;=S$4+0)),SUMPRODUCT((INDEX(Timeline!$P$5:$AN$305,0,MATCH($A12,Timeline!$P$4:$AN$4,0))="x")*(Timeline!$K$5:$K$305="Task")*ISNUMBER(Timeline!$I$5:$I$305)*ISNUMBER(Timeline!$J$5:$J$305)*(Timeline!$I$5:$I$305&lt;=S$4+1)*(Timeline!$J$5:$J$305&gt;=S$4+1)),SUMPRODUCT((INDEX(Timeline!$P$5:$AN$305,0,MATCH($A12,Timeline!$P$4:$AN$4,0))="x")*(Timeline!$K$5:$K$305="Task")*ISNUMBER(Timeline!$I$5:$I$305)*ISNUMBER(Timeline!$J$5:$J$305)*(Timeline!$I$5:$I$305&lt;=S$4+2)*(Timeline!$J$5:$J$305&gt;=S$4+2)),SUMPRODUCT((INDEX(Timeline!$P$5:$AN$305,0,MATCH($A12,Timeline!$P$4:$AN$4,0))="x")*(Timeline!$K$5:$K$305="Task")*ISNUMBER(Timeline!$I$5:$I$305)*ISNUMBER(Timeline!$J$5:$J$305)*(Timeline!$I$5:$I$305&lt;=S$4+3)*(Timeline!$J$5:$J$305&gt;=S$4+3)),SUMPRODUCT((INDEX(Timeline!$P$5:$AN$305,0,MATCH($A12,Timeline!$P$4:$AN$4,0))="x")*(Timeline!$K$5:$K$305="Task")*ISNUMBER(Timeline!$I$5:$I$305)*ISNUMBER(Timeline!$J$5:$J$305)*(Timeline!$I$5:$I$305&lt;=S$4+4)*(Timeline!$J$5:$J$305&gt;=S$4+4)),SUMPRODUCT((INDEX(Timeline!$P$5:$AN$305,0,MATCH($A12,Timeline!$P$4:$AN$4,0))="x")*(Timeline!$K$5:$K$305="Task")*ISNUMBER(Timeline!$I$5:$I$305)*ISNUMBER(Timeline!$J$5:$J$305)*(Timeline!$I$5:$I$305&lt;=S$4+5)*(Timeline!$J$5:$J$305&gt;=S$4+5)),SUMPRODUCT((INDEX(Timeline!$P$5:$AN$305,0,MATCH($A12,Timeline!$P$4:$AN$4,0))="x")*(Timeline!$K$5:$K$305="Task")*ISNUMBER(Timeline!$I$5:$I$305)*ISNUMBER(Timeline!$J$5:$J$305)*(Timeline!$I$5:$I$305&lt;=S$4+6)*(Timeline!$J$5:$J$305&gt;=S$4+6)))</f>
        <v>1</v>
      </c>
      <c r="T12" s="67">
        <f>MAX(SUMPRODUCT((INDEX(Timeline!$P$5:$AN$305,0,MATCH($A12,Timeline!$P$4:$AN$4,0))="x")*(Timeline!$K$5:$K$305="Task")*ISNUMBER(Timeline!$I$5:$I$305)*ISNUMBER(Timeline!$J$5:$J$305)*(Timeline!$I$5:$I$305&lt;=T$4+0)*(Timeline!$J$5:$J$305&gt;=T$4+0)),SUMPRODUCT((INDEX(Timeline!$P$5:$AN$305,0,MATCH($A12,Timeline!$P$4:$AN$4,0))="x")*(Timeline!$K$5:$K$305="Task")*ISNUMBER(Timeline!$I$5:$I$305)*ISNUMBER(Timeline!$J$5:$J$305)*(Timeline!$I$5:$I$305&lt;=T$4+1)*(Timeline!$J$5:$J$305&gt;=T$4+1)),SUMPRODUCT((INDEX(Timeline!$P$5:$AN$305,0,MATCH($A12,Timeline!$P$4:$AN$4,0))="x")*(Timeline!$K$5:$K$305="Task")*ISNUMBER(Timeline!$I$5:$I$305)*ISNUMBER(Timeline!$J$5:$J$305)*(Timeline!$I$5:$I$305&lt;=T$4+2)*(Timeline!$J$5:$J$305&gt;=T$4+2)),SUMPRODUCT((INDEX(Timeline!$P$5:$AN$305,0,MATCH($A12,Timeline!$P$4:$AN$4,0))="x")*(Timeline!$K$5:$K$305="Task")*ISNUMBER(Timeline!$I$5:$I$305)*ISNUMBER(Timeline!$J$5:$J$305)*(Timeline!$I$5:$I$305&lt;=T$4+3)*(Timeline!$J$5:$J$305&gt;=T$4+3)),SUMPRODUCT((INDEX(Timeline!$P$5:$AN$305,0,MATCH($A12,Timeline!$P$4:$AN$4,0))="x")*(Timeline!$K$5:$K$305="Task")*ISNUMBER(Timeline!$I$5:$I$305)*ISNUMBER(Timeline!$J$5:$J$305)*(Timeline!$I$5:$I$305&lt;=T$4+4)*(Timeline!$J$5:$J$305&gt;=T$4+4)),SUMPRODUCT((INDEX(Timeline!$P$5:$AN$305,0,MATCH($A12,Timeline!$P$4:$AN$4,0))="x")*(Timeline!$K$5:$K$305="Task")*ISNUMBER(Timeline!$I$5:$I$305)*ISNUMBER(Timeline!$J$5:$J$305)*(Timeline!$I$5:$I$305&lt;=T$4+5)*(Timeline!$J$5:$J$305&gt;=T$4+5)),SUMPRODUCT((INDEX(Timeline!$P$5:$AN$305,0,MATCH($A12,Timeline!$P$4:$AN$4,0))="x")*(Timeline!$K$5:$K$305="Task")*ISNUMBER(Timeline!$I$5:$I$305)*ISNUMBER(Timeline!$J$5:$J$305)*(Timeline!$I$5:$I$305&lt;=T$4+6)*(Timeline!$J$5:$J$305&gt;=T$4+6)))</f>
        <v>1</v>
      </c>
      <c r="U12" s="67">
        <f>MAX(SUMPRODUCT((INDEX(Timeline!$P$5:$AN$305,0,MATCH($A12,Timeline!$P$4:$AN$4,0))="x")*(Timeline!$K$5:$K$305="Task")*ISNUMBER(Timeline!$I$5:$I$305)*ISNUMBER(Timeline!$J$5:$J$305)*(Timeline!$I$5:$I$305&lt;=U$4+0)*(Timeline!$J$5:$J$305&gt;=U$4+0)),SUMPRODUCT((INDEX(Timeline!$P$5:$AN$305,0,MATCH($A12,Timeline!$P$4:$AN$4,0))="x")*(Timeline!$K$5:$K$305="Task")*ISNUMBER(Timeline!$I$5:$I$305)*ISNUMBER(Timeline!$J$5:$J$305)*(Timeline!$I$5:$I$305&lt;=U$4+1)*(Timeline!$J$5:$J$305&gt;=U$4+1)),SUMPRODUCT((INDEX(Timeline!$P$5:$AN$305,0,MATCH($A12,Timeline!$P$4:$AN$4,0))="x")*(Timeline!$K$5:$K$305="Task")*ISNUMBER(Timeline!$I$5:$I$305)*ISNUMBER(Timeline!$J$5:$J$305)*(Timeline!$I$5:$I$305&lt;=U$4+2)*(Timeline!$J$5:$J$305&gt;=U$4+2)),SUMPRODUCT((INDEX(Timeline!$P$5:$AN$305,0,MATCH($A12,Timeline!$P$4:$AN$4,0))="x")*(Timeline!$K$5:$K$305="Task")*ISNUMBER(Timeline!$I$5:$I$305)*ISNUMBER(Timeline!$J$5:$J$305)*(Timeline!$I$5:$I$305&lt;=U$4+3)*(Timeline!$J$5:$J$305&gt;=U$4+3)),SUMPRODUCT((INDEX(Timeline!$P$5:$AN$305,0,MATCH($A12,Timeline!$P$4:$AN$4,0))="x")*(Timeline!$K$5:$K$305="Task")*ISNUMBER(Timeline!$I$5:$I$305)*ISNUMBER(Timeline!$J$5:$J$305)*(Timeline!$I$5:$I$305&lt;=U$4+4)*(Timeline!$J$5:$J$305&gt;=U$4+4)),SUMPRODUCT((INDEX(Timeline!$P$5:$AN$305,0,MATCH($A12,Timeline!$P$4:$AN$4,0))="x")*(Timeline!$K$5:$K$305="Task")*ISNUMBER(Timeline!$I$5:$I$305)*ISNUMBER(Timeline!$J$5:$J$305)*(Timeline!$I$5:$I$305&lt;=U$4+5)*(Timeline!$J$5:$J$305&gt;=U$4+5)),SUMPRODUCT((INDEX(Timeline!$P$5:$AN$305,0,MATCH($A12,Timeline!$P$4:$AN$4,0))="x")*(Timeline!$K$5:$K$305="Task")*ISNUMBER(Timeline!$I$5:$I$305)*ISNUMBER(Timeline!$J$5:$J$305)*(Timeline!$I$5:$I$305&lt;=U$4+6)*(Timeline!$J$5:$J$305&gt;=U$4+6)))</f>
        <v>0</v>
      </c>
      <c r="V12" s="67">
        <f>MAX(SUMPRODUCT((INDEX(Timeline!$P$5:$AN$305,0,MATCH($A12,Timeline!$P$4:$AN$4,0))="x")*(Timeline!$K$5:$K$305="Task")*ISNUMBER(Timeline!$I$5:$I$305)*ISNUMBER(Timeline!$J$5:$J$305)*(Timeline!$I$5:$I$305&lt;=V$4+0)*(Timeline!$J$5:$J$305&gt;=V$4+0)),SUMPRODUCT((INDEX(Timeline!$P$5:$AN$305,0,MATCH($A12,Timeline!$P$4:$AN$4,0))="x")*(Timeline!$K$5:$K$305="Task")*ISNUMBER(Timeline!$I$5:$I$305)*ISNUMBER(Timeline!$J$5:$J$305)*(Timeline!$I$5:$I$305&lt;=V$4+1)*(Timeline!$J$5:$J$305&gt;=V$4+1)),SUMPRODUCT((INDEX(Timeline!$P$5:$AN$305,0,MATCH($A12,Timeline!$P$4:$AN$4,0))="x")*(Timeline!$K$5:$K$305="Task")*ISNUMBER(Timeline!$I$5:$I$305)*ISNUMBER(Timeline!$J$5:$J$305)*(Timeline!$I$5:$I$305&lt;=V$4+2)*(Timeline!$J$5:$J$305&gt;=V$4+2)),SUMPRODUCT((INDEX(Timeline!$P$5:$AN$305,0,MATCH($A12,Timeline!$P$4:$AN$4,0))="x")*(Timeline!$K$5:$K$305="Task")*ISNUMBER(Timeline!$I$5:$I$305)*ISNUMBER(Timeline!$J$5:$J$305)*(Timeline!$I$5:$I$305&lt;=V$4+3)*(Timeline!$J$5:$J$305&gt;=V$4+3)),SUMPRODUCT((INDEX(Timeline!$P$5:$AN$305,0,MATCH($A12,Timeline!$P$4:$AN$4,0))="x")*(Timeline!$K$5:$K$305="Task")*ISNUMBER(Timeline!$I$5:$I$305)*ISNUMBER(Timeline!$J$5:$J$305)*(Timeline!$I$5:$I$305&lt;=V$4+4)*(Timeline!$J$5:$J$305&gt;=V$4+4)),SUMPRODUCT((INDEX(Timeline!$P$5:$AN$305,0,MATCH($A12,Timeline!$P$4:$AN$4,0))="x")*(Timeline!$K$5:$K$305="Task")*ISNUMBER(Timeline!$I$5:$I$305)*ISNUMBER(Timeline!$J$5:$J$305)*(Timeline!$I$5:$I$305&lt;=V$4+5)*(Timeline!$J$5:$J$305&gt;=V$4+5)),SUMPRODUCT((INDEX(Timeline!$P$5:$AN$305,0,MATCH($A12,Timeline!$P$4:$AN$4,0))="x")*(Timeline!$K$5:$K$305="Task")*ISNUMBER(Timeline!$I$5:$I$305)*ISNUMBER(Timeline!$J$5:$J$305)*(Timeline!$I$5:$I$305&lt;=V$4+6)*(Timeline!$J$5:$J$305&gt;=V$4+6)))</f>
        <v>0</v>
      </c>
      <c r="W12" s="67">
        <f>MAX(SUMPRODUCT((INDEX(Timeline!$P$5:$AN$305,0,MATCH($A12,Timeline!$P$4:$AN$4,0))="x")*(Timeline!$K$5:$K$305="Task")*ISNUMBER(Timeline!$I$5:$I$305)*ISNUMBER(Timeline!$J$5:$J$305)*(Timeline!$I$5:$I$305&lt;=W$4+0)*(Timeline!$J$5:$J$305&gt;=W$4+0)),SUMPRODUCT((INDEX(Timeline!$P$5:$AN$305,0,MATCH($A12,Timeline!$P$4:$AN$4,0))="x")*(Timeline!$K$5:$K$305="Task")*ISNUMBER(Timeline!$I$5:$I$305)*ISNUMBER(Timeline!$J$5:$J$305)*(Timeline!$I$5:$I$305&lt;=W$4+1)*(Timeline!$J$5:$J$305&gt;=W$4+1)),SUMPRODUCT((INDEX(Timeline!$P$5:$AN$305,0,MATCH($A12,Timeline!$P$4:$AN$4,0))="x")*(Timeline!$K$5:$K$305="Task")*ISNUMBER(Timeline!$I$5:$I$305)*ISNUMBER(Timeline!$J$5:$J$305)*(Timeline!$I$5:$I$305&lt;=W$4+2)*(Timeline!$J$5:$J$305&gt;=W$4+2)),SUMPRODUCT((INDEX(Timeline!$P$5:$AN$305,0,MATCH($A12,Timeline!$P$4:$AN$4,0))="x")*(Timeline!$K$5:$K$305="Task")*ISNUMBER(Timeline!$I$5:$I$305)*ISNUMBER(Timeline!$J$5:$J$305)*(Timeline!$I$5:$I$305&lt;=W$4+3)*(Timeline!$J$5:$J$305&gt;=W$4+3)),SUMPRODUCT((INDEX(Timeline!$P$5:$AN$305,0,MATCH($A12,Timeline!$P$4:$AN$4,0))="x")*(Timeline!$K$5:$K$305="Task")*ISNUMBER(Timeline!$I$5:$I$305)*ISNUMBER(Timeline!$J$5:$J$305)*(Timeline!$I$5:$I$305&lt;=W$4+4)*(Timeline!$J$5:$J$305&gt;=W$4+4)),SUMPRODUCT((INDEX(Timeline!$P$5:$AN$305,0,MATCH($A12,Timeline!$P$4:$AN$4,0))="x")*(Timeline!$K$5:$K$305="Task")*ISNUMBER(Timeline!$I$5:$I$305)*ISNUMBER(Timeline!$J$5:$J$305)*(Timeline!$I$5:$I$305&lt;=W$4+5)*(Timeline!$J$5:$J$305&gt;=W$4+5)),SUMPRODUCT((INDEX(Timeline!$P$5:$AN$305,0,MATCH($A12,Timeline!$P$4:$AN$4,0))="x")*(Timeline!$K$5:$K$305="Task")*ISNUMBER(Timeline!$I$5:$I$305)*ISNUMBER(Timeline!$J$5:$J$305)*(Timeline!$I$5:$I$305&lt;=W$4+6)*(Timeline!$J$5:$J$305&gt;=W$4+6)))</f>
        <v>1</v>
      </c>
      <c r="X12" s="67">
        <f>MAX(SUMPRODUCT((INDEX(Timeline!$P$5:$AN$305,0,MATCH($A12,Timeline!$P$4:$AN$4,0))="x")*(Timeline!$K$5:$K$305="Task")*ISNUMBER(Timeline!$I$5:$I$305)*ISNUMBER(Timeline!$J$5:$J$305)*(Timeline!$I$5:$I$305&lt;=X$4+0)*(Timeline!$J$5:$J$305&gt;=X$4+0)),SUMPRODUCT((INDEX(Timeline!$P$5:$AN$305,0,MATCH($A12,Timeline!$P$4:$AN$4,0))="x")*(Timeline!$K$5:$K$305="Task")*ISNUMBER(Timeline!$I$5:$I$305)*ISNUMBER(Timeline!$J$5:$J$305)*(Timeline!$I$5:$I$305&lt;=X$4+1)*(Timeline!$J$5:$J$305&gt;=X$4+1)),SUMPRODUCT((INDEX(Timeline!$P$5:$AN$305,0,MATCH($A12,Timeline!$P$4:$AN$4,0))="x")*(Timeline!$K$5:$K$305="Task")*ISNUMBER(Timeline!$I$5:$I$305)*ISNUMBER(Timeline!$J$5:$J$305)*(Timeline!$I$5:$I$305&lt;=X$4+2)*(Timeline!$J$5:$J$305&gt;=X$4+2)),SUMPRODUCT((INDEX(Timeline!$P$5:$AN$305,0,MATCH($A12,Timeline!$P$4:$AN$4,0))="x")*(Timeline!$K$5:$K$305="Task")*ISNUMBER(Timeline!$I$5:$I$305)*ISNUMBER(Timeline!$J$5:$J$305)*(Timeline!$I$5:$I$305&lt;=X$4+3)*(Timeline!$J$5:$J$305&gt;=X$4+3)),SUMPRODUCT((INDEX(Timeline!$P$5:$AN$305,0,MATCH($A12,Timeline!$P$4:$AN$4,0))="x")*(Timeline!$K$5:$K$305="Task")*ISNUMBER(Timeline!$I$5:$I$305)*ISNUMBER(Timeline!$J$5:$J$305)*(Timeline!$I$5:$I$305&lt;=X$4+4)*(Timeline!$J$5:$J$305&gt;=X$4+4)),SUMPRODUCT((INDEX(Timeline!$P$5:$AN$305,0,MATCH($A12,Timeline!$P$4:$AN$4,0))="x")*(Timeline!$K$5:$K$305="Task")*ISNUMBER(Timeline!$I$5:$I$305)*ISNUMBER(Timeline!$J$5:$J$305)*(Timeline!$I$5:$I$305&lt;=X$4+5)*(Timeline!$J$5:$J$305&gt;=X$4+5)),SUMPRODUCT((INDEX(Timeline!$P$5:$AN$305,0,MATCH($A12,Timeline!$P$4:$AN$4,0))="x")*(Timeline!$K$5:$K$305="Task")*ISNUMBER(Timeline!$I$5:$I$305)*ISNUMBER(Timeline!$J$5:$J$305)*(Timeline!$I$5:$I$305&lt;=X$4+6)*(Timeline!$J$5:$J$305&gt;=X$4+6)))</f>
        <v>2</v>
      </c>
      <c r="Y12" s="67">
        <f>MAX(SUMPRODUCT((INDEX(Timeline!$P$5:$AN$305,0,MATCH($A12,Timeline!$P$4:$AN$4,0))="x")*(Timeline!$K$5:$K$305="Task")*ISNUMBER(Timeline!$I$5:$I$305)*ISNUMBER(Timeline!$J$5:$J$305)*(Timeline!$I$5:$I$305&lt;=Y$4+0)*(Timeline!$J$5:$J$305&gt;=Y$4+0)),SUMPRODUCT((INDEX(Timeline!$P$5:$AN$305,0,MATCH($A12,Timeline!$P$4:$AN$4,0))="x")*(Timeline!$K$5:$K$305="Task")*ISNUMBER(Timeline!$I$5:$I$305)*ISNUMBER(Timeline!$J$5:$J$305)*(Timeline!$I$5:$I$305&lt;=Y$4+1)*(Timeline!$J$5:$J$305&gt;=Y$4+1)),SUMPRODUCT((INDEX(Timeline!$P$5:$AN$305,0,MATCH($A12,Timeline!$P$4:$AN$4,0))="x")*(Timeline!$K$5:$K$305="Task")*ISNUMBER(Timeline!$I$5:$I$305)*ISNUMBER(Timeline!$J$5:$J$305)*(Timeline!$I$5:$I$305&lt;=Y$4+2)*(Timeline!$J$5:$J$305&gt;=Y$4+2)),SUMPRODUCT((INDEX(Timeline!$P$5:$AN$305,0,MATCH($A12,Timeline!$P$4:$AN$4,0))="x")*(Timeline!$K$5:$K$305="Task")*ISNUMBER(Timeline!$I$5:$I$305)*ISNUMBER(Timeline!$J$5:$J$305)*(Timeline!$I$5:$I$305&lt;=Y$4+3)*(Timeline!$J$5:$J$305&gt;=Y$4+3)),SUMPRODUCT((INDEX(Timeline!$P$5:$AN$305,0,MATCH($A12,Timeline!$P$4:$AN$4,0))="x")*(Timeline!$K$5:$K$305="Task")*ISNUMBER(Timeline!$I$5:$I$305)*ISNUMBER(Timeline!$J$5:$J$305)*(Timeline!$I$5:$I$305&lt;=Y$4+4)*(Timeline!$J$5:$J$305&gt;=Y$4+4)),SUMPRODUCT((INDEX(Timeline!$P$5:$AN$305,0,MATCH($A12,Timeline!$P$4:$AN$4,0))="x")*(Timeline!$K$5:$K$305="Task")*ISNUMBER(Timeline!$I$5:$I$305)*ISNUMBER(Timeline!$J$5:$J$305)*(Timeline!$I$5:$I$305&lt;=Y$4+5)*(Timeline!$J$5:$J$305&gt;=Y$4+5)),SUMPRODUCT((INDEX(Timeline!$P$5:$AN$305,0,MATCH($A12,Timeline!$P$4:$AN$4,0))="x")*(Timeline!$K$5:$K$305="Task")*ISNUMBER(Timeline!$I$5:$I$305)*ISNUMBER(Timeline!$J$5:$J$305)*(Timeline!$I$5:$I$305&lt;=Y$4+6)*(Timeline!$J$5:$J$305&gt;=Y$4+6)))</f>
        <v>1</v>
      </c>
      <c r="Z12" s="67">
        <f>MAX(SUMPRODUCT((INDEX(Timeline!$P$5:$AN$305,0,MATCH($A12,Timeline!$P$4:$AN$4,0))="x")*(Timeline!$K$5:$K$305="Task")*ISNUMBER(Timeline!$I$5:$I$305)*ISNUMBER(Timeline!$J$5:$J$305)*(Timeline!$I$5:$I$305&lt;=Z$4+0)*(Timeline!$J$5:$J$305&gt;=Z$4+0)),SUMPRODUCT((INDEX(Timeline!$P$5:$AN$305,0,MATCH($A12,Timeline!$P$4:$AN$4,0))="x")*(Timeline!$K$5:$K$305="Task")*ISNUMBER(Timeline!$I$5:$I$305)*ISNUMBER(Timeline!$J$5:$J$305)*(Timeline!$I$5:$I$305&lt;=Z$4+1)*(Timeline!$J$5:$J$305&gt;=Z$4+1)),SUMPRODUCT((INDEX(Timeline!$P$5:$AN$305,0,MATCH($A12,Timeline!$P$4:$AN$4,0))="x")*(Timeline!$K$5:$K$305="Task")*ISNUMBER(Timeline!$I$5:$I$305)*ISNUMBER(Timeline!$J$5:$J$305)*(Timeline!$I$5:$I$305&lt;=Z$4+2)*(Timeline!$J$5:$J$305&gt;=Z$4+2)),SUMPRODUCT((INDEX(Timeline!$P$5:$AN$305,0,MATCH($A12,Timeline!$P$4:$AN$4,0))="x")*(Timeline!$K$5:$K$305="Task")*ISNUMBER(Timeline!$I$5:$I$305)*ISNUMBER(Timeline!$J$5:$J$305)*(Timeline!$I$5:$I$305&lt;=Z$4+3)*(Timeline!$J$5:$J$305&gt;=Z$4+3)),SUMPRODUCT((INDEX(Timeline!$P$5:$AN$305,0,MATCH($A12,Timeline!$P$4:$AN$4,0))="x")*(Timeline!$K$5:$K$305="Task")*ISNUMBER(Timeline!$I$5:$I$305)*ISNUMBER(Timeline!$J$5:$J$305)*(Timeline!$I$5:$I$305&lt;=Z$4+4)*(Timeline!$J$5:$J$305&gt;=Z$4+4)),SUMPRODUCT((INDEX(Timeline!$P$5:$AN$305,0,MATCH($A12,Timeline!$P$4:$AN$4,0))="x")*(Timeline!$K$5:$K$305="Task")*ISNUMBER(Timeline!$I$5:$I$305)*ISNUMBER(Timeline!$J$5:$J$305)*(Timeline!$I$5:$I$305&lt;=Z$4+5)*(Timeline!$J$5:$J$305&gt;=Z$4+5)),SUMPRODUCT((INDEX(Timeline!$P$5:$AN$305,0,MATCH($A12,Timeline!$P$4:$AN$4,0))="x")*(Timeline!$K$5:$K$305="Task")*ISNUMBER(Timeline!$I$5:$I$305)*ISNUMBER(Timeline!$J$5:$J$305)*(Timeline!$I$5:$I$305&lt;=Z$4+6)*(Timeline!$J$5:$J$305&gt;=Z$4+6)))</f>
        <v>1</v>
      </c>
      <c r="AA12" s="67">
        <f>MAX(SUMPRODUCT((INDEX(Timeline!$P$5:$AN$305,0,MATCH($A12,Timeline!$P$4:$AN$4,0))="x")*(Timeline!$K$5:$K$305="Task")*ISNUMBER(Timeline!$I$5:$I$305)*ISNUMBER(Timeline!$J$5:$J$305)*(Timeline!$I$5:$I$305&lt;=AA$4+0)*(Timeline!$J$5:$J$305&gt;=AA$4+0)),SUMPRODUCT((INDEX(Timeline!$P$5:$AN$305,0,MATCH($A12,Timeline!$P$4:$AN$4,0))="x")*(Timeline!$K$5:$K$305="Task")*ISNUMBER(Timeline!$I$5:$I$305)*ISNUMBER(Timeline!$J$5:$J$305)*(Timeline!$I$5:$I$305&lt;=AA$4+1)*(Timeline!$J$5:$J$305&gt;=AA$4+1)),SUMPRODUCT((INDEX(Timeline!$P$5:$AN$305,0,MATCH($A12,Timeline!$P$4:$AN$4,0))="x")*(Timeline!$K$5:$K$305="Task")*ISNUMBER(Timeline!$I$5:$I$305)*ISNUMBER(Timeline!$J$5:$J$305)*(Timeline!$I$5:$I$305&lt;=AA$4+2)*(Timeline!$J$5:$J$305&gt;=AA$4+2)),SUMPRODUCT((INDEX(Timeline!$P$5:$AN$305,0,MATCH($A12,Timeline!$P$4:$AN$4,0))="x")*(Timeline!$K$5:$K$305="Task")*ISNUMBER(Timeline!$I$5:$I$305)*ISNUMBER(Timeline!$J$5:$J$305)*(Timeline!$I$5:$I$305&lt;=AA$4+3)*(Timeline!$J$5:$J$305&gt;=AA$4+3)),SUMPRODUCT((INDEX(Timeline!$P$5:$AN$305,0,MATCH($A12,Timeline!$P$4:$AN$4,0))="x")*(Timeline!$K$5:$K$305="Task")*ISNUMBER(Timeline!$I$5:$I$305)*ISNUMBER(Timeline!$J$5:$J$305)*(Timeline!$I$5:$I$305&lt;=AA$4+4)*(Timeline!$J$5:$J$305&gt;=AA$4+4)),SUMPRODUCT((INDEX(Timeline!$P$5:$AN$305,0,MATCH($A12,Timeline!$P$4:$AN$4,0))="x")*(Timeline!$K$5:$K$305="Task")*ISNUMBER(Timeline!$I$5:$I$305)*ISNUMBER(Timeline!$J$5:$J$305)*(Timeline!$I$5:$I$305&lt;=AA$4+5)*(Timeline!$J$5:$J$305&gt;=AA$4+5)),SUMPRODUCT((INDEX(Timeline!$P$5:$AN$305,0,MATCH($A12,Timeline!$P$4:$AN$4,0))="x")*(Timeline!$K$5:$K$305="Task")*ISNUMBER(Timeline!$I$5:$I$305)*ISNUMBER(Timeline!$J$5:$J$305)*(Timeline!$I$5:$I$305&lt;=AA$4+6)*(Timeline!$J$5:$J$305&gt;=AA$4+6)))</f>
        <v>1</v>
      </c>
      <c r="AB12" s="67">
        <f>MAX(SUMPRODUCT((INDEX(Timeline!$P$5:$AN$305,0,MATCH($A12,Timeline!$P$4:$AN$4,0))="x")*(Timeline!$K$5:$K$305="Task")*ISNUMBER(Timeline!$I$5:$I$305)*ISNUMBER(Timeline!$J$5:$J$305)*(Timeline!$I$5:$I$305&lt;=AB$4+0)*(Timeline!$J$5:$J$305&gt;=AB$4+0)),SUMPRODUCT((INDEX(Timeline!$P$5:$AN$305,0,MATCH($A12,Timeline!$P$4:$AN$4,0))="x")*(Timeline!$K$5:$K$305="Task")*ISNUMBER(Timeline!$I$5:$I$305)*ISNUMBER(Timeline!$J$5:$J$305)*(Timeline!$I$5:$I$305&lt;=AB$4+1)*(Timeline!$J$5:$J$305&gt;=AB$4+1)),SUMPRODUCT((INDEX(Timeline!$P$5:$AN$305,0,MATCH($A12,Timeline!$P$4:$AN$4,0))="x")*(Timeline!$K$5:$K$305="Task")*ISNUMBER(Timeline!$I$5:$I$305)*ISNUMBER(Timeline!$J$5:$J$305)*(Timeline!$I$5:$I$305&lt;=AB$4+2)*(Timeline!$J$5:$J$305&gt;=AB$4+2)),SUMPRODUCT((INDEX(Timeline!$P$5:$AN$305,0,MATCH($A12,Timeline!$P$4:$AN$4,0))="x")*(Timeline!$K$5:$K$305="Task")*ISNUMBER(Timeline!$I$5:$I$305)*ISNUMBER(Timeline!$J$5:$J$305)*(Timeline!$I$5:$I$305&lt;=AB$4+3)*(Timeline!$J$5:$J$305&gt;=AB$4+3)),SUMPRODUCT((INDEX(Timeline!$P$5:$AN$305,0,MATCH($A12,Timeline!$P$4:$AN$4,0))="x")*(Timeline!$K$5:$K$305="Task")*ISNUMBER(Timeline!$I$5:$I$305)*ISNUMBER(Timeline!$J$5:$J$305)*(Timeline!$I$5:$I$305&lt;=AB$4+4)*(Timeline!$J$5:$J$305&gt;=AB$4+4)),SUMPRODUCT((INDEX(Timeline!$P$5:$AN$305,0,MATCH($A12,Timeline!$P$4:$AN$4,0))="x")*(Timeline!$K$5:$K$305="Task")*ISNUMBER(Timeline!$I$5:$I$305)*ISNUMBER(Timeline!$J$5:$J$305)*(Timeline!$I$5:$I$305&lt;=AB$4+5)*(Timeline!$J$5:$J$305&gt;=AB$4+5)),SUMPRODUCT((INDEX(Timeline!$P$5:$AN$305,0,MATCH($A12,Timeline!$P$4:$AN$4,0))="x")*(Timeline!$K$5:$K$305="Task")*ISNUMBER(Timeline!$I$5:$I$305)*ISNUMBER(Timeline!$J$5:$J$305)*(Timeline!$I$5:$I$305&lt;=AB$4+6)*(Timeline!$J$5:$J$305&gt;=AB$4+6)))</f>
        <v>1</v>
      </c>
      <c r="AC12" s="67">
        <f>MAX(SUMPRODUCT((INDEX(Timeline!$P$5:$AN$305,0,MATCH($A12,Timeline!$P$4:$AN$4,0))="x")*(Timeline!$K$5:$K$305="Task")*ISNUMBER(Timeline!$I$5:$I$305)*ISNUMBER(Timeline!$J$5:$J$305)*(Timeline!$I$5:$I$305&lt;=AC$4+0)*(Timeline!$J$5:$J$305&gt;=AC$4+0)),SUMPRODUCT((INDEX(Timeline!$P$5:$AN$305,0,MATCH($A12,Timeline!$P$4:$AN$4,0))="x")*(Timeline!$K$5:$K$305="Task")*ISNUMBER(Timeline!$I$5:$I$305)*ISNUMBER(Timeline!$J$5:$J$305)*(Timeline!$I$5:$I$305&lt;=AC$4+1)*(Timeline!$J$5:$J$305&gt;=AC$4+1)),SUMPRODUCT((INDEX(Timeline!$P$5:$AN$305,0,MATCH($A12,Timeline!$P$4:$AN$4,0))="x")*(Timeline!$K$5:$K$305="Task")*ISNUMBER(Timeline!$I$5:$I$305)*ISNUMBER(Timeline!$J$5:$J$305)*(Timeline!$I$5:$I$305&lt;=AC$4+2)*(Timeline!$J$5:$J$305&gt;=AC$4+2)),SUMPRODUCT((INDEX(Timeline!$P$5:$AN$305,0,MATCH($A12,Timeline!$P$4:$AN$4,0))="x")*(Timeline!$K$5:$K$305="Task")*ISNUMBER(Timeline!$I$5:$I$305)*ISNUMBER(Timeline!$J$5:$J$305)*(Timeline!$I$5:$I$305&lt;=AC$4+3)*(Timeline!$J$5:$J$305&gt;=AC$4+3)),SUMPRODUCT((INDEX(Timeline!$P$5:$AN$305,0,MATCH($A12,Timeline!$P$4:$AN$4,0))="x")*(Timeline!$K$5:$K$305="Task")*ISNUMBER(Timeline!$I$5:$I$305)*ISNUMBER(Timeline!$J$5:$J$305)*(Timeline!$I$5:$I$305&lt;=AC$4+4)*(Timeline!$J$5:$J$305&gt;=AC$4+4)),SUMPRODUCT((INDEX(Timeline!$P$5:$AN$305,0,MATCH($A12,Timeline!$P$4:$AN$4,0))="x")*(Timeline!$K$5:$K$305="Task")*ISNUMBER(Timeline!$I$5:$I$305)*ISNUMBER(Timeline!$J$5:$J$305)*(Timeline!$I$5:$I$305&lt;=AC$4+5)*(Timeline!$J$5:$J$305&gt;=AC$4+5)),SUMPRODUCT((INDEX(Timeline!$P$5:$AN$305,0,MATCH($A12,Timeline!$P$4:$AN$4,0))="x")*(Timeline!$K$5:$K$305="Task")*ISNUMBER(Timeline!$I$5:$I$305)*ISNUMBER(Timeline!$J$5:$J$305)*(Timeline!$I$5:$I$305&lt;=AC$4+6)*(Timeline!$J$5:$J$305&gt;=AC$4+6)))</f>
        <v>1</v>
      </c>
      <c r="AD12" s="67">
        <f>MAX(SUMPRODUCT((INDEX(Timeline!$P$5:$AN$305,0,MATCH($A12,Timeline!$P$4:$AN$4,0))="x")*(Timeline!$K$5:$K$305="Task")*ISNUMBER(Timeline!$I$5:$I$305)*ISNUMBER(Timeline!$J$5:$J$305)*(Timeline!$I$5:$I$305&lt;=AD$4+0)*(Timeline!$J$5:$J$305&gt;=AD$4+0)),SUMPRODUCT((INDEX(Timeline!$P$5:$AN$305,0,MATCH($A12,Timeline!$P$4:$AN$4,0))="x")*(Timeline!$K$5:$K$305="Task")*ISNUMBER(Timeline!$I$5:$I$305)*ISNUMBER(Timeline!$J$5:$J$305)*(Timeline!$I$5:$I$305&lt;=AD$4+1)*(Timeline!$J$5:$J$305&gt;=AD$4+1)),SUMPRODUCT((INDEX(Timeline!$P$5:$AN$305,0,MATCH($A12,Timeline!$P$4:$AN$4,0))="x")*(Timeline!$K$5:$K$305="Task")*ISNUMBER(Timeline!$I$5:$I$305)*ISNUMBER(Timeline!$J$5:$J$305)*(Timeline!$I$5:$I$305&lt;=AD$4+2)*(Timeline!$J$5:$J$305&gt;=AD$4+2)),SUMPRODUCT((INDEX(Timeline!$P$5:$AN$305,0,MATCH($A12,Timeline!$P$4:$AN$4,0))="x")*(Timeline!$K$5:$K$305="Task")*ISNUMBER(Timeline!$I$5:$I$305)*ISNUMBER(Timeline!$J$5:$J$305)*(Timeline!$I$5:$I$305&lt;=AD$4+3)*(Timeline!$J$5:$J$305&gt;=AD$4+3)),SUMPRODUCT((INDEX(Timeline!$P$5:$AN$305,0,MATCH($A12,Timeline!$P$4:$AN$4,0))="x")*(Timeline!$K$5:$K$305="Task")*ISNUMBER(Timeline!$I$5:$I$305)*ISNUMBER(Timeline!$J$5:$J$305)*(Timeline!$I$5:$I$305&lt;=AD$4+4)*(Timeline!$J$5:$J$305&gt;=AD$4+4)),SUMPRODUCT((INDEX(Timeline!$P$5:$AN$305,0,MATCH($A12,Timeline!$P$4:$AN$4,0))="x")*(Timeline!$K$5:$K$305="Task")*ISNUMBER(Timeline!$I$5:$I$305)*ISNUMBER(Timeline!$J$5:$J$305)*(Timeline!$I$5:$I$305&lt;=AD$4+5)*(Timeline!$J$5:$J$305&gt;=AD$4+5)),SUMPRODUCT((INDEX(Timeline!$P$5:$AN$305,0,MATCH($A12,Timeline!$P$4:$AN$4,0))="x")*(Timeline!$K$5:$K$305="Task")*ISNUMBER(Timeline!$I$5:$I$305)*ISNUMBER(Timeline!$J$5:$J$305)*(Timeline!$I$5:$I$305&lt;=AD$4+6)*(Timeline!$J$5:$J$305&gt;=AD$4+6)))</f>
        <v>1</v>
      </c>
      <c r="AE12" s="67">
        <f>MAX(SUMPRODUCT((INDEX(Timeline!$P$5:$AN$305,0,MATCH($A12,Timeline!$P$4:$AN$4,0))="x")*(Timeline!$K$5:$K$305="Task")*ISNUMBER(Timeline!$I$5:$I$305)*ISNUMBER(Timeline!$J$5:$J$305)*(Timeline!$I$5:$I$305&lt;=AE$4+0)*(Timeline!$J$5:$J$305&gt;=AE$4+0)),SUMPRODUCT((INDEX(Timeline!$P$5:$AN$305,0,MATCH($A12,Timeline!$P$4:$AN$4,0))="x")*(Timeline!$K$5:$K$305="Task")*ISNUMBER(Timeline!$I$5:$I$305)*ISNUMBER(Timeline!$J$5:$J$305)*(Timeline!$I$5:$I$305&lt;=AE$4+1)*(Timeline!$J$5:$J$305&gt;=AE$4+1)),SUMPRODUCT((INDEX(Timeline!$P$5:$AN$305,0,MATCH($A12,Timeline!$P$4:$AN$4,0))="x")*(Timeline!$K$5:$K$305="Task")*ISNUMBER(Timeline!$I$5:$I$305)*ISNUMBER(Timeline!$J$5:$J$305)*(Timeline!$I$5:$I$305&lt;=AE$4+2)*(Timeline!$J$5:$J$305&gt;=AE$4+2)),SUMPRODUCT((INDEX(Timeline!$P$5:$AN$305,0,MATCH($A12,Timeline!$P$4:$AN$4,0))="x")*(Timeline!$K$5:$K$305="Task")*ISNUMBER(Timeline!$I$5:$I$305)*ISNUMBER(Timeline!$J$5:$J$305)*(Timeline!$I$5:$I$305&lt;=AE$4+3)*(Timeline!$J$5:$J$305&gt;=AE$4+3)),SUMPRODUCT((INDEX(Timeline!$P$5:$AN$305,0,MATCH($A12,Timeline!$P$4:$AN$4,0))="x")*(Timeline!$K$5:$K$305="Task")*ISNUMBER(Timeline!$I$5:$I$305)*ISNUMBER(Timeline!$J$5:$J$305)*(Timeline!$I$5:$I$305&lt;=AE$4+4)*(Timeline!$J$5:$J$305&gt;=AE$4+4)),SUMPRODUCT((INDEX(Timeline!$P$5:$AN$305,0,MATCH($A12,Timeline!$P$4:$AN$4,0))="x")*(Timeline!$K$5:$K$305="Task")*ISNUMBER(Timeline!$I$5:$I$305)*ISNUMBER(Timeline!$J$5:$J$305)*(Timeline!$I$5:$I$305&lt;=AE$4+5)*(Timeline!$J$5:$J$305&gt;=AE$4+5)),SUMPRODUCT((INDEX(Timeline!$P$5:$AN$305,0,MATCH($A12,Timeline!$P$4:$AN$4,0))="x")*(Timeline!$K$5:$K$305="Task")*ISNUMBER(Timeline!$I$5:$I$305)*ISNUMBER(Timeline!$J$5:$J$305)*(Timeline!$I$5:$I$305&lt;=AE$4+6)*(Timeline!$J$5:$J$305&gt;=AE$4+6)))</f>
        <v>1</v>
      </c>
      <c r="AF12" s="67">
        <f>MAX(SUMPRODUCT((INDEX(Timeline!$P$5:$AN$305,0,MATCH($A12,Timeline!$P$4:$AN$4,0))="x")*(Timeline!$K$5:$K$305="Task")*ISNUMBER(Timeline!$I$5:$I$305)*ISNUMBER(Timeline!$J$5:$J$305)*(Timeline!$I$5:$I$305&lt;=AF$4+0)*(Timeline!$J$5:$J$305&gt;=AF$4+0)),SUMPRODUCT((INDEX(Timeline!$P$5:$AN$305,0,MATCH($A12,Timeline!$P$4:$AN$4,0))="x")*(Timeline!$K$5:$K$305="Task")*ISNUMBER(Timeline!$I$5:$I$305)*ISNUMBER(Timeline!$J$5:$J$305)*(Timeline!$I$5:$I$305&lt;=AF$4+1)*(Timeline!$J$5:$J$305&gt;=AF$4+1)),SUMPRODUCT((INDEX(Timeline!$P$5:$AN$305,0,MATCH($A12,Timeline!$P$4:$AN$4,0))="x")*(Timeline!$K$5:$K$305="Task")*ISNUMBER(Timeline!$I$5:$I$305)*ISNUMBER(Timeline!$J$5:$J$305)*(Timeline!$I$5:$I$305&lt;=AF$4+2)*(Timeline!$J$5:$J$305&gt;=AF$4+2)),SUMPRODUCT((INDEX(Timeline!$P$5:$AN$305,0,MATCH($A12,Timeline!$P$4:$AN$4,0))="x")*(Timeline!$K$5:$K$305="Task")*ISNUMBER(Timeline!$I$5:$I$305)*ISNUMBER(Timeline!$J$5:$J$305)*(Timeline!$I$5:$I$305&lt;=AF$4+3)*(Timeline!$J$5:$J$305&gt;=AF$4+3)),SUMPRODUCT((INDEX(Timeline!$P$5:$AN$305,0,MATCH($A12,Timeline!$P$4:$AN$4,0))="x")*(Timeline!$K$5:$K$305="Task")*ISNUMBER(Timeline!$I$5:$I$305)*ISNUMBER(Timeline!$J$5:$J$305)*(Timeline!$I$5:$I$305&lt;=AF$4+4)*(Timeline!$J$5:$J$305&gt;=AF$4+4)),SUMPRODUCT((INDEX(Timeline!$P$5:$AN$305,0,MATCH($A12,Timeline!$P$4:$AN$4,0))="x")*(Timeline!$K$5:$K$305="Task")*ISNUMBER(Timeline!$I$5:$I$305)*ISNUMBER(Timeline!$J$5:$J$305)*(Timeline!$I$5:$I$305&lt;=AF$4+5)*(Timeline!$J$5:$J$305&gt;=AF$4+5)),SUMPRODUCT((INDEX(Timeline!$P$5:$AN$305,0,MATCH($A12,Timeline!$P$4:$AN$4,0))="x")*(Timeline!$K$5:$K$305="Task")*ISNUMBER(Timeline!$I$5:$I$305)*ISNUMBER(Timeline!$J$5:$J$305)*(Timeline!$I$5:$I$305&lt;=AF$4+6)*(Timeline!$J$5:$J$305&gt;=AF$4+6)))</f>
        <v>1</v>
      </c>
      <c r="AG12" s="67">
        <f>MAX(SUMPRODUCT((INDEX(Timeline!$P$5:$AN$305,0,MATCH($A12,Timeline!$P$4:$AN$4,0))="x")*(Timeline!$K$5:$K$305="Task")*ISNUMBER(Timeline!$I$5:$I$305)*ISNUMBER(Timeline!$J$5:$J$305)*(Timeline!$I$5:$I$305&lt;=AG$4+0)*(Timeline!$J$5:$J$305&gt;=AG$4+0)),SUMPRODUCT((INDEX(Timeline!$P$5:$AN$305,0,MATCH($A12,Timeline!$P$4:$AN$4,0))="x")*(Timeline!$K$5:$K$305="Task")*ISNUMBER(Timeline!$I$5:$I$305)*ISNUMBER(Timeline!$J$5:$J$305)*(Timeline!$I$5:$I$305&lt;=AG$4+1)*(Timeline!$J$5:$J$305&gt;=AG$4+1)),SUMPRODUCT((INDEX(Timeline!$P$5:$AN$305,0,MATCH($A12,Timeline!$P$4:$AN$4,0))="x")*(Timeline!$K$5:$K$305="Task")*ISNUMBER(Timeline!$I$5:$I$305)*ISNUMBER(Timeline!$J$5:$J$305)*(Timeline!$I$5:$I$305&lt;=AG$4+2)*(Timeline!$J$5:$J$305&gt;=AG$4+2)),SUMPRODUCT((INDEX(Timeline!$P$5:$AN$305,0,MATCH($A12,Timeline!$P$4:$AN$4,0))="x")*(Timeline!$K$5:$K$305="Task")*ISNUMBER(Timeline!$I$5:$I$305)*ISNUMBER(Timeline!$J$5:$J$305)*(Timeline!$I$5:$I$305&lt;=AG$4+3)*(Timeline!$J$5:$J$305&gt;=AG$4+3)),SUMPRODUCT((INDEX(Timeline!$P$5:$AN$305,0,MATCH($A12,Timeline!$P$4:$AN$4,0))="x")*(Timeline!$K$5:$K$305="Task")*ISNUMBER(Timeline!$I$5:$I$305)*ISNUMBER(Timeline!$J$5:$J$305)*(Timeline!$I$5:$I$305&lt;=AG$4+4)*(Timeline!$J$5:$J$305&gt;=AG$4+4)),SUMPRODUCT((INDEX(Timeline!$P$5:$AN$305,0,MATCH($A12,Timeline!$P$4:$AN$4,0))="x")*(Timeline!$K$5:$K$305="Task")*ISNUMBER(Timeline!$I$5:$I$305)*ISNUMBER(Timeline!$J$5:$J$305)*(Timeline!$I$5:$I$305&lt;=AG$4+5)*(Timeline!$J$5:$J$305&gt;=AG$4+5)),SUMPRODUCT((INDEX(Timeline!$P$5:$AN$305,0,MATCH($A12,Timeline!$P$4:$AN$4,0))="x")*(Timeline!$K$5:$K$305="Task")*ISNUMBER(Timeline!$I$5:$I$305)*ISNUMBER(Timeline!$J$5:$J$305)*(Timeline!$I$5:$I$305&lt;=AG$4+6)*(Timeline!$J$5:$J$305&gt;=AG$4+6)))</f>
        <v>0</v>
      </c>
      <c r="AH12" s="67">
        <f>MAX(SUMPRODUCT((INDEX(Timeline!$P$5:$AN$305,0,MATCH($A12,Timeline!$P$4:$AN$4,0))="x")*(Timeline!$K$5:$K$305="Task")*ISNUMBER(Timeline!$I$5:$I$305)*ISNUMBER(Timeline!$J$5:$J$305)*(Timeline!$I$5:$I$305&lt;=AH$4+0)*(Timeline!$J$5:$J$305&gt;=AH$4+0)),SUMPRODUCT((INDEX(Timeline!$P$5:$AN$305,0,MATCH($A12,Timeline!$P$4:$AN$4,0))="x")*(Timeline!$K$5:$K$305="Task")*ISNUMBER(Timeline!$I$5:$I$305)*ISNUMBER(Timeline!$J$5:$J$305)*(Timeline!$I$5:$I$305&lt;=AH$4+1)*(Timeline!$J$5:$J$305&gt;=AH$4+1)),SUMPRODUCT((INDEX(Timeline!$P$5:$AN$305,0,MATCH($A12,Timeline!$P$4:$AN$4,0))="x")*(Timeline!$K$5:$K$305="Task")*ISNUMBER(Timeline!$I$5:$I$305)*ISNUMBER(Timeline!$J$5:$J$305)*(Timeline!$I$5:$I$305&lt;=AH$4+2)*(Timeline!$J$5:$J$305&gt;=AH$4+2)),SUMPRODUCT((INDEX(Timeline!$P$5:$AN$305,0,MATCH($A12,Timeline!$P$4:$AN$4,0))="x")*(Timeline!$K$5:$K$305="Task")*ISNUMBER(Timeline!$I$5:$I$305)*ISNUMBER(Timeline!$J$5:$J$305)*(Timeline!$I$5:$I$305&lt;=AH$4+3)*(Timeline!$J$5:$J$305&gt;=AH$4+3)),SUMPRODUCT((INDEX(Timeline!$P$5:$AN$305,0,MATCH($A12,Timeline!$P$4:$AN$4,0))="x")*(Timeline!$K$5:$K$305="Task")*ISNUMBER(Timeline!$I$5:$I$305)*ISNUMBER(Timeline!$J$5:$J$305)*(Timeline!$I$5:$I$305&lt;=AH$4+4)*(Timeline!$J$5:$J$305&gt;=AH$4+4)),SUMPRODUCT((INDEX(Timeline!$P$5:$AN$305,0,MATCH($A12,Timeline!$P$4:$AN$4,0))="x")*(Timeline!$K$5:$K$305="Task")*ISNUMBER(Timeline!$I$5:$I$305)*ISNUMBER(Timeline!$J$5:$J$305)*(Timeline!$I$5:$I$305&lt;=AH$4+5)*(Timeline!$J$5:$J$305&gt;=AH$4+5)),SUMPRODUCT((INDEX(Timeline!$P$5:$AN$305,0,MATCH($A12,Timeline!$P$4:$AN$4,0))="x")*(Timeline!$K$5:$K$305="Task")*ISNUMBER(Timeline!$I$5:$I$305)*ISNUMBER(Timeline!$J$5:$J$305)*(Timeline!$I$5:$I$305&lt;=AH$4+6)*(Timeline!$J$5:$J$305&gt;=AH$4+6)))</f>
        <v>0</v>
      </c>
      <c r="AI12" s="67">
        <f>MAX(SUMPRODUCT((INDEX(Timeline!$P$5:$AN$305,0,MATCH($A12,Timeline!$P$4:$AN$4,0))="x")*(Timeline!$K$5:$K$305="Task")*ISNUMBER(Timeline!$I$5:$I$305)*ISNUMBER(Timeline!$J$5:$J$305)*(Timeline!$I$5:$I$305&lt;=AI$4+0)*(Timeline!$J$5:$J$305&gt;=AI$4+0)),SUMPRODUCT((INDEX(Timeline!$P$5:$AN$305,0,MATCH($A12,Timeline!$P$4:$AN$4,0))="x")*(Timeline!$K$5:$K$305="Task")*ISNUMBER(Timeline!$I$5:$I$305)*ISNUMBER(Timeline!$J$5:$J$305)*(Timeline!$I$5:$I$305&lt;=AI$4+1)*(Timeline!$J$5:$J$305&gt;=AI$4+1)),SUMPRODUCT((INDEX(Timeline!$P$5:$AN$305,0,MATCH($A12,Timeline!$P$4:$AN$4,0))="x")*(Timeline!$K$5:$K$305="Task")*ISNUMBER(Timeline!$I$5:$I$305)*ISNUMBER(Timeline!$J$5:$J$305)*(Timeline!$I$5:$I$305&lt;=AI$4+2)*(Timeline!$J$5:$J$305&gt;=AI$4+2)),SUMPRODUCT((INDEX(Timeline!$P$5:$AN$305,0,MATCH($A12,Timeline!$P$4:$AN$4,0))="x")*(Timeline!$K$5:$K$305="Task")*ISNUMBER(Timeline!$I$5:$I$305)*ISNUMBER(Timeline!$J$5:$J$305)*(Timeline!$I$5:$I$305&lt;=AI$4+3)*(Timeline!$J$5:$J$305&gt;=AI$4+3)),SUMPRODUCT((INDEX(Timeline!$P$5:$AN$305,0,MATCH($A12,Timeline!$P$4:$AN$4,0))="x")*(Timeline!$K$5:$K$305="Task")*ISNUMBER(Timeline!$I$5:$I$305)*ISNUMBER(Timeline!$J$5:$J$305)*(Timeline!$I$5:$I$305&lt;=AI$4+4)*(Timeline!$J$5:$J$305&gt;=AI$4+4)),SUMPRODUCT((INDEX(Timeline!$P$5:$AN$305,0,MATCH($A12,Timeline!$P$4:$AN$4,0))="x")*(Timeline!$K$5:$K$305="Task")*ISNUMBER(Timeline!$I$5:$I$305)*ISNUMBER(Timeline!$J$5:$J$305)*(Timeline!$I$5:$I$305&lt;=AI$4+5)*(Timeline!$J$5:$J$305&gt;=AI$4+5)),SUMPRODUCT((INDEX(Timeline!$P$5:$AN$305,0,MATCH($A12,Timeline!$P$4:$AN$4,0))="x")*(Timeline!$K$5:$K$305="Task")*ISNUMBER(Timeline!$I$5:$I$305)*ISNUMBER(Timeline!$J$5:$J$305)*(Timeline!$I$5:$I$305&lt;=AI$4+6)*(Timeline!$J$5:$J$305&gt;=AI$4+6)))</f>
        <v>0</v>
      </c>
      <c r="AJ12" s="67">
        <f>MAX(SUMPRODUCT((INDEX(Timeline!$P$5:$AN$305,0,MATCH($A12,Timeline!$P$4:$AN$4,0))="x")*(Timeline!$K$5:$K$305="Task")*ISNUMBER(Timeline!$I$5:$I$305)*ISNUMBER(Timeline!$J$5:$J$305)*(Timeline!$I$5:$I$305&lt;=AJ$4+0)*(Timeline!$J$5:$J$305&gt;=AJ$4+0)),SUMPRODUCT((INDEX(Timeline!$P$5:$AN$305,0,MATCH($A12,Timeline!$P$4:$AN$4,0))="x")*(Timeline!$K$5:$K$305="Task")*ISNUMBER(Timeline!$I$5:$I$305)*ISNUMBER(Timeline!$J$5:$J$305)*(Timeline!$I$5:$I$305&lt;=AJ$4+1)*(Timeline!$J$5:$J$305&gt;=AJ$4+1)),SUMPRODUCT((INDEX(Timeline!$P$5:$AN$305,0,MATCH($A12,Timeline!$P$4:$AN$4,0))="x")*(Timeline!$K$5:$K$305="Task")*ISNUMBER(Timeline!$I$5:$I$305)*ISNUMBER(Timeline!$J$5:$J$305)*(Timeline!$I$5:$I$305&lt;=AJ$4+2)*(Timeline!$J$5:$J$305&gt;=AJ$4+2)),SUMPRODUCT((INDEX(Timeline!$P$5:$AN$305,0,MATCH($A12,Timeline!$P$4:$AN$4,0))="x")*(Timeline!$K$5:$K$305="Task")*ISNUMBER(Timeline!$I$5:$I$305)*ISNUMBER(Timeline!$J$5:$J$305)*(Timeline!$I$5:$I$305&lt;=AJ$4+3)*(Timeline!$J$5:$J$305&gt;=AJ$4+3)),SUMPRODUCT((INDEX(Timeline!$P$5:$AN$305,0,MATCH($A12,Timeline!$P$4:$AN$4,0))="x")*(Timeline!$K$5:$K$305="Task")*ISNUMBER(Timeline!$I$5:$I$305)*ISNUMBER(Timeline!$J$5:$J$305)*(Timeline!$I$5:$I$305&lt;=AJ$4+4)*(Timeline!$J$5:$J$305&gt;=AJ$4+4)),SUMPRODUCT((INDEX(Timeline!$P$5:$AN$305,0,MATCH($A12,Timeline!$P$4:$AN$4,0))="x")*(Timeline!$K$5:$K$305="Task")*ISNUMBER(Timeline!$I$5:$I$305)*ISNUMBER(Timeline!$J$5:$J$305)*(Timeline!$I$5:$I$305&lt;=AJ$4+5)*(Timeline!$J$5:$J$305&gt;=AJ$4+5)),SUMPRODUCT((INDEX(Timeline!$P$5:$AN$305,0,MATCH($A12,Timeline!$P$4:$AN$4,0))="x")*(Timeline!$K$5:$K$305="Task")*ISNUMBER(Timeline!$I$5:$I$305)*ISNUMBER(Timeline!$J$5:$J$305)*(Timeline!$I$5:$I$305&lt;=AJ$4+6)*(Timeline!$J$5:$J$305&gt;=AJ$4+6)))</f>
        <v>0</v>
      </c>
      <c r="AK12" s="67">
        <f>MAX(SUMPRODUCT((INDEX(Timeline!$P$5:$AN$305,0,MATCH($A12,Timeline!$P$4:$AN$4,0))="x")*(Timeline!$K$5:$K$305="Task")*ISNUMBER(Timeline!$I$5:$I$305)*ISNUMBER(Timeline!$J$5:$J$305)*(Timeline!$I$5:$I$305&lt;=AK$4+0)*(Timeline!$J$5:$J$305&gt;=AK$4+0)),SUMPRODUCT((INDEX(Timeline!$P$5:$AN$305,0,MATCH($A12,Timeline!$P$4:$AN$4,0))="x")*(Timeline!$K$5:$K$305="Task")*ISNUMBER(Timeline!$I$5:$I$305)*ISNUMBER(Timeline!$J$5:$J$305)*(Timeline!$I$5:$I$305&lt;=AK$4+1)*(Timeline!$J$5:$J$305&gt;=AK$4+1)),SUMPRODUCT((INDEX(Timeline!$P$5:$AN$305,0,MATCH($A12,Timeline!$P$4:$AN$4,0))="x")*(Timeline!$K$5:$K$305="Task")*ISNUMBER(Timeline!$I$5:$I$305)*ISNUMBER(Timeline!$J$5:$J$305)*(Timeline!$I$5:$I$305&lt;=AK$4+2)*(Timeline!$J$5:$J$305&gt;=AK$4+2)),SUMPRODUCT((INDEX(Timeline!$P$5:$AN$305,0,MATCH($A12,Timeline!$P$4:$AN$4,0))="x")*(Timeline!$K$5:$K$305="Task")*ISNUMBER(Timeline!$I$5:$I$305)*ISNUMBER(Timeline!$J$5:$J$305)*(Timeline!$I$5:$I$305&lt;=AK$4+3)*(Timeline!$J$5:$J$305&gt;=AK$4+3)),SUMPRODUCT((INDEX(Timeline!$P$5:$AN$305,0,MATCH($A12,Timeline!$P$4:$AN$4,0))="x")*(Timeline!$K$5:$K$305="Task")*ISNUMBER(Timeline!$I$5:$I$305)*ISNUMBER(Timeline!$J$5:$J$305)*(Timeline!$I$5:$I$305&lt;=AK$4+4)*(Timeline!$J$5:$J$305&gt;=AK$4+4)),SUMPRODUCT((INDEX(Timeline!$P$5:$AN$305,0,MATCH($A12,Timeline!$P$4:$AN$4,0))="x")*(Timeline!$K$5:$K$305="Task")*ISNUMBER(Timeline!$I$5:$I$305)*ISNUMBER(Timeline!$J$5:$J$305)*(Timeline!$I$5:$I$305&lt;=AK$4+5)*(Timeline!$J$5:$J$305&gt;=AK$4+5)),SUMPRODUCT((INDEX(Timeline!$P$5:$AN$305,0,MATCH($A12,Timeline!$P$4:$AN$4,0))="x")*(Timeline!$K$5:$K$305="Task")*ISNUMBER(Timeline!$I$5:$I$305)*ISNUMBER(Timeline!$J$5:$J$305)*(Timeline!$I$5:$I$305&lt;=AK$4+6)*(Timeline!$J$5:$J$305&gt;=AK$4+6)))</f>
        <v>0</v>
      </c>
      <c r="AL12" s="67">
        <f>MAX(SUMPRODUCT((INDEX(Timeline!$P$5:$AN$305,0,MATCH($A12,Timeline!$P$4:$AN$4,0))="x")*(Timeline!$K$5:$K$305="Task")*ISNUMBER(Timeline!$I$5:$I$305)*ISNUMBER(Timeline!$J$5:$J$305)*(Timeline!$I$5:$I$305&lt;=AL$4+0)*(Timeline!$J$5:$J$305&gt;=AL$4+0)),SUMPRODUCT((INDEX(Timeline!$P$5:$AN$305,0,MATCH($A12,Timeline!$P$4:$AN$4,0))="x")*(Timeline!$K$5:$K$305="Task")*ISNUMBER(Timeline!$I$5:$I$305)*ISNUMBER(Timeline!$J$5:$J$305)*(Timeline!$I$5:$I$305&lt;=AL$4+1)*(Timeline!$J$5:$J$305&gt;=AL$4+1)),SUMPRODUCT((INDEX(Timeline!$P$5:$AN$305,0,MATCH($A12,Timeline!$P$4:$AN$4,0))="x")*(Timeline!$K$5:$K$305="Task")*ISNUMBER(Timeline!$I$5:$I$305)*ISNUMBER(Timeline!$J$5:$J$305)*(Timeline!$I$5:$I$305&lt;=AL$4+2)*(Timeline!$J$5:$J$305&gt;=AL$4+2)),SUMPRODUCT((INDEX(Timeline!$P$5:$AN$305,0,MATCH($A12,Timeline!$P$4:$AN$4,0))="x")*(Timeline!$K$5:$K$305="Task")*ISNUMBER(Timeline!$I$5:$I$305)*ISNUMBER(Timeline!$J$5:$J$305)*(Timeline!$I$5:$I$305&lt;=AL$4+3)*(Timeline!$J$5:$J$305&gt;=AL$4+3)),SUMPRODUCT((INDEX(Timeline!$P$5:$AN$305,0,MATCH($A12,Timeline!$P$4:$AN$4,0))="x")*(Timeline!$K$5:$K$305="Task")*ISNUMBER(Timeline!$I$5:$I$305)*ISNUMBER(Timeline!$J$5:$J$305)*(Timeline!$I$5:$I$305&lt;=AL$4+4)*(Timeline!$J$5:$J$305&gt;=AL$4+4)),SUMPRODUCT((INDEX(Timeline!$P$5:$AN$305,0,MATCH($A12,Timeline!$P$4:$AN$4,0))="x")*(Timeline!$K$5:$K$305="Task")*ISNUMBER(Timeline!$I$5:$I$305)*ISNUMBER(Timeline!$J$5:$J$305)*(Timeline!$I$5:$I$305&lt;=AL$4+5)*(Timeline!$J$5:$J$305&gt;=AL$4+5)),SUMPRODUCT((INDEX(Timeline!$P$5:$AN$305,0,MATCH($A12,Timeline!$P$4:$AN$4,0))="x")*(Timeline!$K$5:$K$305="Task")*ISNUMBER(Timeline!$I$5:$I$305)*ISNUMBER(Timeline!$J$5:$J$305)*(Timeline!$I$5:$I$305&lt;=AL$4+6)*(Timeline!$J$5:$J$305&gt;=AL$4+6)))</f>
        <v>0</v>
      </c>
      <c r="AM12" s="67">
        <f>MAX(SUMPRODUCT((INDEX(Timeline!$P$5:$AN$305,0,MATCH($A12,Timeline!$P$4:$AN$4,0))="x")*(Timeline!$K$5:$K$305="Task")*ISNUMBER(Timeline!$I$5:$I$305)*ISNUMBER(Timeline!$J$5:$J$305)*(Timeline!$I$5:$I$305&lt;=AM$4+0)*(Timeline!$J$5:$J$305&gt;=AM$4+0)),SUMPRODUCT((INDEX(Timeline!$P$5:$AN$305,0,MATCH($A12,Timeline!$P$4:$AN$4,0))="x")*(Timeline!$K$5:$K$305="Task")*ISNUMBER(Timeline!$I$5:$I$305)*ISNUMBER(Timeline!$J$5:$J$305)*(Timeline!$I$5:$I$305&lt;=AM$4+1)*(Timeline!$J$5:$J$305&gt;=AM$4+1)),SUMPRODUCT((INDEX(Timeline!$P$5:$AN$305,0,MATCH($A12,Timeline!$P$4:$AN$4,0))="x")*(Timeline!$K$5:$K$305="Task")*ISNUMBER(Timeline!$I$5:$I$305)*ISNUMBER(Timeline!$J$5:$J$305)*(Timeline!$I$5:$I$305&lt;=AM$4+2)*(Timeline!$J$5:$J$305&gt;=AM$4+2)),SUMPRODUCT((INDEX(Timeline!$P$5:$AN$305,0,MATCH($A12,Timeline!$P$4:$AN$4,0))="x")*(Timeline!$K$5:$K$305="Task")*ISNUMBER(Timeline!$I$5:$I$305)*ISNUMBER(Timeline!$J$5:$J$305)*(Timeline!$I$5:$I$305&lt;=AM$4+3)*(Timeline!$J$5:$J$305&gt;=AM$4+3)),SUMPRODUCT((INDEX(Timeline!$P$5:$AN$305,0,MATCH($A12,Timeline!$P$4:$AN$4,0))="x")*(Timeline!$K$5:$K$305="Task")*ISNUMBER(Timeline!$I$5:$I$305)*ISNUMBER(Timeline!$J$5:$J$305)*(Timeline!$I$5:$I$305&lt;=AM$4+4)*(Timeline!$J$5:$J$305&gt;=AM$4+4)),SUMPRODUCT((INDEX(Timeline!$P$5:$AN$305,0,MATCH($A12,Timeline!$P$4:$AN$4,0))="x")*(Timeline!$K$5:$K$305="Task")*ISNUMBER(Timeline!$I$5:$I$305)*ISNUMBER(Timeline!$J$5:$J$305)*(Timeline!$I$5:$I$305&lt;=AM$4+5)*(Timeline!$J$5:$J$305&gt;=AM$4+5)),SUMPRODUCT((INDEX(Timeline!$P$5:$AN$305,0,MATCH($A12,Timeline!$P$4:$AN$4,0))="x")*(Timeline!$K$5:$K$305="Task")*ISNUMBER(Timeline!$I$5:$I$305)*ISNUMBER(Timeline!$J$5:$J$305)*(Timeline!$I$5:$I$305&lt;=AM$4+6)*(Timeline!$J$5:$J$305&gt;=AM$4+6)))</f>
        <v>0</v>
      </c>
      <c r="AN12" s="67">
        <f>MAX(SUMPRODUCT((INDEX(Timeline!$P$5:$AN$305,0,MATCH($A12,Timeline!$P$4:$AN$4,0))="x")*(Timeline!$K$5:$K$305="Task")*ISNUMBER(Timeline!$I$5:$I$305)*ISNUMBER(Timeline!$J$5:$J$305)*(Timeline!$I$5:$I$305&lt;=AN$4+0)*(Timeline!$J$5:$J$305&gt;=AN$4+0)),SUMPRODUCT((INDEX(Timeline!$P$5:$AN$305,0,MATCH($A12,Timeline!$P$4:$AN$4,0))="x")*(Timeline!$K$5:$K$305="Task")*ISNUMBER(Timeline!$I$5:$I$305)*ISNUMBER(Timeline!$J$5:$J$305)*(Timeline!$I$5:$I$305&lt;=AN$4+1)*(Timeline!$J$5:$J$305&gt;=AN$4+1)),SUMPRODUCT((INDEX(Timeline!$P$5:$AN$305,0,MATCH($A12,Timeline!$P$4:$AN$4,0))="x")*(Timeline!$K$5:$K$305="Task")*ISNUMBER(Timeline!$I$5:$I$305)*ISNUMBER(Timeline!$J$5:$J$305)*(Timeline!$I$5:$I$305&lt;=AN$4+2)*(Timeline!$J$5:$J$305&gt;=AN$4+2)),SUMPRODUCT((INDEX(Timeline!$P$5:$AN$305,0,MATCH($A12,Timeline!$P$4:$AN$4,0))="x")*(Timeline!$K$5:$K$305="Task")*ISNUMBER(Timeline!$I$5:$I$305)*ISNUMBER(Timeline!$J$5:$J$305)*(Timeline!$I$5:$I$305&lt;=AN$4+3)*(Timeline!$J$5:$J$305&gt;=AN$4+3)),SUMPRODUCT((INDEX(Timeline!$P$5:$AN$305,0,MATCH($A12,Timeline!$P$4:$AN$4,0))="x")*(Timeline!$K$5:$K$305="Task")*ISNUMBER(Timeline!$I$5:$I$305)*ISNUMBER(Timeline!$J$5:$J$305)*(Timeline!$I$5:$I$305&lt;=AN$4+4)*(Timeline!$J$5:$J$305&gt;=AN$4+4)),SUMPRODUCT((INDEX(Timeline!$P$5:$AN$305,0,MATCH($A12,Timeline!$P$4:$AN$4,0))="x")*(Timeline!$K$5:$K$305="Task")*ISNUMBER(Timeline!$I$5:$I$305)*ISNUMBER(Timeline!$J$5:$J$305)*(Timeline!$I$5:$I$305&lt;=AN$4+5)*(Timeline!$J$5:$J$305&gt;=AN$4+5)),SUMPRODUCT((INDEX(Timeline!$P$5:$AN$305,0,MATCH($A12,Timeline!$P$4:$AN$4,0))="x")*(Timeline!$K$5:$K$305="Task")*ISNUMBER(Timeline!$I$5:$I$305)*ISNUMBER(Timeline!$J$5:$J$305)*(Timeline!$I$5:$I$305&lt;=AN$4+6)*(Timeline!$J$5:$J$305&gt;=AN$4+6)))</f>
        <v>0</v>
      </c>
      <c r="AO12" s="67">
        <f>MAX(SUMPRODUCT((INDEX(Timeline!$P$5:$AN$305,0,MATCH($A12,Timeline!$P$4:$AN$4,0))="x")*(Timeline!$K$5:$K$305="Task")*ISNUMBER(Timeline!$I$5:$I$305)*ISNUMBER(Timeline!$J$5:$J$305)*(Timeline!$I$5:$I$305&lt;=AO$4+0)*(Timeline!$J$5:$J$305&gt;=AO$4+0)),SUMPRODUCT((INDEX(Timeline!$P$5:$AN$305,0,MATCH($A12,Timeline!$P$4:$AN$4,0))="x")*(Timeline!$K$5:$K$305="Task")*ISNUMBER(Timeline!$I$5:$I$305)*ISNUMBER(Timeline!$J$5:$J$305)*(Timeline!$I$5:$I$305&lt;=AO$4+1)*(Timeline!$J$5:$J$305&gt;=AO$4+1)),SUMPRODUCT((INDEX(Timeline!$P$5:$AN$305,0,MATCH($A12,Timeline!$P$4:$AN$4,0))="x")*(Timeline!$K$5:$K$305="Task")*ISNUMBER(Timeline!$I$5:$I$305)*ISNUMBER(Timeline!$J$5:$J$305)*(Timeline!$I$5:$I$305&lt;=AO$4+2)*(Timeline!$J$5:$J$305&gt;=AO$4+2)),SUMPRODUCT((INDEX(Timeline!$P$5:$AN$305,0,MATCH($A12,Timeline!$P$4:$AN$4,0))="x")*(Timeline!$K$5:$K$305="Task")*ISNUMBER(Timeline!$I$5:$I$305)*ISNUMBER(Timeline!$J$5:$J$305)*(Timeline!$I$5:$I$305&lt;=AO$4+3)*(Timeline!$J$5:$J$305&gt;=AO$4+3)),SUMPRODUCT((INDEX(Timeline!$P$5:$AN$305,0,MATCH($A12,Timeline!$P$4:$AN$4,0))="x")*(Timeline!$K$5:$K$305="Task")*ISNUMBER(Timeline!$I$5:$I$305)*ISNUMBER(Timeline!$J$5:$J$305)*(Timeline!$I$5:$I$305&lt;=AO$4+4)*(Timeline!$J$5:$J$305&gt;=AO$4+4)),SUMPRODUCT((INDEX(Timeline!$P$5:$AN$305,0,MATCH($A12,Timeline!$P$4:$AN$4,0))="x")*(Timeline!$K$5:$K$305="Task")*ISNUMBER(Timeline!$I$5:$I$305)*ISNUMBER(Timeline!$J$5:$J$305)*(Timeline!$I$5:$I$305&lt;=AO$4+5)*(Timeline!$J$5:$J$305&gt;=AO$4+5)),SUMPRODUCT((INDEX(Timeline!$P$5:$AN$305,0,MATCH($A12,Timeline!$P$4:$AN$4,0))="x")*(Timeline!$K$5:$K$305="Task")*ISNUMBER(Timeline!$I$5:$I$305)*ISNUMBER(Timeline!$J$5:$J$305)*(Timeline!$I$5:$I$305&lt;=AO$4+6)*(Timeline!$J$5:$J$305&gt;=AO$4+6)))</f>
        <v>0</v>
      </c>
      <c r="AP12" s="67">
        <f>MAX(SUMPRODUCT((INDEX(Timeline!$P$5:$AN$305,0,MATCH($A12,Timeline!$P$4:$AN$4,0))="x")*(Timeline!$K$5:$K$305="Task")*ISNUMBER(Timeline!$I$5:$I$305)*ISNUMBER(Timeline!$J$5:$J$305)*(Timeline!$I$5:$I$305&lt;=AP$4+0)*(Timeline!$J$5:$J$305&gt;=AP$4+0)),SUMPRODUCT((INDEX(Timeline!$P$5:$AN$305,0,MATCH($A12,Timeline!$P$4:$AN$4,0))="x")*(Timeline!$K$5:$K$305="Task")*ISNUMBER(Timeline!$I$5:$I$305)*ISNUMBER(Timeline!$J$5:$J$305)*(Timeline!$I$5:$I$305&lt;=AP$4+1)*(Timeline!$J$5:$J$305&gt;=AP$4+1)),SUMPRODUCT((INDEX(Timeline!$P$5:$AN$305,0,MATCH($A12,Timeline!$P$4:$AN$4,0))="x")*(Timeline!$K$5:$K$305="Task")*ISNUMBER(Timeline!$I$5:$I$305)*ISNUMBER(Timeline!$J$5:$J$305)*(Timeline!$I$5:$I$305&lt;=AP$4+2)*(Timeline!$J$5:$J$305&gt;=AP$4+2)),SUMPRODUCT((INDEX(Timeline!$P$5:$AN$305,0,MATCH($A12,Timeline!$P$4:$AN$4,0))="x")*(Timeline!$K$5:$K$305="Task")*ISNUMBER(Timeline!$I$5:$I$305)*ISNUMBER(Timeline!$J$5:$J$305)*(Timeline!$I$5:$I$305&lt;=AP$4+3)*(Timeline!$J$5:$J$305&gt;=AP$4+3)),SUMPRODUCT((INDEX(Timeline!$P$5:$AN$305,0,MATCH($A12,Timeline!$P$4:$AN$4,0))="x")*(Timeline!$K$5:$K$305="Task")*ISNUMBER(Timeline!$I$5:$I$305)*ISNUMBER(Timeline!$J$5:$J$305)*(Timeline!$I$5:$I$305&lt;=AP$4+4)*(Timeline!$J$5:$J$305&gt;=AP$4+4)),SUMPRODUCT((INDEX(Timeline!$P$5:$AN$305,0,MATCH($A12,Timeline!$P$4:$AN$4,0))="x")*(Timeline!$K$5:$K$305="Task")*ISNUMBER(Timeline!$I$5:$I$305)*ISNUMBER(Timeline!$J$5:$J$305)*(Timeline!$I$5:$I$305&lt;=AP$4+5)*(Timeline!$J$5:$J$305&gt;=AP$4+5)),SUMPRODUCT((INDEX(Timeline!$P$5:$AN$305,0,MATCH($A12,Timeline!$P$4:$AN$4,0))="x")*(Timeline!$K$5:$K$305="Task")*ISNUMBER(Timeline!$I$5:$I$305)*ISNUMBER(Timeline!$J$5:$J$305)*(Timeline!$I$5:$I$305&lt;=AP$4+6)*(Timeline!$J$5:$J$305&gt;=AP$4+6)))</f>
        <v>0</v>
      </c>
      <c r="AQ12" s="67">
        <f>MAX(SUMPRODUCT((INDEX(Timeline!$P$5:$AN$305,0,MATCH($A12,Timeline!$P$4:$AN$4,0))="x")*(Timeline!$K$5:$K$305="Task")*ISNUMBER(Timeline!$I$5:$I$305)*ISNUMBER(Timeline!$J$5:$J$305)*(Timeline!$I$5:$I$305&lt;=AQ$4+0)*(Timeline!$J$5:$J$305&gt;=AQ$4+0)),SUMPRODUCT((INDEX(Timeline!$P$5:$AN$305,0,MATCH($A12,Timeline!$P$4:$AN$4,0))="x")*(Timeline!$K$5:$K$305="Task")*ISNUMBER(Timeline!$I$5:$I$305)*ISNUMBER(Timeline!$J$5:$J$305)*(Timeline!$I$5:$I$305&lt;=AQ$4+1)*(Timeline!$J$5:$J$305&gt;=AQ$4+1)),SUMPRODUCT((INDEX(Timeline!$P$5:$AN$305,0,MATCH($A12,Timeline!$P$4:$AN$4,0))="x")*(Timeline!$K$5:$K$305="Task")*ISNUMBER(Timeline!$I$5:$I$305)*ISNUMBER(Timeline!$J$5:$J$305)*(Timeline!$I$5:$I$305&lt;=AQ$4+2)*(Timeline!$J$5:$J$305&gt;=AQ$4+2)),SUMPRODUCT((INDEX(Timeline!$P$5:$AN$305,0,MATCH($A12,Timeline!$P$4:$AN$4,0))="x")*(Timeline!$K$5:$K$305="Task")*ISNUMBER(Timeline!$I$5:$I$305)*ISNUMBER(Timeline!$J$5:$J$305)*(Timeline!$I$5:$I$305&lt;=AQ$4+3)*(Timeline!$J$5:$J$305&gt;=AQ$4+3)),SUMPRODUCT((INDEX(Timeline!$P$5:$AN$305,0,MATCH($A12,Timeline!$P$4:$AN$4,0))="x")*(Timeline!$K$5:$K$305="Task")*ISNUMBER(Timeline!$I$5:$I$305)*ISNUMBER(Timeline!$J$5:$J$305)*(Timeline!$I$5:$I$305&lt;=AQ$4+4)*(Timeline!$J$5:$J$305&gt;=AQ$4+4)),SUMPRODUCT((INDEX(Timeline!$P$5:$AN$305,0,MATCH($A12,Timeline!$P$4:$AN$4,0))="x")*(Timeline!$K$5:$K$305="Task")*ISNUMBER(Timeline!$I$5:$I$305)*ISNUMBER(Timeline!$J$5:$J$305)*(Timeline!$I$5:$I$305&lt;=AQ$4+5)*(Timeline!$J$5:$J$305&gt;=AQ$4+5)),SUMPRODUCT((INDEX(Timeline!$P$5:$AN$305,0,MATCH($A12,Timeline!$P$4:$AN$4,0))="x")*(Timeline!$K$5:$K$305="Task")*ISNUMBER(Timeline!$I$5:$I$305)*ISNUMBER(Timeline!$J$5:$J$305)*(Timeline!$I$5:$I$305&lt;=AQ$4+6)*(Timeline!$J$5:$J$305&gt;=AQ$4+6)))</f>
        <v>0</v>
      </c>
      <c r="AR12" s="67">
        <f>MAX(SUMPRODUCT((INDEX(Timeline!$P$5:$AN$305,0,MATCH($A12,Timeline!$P$4:$AN$4,0))="x")*(Timeline!$K$5:$K$305="Task")*ISNUMBER(Timeline!$I$5:$I$305)*ISNUMBER(Timeline!$J$5:$J$305)*(Timeline!$I$5:$I$305&lt;=AR$4+0)*(Timeline!$J$5:$J$305&gt;=AR$4+0)),SUMPRODUCT((INDEX(Timeline!$P$5:$AN$305,0,MATCH($A12,Timeline!$P$4:$AN$4,0))="x")*(Timeline!$K$5:$K$305="Task")*ISNUMBER(Timeline!$I$5:$I$305)*ISNUMBER(Timeline!$J$5:$J$305)*(Timeline!$I$5:$I$305&lt;=AR$4+1)*(Timeline!$J$5:$J$305&gt;=AR$4+1)),SUMPRODUCT((INDEX(Timeline!$P$5:$AN$305,0,MATCH($A12,Timeline!$P$4:$AN$4,0))="x")*(Timeline!$K$5:$K$305="Task")*ISNUMBER(Timeline!$I$5:$I$305)*ISNUMBER(Timeline!$J$5:$J$305)*(Timeline!$I$5:$I$305&lt;=AR$4+2)*(Timeline!$J$5:$J$305&gt;=AR$4+2)),SUMPRODUCT((INDEX(Timeline!$P$5:$AN$305,0,MATCH($A12,Timeline!$P$4:$AN$4,0))="x")*(Timeline!$K$5:$K$305="Task")*ISNUMBER(Timeline!$I$5:$I$305)*ISNUMBER(Timeline!$J$5:$J$305)*(Timeline!$I$5:$I$305&lt;=AR$4+3)*(Timeline!$J$5:$J$305&gt;=AR$4+3)),SUMPRODUCT((INDEX(Timeline!$P$5:$AN$305,0,MATCH($A12,Timeline!$P$4:$AN$4,0))="x")*(Timeline!$K$5:$K$305="Task")*ISNUMBER(Timeline!$I$5:$I$305)*ISNUMBER(Timeline!$J$5:$J$305)*(Timeline!$I$5:$I$305&lt;=AR$4+4)*(Timeline!$J$5:$J$305&gt;=AR$4+4)),SUMPRODUCT((INDEX(Timeline!$P$5:$AN$305,0,MATCH($A12,Timeline!$P$4:$AN$4,0))="x")*(Timeline!$K$5:$K$305="Task")*ISNUMBER(Timeline!$I$5:$I$305)*ISNUMBER(Timeline!$J$5:$J$305)*(Timeline!$I$5:$I$305&lt;=AR$4+5)*(Timeline!$J$5:$J$305&gt;=AR$4+5)),SUMPRODUCT((INDEX(Timeline!$P$5:$AN$305,0,MATCH($A12,Timeline!$P$4:$AN$4,0))="x")*(Timeline!$K$5:$K$305="Task")*ISNUMBER(Timeline!$I$5:$I$305)*ISNUMBER(Timeline!$J$5:$J$305)*(Timeline!$I$5:$I$305&lt;=AR$4+6)*(Timeline!$J$5:$J$305&gt;=AR$4+6)))</f>
        <v>0</v>
      </c>
      <c r="AS12" s="67">
        <f>MAX(SUMPRODUCT((INDEX(Timeline!$P$5:$AN$305,0,MATCH($A12,Timeline!$P$4:$AN$4,0))="x")*(Timeline!$K$5:$K$305="Task")*ISNUMBER(Timeline!$I$5:$I$305)*ISNUMBER(Timeline!$J$5:$J$305)*(Timeline!$I$5:$I$305&lt;=AS$4+0)*(Timeline!$J$5:$J$305&gt;=AS$4+0)),SUMPRODUCT((INDEX(Timeline!$P$5:$AN$305,0,MATCH($A12,Timeline!$P$4:$AN$4,0))="x")*(Timeline!$K$5:$K$305="Task")*ISNUMBER(Timeline!$I$5:$I$305)*ISNUMBER(Timeline!$J$5:$J$305)*(Timeline!$I$5:$I$305&lt;=AS$4+1)*(Timeline!$J$5:$J$305&gt;=AS$4+1)),SUMPRODUCT((INDEX(Timeline!$P$5:$AN$305,0,MATCH($A12,Timeline!$P$4:$AN$4,0))="x")*(Timeline!$K$5:$K$305="Task")*ISNUMBER(Timeline!$I$5:$I$305)*ISNUMBER(Timeline!$J$5:$J$305)*(Timeline!$I$5:$I$305&lt;=AS$4+2)*(Timeline!$J$5:$J$305&gt;=AS$4+2)),SUMPRODUCT((INDEX(Timeline!$P$5:$AN$305,0,MATCH($A12,Timeline!$P$4:$AN$4,0))="x")*(Timeline!$K$5:$K$305="Task")*ISNUMBER(Timeline!$I$5:$I$305)*ISNUMBER(Timeline!$J$5:$J$305)*(Timeline!$I$5:$I$305&lt;=AS$4+3)*(Timeline!$J$5:$J$305&gt;=AS$4+3)),SUMPRODUCT((INDEX(Timeline!$P$5:$AN$305,0,MATCH($A12,Timeline!$P$4:$AN$4,0))="x")*(Timeline!$K$5:$K$305="Task")*ISNUMBER(Timeline!$I$5:$I$305)*ISNUMBER(Timeline!$J$5:$J$305)*(Timeline!$I$5:$I$305&lt;=AS$4+4)*(Timeline!$J$5:$J$305&gt;=AS$4+4)),SUMPRODUCT((INDEX(Timeline!$P$5:$AN$305,0,MATCH($A12,Timeline!$P$4:$AN$4,0))="x")*(Timeline!$K$5:$K$305="Task")*ISNUMBER(Timeline!$I$5:$I$305)*ISNUMBER(Timeline!$J$5:$J$305)*(Timeline!$I$5:$I$305&lt;=AS$4+5)*(Timeline!$J$5:$J$305&gt;=AS$4+5)),SUMPRODUCT((INDEX(Timeline!$P$5:$AN$305,0,MATCH($A12,Timeline!$P$4:$AN$4,0))="x")*(Timeline!$K$5:$K$305="Task")*ISNUMBER(Timeline!$I$5:$I$305)*ISNUMBER(Timeline!$J$5:$J$305)*(Timeline!$I$5:$I$305&lt;=AS$4+6)*(Timeline!$J$5:$J$305&gt;=AS$4+6)))</f>
        <v>0</v>
      </c>
      <c r="AT12" s="67">
        <f>MAX(SUMPRODUCT((INDEX(Timeline!$P$5:$AN$305,0,MATCH($A12,Timeline!$P$4:$AN$4,0))="x")*(Timeline!$K$5:$K$305="Task")*ISNUMBER(Timeline!$I$5:$I$305)*ISNUMBER(Timeline!$J$5:$J$305)*(Timeline!$I$5:$I$305&lt;=AT$4+0)*(Timeline!$J$5:$J$305&gt;=AT$4+0)),SUMPRODUCT((INDEX(Timeline!$P$5:$AN$305,0,MATCH($A12,Timeline!$P$4:$AN$4,0))="x")*(Timeline!$K$5:$K$305="Task")*ISNUMBER(Timeline!$I$5:$I$305)*ISNUMBER(Timeline!$J$5:$J$305)*(Timeline!$I$5:$I$305&lt;=AT$4+1)*(Timeline!$J$5:$J$305&gt;=AT$4+1)),SUMPRODUCT((INDEX(Timeline!$P$5:$AN$305,0,MATCH($A12,Timeline!$P$4:$AN$4,0))="x")*(Timeline!$K$5:$K$305="Task")*ISNUMBER(Timeline!$I$5:$I$305)*ISNUMBER(Timeline!$J$5:$J$305)*(Timeline!$I$5:$I$305&lt;=AT$4+2)*(Timeline!$J$5:$J$305&gt;=AT$4+2)),SUMPRODUCT((INDEX(Timeline!$P$5:$AN$305,0,MATCH($A12,Timeline!$P$4:$AN$4,0))="x")*(Timeline!$K$5:$K$305="Task")*ISNUMBER(Timeline!$I$5:$I$305)*ISNUMBER(Timeline!$J$5:$J$305)*(Timeline!$I$5:$I$305&lt;=AT$4+3)*(Timeline!$J$5:$J$305&gt;=AT$4+3)),SUMPRODUCT((INDEX(Timeline!$P$5:$AN$305,0,MATCH($A12,Timeline!$P$4:$AN$4,0))="x")*(Timeline!$K$5:$K$305="Task")*ISNUMBER(Timeline!$I$5:$I$305)*ISNUMBER(Timeline!$J$5:$J$305)*(Timeline!$I$5:$I$305&lt;=AT$4+4)*(Timeline!$J$5:$J$305&gt;=AT$4+4)),SUMPRODUCT((INDEX(Timeline!$P$5:$AN$305,0,MATCH($A12,Timeline!$P$4:$AN$4,0))="x")*(Timeline!$K$5:$K$305="Task")*ISNUMBER(Timeline!$I$5:$I$305)*ISNUMBER(Timeline!$J$5:$J$305)*(Timeline!$I$5:$I$305&lt;=AT$4+5)*(Timeline!$J$5:$J$305&gt;=AT$4+5)),SUMPRODUCT((INDEX(Timeline!$P$5:$AN$305,0,MATCH($A12,Timeline!$P$4:$AN$4,0))="x")*(Timeline!$K$5:$K$305="Task")*ISNUMBER(Timeline!$I$5:$I$305)*ISNUMBER(Timeline!$J$5:$J$305)*(Timeline!$I$5:$I$305&lt;=AT$4+6)*(Timeline!$J$5:$J$305&gt;=AT$4+6)))</f>
        <v>0</v>
      </c>
      <c r="AU12" s="67">
        <f>MAX(SUMPRODUCT((INDEX(Timeline!$P$5:$AN$305,0,MATCH($A12,Timeline!$P$4:$AN$4,0))="x")*(Timeline!$K$5:$K$305="Task")*ISNUMBER(Timeline!$I$5:$I$305)*ISNUMBER(Timeline!$J$5:$J$305)*(Timeline!$I$5:$I$305&lt;=AU$4+0)*(Timeline!$J$5:$J$305&gt;=AU$4+0)),SUMPRODUCT((INDEX(Timeline!$P$5:$AN$305,0,MATCH($A12,Timeline!$P$4:$AN$4,0))="x")*(Timeline!$K$5:$K$305="Task")*ISNUMBER(Timeline!$I$5:$I$305)*ISNUMBER(Timeline!$J$5:$J$305)*(Timeline!$I$5:$I$305&lt;=AU$4+1)*(Timeline!$J$5:$J$305&gt;=AU$4+1)),SUMPRODUCT((INDEX(Timeline!$P$5:$AN$305,0,MATCH($A12,Timeline!$P$4:$AN$4,0))="x")*(Timeline!$K$5:$K$305="Task")*ISNUMBER(Timeline!$I$5:$I$305)*ISNUMBER(Timeline!$J$5:$J$305)*(Timeline!$I$5:$I$305&lt;=AU$4+2)*(Timeline!$J$5:$J$305&gt;=AU$4+2)),SUMPRODUCT((INDEX(Timeline!$P$5:$AN$305,0,MATCH($A12,Timeline!$P$4:$AN$4,0))="x")*(Timeline!$K$5:$K$305="Task")*ISNUMBER(Timeline!$I$5:$I$305)*ISNUMBER(Timeline!$J$5:$J$305)*(Timeline!$I$5:$I$305&lt;=AU$4+3)*(Timeline!$J$5:$J$305&gt;=AU$4+3)),SUMPRODUCT((INDEX(Timeline!$P$5:$AN$305,0,MATCH($A12,Timeline!$P$4:$AN$4,0))="x")*(Timeline!$K$5:$K$305="Task")*ISNUMBER(Timeline!$I$5:$I$305)*ISNUMBER(Timeline!$J$5:$J$305)*(Timeline!$I$5:$I$305&lt;=AU$4+4)*(Timeline!$J$5:$J$305&gt;=AU$4+4)),SUMPRODUCT((INDEX(Timeline!$P$5:$AN$305,0,MATCH($A12,Timeline!$P$4:$AN$4,0))="x")*(Timeline!$K$5:$K$305="Task")*ISNUMBER(Timeline!$I$5:$I$305)*ISNUMBER(Timeline!$J$5:$J$305)*(Timeline!$I$5:$I$305&lt;=AU$4+5)*(Timeline!$J$5:$J$305&gt;=AU$4+5)),SUMPRODUCT((INDEX(Timeline!$P$5:$AN$305,0,MATCH($A12,Timeline!$P$4:$AN$4,0))="x")*(Timeline!$K$5:$K$305="Task")*ISNUMBER(Timeline!$I$5:$I$305)*ISNUMBER(Timeline!$J$5:$J$305)*(Timeline!$I$5:$I$305&lt;=AU$4+6)*(Timeline!$J$5:$J$305&gt;=AU$4+6)))</f>
        <v>0</v>
      </c>
      <c r="AV12" s="67">
        <f>MAX(SUMPRODUCT((INDEX(Timeline!$P$5:$AN$305,0,MATCH($A12,Timeline!$P$4:$AN$4,0))="x")*(Timeline!$K$5:$K$305="Task")*ISNUMBER(Timeline!$I$5:$I$305)*ISNUMBER(Timeline!$J$5:$J$305)*(Timeline!$I$5:$I$305&lt;=AV$4+0)*(Timeline!$J$5:$J$305&gt;=AV$4+0)),SUMPRODUCT((INDEX(Timeline!$P$5:$AN$305,0,MATCH($A12,Timeline!$P$4:$AN$4,0))="x")*(Timeline!$K$5:$K$305="Task")*ISNUMBER(Timeline!$I$5:$I$305)*ISNUMBER(Timeline!$J$5:$J$305)*(Timeline!$I$5:$I$305&lt;=AV$4+1)*(Timeline!$J$5:$J$305&gt;=AV$4+1)),SUMPRODUCT((INDEX(Timeline!$P$5:$AN$305,0,MATCH($A12,Timeline!$P$4:$AN$4,0))="x")*(Timeline!$K$5:$K$305="Task")*ISNUMBER(Timeline!$I$5:$I$305)*ISNUMBER(Timeline!$J$5:$J$305)*(Timeline!$I$5:$I$305&lt;=AV$4+2)*(Timeline!$J$5:$J$305&gt;=AV$4+2)),SUMPRODUCT((INDEX(Timeline!$P$5:$AN$305,0,MATCH($A12,Timeline!$P$4:$AN$4,0))="x")*(Timeline!$K$5:$K$305="Task")*ISNUMBER(Timeline!$I$5:$I$305)*ISNUMBER(Timeline!$J$5:$J$305)*(Timeline!$I$5:$I$305&lt;=AV$4+3)*(Timeline!$J$5:$J$305&gt;=AV$4+3)),SUMPRODUCT((INDEX(Timeline!$P$5:$AN$305,0,MATCH($A12,Timeline!$P$4:$AN$4,0))="x")*(Timeline!$K$5:$K$305="Task")*ISNUMBER(Timeline!$I$5:$I$305)*ISNUMBER(Timeline!$J$5:$J$305)*(Timeline!$I$5:$I$305&lt;=AV$4+4)*(Timeline!$J$5:$J$305&gt;=AV$4+4)),SUMPRODUCT((INDEX(Timeline!$P$5:$AN$305,0,MATCH($A12,Timeline!$P$4:$AN$4,0))="x")*(Timeline!$K$5:$K$305="Task")*ISNUMBER(Timeline!$I$5:$I$305)*ISNUMBER(Timeline!$J$5:$J$305)*(Timeline!$I$5:$I$305&lt;=AV$4+5)*(Timeline!$J$5:$J$305&gt;=AV$4+5)),SUMPRODUCT((INDEX(Timeline!$P$5:$AN$305,0,MATCH($A12,Timeline!$P$4:$AN$4,0))="x")*(Timeline!$K$5:$K$305="Task")*ISNUMBER(Timeline!$I$5:$I$305)*ISNUMBER(Timeline!$J$5:$J$305)*(Timeline!$I$5:$I$305&lt;=AV$4+6)*(Timeline!$J$5:$J$305&gt;=AV$4+6)))</f>
        <v>0</v>
      </c>
      <c r="AW12" s="67">
        <f>MAX(SUMPRODUCT((INDEX(Timeline!$P$5:$AN$305,0,MATCH($A12,Timeline!$P$4:$AN$4,0))="x")*(Timeline!$K$5:$K$305="Task")*ISNUMBER(Timeline!$I$5:$I$305)*ISNUMBER(Timeline!$J$5:$J$305)*(Timeline!$I$5:$I$305&lt;=AW$4+0)*(Timeline!$J$5:$J$305&gt;=AW$4+0)),SUMPRODUCT((INDEX(Timeline!$P$5:$AN$305,0,MATCH($A12,Timeline!$P$4:$AN$4,0))="x")*(Timeline!$K$5:$K$305="Task")*ISNUMBER(Timeline!$I$5:$I$305)*ISNUMBER(Timeline!$J$5:$J$305)*(Timeline!$I$5:$I$305&lt;=AW$4+1)*(Timeline!$J$5:$J$305&gt;=AW$4+1)),SUMPRODUCT((INDEX(Timeline!$P$5:$AN$305,0,MATCH($A12,Timeline!$P$4:$AN$4,0))="x")*(Timeline!$K$5:$K$305="Task")*ISNUMBER(Timeline!$I$5:$I$305)*ISNUMBER(Timeline!$J$5:$J$305)*(Timeline!$I$5:$I$305&lt;=AW$4+2)*(Timeline!$J$5:$J$305&gt;=AW$4+2)),SUMPRODUCT((INDEX(Timeline!$P$5:$AN$305,0,MATCH($A12,Timeline!$P$4:$AN$4,0))="x")*(Timeline!$K$5:$K$305="Task")*ISNUMBER(Timeline!$I$5:$I$305)*ISNUMBER(Timeline!$J$5:$J$305)*(Timeline!$I$5:$I$305&lt;=AW$4+3)*(Timeline!$J$5:$J$305&gt;=AW$4+3)),SUMPRODUCT((INDEX(Timeline!$P$5:$AN$305,0,MATCH($A12,Timeline!$P$4:$AN$4,0))="x")*(Timeline!$K$5:$K$305="Task")*ISNUMBER(Timeline!$I$5:$I$305)*ISNUMBER(Timeline!$J$5:$J$305)*(Timeline!$I$5:$I$305&lt;=AW$4+4)*(Timeline!$J$5:$J$305&gt;=AW$4+4)),SUMPRODUCT((INDEX(Timeline!$P$5:$AN$305,0,MATCH($A12,Timeline!$P$4:$AN$4,0))="x")*(Timeline!$K$5:$K$305="Task")*ISNUMBER(Timeline!$I$5:$I$305)*ISNUMBER(Timeline!$J$5:$J$305)*(Timeline!$I$5:$I$305&lt;=AW$4+5)*(Timeline!$J$5:$J$305&gt;=AW$4+5)),SUMPRODUCT((INDEX(Timeline!$P$5:$AN$305,0,MATCH($A12,Timeline!$P$4:$AN$4,0))="x")*(Timeline!$K$5:$K$305="Task")*ISNUMBER(Timeline!$I$5:$I$305)*ISNUMBER(Timeline!$J$5:$J$305)*(Timeline!$I$5:$I$305&lt;=AW$4+6)*(Timeline!$J$5:$J$305&gt;=AW$4+6)))</f>
        <v>0</v>
      </c>
      <c r="AX12" s="67">
        <f>MAX(SUMPRODUCT((INDEX(Timeline!$P$5:$AN$305,0,MATCH($A12,Timeline!$P$4:$AN$4,0))="x")*(Timeline!$K$5:$K$305="Task")*ISNUMBER(Timeline!$I$5:$I$305)*ISNUMBER(Timeline!$J$5:$J$305)*(Timeline!$I$5:$I$305&lt;=AX$4+0)*(Timeline!$J$5:$J$305&gt;=AX$4+0)),SUMPRODUCT((INDEX(Timeline!$P$5:$AN$305,0,MATCH($A12,Timeline!$P$4:$AN$4,0))="x")*(Timeline!$K$5:$K$305="Task")*ISNUMBER(Timeline!$I$5:$I$305)*ISNUMBER(Timeline!$J$5:$J$305)*(Timeline!$I$5:$I$305&lt;=AX$4+1)*(Timeline!$J$5:$J$305&gt;=AX$4+1)),SUMPRODUCT((INDEX(Timeline!$P$5:$AN$305,0,MATCH($A12,Timeline!$P$4:$AN$4,0))="x")*(Timeline!$K$5:$K$305="Task")*ISNUMBER(Timeline!$I$5:$I$305)*ISNUMBER(Timeline!$J$5:$J$305)*(Timeline!$I$5:$I$305&lt;=AX$4+2)*(Timeline!$J$5:$J$305&gt;=AX$4+2)),SUMPRODUCT((INDEX(Timeline!$P$5:$AN$305,0,MATCH($A12,Timeline!$P$4:$AN$4,0))="x")*(Timeline!$K$5:$K$305="Task")*ISNUMBER(Timeline!$I$5:$I$305)*ISNUMBER(Timeline!$J$5:$J$305)*(Timeline!$I$5:$I$305&lt;=AX$4+3)*(Timeline!$J$5:$J$305&gt;=AX$4+3)),SUMPRODUCT((INDEX(Timeline!$P$5:$AN$305,0,MATCH($A12,Timeline!$P$4:$AN$4,0))="x")*(Timeline!$K$5:$K$305="Task")*ISNUMBER(Timeline!$I$5:$I$305)*ISNUMBER(Timeline!$J$5:$J$305)*(Timeline!$I$5:$I$305&lt;=AX$4+4)*(Timeline!$J$5:$J$305&gt;=AX$4+4)),SUMPRODUCT((INDEX(Timeline!$P$5:$AN$305,0,MATCH($A12,Timeline!$P$4:$AN$4,0))="x")*(Timeline!$K$5:$K$305="Task")*ISNUMBER(Timeline!$I$5:$I$305)*ISNUMBER(Timeline!$J$5:$J$305)*(Timeline!$I$5:$I$305&lt;=AX$4+5)*(Timeline!$J$5:$J$305&gt;=AX$4+5)),SUMPRODUCT((INDEX(Timeline!$P$5:$AN$305,0,MATCH($A12,Timeline!$P$4:$AN$4,0))="x")*(Timeline!$K$5:$K$305="Task")*ISNUMBER(Timeline!$I$5:$I$305)*ISNUMBER(Timeline!$J$5:$J$305)*(Timeline!$I$5:$I$305&lt;=AX$4+6)*(Timeline!$J$5:$J$305&gt;=AX$4+6)))</f>
        <v>0</v>
      </c>
      <c r="AY12" s="67">
        <f>MAX(SUMPRODUCT((INDEX(Timeline!$P$5:$AN$305,0,MATCH($A12,Timeline!$P$4:$AN$4,0))="x")*(Timeline!$K$5:$K$305="Task")*ISNUMBER(Timeline!$I$5:$I$305)*ISNUMBER(Timeline!$J$5:$J$305)*(Timeline!$I$5:$I$305&lt;=AY$4+0)*(Timeline!$J$5:$J$305&gt;=AY$4+0)),SUMPRODUCT((INDEX(Timeline!$P$5:$AN$305,0,MATCH($A12,Timeline!$P$4:$AN$4,0))="x")*(Timeline!$K$5:$K$305="Task")*ISNUMBER(Timeline!$I$5:$I$305)*ISNUMBER(Timeline!$J$5:$J$305)*(Timeline!$I$5:$I$305&lt;=AY$4+1)*(Timeline!$J$5:$J$305&gt;=AY$4+1)),SUMPRODUCT((INDEX(Timeline!$P$5:$AN$305,0,MATCH($A12,Timeline!$P$4:$AN$4,0))="x")*(Timeline!$K$5:$K$305="Task")*ISNUMBER(Timeline!$I$5:$I$305)*ISNUMBER(Timeline!$J$5:$J$305)*(Timeline!$I$5:$I$305&lt;=AY$4+2)*(Timeline!$J$5:$J$305&gt;=AY$4+2)),SUMPRODUCT((INDEX(Timeline!$P$5:$AN$305,0,MATCH($A12,Timeline!$P$4:$AN$4,0))="x")*(Timeline!$K$5:$K$305="Task")*ISNUMBER(Timeline!$I$5:$I$305)*ISNUMBER(Timeline!$J$5:$J$305)*(Timeline!$I$5:$I$305&lt;=AY$4+3)*(Timeline!$J$5:$J$305&gt;=AY$4+3)),SUMPRODUCT((INDEX(Timeline!$P$5:$AN$305,0,MATCH($A12,Timeline!$P$4:$AN$4,0))="x")*(Timeline!$K$5:$K$305="Task")*ISNUMBER(Timeline!$I$5:$I$305)*ISNUMBER(Timeline!$J$5:$J$305)*(Timeline!$I$5:$I$305&lt;=AY$4+4)*(Timeline!$J$5:$J$305&gt;=AY$4+4)),SUMPRODUCT((INDEX(Timeline!$P$5:$AN$305,0,MATCH($A12,Timeline!$P$4:$AN$4,0))="x")*(Timeline!$K$5:$K$305="Task")*ISNUMBER(Timeline!$I$5:$I$305)*ISNUMBER(Timeline!$J$5:$J$305)*(Timeline!$I$5:$I$305&lt;=AY$4+5)*(Timeline!$J$5:$J$305&gt;=AY$4+5)),SUMPRODUCT((INDEX(Timeline!$P$5:$AN$305,0,MATCH($A12,Timeline!$P$4:$AN$4,0))="x")*(Timeline!$K$5:$K$305="Task")*ISNUMBER(Timeline!$I$5:$I$305)*ISNUMBER(Timeline!$J$5:$J$305)*(Timeline!$I$5:$I$305&lt;=AY$4+6)*(Timeline!$J$5:$J$305&gt;=AY$4+6)))</f>
        <v>0</v>
      </c>
      <c r="AZ12" s="67">
        <f>MAX(SUMPRODUCT((INDEX(Timeline!$P$5:$AN$305,0,MATCH($A12,Timeline!$P$4:$AN$4,0))="x")*(Timeline!$K$5:$K$305="Task")*ISNUMBER(Timeline!$I$5:$I$305)*ISNUMBER(Timeline!$J$5:$J$305)*(Timeline!$I$5:$I$305&lt;=AZ$4+0)*(Timeline!$J$5:$J$305&gt;=AZ$4+0)),SUMPRODUCT((INDEX(Timeline!$P$5:$AN$305,0,MATCH($A12,Timeline!$P$4:$AN$4,0))="x")*(Timeline!$K$5:$K$305="Task")*ISNUMBER(Timeline!$I$5:$I$305)*ISNUMBER(Timeline!$J$5:$J$305)*(Timeline!$I$5:$I$305&lt;=AZ$4+1)*(Timeline!$J$5:$J$305&gt;=AZ$4+1)),SUMPRODUCT((INDEX(Timeline!$P$5:$AN$305,0,MATCH($A12,Timeline!$P$4:$AN$4,0))="x")*(Timeline!$K$5:$K$305="Task")*ISNUMBER(Timeline!$I$5:$I$305)*ISNUMBER(Timeline!$J$5:$J$305)*(Timeline!$I$5:$I$305&lt;=AZ$4+2)*(Timeline!$J$5:$J$305&gt;=AZ$4+2)),SUMPRODUCT((INDEX(Timeline!$P$5:$AN$305,0,MATCH($A12,Timeline!$P$4:$AN$4,0))="x")*(Timeline!$K$5:$K$305="Task")*ISNUMBER(Timeline!$I$5:$I$305)*ISNUMBER(Timeline!$J$5:$J$305)*(Timeline!$I$5:$I$305&lt;=AZ$4+3)*(Timeline!$J$5:$J$305&gt;=AZ$4+3)),SUMPRODUCT((INDEX(Timeline!$P$5:$AN$305,0,MATCH($A12,Timeline!$P$4:$AN$4,0))="x")*(Timeline!$K$5:$K$305="Task")*ISNUMBER(Timeline!$I$5:$I$305)*ISNUMBER(Timeline!$J$5:$J$305)*(Timeline!$I$5:$I$305&lt;=AZ$4+4)*(Timeline!$J$5:$J$305&gt;=AZ$4+4)),SUMPRODUCT((INDEX(Timeline!$P$5:$AN$305,0,MATCH($A12,Timeline!$P$4:$AN$4,0))="x")*(Timeline!$K$5:$K$305="Task")*ISNUMBER(Timeline!$I$5:$I$305)*ISNUMBER(Timeline!$J$5:$J$305)*(Timeline!$I$5:$I$305&lt;=AZ$4+5)*(Timeline!$J$5:$J$305&gt;=AZ$4+5)),SUMPRODUCT((INDEX(Timeline!$P$5:$AN$305,0,MATCH($A12,Timeline!$P$4:$AN$4,0))="x")*(Timeline!$K$5:$K$305="Task")*ISNUMBER(Timeline!$I$5:$I$305)*ISNUMBER(Timeline!$J$5:$J$305)*(Timeline!$I$5:$I$305&lt;=AZ$4+6)*(Timeline!$J$5:$J$305&gt;=AZ$4+6)))</f>
        <v>0</v>
      </c>
      <c r="BA12" s="67">
        <f>MAX(SUMPRODUCT((INDEX(Timeline!$P$5:$AN$305,0,MATCH($A12,Timeline!$P$4:$AN$4,0))="x")*(Timeline!$K$5:$K$305="Task")*ISNUMBER(Timeline!$I$5:$I$305)*ISNUMBER(Timeline!$J$5:$J$305)*(Timeline!$I$5:$I$305&lt;=BA$4+0)*(Timeline!$J$5:$J$305&gt;=BA$4+0)),SUMPRODUCT((INDEX(Timeline!$P$5:$AN$305,0,MATCH($A12,Timeline!$P$4:$AN$4,0))="x")*(Timeline!$K$5:$K$305="Task")*ISNUMBER(Timeline!$I$5:$I$305)*ISNUMBER(Timeline!$J$5:$J$305)*(Timeline!$I$5:$I$305&lt;=BA$4+1)*(Timeline!$J$5:$J$305&gt;=BA$4+1)),SUMPRODUCT((INDEX(Timeline!$P$5:$AN$305,0,MATCH($A12,Timeline!$P$4:$AN$4,0))="x")*(Timeline!$K$5:$K$305="Task")*ISNUMBER(Timeline!$I$5:$I$305)*ISNUMBER(Timeline!$J$5:$J$305)*(Timeline!$I$5:$I$305&lt;=BA$4+2)*(Timeline!$J$5:$J$305&gt;=BA$4+2)),SUMPRODUCT((INDEX(Timeline!$P$5:$AN$305,0,MATCH($A12,Timeline!$P$4:$AN$4,0))="x")*(Timeline!$K$5:$K$305="Task")*ISNUMBER(Timeline!$I$5:$I$305)*ISNUMBER(Timeline!$J$5:$J$305)*(Timeline!$I$5:$I$305&lt;=BA$4+3)*(Timeline!$J$5:$J$305&gt;=BA$4+3)),SUMPRODUCT((INDEX(Timeline!$P$5:$AN$305,0,MATCH($A12,Timeline!$P$4:$AN$4,0))="x")*(Timeline!$K$5:$K$305="Task")*ISNUMBER(Timeline!$I$5:$I$305)*ISNUMBER(Timeline!$J$5:$J$305)*(Timeline!$I$5:$I$305&lt;=BA$4+4)*(Timeline!$J$5:$J$305&gt;=BA$4+4)),SUMPRODUCT((INDEX(Timeline!$P$5:$AN$305,0,MATCH($A12,Timeline!$P$4:$AN$4,0))="x")*(Timeline!$K$5:$K$305="Task")*ISNUMBER(Timeline!$I$5:$I$305)*ISNUMBER(Timeline!$J$5:$J$305)*(Timeline!$I$5:$I$305&lt;=BA$4+5)*(Timeline!$J$5:$J$305&gt;=BA$4+5)),SUMPRODUCT((INDEX(Timeline!$P$5:$AN$305,0,MATCH($A12,Timeline!$P$4:$AN$4,0))="x")*(Timeline!$K$5:$K$305="Task")*ISNUMBER(Timeline!$I$5:$I$305)*ISNUMBER(Timeline!$J$5:$J$305)*(Timeline!$I$5:$I$305&lt;=BA$4+6)*(Timeline!$J$5:$J$305&gt;=BA$4+6)))</f>
        <v>0</v>
      </c>
    </row>
    <row r="13" spans="1:53" ht="15" customHeight="1">
      <c r="A13" s="66" t="s">
        <v>44</v>
      </c>
      <c r="B13" s="66" t="s">
        <v>12</v>
      </c>
      <c r="C13" s="67">
        <f>MAX(SUMPRODUCT((INDEX(Timeline!$P$5:$AN$305,0,MATCH($A13,Timeline!$P$4:$AN$4,0))="x")*(Timeline!$K$5:$K$305="Task")*ISNUMBER(Timeline!$I$5:$I$305)*ISNUMBER(Timeline!$J$5:$J$305)*(Timeline!$I$5:$I$305&lt;=C$4+0)*(Timeline!$J$5:$J$305&gt;=C$4+0)),SUMPRODUCT((INDEX(Timeline!$P$5:$AN$305,0,MATCH($A13,Timeline!$P$4:$AN$4,0))="x")*(Timeline!$K$5:$K$305="Task")*ISNUMBER(Timeline!$I$5:$I$305)*ISNUMBER(Timeline!$J$5:$J$305)*(Timeline!$I$5:$I$305&lt;=C$4+1)*(Timeline!$J$5:$J$305&gt;=C$4+1)),SUMPRODUCT((INDEX(Timeline!$P$5:$AN$305,0,MATCH($A13,Timeline!$P$4:$AN$4,0))="x")*(Timeline!$K$5:$K$305="Task")*ISNUMBER(Timeline!$I$5:$I$305)*ISNUMBER(Timeline!$J$5:$J$305)*(Timeline!$I$5:$I$305&lt;=C$4+2)*(Timeline!$J$5:$J$305&gt;=C$4+2)),SUMPRODUCT((INDEX(Timeline!$P$5:$AN$305,0,MATCH($A13,Timeline!$P$4:$AN$4,0))="x")*(Timeline!$K$5:$K$305="Task")*ISNUMBER(Timeline!$I$5:$I$305)*ISNUMBER(Timeline!$J$5:$J$305)*(Timeline!$I$5:$I$305&lt;=C$4+3)*(Timeline!$J$5:$J$305&gt;=C$4+3)),SUMPRODUCT((INDEX(Timeline!$P$5:$AN$305,0,MATCH($A13,Timeline!$P$4:$AN$4,0))="x")*(Timeline!$K$5:$K$305="Task")*ISNUMBER(Timeline!$I$5:$I$305)*ISNUMBER(Timeline!$J$5:$J$305)*(Timeline!$I$5:$I$305&lt;=C$4+4)*(Timeline!$J$5:$J$305&gt;=C$4+4)),SUMPRODUCT((INDEX(Timeline!$P$5:$AN$305,0,MATCH($A13,Timeline!$P$4:$AN$4,0))="x")*(Timeline!$K$5:$K$305="Task")*ISNUMBER(Timeline!$I$5:$I$305)*ISNUMBER(Timeline!$J$5:$J$305)*(Timeline!$I$5:$I$305&lt;=C$4+5)*(Timeline!$J$5:$J$305&gt;=C$4+5)),SUMPRODUCT((INDEX(Timeline!$P$5:$AN$305,0,MATCH($A13,Timeline!$P$4:$AN$4,0))="x")*(Timeline!$K$5:$K$305="Task")*ISNUMBER(Timeline!$I$5:$I$305)*ISNUMBER(Timeline!$J$5:$J$305)*(Timeline!$I$5:$I$305&lt;=C$4+6)*(Timeline!$J$5:$J$305&gt;=C$4+6)))</f>
        <v>0</v>
      </c>
      <c r="D13" s="67">
        <f>MAX(SUMPRODUCT((INDEX(Timeline!$P$5:$AN$305,0,MATCH($A13,Timeline!$P$4:$AN$4,0))="x")*(Timeline!$K$5:$K$305="Task")*ISNUMBER(Timeline!$I$5:$I$305)*ISNUMBER(Timeline!$J$5:$J$305)*(Timeline!$I$5:$I$305&lt;=D$4+0)*(Timeline!$J$5:$J$305&gt;=D$4+0)),SUMPRODUCT((INDEX(Timeline!$P$5:$AN$305,0,MATCH($A13,Timeline!$P$4:$AN$4,0))="x")*(Timeline!$K$5:$K$305="Task")*ISNUMBER(Timeline!$I$5:$I$305)*ISNUMBER(Timeline!$J$5:$J$305)*(Timeline!$I$5:$I$305&lt;=D$4+1)*(Timeline!$J$5:$J$305&gt;=D$4+1)),SUMPRODUCT((INDEX(Timeline!$P$5:$AN$305,0,MATCH($A13,Timeline!$P$4:$AN$4,0))="x")*(Timeline!$K$5:$K$305="Task")*ISNUMBER(Timeline!$I$5:$I$305)*ISNUMBER(Timeline!$J$5:$J$305)*(Timeline!$I$5:$I$305&lt;=D$4+2)*(Timeline!$J$5:$J$305&gt;=D$4+2)),SUMPRODUCT((INDEX(Timeline!$P$5:$AN$305,0,MATCH($A13,Timeline!$P$4:$AN$4,0))="x")*(Timeline!$K$5:$K$305="Task")*ISNUMBER(Timeline!$I$5:$I$305)*ISNUMBER(Timeline!$J$5:$J$305)*(Timeline!$I$5:$I$305&lt;=D$4+3)*(Timeline!$J$5:$J$305&gt;=D$4+3)),SUMPRODUCT((INDEX(Timeline!$P$5:$AN$305,0,MATCH($A13,Timeline!$P$4:$AN$4,0))="x")*(Timeline!$K$5:$K$305="Task")*ISNUMBER(Timeline!$I$5:$I$305)*ISNUMBER(Timeline!$J$5:$J$305)*(Timeline!$I$5:$I$305&lt;=D$4+4)*(Timeline!$J$5:$J$305&gt;=D$4+4)),SUMPRODUCT((INDEX(Timeline!$P$5:$AN$305,0,MATCH($A13,Timeline!$P$4:$AN$4,0))="x")*(Timeline!$K$5:$K$305="Task")*ISNUMBER(Timeline!$I$5:$I$305)*ISNUMBER(Timeline!$J$5:$J$305)*(Timeline!$I$5:$I$305&lt;=D$4+5)*(Timeline!$J$5:$J$305&gt;=D$4+5)),SUMPRODUCT((INDEX(Timeline!$P$5:$AN$305,0,MATCH($A13,Timeline!$P$4:$AN$4,0))="x")*(Timeline!$K$5:$K$305="Task")*ISNUMBER(Timeline!$I$5:$I$305)*ISNUMBER(Timeline!$J$5:$J$305)*(Timeline!$I$5:$I$305&lt;=D$4+6)*(Timeline!$J$5:$J$305&gt;=D$4+6)))</f>
        <v>0</v>
      </c>
      <c r="E13" s="67">
        <f>MAX(SUMPRODUCT((INDEX(Timeline!$P$5:$AN$305,0,MATCH($A13,Timeline!$P$4:$AN$4,0))="x")*(Timeline!$K$5:$K$305="Task")*ISNUMBER(Timeline!$I$5:$I$305)*ISNUMBER(Timeline!$J$5:$J$305)*(Timeline!$I$5:$I$305&lt;=E$4+0)*(Timeline!$J$5:$J$305&gt;=E$4+0)),SUMPRODUCT((INDEX(Timeline!$P$5:$AN$305,0,MATCH($A13,Timeline!$P$4:$AN$4,0))="x")*(Timeline!$K$5:$K$305="Task")*ISNUMBER(Timeline!$I$5:$I$305)*ISNUMBER(Timeline!$J$5:$J$305)*(Timeline!$I$5:$I$305&lt;=E$4+1)*(Timeline!$J$5:$J$305&gt;=E$4+1)),SUMPRODUCT((INDEX(Timeline!$P$5:$AN$305,0,MATCH($A13,Timeline!$P$4:$AN$4,0))="x")*(Timeline!$K$5:$K$305="Task")*ISNUMBER(Timeline!$I$5:$I$305)*ISNUMBER(Timeline!$J$5:$J$305)*(Timeline!$I$5:$I$305&lt;=E$4+2)*(Timeline!$J$5:$J$305&gt;=E$4+2)),SUMPRODUCT((INDEX(Timeline!$P$5:$AN$305,0,MATCH($A13,Timeline!$P$4:$AN$4,0))="x")*(Timeline!$K$5:$K$305="Task")*ISNUMBER(Timeline!$I$5:$I$305)*ISNUMBER(Timeline!$J$5:$J$305)*(Timeline!$I$5:$I$305&lt;=E$4+3)*(Timeline!$J$5:$J$305&gt;=E$4+3)),SUMPRODUCT((INDEX(Timeline!$P$5:$AN$305,0,MATCH($A13,Timeline!$P$4:$AN$4,0))="x")*(Timeline!$K$5:$K$305="Task")*ISNUMBER(Timeline!$I$5:$I$305)*ISNUMBER(Timeline!$J$5:$J$305)*(Timeline!$I$5:$I$305&lt;=E$4+4)*(Timeline!$J$5:$J$305&gt;=E$4+4)),SUMPRODUCT((INDEX(Timeline!$P$5:$AN$305,0,MATCH($A13,Timeline!$P$4:$AN$4,0))="x")*(Timeline!$K$5:$K$305="Task")*ISNUMBER(Timeline!$I$5:$I$305)*ISNUMBER(Timeline!$J$5:$J$305)*(Timeline!$I$5:$I$305&lt;=E$4+5)*(Timeline!$J$5:$J$305&gt;=E$4+5)),SUMPRODUCT((INDEX(Timeline!$P$5:$AN$305,0,MATCH($A13,Timeline!$P$4:$AN$4,0))="x")*(Timeline!$K$5:$K$305="Task")*ISNUMBER(Timeline!$I$5:$I$305)*ISNUMBER(Timeline!$J$5:$J$305)*(Timeline!$I$5:$I$305&lt;=E$4+6)*(Timeline!$J$5:$J$305&gt;=E$4+6)))</f>
        <v>0</v>
      </c>
      <c r="F13" s="67">
        <f>MAX(SUMPRODUCT((INDEX(Timeline!$P$5:$AN$305,0,MATCH($A13,Timeline!$P$4:$AN$4,0))="x")*(Timeline!$K$5:$K$305="Task")*ISNUMBER(Timeline!$I$5:$I$305)*ISNUMBER(Timeline!$J$5:$J$305)*(Timeline!$I$5:$I$305&lt;=F$4+0)*(Timeline!$J$5:$J$305&gt;=F$4+0)),SUMPRODUCT((INDEX(Timeline!$P$5:$AN$305,0,MATCH($A13,Timeline!$P$4:$AN$4,0))="x")*(Timeline!$K$5:$K$305="Task")*ISNUMBER(Timeline!$I$5:$I$305)*ISNUMBER(Timeline!$J$5:$J$305)*(Timeline!$I$5:$I$305&lt;=F$4+1)*(Timeline!$J$5:$J$305&gt;=F$4+1)),SUMPRODUCT((INDEX(Timeline!$P$5:$AN$305,0,MATCH($A13,Timeline!$P$4:$AN$4,0))="x")*(Timeline!$K$5:$K$305="Task")*ISNUMBER(Timeline!$I$5:$I$305)*ISNUMBER(Timeline!$J$5:$J$305)*(Timeline!$I$5:$I$305&lt;=F$4+2)*(Timeline!$J$5:$J$305&gt;=F$4+2)),SUMPRODUCT((INDEX(Timeline!$P$5:$AN$305,0,MATCH($A13,Timeline!$P$4:$AN$4,0))="x")*(Timeline!$K$5:$K$305="Task")*ISNUMBER(Timeline!$I$5:$I$305)*ISNUMBER(Timeline!$J$5:$J$305)*(Timeline!$I$5:$I$305&lt;=F$4+3)*(Timeline!$J$5:$J$305&gt;=F$4+3)),SUMPRODUCT((INDEX(Timeline!$P$5:$AN$305,0,MATCH($A13,Timeline!$P$4:$AN$4,0))="x")*(Timeline!$K$5:$K$305="Task")*ISNUMBER(Timeline!$I$5:$I$305)*ISNUMBER(Timeline!$J$5:$J$305)*(Timeline!$I$5:$I$305&lt;=F$4+4)*(Timeline!$J$5:$J$305&gt;=F$4+4)),SUMPRODUCT((INDEX(Timeline!$P$5:$AN$305,0,MATCH($A13,Timeline!$P$4:$AN$4,0))="x")*(Timeline!$K$5:$K$305="Task")*ISNUMBER(Timeline!$I$5:$I$305)*ISNUMBER(Timeline!$J$5:$J$305)*(Timeline!$I$5:$I$305&lt;=F$4+5)*(Timeline!$J$5:$J$305&gt;=F$4+5)),SUMPRODUCT((INDEX(Timeline!$P$5:$AN$305,0,MATCH($A13,Timeline!$P$4:$AN$4,0))="x")*(Timeline!$K$5:$K$305="Task")*ISNUMBER(Timeline!$I$5:$I$305)*ISNUMBER(Timeline!$J$5:$J$305)*(Timeline!$I$5:$I$305&lt;=F$4+6)*(Timeline!$J$5:$J$305&gt;=F$4+6)))</f>
        <v>0</v>
      </c>
      <c r="G13" s="67">
        <f>MAX(SUMPRODUCT((INDEX(Timeline!$P$5:$AN$305,0,MATCH($A13,Timeline!$P$4:$AN$4,0))="x")*(Timeline!$K$5:$K$305="Task")*ISNUMBER(Timeline!$I$5:$I$305)*ISNUMBER(Timeline!$J$5:$J$305)*(Timeline!$I$5:$I$305&lt;=G$4+0)*(Timeline!$J$5:$J$305&gt;=G$4+0)),SUMPRODUCT((INDEX(Timeline!$P$5:$AN$305,0,MATCH($A13,Timeline!$P$4:$AN$4,0))="x")*(Timeline!$K$5:$K$305="Task")*ISNUMBER(Timeline!$I$5:$I$305)*ISNUMBER(Timeline!$J$5:$J$305)*(Timeline!$I$5:$I$305&lt;=G$4+1)*(Timeline!$J$5:$J$305&gt;=G$4+1)),SUMPRODUCT((INDEX(Timeline!$P$5:$AN$305,0,MATCH($A13,Timeline!$P$4:$AN$4,0))="x")*(Timeline!$K$5:$K$305="Task")*ISNUMBER(Timeline!$I$5:$I$305)*ISNUMBER(Timeline!$J$5:$J$305)*(Timeline!$I$5:$I$305&lt;=G$4+2)*(Timeline!$J$5:$J$305&gt;=G$4+2)),SUMPRODUCT((INDEX(Timeline!$P$5:$AN$305,0,MATCH($A13,Timeline!$P$4:$AN$4,0))="x")*(Timeline!$K$5:$K$305="Task")*ISNUMBER(Timeline!$I$5:$I$305)*ISNUMBER(Timeline!$J$5:$J$305)*(Timeline!$I$5:$I$305&lt;=G$4+3)*(Timeline!$J$5:$J$305&gt;=G$4+3)),SUMPRODUCT((INDEX(Timeline!$P$5:$AN$305,0,MATCH($A13,Timeline!$P$4:$AN$4,0))="x")*(Timeline!$K$5:$K$305="Task")*ISNUMBER(Timeline!$I$5:$I$305)*ISNUMBER(Timeline!$J$5:$J$305)*(Timeline!$I$5:$I$305&lt;=G$4+4)*(Timeline!$J$5:$J$305&gt;=G$4+4)),SUMPRODUCT((INDEX(Timeline!$P$5:$AN$305,0,MATCH($A13,Timeline!$P$4:$AN$4,0))="x")*(Timeline!$K$5:$K$305="Task")*ISNUMBER(Timeline!$I$5:$I$305)*ISNUMBER(Timeline!$J$5:$J$305)*(Timeline!$I$5:$I$305&lt;=G$4+5)*(Timeline!$J$5:$J$305&gt;=G$4+5)),SUMPRODUCT((INDEX(Timeline!$P$5:$AN$305,0,MATCH($A13,Timeline!$P$4:$AN$4,0))="x")*(Timeline!$K$5:$K$305="Task")*ISNUMBER(Timeline!$I$5:$I$305)*ISNUMBER(Timeline!$J$5:$J$305)*(Timeline!$I$5:$I$305&lt;=G$4+6)*(Timeline!$J$5:$J$305&gt;=G$4+6)))</f>
        <v>2</v>
      </c>
      <c r="H13" s="67">
        <f>MAX(SUMPRODUCT((INDEX(Timeline!$P$5:$AN$305,0,MATCH($A13,Timeline!$P$4:$AN$4,0))="x")*(Timeline!$K$5:$K$305="Task")*ISNUMBER(Timeline!$I$5:$I$305)*ISNUMBER(Timeline!$J$5:$J$305)*(Timeline!$I$5:$I$305&lt;=H$4+0)*(Timeline!$J$5:$J$305&gt;=H$4+0)),SUMPRODUCT((INDEX(Timeline!$P$5:$AN$305,0,MATCH($A13,Timeline!$P$4:$AN$4,0))="x")*(Timeline!$K$5:$K$305="Task")*ISNUMBER(Timeline!$I$5:$I$305)*ISNUMBER(Timeline!$J$5:$J$305)*(Timeline!$I$5:$I$305&lt;=H$4+1)*(Timeline!$J$5:$J$305&gt;=H$4+1)),SUMPRODUCT((INDEX(Timeline!$P$5:$AN$305,0,MATCH($A13,Timeline!$P$4:$AN$4,0))="x")*(Timeline!$K$5:$K$305="Task")*ISNUMBER(Timeline!$I$5:$I$305)*ISNUMBER(Timeline!$J$5:$J$305)*(Timeline!$I$5:$I$305&lt;=H$4+2)*(Timeline!$J$5:$J$305&gt;=H$4+2)),SUMPRODUCT((INDEX(Timeline!$P$5:$AN$305,0,MATCH($A13,Timeline!$P$4:$AN$4,0))="x")*(Timeline!$K$5:$K$305="Task")*ISNUMBER(Timeline!$I$5:$I$305)*ISNUMBER(Timeline!$J$5:$J$305)*(Timeline!$I$5:$I$305&lt;=H$4+3)*(Timeline!$J$5:$J$305&gt;=H$4+3)),SUMPRODUCT((INDEX(Timeline!$P$5:$AN$305,0,MATCH($A13,Timeline!$P$4:$AN$4,0))="x")*(Timeline!$K$5:$K$305="Task")*ISNUMBER(Timeline!$I$5:$I$305)*ISNUMBER(Timeline!$J$5:$J$305)*(Timeline!$I$5:$I$305&lt;=H$4+4)*(Timeline!$J$5:$J$305&gt;=H$4+4)),SUMPRODUCT((INDEX(Timeline!$P$5:$AN$305,0,MATCH($A13,Timeline!$P$4:$AN$4,0))="x")*(Timeline!$K$5:$K$305="Task")*ISNUMBER(Timeline!$I$5:$I$305)*ISNUMBER(Timeline!$J$5:$J$305)*(Timeline!$I$5:$I$305&lt;=H$4+5)*(Timeline!$J$5:$J$305&gt;=H$4+5)),SUMPRODUCT((INDEX(Timeline!$P$5:$AN$305,0,MATCH($A13,Timeline!$P$4:$AN$4,0))="x")*(Timeline!$K$5:$K$305="Task")*ISNUMBER(Timeline!$I$5:$I$305)*ISNUMBER(Timeline!$J$5:$J$305)*(Timeline!$I$5:$I$305&lt;=H$4+6)*(Timeline!$J$5:$J$305&gt;=H$4+6)))</f>
        <v>1</v>
      </c>
      <c r="I13" s="67">
        <f>MAX(SUMPRODUCT((INDEX(Timeline!$P$5:$AN$305,0,MATCH($A13,Timeline!$P$4:$AN$4,0))="x")*(Timeline!$K$5:$K$305="Task")*ISNUMBER(Timeline!$I$5:$I$305)*ISNUMBER(Timeline!$J$5:$J$305)*(Timeline!$I$5:$I$305&lt;=I$4+0)*(Timeline!$J$5:$J$305&gt;=I$4+0)),SUMPRODUCT((INDEX(Timeline!$P$5:$AN$305,0,MATCH($A13,Timeline!$P$4:$AN$4,0))="x")*(Timeline!$K$5:$K$305="Task")*ISNUMBER(Timeline!$I$5:$I$305)*ISNUMBER(Timeline!$J$5:$J$305)*(Timeline!$I$5:$I$305&lt;=I$4+1)*(Timeline!$J$5:$J$305&gt;=I$4+1)),SUMPRODUCT((INDEX(Timeline!$P$5:$AN$305,0,MATCH($A13,Timeline!$P$4:$AN$4,0))="x")*(Timeline!$K$5:$K$305="Task")*ISNUMBER(Timeline!$I$5:$I$305)*ISNUMBER(Timeline!$J$5:$J$305)*(Timeline!$I$5:$I$305&lt;=I$4+2)*(Timeline!$J$5:$J$305&gt;=I$4+2)),SUMPRODUCT((INDEX(Timeline!$P$5:$AN$305,0,MATCH($A13,Timeline!$P$4:$AN$4,0))="x")*(Timeline!$K$5:$K$305="Task")*ISNUMBER(Timeline!$I$5:$I$305)*ISNUMBER(Timeline!$J$5:$J$305)*(Timeline!$I$5:$I$305&lt;=I$4+3)*(Timeline!$J$5:$J$305&gt;=I$4+3)),SUMPRODUCT((INDEX(Timeline!$P$5:$AN$305,0,MATCH($A13,Timeline!$P$4:$AN$4,0))="x")*(Timeline!$K$5:$K$305="Task")*ISNUMBER(Timeline!$I$5:$I$305)*ISNUMBER(Timeline!$J$5:$J$305)*(Timeline!$I$5:$I$305&lt;=I$4+4)*(Timeline!$J$5:$J$305&gt;=I$4+4)),SUMPRODUCT((INDEX(Timeline!$P$5:$AN$305,0,MATCH($A13,Timeline!$P$4:$AN$4,0))="x")*(Timeline!$K$5:$K$305="Task")*ISNUMBER(Timeline!$I$5:$I$305)*ISNUMBER(Timeline!$J$5:$J$305)*(Timeline!$I$5:$I$305&lt;=I$4+5)*(Timeline!$J$5:$J$305&gt;=I$4+5)),SUMPRODUCT((INDEX(Timeline!$P$5:$AN$305,0,MATCH($A13,Timeline!$P$4:$AN$4,0))="x")*(Timeline!$K$5:$K$305="Task")*ISNUMBER(Timeline!$I$5:$I$305)*ISNUMBER(Timeline!$J$5:$J$305)*(Timeline!$I$5:$I$305&lt;=I$4+6)*(Timeline!$J$5:$J$305&gt;=I$4+6)))</f>
        <v>2</v>
      </c>
      <c r="J13" s="67">
        <f>MAX(SUMPRODUCT((INDEX(Timeline!$P$5:$AN$305,0,MATCH($A13,Timeline!$P$4:$AN$4,0))="x")*(Timeline!$K$5:$K$305="Task")*ISNUMBER(Timeline!$I$5:$I$305)*ISNUMBER(Timeline!$J$5:$J$305)*(Timeline!$I$5:$I$305&lt;=J$4+0)*(Timeline!$J$5:$J$305&gt;=J$4+0)),SUMPRODUCT((INDEX(Timeline!$P$5:$AN$305,0,MATCH($A13,Timeline!$P$4:$AN$4,0))="x")*(Timeline!$K$5:$K$305="Task")*ISNUMBER(Timeline!$I$5:$I$305)*ISNUMBER(Timeline!$J$5:$J$305)*(Timeline!$I$5:$I$305&lt;=J$4+1)*(Timeline!$J$5:$J$305&gt;=J$4+1)),SUMPRODUCT((INDEX(Timeline!$P$5:$AN$305,0,MATCH($A13,Timeline!$P$4:$AN$4,0))="x")*(Timeline!$K$5:$K$305="Task")*ISNUMBER(Timeline!$I$5:$I$305)*ISNUMBER(Timeline!$J$5:$J$305)*(Timeline!$I$5:$I$305&lt;=J$4+2)*(Timeline!$J$5:$J$305&gt;=J$4+2)),SUMPRODUCT((INDEX(Timeline!$P$5:$AN$305,0,MATCH($A13,Timeline!$P$4:$AN$4,0))="x")*(Timeline!$K$5:$K$305="Task")*ISNUMBER(Timeline!$I$5:$I$305)*ISNUMBER(Timeline!$J$5:$J$305)*(Timeline!$I$5:$I$305&lt;=J$4+3)*(Timeline!$J$5:$J$305&gt;=J$4+3)),SUMPRODUCT((INDEX(Timeline!$P$5:$AN$305,0,MATCH($A13,Timeline!$P$4:$AN$4,0))="x")*(Timeline!$K$5:$K$305="Task")*ISNUMBER(Timeline!$I$5:$I$305)*ISNUMBER(Timeline!$J$5:$J$305)*(Timeline!$I$5:$I$305&lt;=J$4+4)*(Timeline!$J$5:$J$305&gt;=J$4+4)),SUMPRODUCT((INDEX(Timeline!$P$5:$AN$305,0,MATCH($A13,Timeline!$P$4:$AN$4,0))="x")*(Timeline!$K$5:$K$305="Task")*ISNUMBER(Timeline!$I$5:$I$305)*ISNUMBER(Timeline!$J$5:$J$305)*(Timeline!$I$5:$I$305&lt;=J$4+5)*(Timeline!$J$5:$J$305&gt;=J$4+5)),SUMPRODUCT((INDEX(Timeline!$P$5:$AN$305,0,MATCH($A13,Timeline!$P$4:$AN$4,0))="x")*(Timeline!$K$5:$K$305="Task")*ISNUMBER(Timeline!$I$5:$I$305)*ISNUMBER(Timeline!$J$5:$J$305)*(Timeline!$I$5:$I$305&lt;=J$4+6)*(Timeline!$J$5:$J$305&gt;=J$4+6)))</f>
        <v>2</v>
      </c>
      <c r="K13" s="67">
        <f>MAX(SUMPRODUCT((INDEX(Timeline!$P$5:$AN$305,0,MATCH($A13,Timeline!$P$4:$AN$4,0))="x")*(Timeline!$K$5:$K$305="Task")*ISNUMBER(Timeline!$I$5:$I$305)*ISNUMBER(Timeline!$J$5:$J$305)*(Timeline!$I$5:$I$305&lt;=K$4+0)*(Timeline!$J$5:$J$305&gt;=K$4+0)),SUMPRODUCT((INDEX(Timeline!$P$5:$AN$305,0,MATCH($A13,Timeline!$P$4:$AN$4,0))="x")*(Timeline!$K$5:$K$305="Task")*ISNUMBER(Timeline!$I$5:$I$305)*ISNUMBER(Timeline!$J$5:$J$305)*(Timeline!$I$5:$I$305&lt;=K$4+1)*(Timeline!$J$5:$J$305&gt;=K$4+1)),SUMPRODUCT((INDEX(Timeline!$P$5:$AN$305,0,MATCH($A13,Timeline!$P$4:$AN$4,0))="x")*(Timeline!$K$5:$K$305="Task")*ISNUMBER(Timeline!$I$5:$I$305)*ISNUMBER(Timeline!$J$5:$J$305)*(Timeline!$I$5:$I$305&lt;=K$4+2)*(Timeline!$J$5:$J$305&gt;=K$4+2)),SUMPRODUCT((INDEX(Timeline!$P$5:$AN$305,0,MATCH($A13,Timeline!$P$4:$AN$4,0))="x")*(Timeline!$K$5:$K$305="Task")*ISNUMBER(Timeline!$I$5:$I$305)*ISNUMBER(Timeline!$J$5:$J$305)*(Timeline!$I$5:$I$305&lt;=K$4+3)*(Timeline!$J$5:$J$305&gt;=K$4+3)),SUMPRODUCT((INDEX(Timeline!$P$5:$AN$305,0,MATCH($A13,Timeline!$P$4:$AN$4,0))="x")*(Timeline!$K$5:$K$305="Task")*ISNUMBER(Timeline!$I$5:$I$305)*ISNUMBER(Timeline!$J$5:$J$305)*(Timeline!$I$5:$I$305&lt;=K$4+4)*(Timeline!$J$5:$J$305&gt;=K$4+4)),SUMPRODUCT((INDEX(Timeline!$P$5:$AN$305,0,MATCH($A13,Timeline!$P$4:$AN$4,0))="x")*(Timeline!$K$5:$K$305="Task")*ISNUMBER(Timeline!$I$5:$I$305)*ISNUMBER(Timeline!$J$5:$J$305)*(Timeline!$I$5:$I$305&lt;=K$4+5)*(Timeline!$J$5:$J$305&gt;=K$4+5)),SUMPRODUCT((INDEX(Timeline!$P$5:$AN$305,0,MATCH($A13,Timeline!$P$4:$AN$4,0))="x")*(Timeline!$K$5:$K$305="Task")*ISNUMBER(Timeline!$I$5:$I$305)*ISNUMBER(Timeline!$J$5:$J$305)*(Timeline!$I$5:$I$305&lt;=K$4+6)*(Timeline!$J$5:$J$305&gt;=K$4+6)))</f>
        <v>2</v>
      </c>
      <c r="L13" s="67">
        <f>MAX(SUMPRODUCT((INDEX(Timeline!$P$5:$AN$305,0,MATCH($A13,Timeline!$P$4:$AN$4,0))="x")*(Timeline!$K$5:$K$305="Task")*ISNUMBER(Timeline!$I$5:$I$305)*ISNUMBER(Timeline!$J$5:$J$305)*(Timeline!$I$5:$I$305&lt;=L$4+0)*(Timeline!$J$5:$J$305&gt;=L$4+0)),SUMPRODUCT((INDEX(Timeline!$P$5:$AN$305,0,MATCH($A13,Timeline!$P$4:$AN$4,0))="x")*(Timeline!$K$5:$K$305="Task")*ISNUMBER(Timeline!$I$5:$I$305)*ISNUMBER(Timeline!$J$5:$J$305)*(Timeline!$I$5:$I$305&lt;=L$4+1)*(Timeline!$J$5:$J$305&gt;=L$4+1)),SUMPRODUCT((INDEX(Timeline!$P$5:$AN$305,0,MATCH($A13,Timeline!$P$4:$AN$4,0))="x")*(Timeline!$K$5:$K$305="Task")*ISNUMBER(Timeline!$I$5:$I$305)*ISNUMBER(Timeline!$J$5:$J$305)*(Timeline!$I$5:$I$305&lt;=L$4+2)*(Timeline!$J$5:$J$305&gt;=L$4+2)),SUMPRODUCT((INDEX(Timeline!$P$5:$AN$305,0,MATCH($A13,Timeline!$P$4:$AN$4,0))="x")*(Timeline!$K$5:$K$305="Task")*ISNUMBER(Timeline!$I$5:$I$305)*ISNUMBER(Timeline!$J$5:$J$305)*(Timeline!$I$5:$I$305&lt;=L$4+3)*(Timeline!$J$5:$J$305&gt;=L$4+3)),SUMPRODUCT((INDEX(Timeline!$P$5:$AN$305,0,MATCH($A13,Timeline!$P$4:$AN$4,0))="x")*(Timeline!$K$5:$K$305="Task")*ISNUMBER(Timeline!$I$5:$I$305)*ISNUMBER(Timeline!$J$5:$J$305)*(Timeline!$I$5:$I$305&lt;=L$4+4)*(Timeline!$J$5:$J$305&gt;=L$4+4)),SUMPRODUCT((INDEX(Timeline!$P$5:$AN$305,0,MATCH($A13,Timeline!$P$4:$AN$4,0))="x")*(Timeline!$K$5:$K$305="Task")*ISNUMBER(Timeline!$I$5:$I$305)*ISNUMBER(Timeline!$J$5:$J$305)*(Timeline!$I$5:$I$305&lt;=L$4+5)*(Timeline!$J$5:$J$305&gt;=L$4+5)),SUMPRODUCT((INDEX(Timeline!$P$5:$AN$305,0,MATCH($A13,Timeline!$P$4:$AN$4,0))="x")*(Timeline!$K$5:$K$305="Task")*ISNUMBER(Timeline!$I$5:$I$305)*ISNUMBER(Timeline!$J$5:$J$305)*(Timeline!$I$5:$I$305&lt;=L$4+6)*(Timeline!$J$5:$J$305&gt;=L$4+6)))</f>
        <v>3</v>
      </c>
      <c r="M13" s="67">
        <f>MAX(SUMPRODUCT((INDEX(Timeline!$P$5:$AN$305,0,MATCH($A13,Timeline!$P$4:$AN$4,0))="x")*(Timeline!$K$5:$K$305="Task")*ISNUMBER(Timeline!$I$5:$I$305)*ISNUMBER(Timeline!$J$5:$J$305)*(Timeline!$I$5:$I$305&lt;=M$4+0)*(Timeline!$J$5:$J$305&gt;=M$4+0)),SUMPRODUCT((INDEX(Timeline!$P$5:$AN$305,0,MATCH($A13,Timeline!$P$4:$AN$4,0))="x")*(Timeline!$K$5:$K$305="Task")*ISNUMBER(Timeline!$I$5:$I$305)*ISNUMBER(Timeline!$J$5:$J$305)*(Timeline!$I$5:$I$305&lt;=M$4+1)*(Timeline!$J$5:$J$305&gt;=M$4+1)),SUMPRODUCT((INDEX(Timeline!$P$5:$AN$305,0,MATCH($A13,Timeline!$P$4:$AN$4,0))="x")*(Timeline!$K$5:$K$305="Task")*ISNUMBER(Timeline!$I$5:$I$305)*ISNUMBER(Timeline!$J$5:$J$305)*(Timeline!$I$5:$I$305&lt;=M$4+2)*(Timeline!$J$5:$J$305&gt;=M$4+2)),SUMPRODUCT((INDEX(Timeline!$P$5:$AN$305,0,MATCH($A13,Timeline!$P$4:$AN$4,0))="x")*(Timeline!$K$5:$K$305="Task")*ISNUMBER(Timeline!$I$5:$I$305)*ISNUMBER(Timeline!$J$5:$J$305)*(Timeline!$I$5:$I$305&lt;=M$4+3)*(Timeline!$J$5:$J$305&gt;=M$4+3)),SUMPRODUCT((INDEX(Timeline!$P$5:$AN$305,0,MATCH($A13,Timeline!$P$4:$AN$4,0))="x")*(Timeline!$K$5:$K$305="Task")*ISNUMBER(Timeline!$I$5:$I$305)*ISNUMBER(Timeline!$J$5:$J$305)*(Timeline!$I$5:$I$305&lt;=M$4+4)*(Timeline!$J$5:$J$305&gt;=M$4+4)),SUMPRODUCT((INDEX(Timeline!$P$5:$AN$305,0,MATCH($A13,Timeline!$P$4:$AN$4,0))="x")*(Timeline!$K$5:$K$305="Task")*ISNUMBER(Timeline!$I$5:$I$305)*ISNUMBER(Timeline!$J$5:$J$305)*(Timeline!$I$5:$I$305&lt;=M$4+5)*(Timeline!$J$5:$J$305&gt;=M$4+5)),SUMPRODUCT((INDEX(Timeline!$P$5:$AN$305,0,MATCH($A13,Timeline!$P$4:$AN$4,0))="x")*(Timeline!$K$5:$K$305="Task")*ISNUMBER(Timeline!$I$5:$I$305)*ISNUMBER(Timeline!$J$5:$J$305)*(Timeline!$I$5:$I$305&lt;=M$4+6)*(Timeline!$J$5:$J$305&gt;=M$4+6)))</f>
        <v>1</v>
      </c>
      <c r="N13" s="67">
        <f>MAX(SUMPRODUCT((INDEX(Timeline!$P$5:$AN$305,0,MATCH($A13,Timeline!$P$4:$AN$4,0))="x")*(Timeline!$K$5:$K$305="Task")*ISNUMBER(Timeline!$I$5:$I$305)*ISNUMBER(Timeline!$J$5:$J$305)*(Timeline!$I$5:$I$305&lt;=N$4+0)*(Timeline!$J$5:$J$305&gt;=N$4+0)),SUMPRODUCT((INDEX(Timeline!$P$5:$AN$305,0,MATCH($A13,Timeline!$P$4:$AN$4,0))="x")*(Timeline!$K$5:$K$305="Task")*ISNUMBER(Timeline!$I$5:$I$305)*ISNUMBER(Timeline!$J$5:$J$305)*(Timeline!$I$5:$I$305&lt;=N$4+1)*(Timeline!$J$5:$J$305&gt;=N$4+1)),SUMPRODUCT((INDEX(Timeline!$P$5:$AN$305,0,MATCH($A13,Timeline!$P$4:$AN$4,0))="x")*(Timeline!$K$5:$K$305="Task")*ISNUMBER(Timeline!$I$5:$I$305)*ISNUMBER(Timeline!$J$5:$J$305)*(Timeline!$I$5:$I$305&lt;=N$4+2)*(Timeline!$J$5:$J$305&gt;=N$4+2)),SUMPRODUCT((INDEX(Timeline!$P$5:$AN$305,0,MATCH($A13,Timeline!$P$4:$AN$4,0))="x")*(Timeline!$K$5:$K$305="Task")*ISNUMBER(Timeline!$I$5:$I$305)*ISNUMBER(Timeline!$J$5:$J$305)*(Timeline!$I$5:$I$305&lt;=N$4+3)*(Timeline!$J$5:$J$305&gt;=N$4+3)),SUMPRODUCT((INDEX(Timeline!$P$5:$AN$305,0,MATCH($A13,Timeline!$P$4:$AN$4,0))="x")*(Timeline!$K$5:$K$305="Task")*ISNUMBER(Timeline!$I$5:$I$305)*ISNUMBER(Timeline!$J$5:$J$305)*(Timeline!$I$5:$I$305&lt;=N$4+4)*(Timeline!$J$5:$J$305&gt;=N$4+4)),SUMPRODUCT((INDEX(Timeline!$P$5:$AN$305,0,MATCH($A13,Timeline!$P$4:$AN$4,0))="x")*(Timeline!$K$5:$K$305="Task")*ISNUMBER(Timeline!$I$5:$I$305)*ISNUMBER(Timeline!$J$5:$J$305)*(Timeline!$I$5:$I$305&lt;=N$4+5)*(Timeline!$J$5:$J$305&gt;=N$4+5)),SUMPRODUCT((INDEX(Timeline!$P$5:$AN$305,0,MATCH($A13,Timeline!$P$4:$AN$4,0))="x")*(Timeline!$K$5:$K$305="Task")*ISNUMBER(Timeline!$I$5:$I$305)*ISNUMBER(Timeline!$J$5:$J$305)*(Timeline!$I$5:$I$305&lt;=N$4+6)*(Timeline!$J$5:$J$305&gt;=N$4+6)))</f>
        <v>1</v>
      </c>
      <c r="O13" s="67">
        <f>MAX(SUMPRODUCT((INDEX(Timeline!$P$5:$AN$305,0,MATCH($A13,Timeline!$P$4:$AN$4,0))="x")*(Timeline!$K$5:$K$305="Task")*ISNUMBER(Timeline!$I$5:$I$305)*ISNUMBER(Timeline!$J$5:$J$305)*(Timeline!$I$5:$I$305&lt;=O$4+0)*(Timeline!$J$5:$J$305&gt;=O$4+0)),SUMPRODUCT((INDEX(Timeline!$P$5:$AN$305,0,MATCH($A13,Timeline!$P$4:$AN$4,0))="x")*(Timeline!$K$5:$K$305="Task")*ISNUMBER(Timeline!$I$5:$I$305)*ISNUMBER(Timeline!$J$5:$J$305)*(Timeline!$I$5:$I$305&lt;=O$4+1)*(Timeline!$J$5:$J$305&gt;=O$4+1)),SUMPRODUCT((INDEX(Timeline!$P$5:$AN$305,0,MATCH($A13,Timeline!$P$4:$AN$4,0))="x")*(Timeline!$K$5:$K$305="Task")*ISNUMBER(Timeline!$I$5:$I$305)*ISNUMBER(Timeline!$J$5:$J$305)*(Timeline!$I$5:$I$305&lt;=O$4+2)*(Timeline!$J$5:$J$305&gt;=O$4+2)),SUMPRODUCT((INDEX(Timeline!$P$5:$AN$305,0,MATCH($A13,Timeline!$P$4:$AN$4,0))="x")*(Timeline!$K$5:$K$305="Task")*ISNUMBER(Timeline!$I$5:$I$305)*ISNUMBER(Timeline!$J$5:$J$305)*(Timeline!$I$5:$I$305&lt;=O$4+3)*(Timeline!$J$5:$J$305&gt;=O$4+3)),SUMPRODUCT((INDEX(Timeline!$P$5:$AN$305,0,MATCH($A13,Timeline!$P$4:$AN$4,0))="x")*(Timeline!$K$5:$K$305="Task")*ISNUMBER(Timeline!$I$5:$I$305)*ISNUMBER(Timeline!$J$5:$J$305)*(Timeline!$I$5:$I$305&lt;=O$4+4)*(Timeline!$J$5:$J$305&gt;=O$4+4)),SUMPRODUCT((INDEX(Timeline!$P$5:$AN$305,0,MATCH($A13,Timeline!$P$4:$AN$4,0))="x")*(Timeline!$K$5:$K$305="Task")*ISNUMBER(Timeline!$I$5:$I$305)*ISNUMBER(Timeline!$J$5:$J$305)*(Timeline!$I$5:$I$305&lt;=O$4+5)*(Timeline!$J$5:$J$305&gt;=O$4+5)),SUMPRODUCT((INDEX(Timeline!$P$5:$AN$305,0,MATCH($A13,Timeline!$P$4:$AN$4,0))="x")*(Timeline!$K$5:$K$305="Task")*ISNUMBER(Timeline!$I$5:$I$305)*ISNUMBER(Timeline!$J$5:$J$305)*(Timeline!$I$5:$I$305&lt;=O$4+6)*(Timeline!$J$5:$J$305&gt;=O$4+6)))</f>
        <v>2</v>
      </c>
      <c r="P13" s="67">
        <f>MAX(SUMPRODUCT((INDEX(Timeline!$P$5:$AN$305,0,MATCH($A13,Timeline!$P$4:$AN$4,0))="x")*(Timeline!$K$5:$K$305="Task")*ISNUMBER(Timeline!$I$5:$I$305)*ISNUMBER(Timeline!$J$5:$J$305)*(Timeline!$I$5:$I$305&lt;=P$4+0)*(Timeline!$J$5:$J$305&gt;=P$4+0)),SUMPRODUCT((INDEX(Timeline!$P$5:$AN$305,0,MATCH($A13,Timeline!$P$4:$AN$4,0))="x")*(Timeline!$K$5:$K$305="Task")*ISNUMBER(Timeline!$I$5:$I$305)*ISNUMBER(Timeline!$J$5:$J$305)*(Timeline!$I$5:$I$305&lt;=P$4+1)*(Timeline!$J$5:$J$305&gt;=P$4+1)),SUMPRODUCT((INDEX(Timeline!$P$5:$AN$305,0,MATCH($A13,Timeline!$P$4:$AN$4,0))="x")*(Timeline!$K$5:$K$305="Task")*ISNUMBER(Timeline!$I$5:$I$305)*ISNUMBER(Timeline!$J$5:$J$305)*(Timeline!$I$5:$I$305&lt;=P$4+2)*(Timeline!$J$5:$J$305&gt;=P$4+2)),SUMPRODUCT((INDEX(Timeline!$P$5:$AN$305,0,MATCH($A13,Timeline!$P$4:$AN$4,0))="x")*(Timeline!$K$5:$K$305="Task")*ISNUMBER(Timeline!$I$5:$I$305)*ISNUMBER(Timeline!$J$5:$J$305)*(Timeline!$I$5:$I$305&lt;=P$4+3)*(Timeline!$J$5:$J$305&gt;=P$4+3)),SUMPRODUCT((INDEX(Timeline!$P$5:$AN$305,0,MATCH($A13,Timeline!$P$4:$AN$4,0))="x")*(Timeline!$K$5:$K$305="Task")*ISNUMBER(Timeline!$I$5:$I$305)*ISNUMBER(Timeline!$J$5:$J$305)*(Timeline!$I$5:$I$305&lt;=P$4+4)*(Timeline!$J$5:$J$305&gt;=P$4+4)),SUMPRODUCT((INDEX(Timeline!$P$5:$AN$305,0,MATCH($A13,Timeline!$P$4:$AN$4,0))="x")*(Timeline!$K$5:$K$305="Task")*ISNUMBER(Timeline!$I$5:$I$305)*ISNUMBER(Timeline!$J$5:$J$305)*(Timeline!$I$5:$I$305&lt;=P$4+5)*(Timeline!$J$5:$J$305&gt;=P$4+5)),SUMPRODUCT((INDEX(Timeline!$P$5:$AN$305,0,MATCH($A13,Timeline!$P$4:$AN$4,0))="x")*(Timeline!$K$5:$K$305="Task")*ISNUMBER(Timeline!$I$5:$I$305)*ISNUMBER(Timeline!$J$5:$J$305)*(Timeline!$I$5:$I$305&lt;=P$4+6)*(Timeline!$J$5:$J$305&gt;=P$4+6)))</f>
        <v>2</v>
      </c>
      <c r="Q13" s="67">
        <f>MAX(SUMPRODUCT((INDEX(Timeline!$P$5:$AN$305,0,MATCH($A13,Timeline!$P$4:$AN$4,0))="x")*(Timeline!$K$5:$K$305="Task")*ISNUMBER(Timeline!$I$5:$I$305)*ISNUMBER(Timeline!$J$5:$J$305)*(Timeline!$I$5:$I$305&lt;=Q$4+0)*(Timeline!$J$5:$J$305&gt;=Q$4+0)),SUMPRODUCT((INDEX(Timeline!$P$5:$AN$305,0,MATCH($A13,Timeline!$P$4:$AN$4,0))="x")*(Timeline!$K$5:$K$305="Task")*ISNUMBER(Timeline!$I$5:$I$305)*ISNUMBER(Timeline!$J$5:$J$305)*(Timeline!$I$5:$I$305&lt;=Q$4+1)*(Timeline!$J$5:$J$305&gt;=Q$4+1)),SUMPRODUCT((INDEX(Timeline!$P$5:$AN$305,0,MATCH($A13,Timeline!$P$4:$AN$4,0))="x")*(Timeline!$K$5:$K$305="Task")*ISNUMBER(Timeline!$I$5:$I$305)*ISNUMBER(Timeline!$J$5:$J$305)*(Timeline!$I$5:$I$305&lt;=Q$4+2)*(Timeline!$J$5:$J$305&gt;=Q$4+2)),SUMPRODUCT((INDEX(Timeline!$P$5:$AN$305,0,MATCH($A13,Timeline!$P$4:$AN$4,0))="x")*(Timeline!$K$5:$K$305="Task")*ISNUMBER(Timeline!$I$5:$I$305)*ISNUMBER(Timeline!$J$5:$J$305)*(Timeline!$I$5:$I$305&lt;=Q$4+3)*(Timeline!$J$5:$J$305&gt;=Q$4+3)),SUMPRODUCT((INDEX(Timeline!$P$5:$AN$305,0,MATCH($A13,Timeline!$P$4:$AN$4,0))="x")*(Timeline!$K$5:$K$305="Task")*ISNUMBER(Timeline!$I$5:$I$305)*ISNUMBER(Timeline!$J$5:$J$305)*(Timeline!$I$5:$I$305&lt;=Q$4+4)*(Timeline!$J$5:$J$305&gt;=Q$4+4)),SUMPRODUCT((INDEX(Timeline!$P$5:$AN$305,0,MATCH($A13,Timeline!$P$4:$AN$4,0))="x")*(Timeline!$K$5:$K$305="Task")*ISNUMBER(Timeline!$I$5:$I$305)*ISNUMBER(Timeline!$J$5:$J$305)*(Timeline!$I$5:$I$305&lt;=Q$4+5)*(Timeline!$J$5:$J$305&gt;=Q$4+5)),SUMPRODUCT((INDEX(Timeline!$P$5:$AN$305,0,MATCH($A13,Timeline!$P$4:$AN$4,0))="x")*(Timeline!$K$5:$K$305="Task")*ISNUMBER(Timeline!$I$5:$I$305)*ISNUMBER(Timeline!$J$5:$J$305)*(Timeline!$I$5:$I$305&lt;=Q$4+6)*(Timeline!$J$5:$J$305&gt;=Q$4+6)))</f>
        <v>1</v>
      </c>
      <c r="R13" s="67">
        <f>MAX(SUMPRODUCT((INDEX(Timeline!$P$5:$AN$305,0,MATCH($A13,Timeline!$P$4:$AN$4,0))="x")*(Timeline!$K$5:$K$305="Task")*ISNUMBER(Timeline!$I$5:$I$305)*ISNUMBER(Timeline!$J$5:$J$305)*(Timeline!$I$5:$I$305&lt;=R$4+0)*(Timeline!$J$5:$J$305&gt;=R$4+0)),SUMPRODUCT((INDEX(Timeline!$P$5:$AN$305,0,MATCH($A13,Timeline!$P$4:$AN$4,0))="x")*(Timeline!$K$5:$K$305="Task")*ISNUMBER(Timeline!$I$5:$I$305)*ISNUMBER(Timeline!$J$5:$J$305)*(Timeline!$I$5:$I$305&lt;=R$4+1)*(Timeline!$J$5:$J$305&gt;=R$4+1)),SUMPRODUCT((INDEX(Timeline!$P$5:$AN$305,0,MATCH($A13,Timeline!$P$4:$AN$4,0))="x")*(Timeline!$K$5:$K$305="Task")*ISNUMBER(Timeline!$I$5:$I$305)*ISNUMBER(Timeline!$J$5:$J$305)*(Timeline!$I$5:$I$305&lt;=R$4+2)*(Timeline!$J$5:$J$305&gt;=R$4+2)),SUMPRODUCT((INDEX(Timeline!$P$5:$AN$305,0,MATCH($A13,Timeline!$P$4:$AN$4,0))="x")*(Timeline!$K$5:$K$305="Task")*ISNUMBER(Timeline!$I$5:$I$305)*ISNUMBER(Timeline!$J$5:$J$305)*(Timeline!$I$5:$I$305&lt;=R$4+3)*(Timeline!$J$5:$J$305&gt;=R$4+3)),SUMPRODUCT((INDEX(Timeline!$P$5:$AN$305,0,MATCH($A13,Timeline!$P$4:$AN$4,0))="x")*(Timeline!$K$5:$K$305="Task")*ISNUMBER(Timeline!$I$5:$I$305)*ISNUMBER(Timeline!$J$5:$J$305)*(Timeline!$I$5:$I$305&lt;=R$4+4)*(Timeline!$J$5:$J$305&gt;=R$4+4)),SUMPRODUCT((INDEX(Timeline!$P$5:$AN$305,0,MATCH($A13,Timeline!$P$4:$AN$4,0))="x")*(Timeline!$K$5:$K$305="Task")*ISNUMBER(Timeline!$I$5:$I$305)*ISNUMBER(Timeline!$J$5:$J$305)*(Timeline!$I$5:$I$305&lt;=R$4+5)*(Timeline!$J$5:$J$305&gt;=R$4+5)),SUMPRODUCT((INDEX(Timeline!$P$5:$AN$305,0,MATCH($A13,Timeline!$P$4:$AN$4,0))="x")*(Timeline!$K$5:$K$305="Task")*ISNUMBER(Timeline!$I$5:$I$305)*ISNUMBER(Timeline!$J$5:$J$305)*(Timeline!$I$5:$I$305&lt;=R$4+6)*(Timeline!$J$5:$J$305&gt;=R$4+6)))</f>
        <v>0</v>
      </c>
      <c r="S13" s="67">
        <f>MAX(SUMPRODUCT((INDEX(Timeline!$P$5:$AN$305,0,MATCH($A13,Timeline!$P$4:$AN$4,0))="x")*(Timeline!$K$5:$K$305="Task")*ISNUMBER(Timeline!$I$5:$I$305)*ISNUMBER(Timeline!$J$5:$J$305)*(Timeline!$I$5:$I$305&lt;=S$4+0)*(Timeline!$J$5:$J$305&gt;=S$4+0)),SUMPRODUCT((INDEX(Timeline!$P$5:$AN$305,0,MATCH($A13,Timeline!$P$4:$AN$4,0))="x")*(Timeline!$K$5:$K$305="Task")*ISNUMBER(Timeline!$I$5:$I$305)*ISNUMBER(Timeline!$J$5:$J$305)*(Timeline!$I$5:$I$305&lt;=S$4+1)*(Timeline!$J$5:$J$305&gt;=S$4+1)),SUMPRODUCT((INDEX(Timeline!$P$5:$AN$305,0,MATCH($A13,Timeline!$P$4:$AN$4,0))="x")*(Timeline!$K$5:$K$305="Task")*ISNUMBER(Timeline!$I$5:$I$305)*ISNUMBER(Timeline!$J$5:$J$305)*(Timeline!$I$5:$I$305&lt;=S$4+2)*(Timeline!$J$5:$J$305&gt;=S$4+2)),SUMPRODUCT((INDEX(Timeline!$P$5:$AN$305,0,MATCH($A13,Timeline!$P$4:$AN$4,0))="x")*(Timeline!$K$5:$K$305="Task")*ISNUMBER(Timeline!$I$5:$I$305)*ISNUMBER(Timeline!$J$5:$J$305)*(Timeline!$I$5:$I$305&lt;=S$4+3)*(Timeline!$J$5:$J$305&gt;=S$4+3)),SUMPRODUCT((INDEX(Timeline!$P$5:$AN$305,0,MATCH($A13,Timeline!$P$4:$AN$4,0))="x")*(Timeline!$K$5:$K$305="Task")*ISNUMBER(Timeline!$I$5:$I$305)*ISNUMBER(Timeline!$J$5:$J$305)*(Timeline!$I$5:$I$305&lt;=S$4+4)*(Timeline!$J$5:$J$305&gt;=S$4+4)),SUMPRODUCT((INDEX(Timeline!$P$5:$AN$305,0,MATCH($A13,Timeline!$P$4:$AN$4,0))="x")*(Timeline!$K$5:$K$305="Task")*ISNUMBER(Timeline!$I$5:$I$305)*ISNUMBER(Timeline!$J$5:$J$305)*(Timeline!$I$5:$I$305&lt;=S$4+5)*(Timeline!$J$5:$J$305&gt;=S$4+5)),SUMPRODUCT((INDEX(Timeline!$P$5:$AN$305,0,MATCH($A13,Timeline!$P$4:$AN$4,0))="x")*(Timeline!$K$5:$K$305="Task")*ISNUMBER(Timeline!$I$5:$I$305)*ISNUMBER(Timeline!$J$5:$J$305)*(Timeline!$I$5:$I$305&lt;=S$4+6)*(Timeline!$J$5:$J$305&gt;=S$4+6)))</f>
        <v>0</v>
      </c>
      <c r="T13" s="67">
        <f>MAX(SUMPRODUCT((INDEX(Timeline!$P$5:$AN$305,0,MATCH($A13,Timeline!$P$4:$AN$4,0))="x")*(Timeline!$K$5:$K$305="Task")*ISNUMBER(Timeline!$I$5:$I$305)*ISNUMBER(Timeline!$J$5:$J$305)*(Timeline!$I$5:$I$305&lt;=T$4+0)*(Timeline!$J$5:$J$305&gt;=T$4+0)),SUMPRODUCT((INDEX(Timeline!$P$5:$AN$305,0,MATCH($A13,Timeline!$P$4:$AN$4,0))="x")*(Timeline!$K$5:$K$305="Task")*ISNUMBER(Timeline!$I$5:$I$305)*ISNUMBER(Timeline!$J$5:$J$305)*(Timeline!$I$5:$I$305&lt;=T$4+1)*(Timeline!$J$5:$J$305&gt;=T$4+1)),SUMPRODUCT((INDEX(Timeline!$P$5:$AN$305,0,MATCH($A13,Timeline!$P$4:$AN$4,0))="x")*(Timeline!$K$5:$K$305="Task")*ISNUMBER(Timeline!$I$5:$I$305)*ISNUMBER(Timeline!$J$5:$J$305)*(Timeline!$I$5:$I$305&lt;=T$4+2)*(Timeline!$J$5:$J$305&gt;=T$4+2)),SUMPRODUCT((INDEX(Timeline!$P$5:$AN$305,0,MATCH($A13,Timeline!$P$4:$AN$4,0))="x")*(Timeline!$K$5:$K$305="Task")*ISNUMBER(Timeline!$I$5:$I$305)*ISNUMBER(Timeline!$J$5:$J$305)*(Timeline!$I$5:$I$305&lt;=T$4+3)*(Timeline!$J$5:$J$305&gt;=T$4+3)),SUMPRODUCT((INDEX(Timeline!$P$5:$AN$305,0,MATCH($A13,Timeline!$P$4:$AN$4,0))="x")*(Timeline!$K$5:$K$305="Task")*ISNUMBER(Timeline!$I$5:$I$305)*ISNUMBER(Timeline!$J$5:$J$305)*(Timeline!$I$5:$I$305&lt;=T$4+4)*(Timeline!$J$5:$J$305&gt;=T$4+4)),SUMPRODUCT((INDEX(Timeline!$P$5:$AN$305,0,MATCH($A13,Timeline!$P$4:$AN$4,0))="x")*(Timeline!$K$5:$K$305="Task")*ISNUMBER(Timeline!$I$5:$I$305)*ISNUMBER(Timeline!$J$5:$J$305)*(Timeline!$I$5:$I$305&lt;=T$4+5)*(Timeline!$J$5:$J$305&gt;=T$4+5)),SUMPRODUCT((INDEX(Timeline!$P$5:$AN$305,0,MATCH($A13,Timeline!$P$4:$AN$4,0))="x")*(Timeline!$K$5:$K$305="Task")*ISNUMBER(Timeline!$I$5:$I$305)*ISNUMBER(Timeline!$J$5:$J$305)*(Timeline!$I$5:$I$305&lt;=T$4+6)*(Timeline!$J$5:$J$305&gt;=T$4+6)))</f>
        <v>0</v>
      </c>
      <c r="U13" s="67">
        <f>MAX(SUMPRODUCT((INDEX(Timeline!$P$5:$AN$305,0,MATCH($A13,Timeline!$P$4:$AN$4,0))="x")*(Timeline!$K$5:$K$305="Task")*ISNUMBER(Timeline!$I$5:$I$305)*ISNUMBER(Timeline!$J$5:$J$305)*(Timeline!$I$5:$I$305&lt;=U$4+0)*(Timeline!$J$5:$J$305&gt;=U$4+0)),SUMPRODUCT((INDEX(Timeline!$P$5:$AN$305,0,MATCH($A13,Timeline!$P$4:$AN$4,0))="x")*(Timeline!$K$5:$K$305="Task")*ISNUMBER(Timeline!$I$5:$I$305)*ISNUMBER(Timeline!$J$5:$J$305)*(Timeline!$I$5:$I$305&lt;=U$4+1)*(Timeline!$J$5:$J$305&gt;=U$4+1)),SUMPRODUCT((INDEX(Timeline!$P$5:$AN$305,0,MATCH($A13,Timeline!$P$4:$AN$4,0))="x")*(Timeline!$K$5:$K$305="Task")*ISNUMBER(Timeline!$I$5:$I$305)*ISNUMBER(Timeline!$J$5:$J$305)*(Timeline!$I$5:$I$305&lt;=U$4+2)*(Timeline!$J$5:$J$305&gt;=U$4+2)),SUMPRODUCT((INDEX(Timeline!$P$5:$AN$305,0,MATCH($A13,Timeline!$P$4:$AN$4,0))="x")*(Timeline!$K$5:$K$305="Task")*ISNUMBER(Timeline!$I$5:$I$305)*ISNUMBER(Timeline!$J$5:$J$305)*(Timeline!$I$5:$I$305&lt;=U$4+3)*(Timeline!$J$5:$J$305&gt;=U$4+3)),SUMPRODUCT((INDEX(Timeline!$P$5:$AN$305,0,MATCH($A13,Timeline!$P$4:$AN$4,0))="x")*(Timeline!$K$5:$K$305="Task")*ISNUMBER(Timeline!$I$5:$I$305)*ISNUMBER(Timeline!$J$5:$J$305)*(Timeline!$I$5:$I$305&lt;=U$4+4)*(Timeline!$J$5:$J$305&gt;=U$4+4)),SUMPRODUCT((INDEX(Timeline!$P$5:$AN$305,0,MATCH($A13,Timeline!$P$4:$AN$4,0))="x")*(Timeline!$K$5:$K$305="Task")*ISNUMBER(Timeline!$I$5:$I$305)*ISNUMBER(Timeline!$J$5:$J$305)*(Timeline!$I$5:$I$305&lt;=U$4+5)*(Timeline!$J$5:$J$305&gt;=U$4+5)),SUMPRODUCT((INDEX(Timeline!$P$5:$AN$305,0,MATCH($A13,Timeline!$P$4:$AN$4,0))="x")*(Timeline!$K$5:$K$305="Task")*ISNUMBER(Timeline!$I$5:$I$305)*ISNUMBER(Timeline!$J$5:$J$305)*(Timeline!$I$5:$I$305&lt;=U$4+6)*(Timeline!$J$5:$J$305&gt;=U$4+6)))</f>
        <v>0</v>
      </c>
      <c r="V13" s="67">
        <f>MAX(SUMPRODUCT((INDEX(Timeline!$P$5:$AN$305,0,MATCH($A13,Timeline!$P$4:$AN$4,0))="x")*(Timeline!$K$5:$K$305="Task")*ISNUMBER(Timeline!$I$5:$I$305)*ISNUMBER(Timeline!$J$5:$J$305)*(Timeline!$I$5:$I$305&lt;=V$4+0)*(Timeline!$J$5:$J$305&gt;=V$4+0)),SUMPRODUCT((INDEX(Timeline!$P$5:$AN$305,0,MATCH($A13,Timeline!$P$4:$AN$4,0))="x")*(Timeline!$K$5:$K$305="Task")*ISNUMBER(Timeline!$I$5:$I$305)*ISNUMBER(Timeline!$J$5:$J$305)*(Timeline!$I$5:$I$305&lt;=V$4+1)*(Timeline!$J$5:$J$305&gt;=V$4+1)),SUMPRODUCT((INDEX(Timeline!$P$5:$AN$305,0,MATCH($A13,Timeline!$P$4:$AN$4,0))="x")*(Timeline!$K$5:$K$305="Task")*ISNUMBER(Timeline!$I$5:$I$305)*ISNUMBER(Timeline!$J$5:$J$305)*(Timeline!$I$5:$I$305&lt;=V$4+2)*(Timeline!$J$5:$J$305&gt;=V$4+2)),SUMPRODUCT((INDEX(Timeline!$P$5:$AN$305,0,MATCH($A13,Timeline!$P$4:$AN$4,0))="x")*(Timeline!$K$5:$K$305="Task")*ISNUMBER(Timeline!$I$5:$I$305)*ISNUMBER(Timeline!$J$5:$J$305)*(Timeline!$I$5:$I$305&lt;=V$4+3)*(Timeline!$J$5:$J$305&gt;=V$4+3)),SUMPRODUCT((INDEX(Timeline!$P$5:$AN$305,0,MATCH($A13,Timeline!$P$4:$AN$4,0))="x")*(Timeline!$K$5:$K$305="Task")*ISNUMBER(Timeline!$I$5:$I$305)*ISNUMBER(Timeline!$J$5:$J$305)*(Timeline!$I$5:$I$305&lt;=V$4+4)*(Timeline!$J$5:$J$305&gt;=V$4+4)),SUMPRODUCT((INDEX(Timeline!$P$5:$AN$305,0,MATCH($A13,Timeline!$P$4:$AN$4,0))="x")*(Timeline!$K$5:$K$305="Task")*ISNUMBER(Timeline!$I$5:$I$305)*ISNUMBER(Timeline!$J$5:$J$305)*(Timeline!$I$5:$I$305&lt;=V$4+5)*(Timeline!$J$5:$J$305&gt;=V$4+5)),SUMPRODUCT((INDEX(Timeline!$P$5:$AN$305,0,MATCH($A13,Timeline!$P$4:$AN$4,0))="x")*(Timeline!$K$5:$K$305="Task")*ISNUMBER(Timeline!$I$5:$I$305)*ISNUMBER(Timeline!$J$5:$J$305)*(Timeline!$I$5:$I$305&lt;=V$4+6)*(Timeline!$J$5:$J$305&gt;=V$4+6)))</f>
        <v>0</v>
      </c>
      <c r="W13" s="67">
        <f>MAX(SUMPRODUCT((INDEX(Timeline!$P$5:$AN$305,0,MATCH($A13,Timeline!$P$4:$AN$4,0))="x")*(Timeline!$K$5:$K$305="Task")*ISNUMBER(Timeline!$I$5:$I$305)*ISNUMBER(Timeline!$J$5:$J$305)*(Timeline!$I$5:$I$305&lt;=W$4+0)*(Timeline!$J$5:$J$305&gt;=W$4+0)),SUMPRODUCT((INDEX(Timeline!$P$5:$AN$305,0,MATCH($A13,Timeline!$P$4:$AN$4,0))="x")*(Timeline!$K$5:$K$305="Task")*ISNUMBER(Timeline!$I$5:$I$305)*ISNUMBER(Timeline!$J$5:$J$305)*(Timeline!$I$5:$I$305&lt;=W$4+1)*(Timeline!$J$5:$J$305&gt;=W$4+1)),SUMPRODUCT((INDEX(Timeline!$P$5:$AN$305,0,MATCH($A13,Timeline!$P$4:$AN$4,0))="x")*(Timeline!$K$5:$K$305="Task")*ISNUMBER(Timeline!$I$5:$I$305)*ISNUMBER(Timeline!$J$5:$J$305)*(Timeline!$I$5:$I$305&lt;=W$4+2)*(Timeline!$J$5:$J$305&gt;=W$4+2)),SUMPRODUCT((INDEX(Timeline!$P$5:$AN$305,0,MATCH($A13,Timeline!$P$4:$AN$4,0))="x")*(Timeline!$K$5:$K$305="Task")*ISNUMBER(Timeline!$I$5:$I$305)*ISNUMBER(Timeline!$J$5:$J$305)*(Timeline!$I$5:$I$305&lt;=W$4+3)*(Timeline!$J$5:$J$305&gt;=W$4+3)),SUMPRODUCT((INDEX(Timeline!$P$5:$AN$305,0,MATCH($A13,Timeline!$P$4:$AN$4,0))="x")*(Timeline!$K$5:$K$305="Task")*ISNUMBER(Timeline!$I$5:$I$305)*ISNUMBER(Timeline!$J$5:$J$305)*(Timeline!$I$5:$I$305&lt;=W$4+4)*(Timeline!$J$5:$J$305&gt;=W$4+4)),SUMPRODUCT((INDEX(Timeline!$P$5:$AN$305,0,MATCH($A13,Timeline!$P$4:$AN$4,0))="x")*(Timeline!$K$5:$K$305="Task")*ISNUMBER(Timeline!$I$5:$I$305)*ISNUMBER(Timeline!$J$5:$J$305)*(Timeline!$I$5:$I$305&lt;=W$4+5)*(Timeline!$J$5:$J$305&gt;=W$4+5)),SUMPRODUCT((INDEX(Timeline!$P$5:$AN$305,0,MATCH($A13,Timeline!$P$4:$AN$4,0))="x")*(Timeline!$K$5:$K$305="Task")*ISNUMBER(Timeline!$I$5:$I$305)*ISNUMBER(Timeline!$J$5:$J$305)*(Timeline!$I$5:$I$305&lt;=W$4+6)*(Timeline!$J$5:$J$305&gt;=W$4+6)))</f>
        <v>0</v>
      </c>
      <c r="X13" s="67">
        <f>MAX(SUMPRODUCT((INDEX(Timeline!$P$5:$AN$305,0,MATCH($A13,Timeline!$P$4:$AN$4,0))="x")*(Timeline!$K$5:$K$305="Task")*ISNUMBER(Timeline!$I$5:$I$305)*ISNUMBER(Timeline!$J$5:$J$305)*(Timeline!$I$5:$I$305&lt;=X$4+0)*(Timeline!$J$5:$J$305&gt;=X$4+0)),SUMPRODUCT((INDEX(Timeline!$P$5:$AN$305,0,MATCH($A13,Timeline!$P$4:$AN$4,0))="x")*(Timeline!$K$5:$K$305="Task")*ISNUMBER(Timeline!$I$5:$I$305)*ISNUMBER(Timeline!$J$5:$J$305)*(Timeline!$I$5:$I$305&lt;=X$4+1)*(Timeline!$J$5:$J$305&gt;=X$4+1)),SUMPRODUCT((INDEX(Timeline!$P$5:$AN$305,0,MATCH($A13,Timeline!$P$4:$AN$4,0))="x")*(Timeline!$K$5:$K$305="Task")*ISNUMBER(Timeline!$I$5:$I$305)*ISNUMBER(Timeline!$J$5:$J$305)*(Timeline!$I$5:$I$305&lt;=X$4+2)*(Timeline!$J$5:$J$305&gt;=X$4+2)),SUMPRODUCT((INDEX(Timeline!$P$5:$AN$305,0,MATCH($A13,Timeline!$P$4:$AN$4,0))="x")*(Timeline!$K$5:$K$305="Task")*ISNUMBER(Timeline!$I$5:$I$305)*ISNUMBER(Timeline!$J$5:$J$305)*(Timeline!$I$5:$I$305&lt;=X$4+3)*(Timeline!$J$5:$J$305&gt;=X$4+3)),SUMPRODUCT((INDEX(Timeline!$P$5:$AN$305,0,MATCH($A13,Timeline!$P$4:$AN$4,0))="x")*(Timeline!$K$5:$K$305="Task")*ISNUMBER(Timeline!$I$5:$I$305)*ISNUMBER(Timeline!$J$5:$J$305)*(Timeline!$I$5:$I$305&lt;=X$4+4)*(Timeline!$J$5:$J$305&gt;=X$4+4)),SUMPRODUCT((INDEX(Timeline!$P$5:$AN$305,0,MATCH($A13,Timeline!$P$4:$AN$4,0))="x")*(Timeline!$K$5:$K$305="Task")*ISNUMBER(Timeline!$I$5:$I$305)*ISNUMBER(Timeline!$J$5:$J$305)*(Timeline!$I$5:$I$305&lt;=X$4+5)*(Timeline!$J$5:$J$305&gt;=X$4+5)),SUMPRODUCT((INDEX(Timeline!$P$5:$AN$305,0,MATCH($A13,Timeline!$P$4:$AN$4,0))="x")*(Timeline!$K$5:$K$305="Task")*ISNUMBER(Timeline!$I$5:$I$305)*ISNUMBER(Timeline!$J$5:$J$305)*(Timeline!$I$5:$I$305&lt;=X$4+6)*(Timeline!$J$5:$J$305&gt;=X$4+6)))</f>
        <v>0</v>
      </c>
      <c r="Y13" s="67">
        <f>MAX(SUMPRODUCT((INDEX(Timeline!$P$5:$AN$305,0,MATCH($A13,Timeline!$P$4:$AN$4,0))="x")*(Timeline!$K$5:$K$305="Task")*ISNUMBER(Timeline!$I$5:$I$305)*ISNUMBER(Timeline!$J$5:$J$305)*(Timeline!$I$5:$I$305&lt;=Y$4+0)*(Timeline!$J$5:$J$305&gt;=Y$4+0)),SUMPRODUCT((INDEX(Timeline!$P$5:$AN$305,0,MATCH($A13,Timeline!$P$4:$AN$4,0))="x")*(Timeline!$K$5:$K$305="Task")*ISNUMBER(Timeline!$I$5:$I$305)*ISNUMBER(Timeline!$J$5:$J$305)*(Timeline!$I$5:$I$305&lt;=Y$4+1)*(Timeline!$J$5:$J$305&gt;=Y$4+1)),SUMPRODUCT((INDEX(Timeline!$P$5:$AN$305,0,MATCH($A13,Timeline!$P$4:$AN$4,0))="x")*(Timeline!$K$5:$K$305="Task")*ISNUMBER(Timeline!$I$5:$I$305)*ISNUMBER(Timeline!$J$5:$J$305)*(Timeline!$I$5:$I$305&lt;=Y$4+2)*(Timeline!$J$5:$J$305&gt;=Y$4+2)),SUMPRODUCT((INDEX(Timeline!$P$5:$AN$305,0,MATCH($A13,Timeline!$P$4:$AN$4,0))="x")*(Timeline!$K$5:$K$305="Task")*ISNUMBER(Timeline!$I$5:$I$305)*ISNUMBER(Timeline!$J$5:$J$305)*(Timeline!$I$5:$I$305&lt;=Y$4+3)*(Timeline!$J$5:$J$305&gt;=Y$4+3)),SUMPRODUCT((INDEX(Timeline!$P$5:$AN$305,0,MATCH($A13,Timeline!$P$4:$AN$4,0))="x")*(Timeline!$K$5:$K$305="Task")*ISNUMBER(Timeline!$I$5:$I$305)*ISNUMBER(Timeline!$J$5:$J$305)*(Timeline!$I$5:$I$305&lt;=Y$4+4)*(Timeline!$J$5:$J$305&gt;=Y$4+4)),SUMPRODUCT((INDEX(Timeline!$P$5:$AN$305,0,MATCH($A13,Timeline!$P$4:$AN$4,0))="x")*(Timeline!$K$5:$K$305="Task")*ISNUMBER(Timeline!$I$5:$I$305)*ISNUMBER(Timeline!$J$5:$J$305)*(Timeline!$I$5:$I$305&lt;=Y$4+5)*(Timeline!$J$5:$J$305&gt;=Y$4+5)),SUMPRODUCT((INDEX(Timeline!$P$5:$AN$305,0,MATCH($A13,Timeline!$P$4:$AN$4,0))="x")*(Timeline!$K$5:$K$305="Task")*ISNUMBER(Timeline!$I$5:$I$305)*ISNUMBER(Timeline!$J$5:$J$305)*(Timeline!$I$5:$I$305&lt;=Y$4+6)*(Timeline!$J$5:$J$305&gt;=Y$4+6)))</f>
        <v>0</v>
      </c>
      <c r="Z13" s="67">
        <f>MAX(SUMPRODUCT((INDEX(Timeline!$P$5:$AN$305,0,MATCH($A13,Timeline!$P$4:$AN$4,0))="x")*(Timeline!$K$5:$K$305="Task")*ISNUMBER(Timeline!$I$5:$I$305)*ISNUMBER(Timeline!$J$5:$J$305)*(Timeline!$I$5:$I$305&lt;=Z$4+0)*(Timeline!$J$5:$J$305&gt;=Z$4+0)),SUMPRODUCT((INDEX(Timeline!$P$5:$AN$305,0,MATCH($A13,Timeline!$P$4:$AN$4,0))="x")*(Timeline!$K$5:$K$305="Task")*ISNUMBER(Timeline!$I$5:$I$305)*ISNUMBER(Timeline!$J$5:$J$305)*(Timeline!$I$5:$I$305&lt;=Z$4+1)*(Timeline!$J$5:$J$305&gt;=Z$4+1)),SUMPRODUCT((INDEX(Timeline!$P$5:$AN$305,0,MATCH($A13,Timeline!$P$4:$AN$4,0))="x")*(Timeline!$K$5:$K$305="Task")*ISNUMBER(Timeline!$I$5:$I$305)*ISNUMBER(Timeline!$J$5:$J$305)*(Timeline!$I$5:$I$305&lt;=Z$4+2)*(Timeline!$J$5:$J$305&gt;=Z$4+2)),SUMPRODUCT((INDEX(Timeline!$P$5:$AN$305,0,MATCH($A13,Timeline!$P$4:$AN$4,0))="x")*(Timeline!$K$5:$K$305="Task")*ISNUMBER(Timeline!$I$5:$I$305)*ISNUMBER(Timeline!$J$5:$J$305)*(Timeline!$I$5:$I$305&lt;=Z$4+3)*(Timeline!$J$5:$J$305&gt;=Z$4+3)),SUMPRODUCT((INDEX(Timeline!$P$5:$AN$305,0,MATCH($A13,Timeline!$P$4:$AN$4,0))="x")*(Timeline!$K$5:$K$305="Task")*ISNUMBER(Timeline!$I$5:$I$305)*ISNUMBER(Timeline!$J$5:$J$305)*(Timeline!$I$5:$I$305&lt;=Z$4+4)*(Timeline!$J$5:$J$305&gt;=Z$4+4)),SUMPRODUCT((INDEX(Timeline!$P$5:$AN$305,0,MATCH($A13,Timeline!$P$4:$AN$4,0))="x")*(Timeline!$K$5:$K$305="Task")*ISNUMBER(Timeline!$I$5:$I$305)*ISNUMBER(Timeline!$J$5:$J$305)*(Timeline!$I$5:$I$305&lt;=Z$4+5)*(Timeline!$J$5:$J$305&gt;=Z$4+5)),SUMPRODUCT((INDEX(Timeline!$P$5:$AN$305,0,MATCH($A13,Timeline!$P$4:$AN$4,0))="x")*(Timeline!$K$5:$K$305="Task")*ISNUMBER(Timeline!$I$5:$I$305)*ISNUMBER(Timeline!$J$5:$J$305)*(Timeline!$I$5:$I$305&lt;=Z$4+6)*(Timeline!$J$5:$J$305&gt;=Z$4+6)))</f>
        <v>0</v>
      </c>
      <c r="AA13" s="67">
        <f>MAX(SUMPRODUCT((INDEX(Timeline!$P$5:$AN$305,0,MATCH($A13,Timeline!$P$4:$AN$4,0))="x")*(Timeline!$K$5:$K$305="Task")*ISNUMBER(Timeline!$I$5:$I$305)*ISNUMBER(Timeline!$J$5:$J$305)*(Timeline!$I$5:$I$305&lt;=AA$4+0)*(Timeline!$J$5:$J$305&gt;=AA$4+0)),SUMPRODUCT((INDEX(Timeline!$P$5:$AN$305,0,MATCH($A13,Timeline!$P$4:$AN$4,0))="x")*(Timeline!$K$5:$K$305="Task")*ISNUMBER(Timeline!$I$5:$I$305)*ISNUMBER(Timeline!$J$5:$J$305)*(Timeline!$I$5:$I$305&lt;=AA$4+1)*(Timeline!$J$5:$J$305&gt;=AA$4+1)),SUMPRODUCT((INDEX(Timeline!$P$5:$AN$305,0,MATCH($A13,Timeline!$P$4:$AN$4,0))="x")*(Timeline!$K$5:$K$305="Task")*ISNUMBER(Timeline!$I$5:$I$305)*ISNUMBER(Timeline!$J$5:$J$305)*(Timeline!$I$5:$I$305&lt;=AA$4+2)*(Timeline!$J$5:$J$305&gt;=AA$4+2)),SUMPRODUCT((INDEX(Timeline!$P$5:$AN$305,0,MATCH($A13,Timeline!$P$4:$AN$4,0))="x")*(Timeline!$K$5:$K$305="Task")*ISNUMBER(Timeline!$I$5:$I$305)*ISNUMBER(Timeline!$J$5:$J$305)*(Timeline!$I$5:$I$305&lt;=AA$4+3)*(Timeline!$J$5:$J$305&gt;=AA$4+3)),SUMPRODUCT((INDEX(Timeline!$P$5:$AN$305,0,MATCH($A13,Timeline!$P$4:$AN$4,0))="x")*(Timeline!$K$5:$K$305="Task")*ISNUMBER(Timeline!$I$5:$I$305)*ISNUMBER(Timeline!$J$5:$J$305)*(Timeline!$I$5:$I$305&lt;=AA$4+4)*(Timeline!$J$5:$J$305&gt;=AA$4+4)),SUMPRODUCT((INDEX(Timeline!$P$5:$AN$305,0,MATCH($A13,Timeline!$P$4:$AN$4,0))="x")*(Timeline!$K$5:$K$305="Task")*ISNUMBER(Timeline!$I$5:$I$305)*ISNUMBER(Timeline!$J$5:$J$305)*(Timeline!$I$5:$I$305&lt;=AA$4+5)*(Timeline!$J$5:$J$305&gt;=AA$4+5)),SUMPRODUCT((INDEX(Timeline!$P$5:$AN$305,0,MATCH($A13,Timeline!$P$4:$AN$4,0))="x")*(Timeline!$K$5:$K$305="Task")*ISNUMBER(Timeline!$I$5:$I$305)*ISNUMBER(Timeline!$J$5:$J$305)*(Timeline!$I$5:$I$305&lt;=AA$4+6)*(Timeline!$J$5:$J$305&gt;=AA$4+6)))</f>
        <v>0</v>
      </c>
      <c r="AB13" s="67">
        <f>MAX(SUMPRODUCT((INDEX(Timeline!$P$5:$AN$305,0,MATCH($A13,Timeline!$P$4:$AN$4,0))="x")*(Timeline!$K$5:$K$305="Task")*ISNUMBER(Timeline!$I$5:$I$305)*ISNUMBER(Timeline!$J$5:$J$305)*(Timeline!$I$5:$I$305&lt;=AB$4+0)*(Timeline!$J$5:$J$305&gt;=AB$4+0)),SUMPRODUCT((INDEX(Timeline!$P$5:$AN$305,0,MATCH($A13,Timeline!$P$4:$AN$4,0))="x")*(Timeline!$K$5:$K$305="Task")*ISNUMBER(Timeline!$I$5:$I$305)*ISNUMBER(Timeline!$J$5:$J$305)*(Timeline!$I$5:$I$305&lt;=AB$4+1)*(Timeline!$J$5:$J$305&gt;=AB$4+1)),SUMPRODUCT((INDEX(Timeline!$P$5:$AN$305,0,MATCH($A13,Timeline!$P$4:$AN$4,0))="x")*(Timeline!$K$5:$K$305="Task")*ISNUMBER(Timeline!$I$5:$I$305)*ISNUMBER(Timeline!$J$5:$J$305)*(Timeline!$I$5:$I$305&lt;=AB$4+2)*(Timeline!$J$5:$J$305&gt;=AB$4+2)),SUMPRODUCT((INDEX(Timeline!$P$5:$AN$305,0,MATCH($A13,Timeline!$P$4:$AN$4,0))="x")*(Timeline!$K$5:$K$305="Task")*ISNUMBER(Timeline!$I$5:$I$305)*ISNUMBER(Timeline!$J$5:$J$305)*(Timeline!$I$5:$I$305&lt;=AB$4+3)*(Timeline!$J$5:$J$305&gt;=AB$4+3)),SUMPRODUCT((INDEX(Timeline!$P$5:$AN$305,0,MATCH($A13,Timeline!$P$4:$AN$4,0))="x")*(Timeline!$K$5:$K$305="Task")*ISNUMBER(Timeline!$I$5:$I$305)*ISNUMBER(Timeline!$J$5:$J$305)*(Timeline!$I$5:$I$305&lt;=AB$4+4)*(Timeline!$J$5:$J$305&gt;=AB$4+4)),SUMPRODUCT((INDEX(Timeline!$P$5:$AN$305,0,MATCH($A13,Timeline!$P$4:$AN$4,0))="x")*(Timeline!$K$5:$K$305="Task")*ISNUMBER(Timeline!$I$5:$I$305)*ISNUMBER(Timeline!$J$5:$J$305)*(Timeline!$I$5:$I$305&lt;=AB$4+5)*(Timeline!$J$5:$J$305&gt;=AB$4+5)),SUMPRODUCT((INDEX(Timeline!$P$5:$AN$305,0,MATCH($A13,Timeline!$P$4:$AN$4,0))="x")*(Timeline!$K$5:$K$305="Task")*ISNUMBER(Timeline!$I$5:$I$305)*ISNUMBER(Timeline!$J$5:$J$305)*(Timeline!$I$5:$I$305&lt;=AB$4+6)*(Timeline!$J$5:$J$305&gt;=AB$4+6)))</f>
        <v>0</v>
      </c>
      <c r="AC13" s="67">
        <f>MAX(SUMPRODUCT((INDEX(Timeline!$P$5:$AN$305,0,MATCH($A13,Timeline!$P$4:$AN$4,0))="x")*(Timeline!$K$5:$K$305="Task")*ISNUMBER(Timeline!$I$5:$I$305)*ISNUMBER(Timeline!$J$5:$J$305)*(Timeline!$I$5:$I$305&lt;=AC$4+0)*(Timeline!$J$5:$J$305&gt;=AC$4+0)),SUMPRODUCT((INDEX(Timeline!$P$5:$AN$305,0,MATCH($A13,Timeline!$P$4:$AN$4,0))="x")*(Timeline!$K$5:$K$305="Task")*ISNUMBER(Timeline!$I$5:$I$305)*ISNUMBER(Timeline!$J$5:$J$305)*(Timeline!$I$5:$I$305&lt;=AC$4+1)*(Timeline!$J$5:$J$305&gt;=AC$4+1)),SUMPRODUCT((INDEX(Timeline!$P$5:$AN$305,0,MATCH($A13,Timeline!$P$4:$AN$4,0))="x")*(Timeline!$K$5:$K$305="Task")*ISNUMBER(Timeline!$I$5:$I$305)*ISNUMBER(Timeline!$J$5:$J$305)*(Timeline!$I$5:$I$305&lt;=AC$4+2)*(Timeline!$J$5:$J$305&gt;=AC$4+2)),SUMPRODUCT((INDEX(Timeline!$P$5:$AN$305,0,MATCH($A13,Timeline!$P$4:$AN$4,0))="x")*(Timeline!$K$5:$K$305="Task")*ISNUMBER(Timeline!$I$5:$I$305)*ISNUMBER(Timeline!$J$5:$J$305)*(Timeline!$I$5:$I$305&lt;=AC$4+3)*(Timeline!$J$5:$J$305&gt;=AC$4+3)),SUMPRODUCT((INDEX(Timeline!$P$5:$AN$305,0,MATCH($A13,Timeline!$P$4:$AN$4,0))="x")*(Timeline!$K$5:$K$305="Task")*ISNUMBER(Timeline!$I$5:$I$305)*ISNUMBER(Timeline!$J$5:$J$305)*(Timeline!$I$5:$I$305&lt;=AC$4+4)*(Timeline!$J$5:$J$305&gt;=AC$4+4)),SUMPRODUCT((INDEX(Timeline!$P$5:$AN$305,0,MATCH($A13,Timeline!$P$4:$AN$4,0))="x")*(Timeline!$K$5:$K$305="Task")*ISNUMBER(Timeline!$I$5:$I$305)*ISNUMBER(Timeline!$J$5:$J$305)*(Timeline!$I$5:$I$305&lt;=AC$4+5)*(Timeline!$J$5:$J$305&gt;=AC$4+5)),SUMPRODUCT((INDEX(Timeline!$P$5:$AN$305,0,MATCH($A13,Timeline!$P$4:$AN$4,0))="x")*(Timeline!$K$5:$K$305="Task")*ISNUMBER(Timeline!$I$5:$I$305)*ISNUMBER(Timeline!$J$5:$J$305)*(Timeline!$I$5:$I$305&lt;=AC$4+6)*(Timeline!$J$5:$J$305&gt;=AC$4+6)))</f>
        <v>0</v>
      </c>
      <c r="AD13" s="67">
        <f>MAX(SUMPRODUCT((INDEX(Timeline!$P$5:$AN$305,0,MATCH($A13,Timeline!$P$4:$AN$4,0))="x")*(Timeline!$K$5:$K$305="Task")*ISNUMBER(Timeline!$I$5:$I$305)*ISNUMBER(Timeline!$J$5:$J$305)*(Timeline!$I$5:$I$305&lt;=AD$4+0)*(Timeline!$J$5:$J$305&gt;=AD$4+0)),SUMPRODUCT((INDEX(Timeline!$P$5:$AN$305,0,MATCH($A13,Timeline!$P$4:$AN$4,0))="x")*(Timeline!$K$5:$K$305="Task")*ISNUMBER(Timeline!$I$5:$I$305)*ISNUMBER(Timeline!$J$5:$J$305)*(Timeline!$I$5:$I$305&lt;=AD$4+1)*(Timeline!$J$5:$J$305&gt;=AD$4+1)),SUMPRODUCT((INDEX(Timeline!$P$5:$AN$305,0,MATCH($A13,Timeline!$P$4:$AN$4,0))="x")*(Timeline!$K$5:$K$305="Task")*ISNUMBER(Timeline!$I$5:$I$305)*ISNUMBER(Timeline!$J$5:$J$305)*(Timeline!$I$5:$I$305&lt;=AD$4+2)*(Timeline!$J$5:$J$305&gt;=AD$4+2)),SUMPRODUCT((INDEX(Timeline!$P$5:$AN$305,0,MATCH($A13,Timeline!$P$4:$AN$4,0))="x")*(Timeline!$K$5:$K$305="Task")*ISNUMBER(Timeline!$I$5:$I$305)*ISNUMBER(Timeline!$J$5:$J$305)*(Timeline!$I$5:$I$305&lt;=AD$4+3)*(Timeline!$J$5:$J$305&gt;=AD$4+3)),SUMPRODUCT((INDEX(Timeline!$P$5:$AN$305,0,MATCH($A13,Timeline!$P$4:$AN$4,0))="x")*(Timeline!$K$5:$K$305="Task")*ISNUMBER(Timeline!$I$5:$I$305)*ISNUMBER(Timeline!$J$5:$J$305)*(Timeline!$I$5:$I$305&lt;=AD$4+4)*(Timeline!$J$5:$J$305&gt;=AD$4+4)),SUMPRODUCT((INDEX(Timeline!$P$5:$AN$305,0,MATCH($A13,Timeline!$P$4:$AN$4,0))="x")*(Timeline!$K$5:$K$305="Task")*ISNUMBER(Timeline!$I$5:$I$305)*ISNUMBER(Timeline!$J$5:$J$305)*(Timeline!$I$5:$I$305&lt;=AD$4+5)*(Timeline!$J$5:$J$305&gt;=AD$4+5)),SUMPRODUCT((INDEX(Timeline!$P$5:$AN$305,0,MATCH($A13,Timeline!$P$4:$AN$4,0))="x")*(Timeline!$K$5:$K$305="Task")*ISNUMBER(Timeline!$I$5:$I$305)*ISNUMBER(Timeline!$J$5:$J$305)*(Timeline!$I$5:$I$305&lt;=AD$4+6)*(Timeline!$J$5:$J$305&gt;=AD$4+6)))</f>
        <v>0</v>
      </c>
      <c r="AE13" s="67">
        <f>MAX(SUMPRODUCT((INDEX(Timeline!$P$5:$AN$305,0,MATCH($A13,Timeline!$P$4:$AN$4,0))="x")*(Timeline!$K$5:$K$305="Task")*ISNUMBER(Timeline!$I$5:$I$305)*ISNUMBER(Timeline!$J$5:$J$305)*(Timeline!$I$5:$I$305&lt;=AE$4+0)*(Timeline!$J$5:$J$305&gt;=AE$4+0)),SUMPRODUCT((INDEX(Timeline!$P$5:$AN$305,0,MATCH($A13,Timeline!$P$4:$AN$4,0))="x")*(Timeline!$K$5:$K$305="Task")*ISNUMBER(Timeline!$I$5:$I$305)*ISNUMBER(Timeline!$J$5:$J$305)*(Timeline!$I$5:$I$305&lt;=AE$4+1)*(Timeline!$J$5:$J$305&gt;=AE$4+1)),SUMPRODUCT((INDEX(Timeline!$P$5:$AN$305,0,MATCH($A13,Timeline!$P$4:$AN$4,0))="x")*(Timeline!$K$5:$K$305="Task")*ISNUMBER(Timeline!$I$5:$I$305)*ISNUMBER(Timeline!$J$5:$J$305)*(Timeline!$I$5:$I$305&lt;=AE$4+2)*(Timeline!$J$5:$J$305&gt;=AE$4+2)),SUMPRODUCT((INDEX(Timeline!$P$5:$AN$305,0,MATCH($A13,Timeline!$P$4:$AN$4,0))="x")*(Timeline!$K$5:$K$305="Task")*ISNUMBER(Timeline!$I$5:$I$305)*ISNUMBER(Timeline!$J$5:$J$305)*(Timeline!$I$5:$I$305&lt;=AE$4+3)*(Timeline!$J$5:$J$305&gt;=AE$4+3)),SUMPRODUCT((INDEX(Timeline!$P$5:$AN$305,0,MATCH($A13,Timeline!$P$4:$AN$4,0))="x")*(Timeline!$K$5:$K$305="Task")*ISNUMBER(Timeline!$I$5:$I$305)*ISNUMBER(Timeline!$J$5:$J$305)*(Timeline!$I$5:$I$305&lt;=AE$4+4)*(Timeline!$J$5:$J$305&gt;=AE$4+4)),SUMPRODUCT((INDEX(Timeline!$P$5:$AN$305,0,MATCH($A13,Timeline!$P$4:$AN$4,0))="x")*(Timeline!$K$5:$K$305="Task")*ISNUMBER(Timeline!$I$5:$I$305)*ISNUMBER(Timeline!$J$5:$J$305)*(Timeline!$I$5:$I$305&lt;=AE$4+5)*(Timeline!$J$5:$J$305&gt;=AE$4+5)),SUMPRODUCT((INDEX(Timeline!$P$5:$AN$305,0,MATCH($A13,Timeline!$P$4:$AN$4,0))="x")*(Timeline!$K$5:$K$305="Task")*ISNUMBER(Timeline!$I$5:$I$305)*ISNUMBER(Timeline!$J$5:$J$305)*(Timeline!$I$5:$I$305&lt;=AE$4+6)*(Timeline!$J$5:$J$305&gt;=AE$4+6)))</f>
        <v>0</v>
      </c>
      <c r="AF13" s="67">
        <f>MAX(SUMPRODUCT((INDEX(Timeline!$P$5:$AN$305,0,MATCH($A13,Timeline!$P$4:$AN$4,0))="x")*(Timeline!$K$5:$K$305="Task")*ISNUMBER(Timeline!$I$5:$I$305)*ISNUMBER(Timeline!$J$5:$J$305)*(Timeline!$I$5:$I$305&lt;=AF$4+0)*(Timeline!$J$5:$J$305&gt;=AF$4+0)),SUMPRODUCT((INDEX(Timeline!$P$5:$AN$305,0,MATCH($A13,Timeline!$P$4:$AN$4,0))="x")*(Timeline!$K$5:$K$305="Task")*ISNUMBER(Timeline!$I$5:$I$305)*ISNUMBER(Timeline!$J$5:$J$305)*(Timeline!$I$5:$I$305&lt;=AF$4+1)*(Timeline!$J$5:$J$305&gt;=AF$4+1)),SUMPRODUCT((INDEX(Timeline!$P$5:$AN$305,0,MATCH($A13,Timeline!$P$4:$AN$4,0))="x")*(Timeline!$K$5:$K$305="Task")*ISNUMBER(Timeline!$I$5:$I$305)*ISNUMBER(Timeline!$J$5:$J$305)*(Timeline!$I$5:$I$305&lt;=AF$4+2)*(Timeline!$J$5:$J$305&gt;=AF$4+2)),SUMPRODUCT((INDEX(Timeline!$P$5:$AN$305,0,MATCH($A13,Timeline!$P$4:$AN$4,0))="x")*(Timeline!$K$5:$K$305="Task")*ISNUMBER(Timeline!$I$5:$I$305)*ISNUMBER(Timeline!$J$5:$J$305)*(Timeline!$I$5:$I$305&lt;=AF$4+3)*(Timeline!$J$5:$J$305&gt;=AF$4+3)),SUMPRODUCT((INDEX(Timeline!$P$5:$AN$305,0,MATCH($A13,Timeline!$P$4:$AN$4,0))="x")*(Timeline!$K$5:$K$305="Task")*ISNUMBER(Timeline!$I$5:$I$305)*ISNUMBER(Timeline!$J$5:$J$305)*(Timeline!$I$5:$I$305&lt;=AF$4+4)*(Timeline!$J$5:$J$305&gt;=AF$4+4)),SUMPRODUCT((INDEX(Timeline!$P$5:$AN$305,0,MATCH($A13,Timeline!$P$4:$AN$4,0))="x")*(Timeline!$K$5:$K$305="Task")*ISNUMBER(Timeline!$I$5:$I$305)*ISNUMBER(Timeline!$J$5:$J$305)*(Timeline!$I$5:$I$305&lt;=AF$4+5)*(Timeline!$J$5:$J$305&gt;=AF$4+5)),SUMPRODUCT((INDEX(Timeline!$P$5:$AN$305,0,MATCH($A13,Timeline!$P$4:$AN$4,0))="x")*(Timeline!$K$5:$K$305="Task")*ISNUMBER(Timeline!$I$5:$I$305)*ISNUMBER(Timeline!$J$5:$J$305)*(Timeline!$I$5:$I$305&lt;=AF$4+6)*(Timeline!$J$5:$J$305&gt;=AF$4+6)))</f>
        <v>0</v>
      </c>
      <c r="AG13" s="67">
        <f>MAX(SUMPRODUCT((INDEX(Timeline!$P$5:$AN$305,0,MATCH($A13,Timeline!$P$4:$AN$4,0))="x")*(Timeline!$K$5:$K$305="Task")*ISNUMBER(Timeline!$I$5:$I$305)*ISNUMBER(Timeline!$J$5:$J$305)*(Timeline!$I$5:$I$305&lt;=AG$4+0)*(Timeline!$J$5:$J$305&gt;=AG$4+0)),SUMPRODUCT((INDEX(Timeline!$P$5:$AN$305,0,MATCH($A13,Timeline!$P$4:$AN$4,0))="x")*(Timeline!$K$5:$K$305="Task")*ISNUMBER(Timeline!$I$5:$I$305)*ISNUMBER(Timeline!$J$5:$J$305)*(Timeline!$I$5:$I$305&lt;=AG$4+1)*(Timeline!$J$5:$J$305&gt;=AG$4+1)),SUMPRODUCT((INDEX(Timeline!$P$5:$AN$305,0,MATCH($A13,Timeline!$P$4:$AN$4,0))="x")*(Timeline!$K$5:$K$305="Task")*ISNUMBER(Timeline!$I$5:$I$305)*ISNUMBER(Timeline!$J$5:$J$305)*(Timeline!$I$5:$I$305&lt;=AG$4+2)*(Timeline!$J$5:$J$305&gt;=AG$4+2)),SUMPRODUCT((INDEX(Timeline!$P$5:$AN$305,0,MATCH($A13,Timeline!$P$4:$AN$4,0))="x")*(Timeline!$K$5:$K$305="Task")*ISNUMBER(Timeline!$I$5:$I$305)*ISNUMBER(Timeline!$J$5:$J$305)*(Timeline!$I$5:$I$305&lt;=AG$4+3)*(Timeline!$J$5:$J$305&gt;=AG$4+3)),SUMPRODUCT((INDEX(Timeline!$P$5:$AN$305,0,MATCH($A13,Timeline!$P$4:$AN$4,0))="x")*(Timeline!$K$5:$K$305="Task")*ISNUMBER(Timeline!$I$5:$I$305)*ISNUMBER(Timeline!$J$5:$J$305)*(Timeline!$I$5:$I$305&lt;=AG$4+4)*(Timeline!$J$5:$J$305&gt;=AG$4+4)),SUMPRODUCT((INDEX(Timeline!$P$5:$AN$305,0,MATCH($A13,Timeline!$P$4:$AN$4,0))="x")*(Timeline!$K$5:$K$305="Task")*ISNUMBER(Timeline!$I$5:$I$305)*ISNUMBER(Timeline!$J$5:$J$305)*(Timeline!$I$5:$I$305&lt;=AG$4+5)*(Timeline!$J$5:$J$305&gt;=AG$4+5)),SUMPRODUCT((INDEX(Timeline!$P$5:$AN$305,0,MATCH($A13,Timeline!$P$4:$AN$4,0))="x")*(Timeline!$K$5:$K$305="Task")*ISNUMBER(Timeline!$I$5:$I$305)*ISNUMBER(Timeline!$J$5:$J$305)*(Timeline!$I$5:$I$305&lt;=AG$4+6)*(Timeline!$J$5:$J$305&gt;=AG$4+6)))</f>
        <v>0</v>
      </c>
      <c r="AH13" s="67">
        <f>MAX(SUMPRODUCT((INDEX(Timeline!$P$5:$AN$305,0,MATCH($A13,Timeline!$P$4:$AN$4,0))="x")*(Timeline!$K$5:$K$305="Task")*ISNUMBER(Timeline!$I$5:$I$305)*ISNUMBER(Timeline!$J$5:$J$305)*(Timeline!$I$5:$I$305&lt;=AH$4+0)*(Timeline!$J$5:$J$305&gt;=AH$4+0)),SUMPRODUCT((INDEX(Timeline!$P$5:$AN$305,0,MATCH($A13,Timeline!$P$4:$AN$4,0))="x")*(Timeline!$K$5:$K$305="Task")*ISNUMBER(Timeline!$I$5:$I$305)*ISNUMBER(Timeline!$J$5:$J$305)*(Timeline!$I$5:$I$305&lt;=AH$4+1)*(Timeline!$J$5:$J$305&gt;=AH$4+1)),SUMPRODUCT((INDEX(Timeline!$P$5:$AN$305,0,MATCH($A13,Timeline!$P$4:$AN$4,0))="x")*(Timeline!$K$5:$K$305="Task")*ISNUMBER(Timeline!$I$5:$I$305)*ISNUMBER(Timeline!$J$5:$J$305)*(Timeline!$I$5:$I$305&lt;=AH$4+2)*(Timeline!$J$5:$J$305&gt;=AH$4+2)),SUMPRODUCT((INDEX(Timeline!$P$5:$AN$305,0,MATCH($A13,Timeline!$P$4:$AN$4,0))="x")*(Timeline!$K$5:$K$305="Task")*ISNUMBER(Timeline!$I$5:$I$305)*ISNUMBER(Timeline!$J$5:$J$305)*(Timeline!$I$5:$I$305&lt;=AH$4+3)*(Timeline!$J$5:$J$305&gt;=AH$4+3)),SUMPRODUCT((INDEX(Timeline!$P$5:$AN$305,0,MATCH($A13,Timeline!$P$4:$AN$4,0))="x")*(Timeline!$K$5:$K$305="Task")*ISNUMBER(Timeline!$I$5:$I$305)*ISNUMBER(Timeline!$J$5:$J$305)*(Timeline!$I$5:$I$305&lt;=AH$4+4)*(Timeline!$J$5:$J$305&gt;=AH$4+4)),SUMPRODUCT((INDEX(Timeline!$P$5:$AN$305,0,MATCH($A13,Timeline!$P$4:$AN$4,0))="x")*(Timeline!$K$5:$K$305="Task")*ISNUMBER(Timeline!$I$5:$I$305)*ISNUMBER(Timeline!$J$5:$J$305)*(Timeline!$I$5:$I$305&lt;=AH$4+5)*(Timeline!$J$5:$J$305&gt;=AH$4+5)),SUMPRODUCT((INDEX(Timeline!$P$5:$AN$305,0,MATCH($A13,Timeline!$P$4:$AN$4,0))="x")*(Timeline!$K$5:$K$305="Task")*ISNUMBER(Timeline!$I$5:$I$305)*ISNUMBER(Timeline!$J$5:$J$305)*(Timeline!$I$5:$I$305&lt;=AH$4+6)*(Timeline!$J$5:$J$305&gt;=AH$4+6)))</f>
        <v>0</v>
      </c>
      <c r="AI13" s="67">
        <f>MAX(SUMPRODUCT((INDEX(Timeline!$P$5:$AN$305,0,MATCH($A13,Timeline!$P$4:$AN$4,0))="x")*(Timeline!$K$5:$K$305="Task")*ISNUMBER(Timeline!$I$5:$I$305)*ISNUMBER(Timeline!$J$5:$J$305)*(Timeline!$I$5:$I$305&lt;=AI$4+0)*(Timeline!$J$5:$J$305&gt;=AI$4+0)),SUMPRODUCT((INDEX(Timeline!$P$5:$AN$305,0,MATCH($A13,Timeline!$P$4:$AN$4,0))="x")*(Timeline!$K$5:$K$305="Task")*ISNUMBER(Timeline!$I$5:$I$305)*ISNUMBER(Timeline!$J$5:$J$305)*(Timeline!$I$5:$I$305&lt;=AI$4+1)*(Timeline!$J$5:$J$305&gt;=AI$4+1)),SUMPRODUCT((INDEX(Timeline!$P$5:$AN$305,0,MATCH($A13,Timeline!$P$4:$AN$4,0))="x")*(Timeline!$K$5:$K$305="Task")*ISNUMBER(Timeline!$I$5:$I$305)*ISNUMBER(Timeline!$J$5:$J$305)*(Timeline!$I$5:$I$305&lt;=AI$4+2)*(Timeline!$J$5:$J$305&gt;=AI$4+2)),SUMPRODUCT((INDEX(Timeline!$P$5:$AN$305,0,MATCH($A13,Timeline!$P$4:$AN$4,0))="x")*(Timeline!$K$5:$K$305="Task")*ISNUMBER(Timeline!$I$5:$I$305)*ISNUMBER(Timeline!$J$5:$J$305)*(Timeline!$I$5:$I$305&lt;=AI$4+3)*(Timeline!$J$5:$J$305&gt;=AI$4+3)),SUMPRODUCT((INDEX(Timeline!$P$5:$AN$305,0,MATCH($A13,Timeline!$P$4:$AN$4,0))="x")*(Timeline!$K$5:$K$305="Task")*ISNUMBER(Timeline!$I$5:$I$305)*ISNUMBER(Timeline!$J$5:$J$305)*(Timeline!$I$5:$I$305&lt;=AI$4+4)*(Timeline!$J$5:$J$305&gt;=AI$4+4)),SUMPRODUCT((INDEX(Timeline!$P$5:$AN$305,0,MATCH($A13,Timeline!$P$4:$AN$4,0))="x")*(Timeline!$K$5:$K$305="Task")*ISNUMBER(Timeline!$I$5:$I$305)*ISNUMBER(Timeline!$J$5:$J$305)*(Timeline!$I$5:$I$305&lt;=AI$4+5)*(Timeline!$J$5:$J$305&gt;=AI$4+5)),SUMPRODUCT((INDEX(Timeline!$P$5:$AN$305,0,MATCH($A13,Timeline!$P$4:$AN$4,0))="x")*(Timeline!$K$5:$K$305="Task")*ISNUMBER(Timeline!$I$5:$I$305)*ISNUMBER(Timeline!$J$5:$J$305)*(Timeline!$I$5:$I$305&lt;=AI$4+6)*(Timeline!$J$5:$J$305&gt;=AI$4+6)))</f>
        <v>0</v>
      </c>
      <c r="AJ13" s="67">
        <f>MAX(SUMPRODUCT((INDEX(Timeline!$P$5:$AN$305,0,MATCH($A13,Timeline!$P$4:$AN$4,0))="x")*(Timeline!$K$5:$K$305="Task")*ISNUMBER(Timeline!$I$5:$I$305)*ISNUMBER(Timeline!$J$5:$J$305)*(Timeline!$I$5:$I$305&lt;=AJ$4+0)*(Timeline!$J$5:$J$305&gt;=AJ$4+0)),SUMPRODUCT((INDEX(Timeline!$P$5:$AN$305,0,MATCH($A13,Timeline!$P$4:$AN$4,0))="x")*(Timeline!$K$5:$K$305="Task")*ISNUMBER(Timeline!$I$5:$I$305)*ISNUMBER(Timeline!$J$5:$J$305)*(Timeline!$I$5:$I$305&lt;=AJ$4+1)*(Timeline!$J$5:$J$305&gt;=AJ$4+1)),SUMPRODUCT((INDEX(Timeline!$P$5:$AN$305,0,MATCH($A13,Timeline!$P$4:$AN$4,0))="x")*(Timeline!$K$5:$K$305="Task")*ISNUMBER(Timeline!$I$5:$I$305)*ISNUMBER(Timeline!$J$5:$J$305)*(Timeline!$I$5:$I$305&lt;=AJ$4+2)*(Timeline!$J$5:$J$305&gt;=AJ$4+2)),SUMPRODUCT((INDEX(Timeline!$P$5:$AN$305,0,MATCH($A13,Timeline!$P$4:$AN$4,0))="x")*(Timeline!$K$5:$K$305="Task")*ISNUMBER(Timeline!$I$5:$I$305)*ISNUMBER(Timeline!$J$5:$J$305)*(Timeline!$I$5:$I$305&lt;=AJ$4+3)*(Timeline!$J$5:$J$305&gt;=AJ$4+3)),SUMPRODUCT((INDEX(Timeline!$P$5:$AN$305,0,MATCH($A13,Timeline!$P$4:$AN$4,0))="x")*(Timeline!$K$5:$K$305="Task")*ISNUMBER(Timeline!$I$5:$I$305)*ISNUMBER(Timeline!$J$5:$J$305)*(Timeline!$I$5:$I$305&lt;=AJ$4+4)*(Timeline!$J$5:$J$305&gt;=AJ$4+4)),SUMPRODUCT((INDEX(Timeline!$P$5:$AN$305,0,MATCH($A13,Timeline!$P$4:$AN$4,0))="x")*(Timeline!$K$5:$K$305="Task")*ISNUMBER(Timeline!$I$5:$I$305)*ISNUMBER(Timeline!$J$5:$J$305)*(Timeline!$I$5:$I$305&lt;=AJ$4+5)*(Timeline!$J$5:$J$305&gt;=AJ$4+5)),SUMPRODUCT((INDEX(Timeline!$P$5:$AN$305,0,MATCH($A13,Timeline!$P$4:$AN$4,0))="x")*(Timeline!$K$5:$K$305="Task")*ISNUMBER(Timeline!$I$5:$I$305)*ISNUMBER(Timeline!$J$5:$J$305)*(Timeline!$I$5:$I$305&lt;=AJ$4+6)*(Timeline!$J$5:$J$305&gt;=AJ$4+6)))</f>
        <v>0</v>
      </c>
      <c r="AK13" s="67">
        <f>MAX(SUMPRODUCT((INDEX(Timeline!$P$5:$AN$305,0,MATCH($A13,Timeline!$P$4:$AN$4,0))="x")*(Timeline!$K$5:$K$305="Task")*ISNUMBER(Timeline!$I$5:$I$305)*ISNUMBER(Timeline!$J$5:$J$305)*(Timeline!$I$5:$I$305&lt;=AK$4+0)*(Timeline!$J$5:$J$305&gt;=AK$4+0)),SUMPRODUCT((INDEX(Timeline!$P$5:$AN$305,0,MATCH($A13,Timeline!$P$4:$AN$4,0))="x")*(Timeline!$K$5:$K$305="Task")*ISNUMBER(Timeline!$I$5:$I$305)*ISNUMBER(Timeline!$J$5:$J$305)*(Timeline!$I$5:$I$305&lt;=AK$4+1)*(Timeline!$J$5:$J$305&gt;=AK$4+1)),SUMPRODUCT((INDEX(Timeline!$P$5:$AN$305,0,MATCH($A13,Timeline!$P$4:$AN$4,0))="x")*(Timeline!$K$5:$K$305="Task")*ISNUMBER(Timeline!$I$5:$I$305)*ISNUMBER(Timeline!$J$5:$J$305)*(Timeline!$I$5:$I$305&lt;=AK$4+2)*(Timeline!$J$5:$J$305&gt;=AK$4+2)),SUMPRODUCT((INDEX(Timeline!$P$5:$AN$305,0,MATCH($A13,Timeline!$P$4:$AN$4,0))="x")*(Timeline!$K$5:$K$305="Task")*ISNUMBER(Timeline!$I$5:$I$305)*ISNUMBER(Timeline!$J$5:$J$305)*(Timeline!$I$5:$I$305&lt;=AK$4+3)*(Timeline!$J$5:$J$305&gt;=AK$4+3)),SUMPRODUCT((INDEX(Timeline!$P$5:$AN$305,0,MATCH($A13,Timeline!$P$4:$AN$4,0))="x")*(Timeline!$K$5:$K$305="Task")*ISNUMBER(Timeline!$I$5:$I$305)*ISNUMBER(Timeline!$J$5:$J$305)*(Timeline!$I$5:$I$305&lt;=AK$4+4)*(Timeline!$J$5:$J$305&gt;=AK$4+4)),SUMPRODUCT((INDEX(Timeline!$P$5:$AN$305,0,MATCH($A13,Timeline!$P$4:$AN$4,0))="x")*(Timeline!$K$5:$K$305="Task")*ISNUMBER(Timeline!$I$5:$I$305)*ISNUMBER(Timeline!$J$5:$J$305)*(Timeline!$I$5:$I$305&lt;=AK$4+5)*(Timeline!$J$5:$J$305&gt;=AK$4+5)),SUMPRODUCT((INDEX(Timeline!$P$5:$AN$305,0,MATCH($A13,Timeline!$P$4:$AN$4,0))="x")*(Timeline!$K$5:$K$305="Task")*ISNUMBER(Timeline!$I$5:$I$305)*ISNUMBER(Timeline!$J$5:$J$305)*(Timeline!$I$5:$I$305&lt;=AK$4+6)*(Timeline!$J$5:$J$305&gt;=AK$4+6)))</f>
        <v>0</v>
      </c>
      <c r="AL13" s="67">
        <f>MAX(SUMPRODUCT((INDEX(Timeline!$P$5:$AN$305,0,MATCH($A13,Timeline!$P$4:$AN$4,0))="x")*(Timeline!$K$5:$K$305="Task")*ISNUMBER(Timeline!$I$5:$I$305)*ISNUMBER(Timeline!$J$5:$J$305)*(Timeline!$I$5:$I$305&lt;=AL$4+0)*(Timeline!$J$5:$J$305&gt;=AL$4+0)),SUMPRODUCT((INDEX(Timeline!$P$5:$AN$305,0,MATCH($A13,Timeline!$P$4:$AN$4,0))="x")*(Timeline!$K$5:$K$305="Task")*ISNUMBER(Timeline!$I$5:$I$305)*ISNUMBER(Timeline!$J$5:$J$305)*(Timeline!$I$5:$I$305&lt;=AL$4+1)*(Timeline!$J$5:$J$305&gt;=AL$4+1)),SUMPRODUCT((INDEX(Timeline!$P$5:$AN$305,0,MATCH($A13,Timeline!$P$4:$AN$4,0))="x")*(Timeline!$K$5:$K$305="Task")*ISNUMBER(Timeline!$I$5:$I$305)*ISNUMBER(Timeline!$J$5:$J$305)*(Timeline!$I$5:$I$305&lt;=AL$4+2)*(Timeline!$J$5:$J$305&gt;=AL$4+2)),SUMPRODUCT((INDEX(Timeline!$P$5:$AN$305,0,MATCH($A13,Timeline!$P$4:$AN$4,0))="x")*(Timeline!$K$5:$K$305="Task")*ISNUMBER(Timeline!$I$5:$I$305)*ISNUMBER(Timeline!$J$5:$J$305)*(Timeline!$I$5:$I$305&lt;=AL$4+3)*(Timeline!$J$5:$J$305&gt;=AL$4+3)),SUMPRODUCT((INDEX(Timeline!$P$5:$AN$305,0,MATCH($A13,Timeline!$P$4:$AN$4,0))="x")*(Timeline!$K$5:$K$305="Task")*ISNUMBER(Timeline!$I$5:$I$305)*ISNUMBER(Timeline!$J$5:$J$305)*(Timeline!$I$5:$I$305&lt;=AL$4+4)*(Timeline!$J$5:$J$305&gt;=AL$4+4)),SUMPRODUCT((INDEX(Timeline!$P$5:$AN$305,0,MATCH($A13,Timeline!$P$4:$AN$4,0))="x")*(Timeline!$K$5:$K$305="Task")*ISNUMBER(Timeline!$I$5:$I$305)*ISNUMBER(Timeline!$J$5:$J$305)*(Timeline!$I$5:$I$305&lt;=AL$4+5)*(Timeline!$J$5:$J$305&gt;=AL$4+5)),SUMPRODUCT((INDEX(Timeline!$P$5:$AN$305,0,MATCH($A13,Timeline!$P$4:$AN$4,0))="x")*(Timeline!$K$5:$K$305="Task")*ISNUMBER(Timeline!$I$5:$I$305)*ISNUMBER(Timeline!$J$5:$J$305)*(Timeline!$I$5:$I$305&lt;=AL$4+6)*(Timeline!$J$5:$J$305&gt;=AL$4+6)))</f>
        <v>0</v>
      </c>
      <c r="AM13" s="67">
        <f>MAX(SUMPRODUCT((INDEX(Timeline!$P$5:$AN$305,0,MATCH($A13,Timeline!$P$4:$AN$4,0))="x")*(Timeline!$K$5:$K$305="Task")*ISNUMBER(Timeline!$I$5:$I$305)*ISNUMBER(Timeline!$J$5:$J$305)*(Timeline!$I$5:$I$305&lt;=AM$4+0)*(Timeline!$J$5:$J$305&gt;=AM$4+0)),SUMPRODUCT((INDEX(Timeline!$P$5:$AN$305,0,MATCH($A13,Timeline!$P$4:$AN$4,0))="x")*(Timeline!$K$5:$K$305="Task")*ISNUMBER(Timeline!$I$5:$I$305)*ISNUMBER(Timeline!$J$5:$J$305)*(Timeline!$I$5:$I$305&lt;=AM$4+1)*(Timeline!$J$5:$J$305&gt;=AM$4+1)),SUMPRODUCT((INDEX(Timeline!$P$5:$AN$305,0,MATCH($A13,Timeline!$P$4:$AN$4,0))="x")*(Timeline!$K$5:$K$305="Task")*ISNUMBER(Timeline!$I$5:$I$305)*ISNUMBER(Timeline!$J$5:$J$305)*(Timeline!$I$5:$I$305&lt;=AM$4+2)*(Timeline!$J$5:$J$305&gt;=AM$4+2)),SUMPRODUCT((INDEX(Timeline!$P$5:$AN$305,0,MATCH($A13,Timeline!$P$4:$AN$4,0))="x")*(Timeline!$K$5:$K$305="Task")*ISNUMBER(Timeline!$I$5:$I$305)*ISNUMBER(Timeline!$J$5:$J$305)*(Timeline!$I$5:$I$305&lt;=AM$4+3)*(Timeline!$J$5:$J$305&gt;=AM$4+3)),SUMPRODUCT((INDEX(Timeline!$P$5:$AN$305,0,MATCH($A13,Timeline!$P$4:$AN$4,0))="x")*(Timeline!$K$5:$K$305="Task")*ISNUMBER(Timeline!$I$5:$I$305)*ISNUMBER(Timeline!$J$5:$J$305)*(Timeline!$I$5:$I$305&lt;=AM$4+4)*(Timeline!$J$5:$J$305&gt;=AM$4+4)),SUMPRODUCT((INDEX(Timeline!$P$5:$AN$305,0,MATCH($A13,Timeline!$P$4:$AN$4,0))="x")*(Timeline!$K$5:$K$305="Task")*ISNUMBER(Timeline!$I$5:$I$305)*ISNUMBER(Timeline!$J$5:$J$305)*(Timeline!$I$5:$I$305&lt;=AM$4+5)*(Timeline!$J$5:$J$305&gt;=AM$4+5)),SUMPRODUCT((INDEX(Timeline!$P$5:$AN$305,0,MATCH($A13,Timeline!$P$4:$AN$4,0))="x")*(Timeline!$K$5:$K$305="Task")*ISNUMBER(Timeline!$I$5:$I$305)*ISNUMBER(Timeline!$J$5:$J$305)*(Timeline!$I$5:$I$305&lt;=AM$4+6)*(Timeline!$J$5:$J$305&gt;=AM$4+6)))</f>
        <v>0</v>
      </c>
      <c r="AN13" s="67">
        <f>MAX(SUMPRODUCT((INDEX(Timeline!$P$5:$AN$305,0,MATCH($A13,Timeline!$P$4:$AN$4,0))="x")*(Timeline!$K$5:$K$305="Task")*ISNUMBER(Timeline!$I$5:$I$305)*ISNUMBER(Timeline!$J$5:$J$305)*(Timeline!$I$5:$I$305&lt;=AN$4+0)*(Timeline!$J$5:$J$305&gt;=AN$4+0)),SUMPRODUCT((INDEX(Timeline!$P$5:$AN$305,0,MATCH($A13,Timeline!$P$4:$AN$4,0))="x")*(Timeline!$K$5:$K$305="Task")*ISNUMBER(Timeline!$I$5:$I$305)*ISNUMBER(Timeline!$J$5:$J$305)*(Timeline!$I$5:$I$305&lt;=AN$4+1)*(Timeline!$J$5:$J$305&gt;=AN$4+1)),SUMPRODUCT((INDEX(Timeline!$P$5:$AN$305,0,MATCH($A13,Timeline!$P$4:$AN$4,0))="x")*(Timeline!$K$5:$K$305="Task")*ISNUMBER(Timeline!$I$5:$I$305)*ISNUMBER(Timeline!$J$5:$J$305)*(Timeline!$I$5:$I$305&lt;=AN$4+2)*(Timeline!$J$5:$J$305&gt;=AN$4+2)),SUMPRODUCT((INDEX(Timeline!$P$5:$AN$305,0,MATCH($A13,Timeline!$P$4:$AN$4,0))="x")*(Timeline!$K$5:$K$305="Task")*ISNUMBER(Timeline!$I$5:$I$305)*ISNUMBER(Timeline!$J$5:$J$305)*(Timeline!$I$5:$I$305&lt;=AN$4+3)*(Timeline!$J$5:$J$305&gt;=AN$4+3)),SUMPRODUCT((INDEX(Timeline!$P$5:$AN$305,0,MATCH($A13,Timeline!$P$4:$AN$4,0))="x")*(Timeline!$K$5:$K$305="Task")*ISNUMBER(Timeline!$I$5:$I$305)*ISNUMBER(Timeline!$J$5:$J$305)*(Timeline!$I$5:$I$305&lt;=AN$4+4)*(Timeline!$J$5:$J$305&gt;=AN$4+4)),SUMPRODUCT((INDEX(Timeline!$P$5:$AN$305,0,MATCH($A13,Timeline!$P$4:$AN$4,0))="x")*(Timeline!$K$5:$K$305="Task")*ISNUMBER(Timeline!$I$5:$I$305)*ISNUMBER(Timeline!$J$5:$J$305)*(Timeline!$I$5:$I$305&lt;=AN$4+5)*(Timeline!$J$5:$J$305&gt;=AN$4+5)),SUMPRODUCT((INDEX(Timeline!$P$5:$AN$305,0,MATCH($A13,Timeline!$P$4:$AN$4,0))="x")*(Timeline!$K$5:$K$305="Task")*ISNUMBER(Timeline!$I$5:$I$305)*ISNUMBER(Timeline!$J$5:$J$305)*(Timeline!$I$5:$I$305&lt;=AN$4+6)*(Timeline!$J$5:$J$305&gt;=AN$4+6)))</f>
        <v>0</v>
      </c>
      <c r="AO13" s="67">
        <f>MAX(SUMPRODUCT((INDEX(Timeline!$P$5:$AN$305,0,MATCH($A13,Timeline!$P$4:$AN$4,0))="x")*(Timeline!$K$5:$K$305="Task")*ISNUMBER(Timeline!$I$5:$I$305)*ISNUMBER(Timeline!$J$5:$J$305)*(Timeline!$I$5:$I$305&lt;=AO$4+0)*(Timeline!$J$5:$J$305&gt;=AO$4+0)),SUMPRODUCT((INDEX(Timeline!$P$5:$AN$305,0,MATCH($A13,Timeline!$P$4:$AN$4,0))="x")*(Timeline!$K$5:$K$305="Task")*ISNUMBER(Timeline!$I$5:$I$305)*ISNUMBER(Timeline!$J$5:$J$305)*(Timeline!$I$5:$I$305&lt;=AO$4+1)*(Timeline!$J$5:$J$305&gt;=AO$4+1)),SUMPRODUCT((INDEX(Timeline!$P$5:$AN$305,0,MATCH($A13,Timeline!$P$4:$AN$4,0))="x")*(Timeline!$K$5:$K$305="Task")*ISNUMBER(Timeline!$I$5:$I$305)*ISNUMBER(Timeline!$J$5:$J$305)*(Timeline!$I$5:$I$305&lt;=AO$4+2)*(Timeline!$J$5:$J$305&gt;=AO$4+2)),SUMPRODUCT((INDEX(Timeline!$P$5:$AN$305,0,MATCH($A13,Timeline!$P$4:$AN$4,0))="x")*(Timeline!$K$5:$K$305="Task")*ISNUMBER(Timeline!$I$5:$I$305)*ISNUMBER(Timeline!$J$5:$J$305)*(Timeline!$I$5:$I$305&lt;=AO$4+3)*(Timeline!$J$5:$J$305&gt;=AO$4+3)),SUMPRODUCT((INDEX(Timeline!$P$5:$AN$305,0,MATCH($A13,Timeline!$P$4:$AN$4,0))="x")*(Timeline!$K$5:$K$305="Task")*ISNUMBER(Timeline!$I$5:$I$305)*ISNUMBER(Timeline!$J$5:$J$305)*(Timeline!$I$5:$I$305&lt;=AO$4+4)*(Timeline!$J$5:$J$305&gt;=AO$4+4)),SUMPRODUCT((INDEX(Timeline!$P$5:$AN$305,0,MATCH($A13,Timeline!$P$4:$AN$4,0))="x")*(Timeline!$K$5:$K$305="Task")*ISNUMBER(Timeline!$I$5:$I$305)*ISNUMBER(Timeline!$J$5:$J$305)*(Timeline!$I$5:$I$305&lt;=AO$4+5)*(Timeline!$J$5:$J$305&gt;=AO$4+5)),SUMPRODUCT((INDEX(Timeline!$P$5:$AN$305,0,MATCH($A13,Timeline!$P$4:$AN$4,0))="x")*(Timeline!$K$5:$K$305="Task")*ISNUMBER(Timeline!$I$5:$I$305)*ISNUMBER(Timeline!$J$5:$J$305)*(Timeline!$I$5:$I$305&lt;=AO$4+6)*(Timeline!$J$5:$J$305&gt;=AO$4+6)))</f>
        <v>0</v>
      </c>
      <c r="AP13" s="67">
        <f>MAX(SUMPRODUCT((INDEX(Timeline!$P$5:$AN$305,0,MATCH($A13,Timeline!$P$4:$AN$4,0))="x")*(Timeline!$K$5:$K$305="Task")*ISNUMBER(Timeline!$I$5:$I$305)*ISNUMBER(Timeline!$J$5:$J$305)*(Timeline!$I$5:$I$305&lt;=AP$4+0)*(Timeline!$J$5:$J$305&gt;=AP$4+0)),SUMPRODUCT((INDEX(Timeline!$P$5:$AN$305,0,MATCH($A13,Timeline!$P$4:$AN$4,0))="x")*(Timeline!$K$5:$K$305="Task")*ISNUMBER(Timeline!$I$5:$I$305)*ISNUMBER(Timeline!$J$5:$J$305)*(Timeline!$I$5:$I$305&lt;=AP$4+1)*(Timeline!$J$5:$J$305&gt;=AP$4+1)),SUMPRODUCT((INDEX(Timeline!$P$5:$AN$305,0,MATCH($A13,Timeline!$P$4:$AN$4,0))="x")*(Timeline!$K$5:$K$305="Task")*ISNUMBER(Timeline!$I$5:$I$305)*ISNUMBER(Timeline!$J$5:$J$305)*(Timeline!$I$5:$I$305&lt;=AP$4+2)*(Timeline!$J$5:$J$305&gt;=AP$4+2)),SUMPRODUCT((INDEX(Timeline!$P$5:$AN$305,0,MATCH($A13,Timeline!$P$4:$AN$4,0))="x")*(Timeline!$K$5:$K$305="Task")*ISNUMBER(Timeline!$I$5:$I$305)*ISNUMBER(Timeline!$J$5:$J$305)*(Timeline!$I$5:$I$305&lt;=AP$4+3)*(Timeline!$J$5:$J$305&gt;=AP$4+3)),SUMPRODUCT((INDEX(Timeline!$P$5:$AN$305,0,MATCH($A13,Timeline!$P$4:$AN$4,0))="x")*(Timeline!$K$5:$K$305="Task")*ISNUMBER(Timeline!$I$5:$I$305)*ISNUMBER(Timeline!$J$5:$J$305)*(Timeline!$I$5:$I$305&lt;=AP$4+4)*(Timeline!$J$5:$J$305&gt;=AP$4+4)),SUMPRODUCT((INDEX(Timeline!$P$5:$AN$305,0,MATCH($A13,Timeline!$P$4:$AN$4,0))="x")*(Timeline!$K$5:$K$305="Task")*ISNUMBER(Timeline!$I$5:$I$305)*ISNUMBER(Timeline!$J$5:$J$305)*(Timeline!$I$5:$I$305&lt;=AP$4+5)*(Timeline!$J$5:$J$305&gt;=AP$4+5)),SUMPRODUCT((INDEX(Timeline!$P$5:$AN$305,0,MATCH($A13,Timeline!$P$4:$AN$4,0))="x")*(Timeline!$K$5:$K$305="Task")*ISNUMBER(Timeline!$I$5:$I$305)*ISNUMBER(Timeline!$J$5:$J$305)*(Timeline!$I$5:$I$305&lt;=AP$4+6)*(Timeline!$J$5:$J$305&gt;=AP$4+6)))</f>
        <v>0</v>
      </c>
      <c r="AQ13" s="67">
        <f>MAX(SUMPRODUCT((INDEX(Timeline!$P$5:$AN$305,0,MATCH($A13,Timeline!$P$4:$AN$4,0))="x")*(Timeline!$K$5:$K$305="Task")*ISNUMBER(Timeline!$I$5:$I$305)*ISNUMBER(Timeline!$J$5:$J$305)*(Timeline!$I$5:$I$305&lt;=AQ$4+0)*(Timeline!$J$5:$J$305&gt;=AQ$4+0)),SUMPRODUCT((INDEX(Timeline!$P$5:$AN$305,0,MATCH($A13,Timeline!$P$4:$AN$4,0))="x")*(Timeline!$K$5:$K$305="Task")*ISNUMBER(Timeline!$I$5:$I$305)*ISNUMBER(Timeline!$J$5:$J$305)*(Timeline!$I$5:$I$305&lt;=AQ$4+1)*(Timeline!$J$5:$J$305&gt;=AQ$4+1)),SUMPRODUCT((INDEX(Timeline!$P$5:$AN$305,0,MATCH($A13,Timeline!$P$4:$AN$4,0))="x")*(Timeline!$K$5:$K$305="Task")*ISNUMBER(Timeline!$I$5:$I$305)*ISNUMBER(Timeline!$J$5:$J$305)*(Timeline!$I$5:$I$305&lt;=AQ$4+2)*(Timeline!$J$5:$J$305&gt;=AQ$4+2)),SUMPRODUCT((INDEX(Timeline!$P$5:$AN$305,0,MATCH($A13,Timeline!$P$4:$AN$4,0))="x")*(Timeline!$K$5:$K$305="Task")*ISNUMBER(Timeline!$I$5:$I$305)*ISNUMBER(Timeline!$J$5:$J$305)*(Timeline!$I$5:$I$305&lt;=AQ$4+3)*(Timeline!$J$5:$J$305&gt;=AQ$4+3)),SUMPRODUCT((INDEX(Timeline!$P$5:$AN$305,0,MATCH($A13,Timeline!$P$4:$AN$4,0))="x")*(Timeline!$K$5:$K$305="Task")*ISNUMBER(Timeline!$I$5:$I$305)*ISNUMBER(Timeline!$J$5:$J$305)*(Timeline!$I$5:$I$305&lt;=AQ$4+4)*(Timeline!$J$5:$J$305&gt;=AQ$4+4)),SUMPRODUCT((INDEX(Timeline!$P$5:$AN$305,0,MATCH($A13,Timeline!$P$4:$AN$4,0))="x")*(Timeline!$K$5:$K$305="Task")*ISNUMBER(Timeline!$I$5:$I$305)*ISNUMBER(Timeline!$J$5:$J$305)*(Timeline!$I$5:$I$305&lt;=AQ$4+5)*(Timeline!$J$5:$J$305&gt;=AQ$4+5)),SUMPRODUCT((INDEX(Timeline!$P$5:$AN$305,0,MATCH($A13,Timeline!$P$4:$AN$4,0))="x")*(Timeline!$K$5:$K$305="Task")*ISNUMBER(Timeline!$I$5:$I$305)*ISNUMBER(Timeline!$J$5:$J$305)*(Timeline!$I$5:$I$305&lt;=AQ$4+6)*(Timeline!$J$5:$J$305&gt;=AQ$4+6)))</f>
        <v>0</v>
      </c>
      <c r="AR13" s="67">
        <f>MAX(SUMPRODUCT((INDEX(Timeline!$P$5:$AN$305,0,MATCH($A13,Timeline!$P$4:$AN$4,0))="x")*(Timeline!$K$5:$K$305="Task")*ISNUMBER(Timeline!$I$5:$I$305)*ISNUMBER(Timeline!$J$5:$J$305)*(Timeline!$I$5:$I$305&lt;=AR$4+0)*(Timeline!$J$5:$J$305&gt;=AR$4+0)),SUMPRODUCT((INDEX(Timeline!$P$5:$AN$305,0,MATCH($A13,Timeline!$P$4:$AN$4,0))="x")*(Timeline!$K$5:$K$305="Task")*ISNUMBER(Timeline!$I$5:$I$305)*ISNUMBER(Timeline!$J$5:$J$305)*(Timeline!$I$5:$I$305&lt;=AR$4+1)*(Timeline!$J$5:$J$305&gt;=AR$4+1)),SUMPRODUCT((INDEX(Timeline!$P$5:$AN$305,0,MATCH($A13,Timeline!$P$4:$AN$4,0))="x")*(Timeline!$K$5:$K$305="Task")*ISNUMBER(Timeline!$I$5:$I$305)*ISNUMBER(Timeline!$J$5:$J$305)*(Timeline!$I$5:$I$305&lt;=AR$4+2)*(Timeline!$J$5:$J$305&gt;=AR$4+2)),SUMPRODUCT((INDEX(Timeline!$P$5:$AN$305,0,MATCH($A13,Timeline!$P$4:$AN$4,0))="x")*(Timeline!$K$5:$K$305="Task")*ISNUMBER(Timeline!$I$5:$I$305)*ISNUMBER(Timeline!$J$5:$J$305)*(Timeline!$I$5:$I$305&lt;=AR$4+3)*(Timeline!$J$5:$J$305&gt;=AR$4+3)),SUMPRODUCT((INDEX(Timeline!$P$5:$AN$305,0,MATCH($A13,Timeline!$P$4:$AN$4,0))="x")*(Timeline!$K$5:$K$305="Task")*ISNUMBER(Timeline!$I$5:$I$305)*ISNUMBER(Timeline!$J$5:$J$305)*(Timeline!$I$5:$I$305&lt;=AR$4+4)*(Timeline!$J$5:$J$305&gt;=AR$4+4)),SUMPRODUCT((INDEX(Timeline!$P$5:$AN$305,0,MATCH($A13,Timeline!$P$4:$AN$4,0))="x")*(Timeline!$K$5:$K$305="Task")*ISNUMBER(Timeline!$I$5:$I$305)*ISNUMBER(Timeline!$J$5:$J$305)*(Timeline!$I$5:$I$305&lt;=AR$4+5)*(Timeline!$J$5:$J$305&gt;=AR$4+5)),SUMPRODUCT((INDEX(Timeline!$P$5:$AN$305,0,MATCH($A13,Timeline!$P$4:$AN$4,0))="x")*(Timeline!$K$5:$K$305="Task")*ISNUMBER(Timeline!$I$5:$I$305)*ISNUMBER(Timeline!$J$5:$J$305)*(Timeline!$I$5:$I$305&lt;=AR$4+6)*(Timeline!$J$5:$J$305&gt;=AR$4+6)))</f>
        <v>0</v>
      </c>
      <c r="AS13" s="67">
        <f>MAX(SUMPRODUCT((INDEX(Timeline!$P$5:$AN$305,0,MATCH($A13,Timeline!$P$4:$AN$4,0))="x")*(Timeline!$K$5:$K$305="Task")*ISNUMBER(Timeline!$I$5:$I$305)*ISNUMBER(Timeline!$J$5:$J$305)*(Timeline!$I$5:$I$305&lt;=AS$4+0)*(Timeline!$J$5:$J$305&gt;=AS$4+0)),SUMPRODUCT((INDEX(Timeline!$P$5:$AN$305,0,MATCH($A13,Timeline!$P$4:$AN$4,0))="x")*(Timeline!$K$5:$K$305="Task")*ISNUMBER(Timeline!$I$5:$I$305)*ISNUMBER(Timeline!$J$5:$J$305)*(Timeline!$I$5:$I$305&lt;=AS$4+1)*(Timeline!$J$5:$J$305&gt;=AS$4+1)),SUMPRODUCT((INDEX(Timeline!$P$5:$AN$305,0,MATCH($A13,Timeline!$P$4:$AN$4,0))="x")*(Timeline!$K$5:$K$305="Task")*ISNUMBER(Timeline!$I$5:$I$305)*ISNUMBER(Timeline!$J$5:$J$305)*(Timeline!$I$5:$I$305&lt;=AS$4+2)*(Timeline!$J$5:$J$305&gt;=AS$4+2)),SUMPRODUCT((INDEX(Timeline!$P$5:$AN$305,0,MATCH($A13,Timeline!$P$4:$AN$4,0))="x")*(Timeline!$K$5:$K$305="Task")*ISNUMBER(Timeline!$I$5:$I$305)*ISNUMBER(Timeline!$J$5:$J$305)*(Timeline!$I$5:$I$305&lt;=AS$4+3)*(Timeline!$J$5:$J$305&gt;=AS$4+3)),SUMPRODUCT((INDEX(Timeline!$P$5:$AN$305,0,MATCH($A13,Timeline!$P$4:$AN$4,0))="x")*(Timeline!$K$5:$K$305="Task")*ISNUMBER(Timeline!$I$5:$I$305)*ISNUMBER(Timeline!$J$5:$J$305)*(Timeline!$I$5:$I$305&lt;=AS$4+4)*(Timeline!$J$5:$J$305&gt;=AS$4+4)),SUMPRODUCT((INDEX(Timeline!$P$5:$AN$305,0,MATCH($A13,Timeline!$P$4:$AN$4,0))="x")*(Timeline!$K$5:$K$305="Task")*ISNUMBER(Timeline!$I$5:$I$305)*ISNUMBER(Timeline!$J$5:$J$305)*(Timeline!$I$5:$I$305&lt;=AS$4+5)*(Timeline!$J$5:$J$305&gt;=AS$4+5)),SUMPRODUCT((INDEX(Timeline!$P$5:$AN$305,0,MATCH($A13,Timeline!$P$4:$AN$4,0))="x")*(Timeline!$K$5:$K$305="Task")*ISNUMBER(Timeline!$I$5:$I$305)*ISNUMBER(Timeline!$J$5:$J$305)*(Timeline!$I$5:$I$305&lt;=AS$4+6)*(Timeline!$J$5:$J$305&gt;=AS$4+6)))</f>
        <v>0</v>
      </c>
      <c r="AT13" s="67">
        <f>MAX(SUMPRODUCT((INDEX(Timeline!$P$5:$AN$305,0,MATCH($A13,Timeline!$P$4:$AN$4,0))="x")*(Timeline!$K$5:$K$305="Task")*ISNUMBER(Timeline!$I$5:$I$305)*ISNUMBER(Timeline!$J$5:$J$305)*(Timeline!$I$5:$I$305&lt;=AT$4+0)*(Timeline!$J$5:$J$305&gt;=AT$4+0)),SUMPRODUCT((INDEX(Timeline!$P$5:$AN$305,0,MATCH($A13,Timeline!$P$4:$AN$4,0))="x")*(Timeline!$K$5:$K$305="Task")*ISNUMBER(Timeline!$I$5:$I$305)*ISNUMBER(Timeline!$J$5:$J$305)*(Timeline!$I$5:$I$305&lt;=AT$4+1)*(Timeline!$J$5:$J$305&gt;=AT$4+1)),SUMPRODUCT((INDEX(Timeline!$P$5:$AN$305,0,MATCH($A13,Timeline!$P$4:$AN$4,0))="x")*(Timeline!$K$5:$K$305="Task")*ISNUMBER(Timeline!$I$5:$I$305)*ISNUMBER(Timeline!$J$5:$J$305)*(Timeline!$I$5:$I$305&lt;=AT$4+2)*(Timeline!$J$5:$J$305&gt;=AT$4+2)),SUMPRODUCT((INDEX(Timeline!$P$5:$AN$305,0,MATCH($A13,Timeline!$P$4:$AN$4,0))="x")*(Timeline!$K$5:$K$305="Task")*ISNUMBER(Timeline!$I$5:$I$305)*ISNUMBER(Timeline!$J$5:$J$305)*(Timeline!$I$5:$I$305&lt;=AT$4+3)*(Timeline!$J$5:$J$305&gt;=AT$4+3)),SUMPRODUCT((INDEX(Timeline!$P$5:$AN$305,0,MATCH($A13,Timeline!$P$4:$AN$4,0))="x")*(Timeline!$K$5:$K$305="Task")*ISNUMBER(Timeline!$I$5:$I$305)*ISNUMBER(Timeline!$J$5:$J$305)*(Timeline!$I$5:$I$305&lt;=AT$4+4)*(Timeline!$J$5:$J$305&gt;=AT$4+4)),SUMPRODUCT((INDEX(Timeline!$P$5:$AN$305,0,MATCH($A13,Timeline!$P$4:$AN$4,0))="x")*(Timeline!$K$5:$K$305="Task")*ISNUMBER(Timeline!$I$5:$I$305)*ISNUMBER(Timeline!$J$5:$J$305)*(Timeline!$I$5:$I$305&lt;=AT$4+5)*(Timeline!$J$5:$J$305&gt;=AT$4+5)),SUMPRODUCT((INDEX(Timeline!$P$5:$AN$305,0,MATCH($A13,Timeline!$P$4:$AN$4,0))="x")*(Timeline!$K$5:$K$305="Task")*ISNUMBER(Timeline!$I$5:$I$305)*ISNUMBER(Timeline!$J$5:$J$305)*(Timeline!$I$5:$I$305&lt;=AT$4+6)*(Timeline!$J$5:$J$305&gt;=AT$4+6)))</f>
        <v>0</v>
      </c>
      <c r="AU13" s="67">
        <f>MAX(SUMPRODUCT((INDEX(Timeline!$P$5:$AN$305,0,MATCH($A13,Timeline!$P$4:$AN$4,0))="x")*(Timeline!$K$5:$K$305="Task")*ISNUMBER(Timeline!$I$5:$I$305)*ISNUMBER(Timeline!$J$5:$J$305)*(Timeline!$I$5:$I$305&lt;=AU$4+0)*(Timeline!$J$5:$J$305&gt;=AU$4+0)),SUMPRODUCT((INDEX(Timeline!$P$5:$AN$305,0,MATCH($A13,Timeline!$P$4:$AN$4,0))="x")*(Timeline!$K$5:$K$305="Task")*ISNUMBER(Timeline!$I$5:$I$305)*ISNUMBER(Timeline!$J$5:$J$305)*(Timeline!$I$5:$I$305&lt;=AU$4+1)*(Timeline!$J$5:$J$305&gt;=AU$4+1)),SUMPRODUCT((INDEX(Timeline!$P$5:$AN$305,0,MATCH($A13,Timeline!$P$4:$AN$4,0))="x")*(Timeline!$K$5:$K$305="Task")*ISNUMBER(Timeline!$I$5:$I$305)*ISNUMBER(Timeline!$J$5:$J$305)*(Timeline!$I$5:$I$305&lt;=AU$4+2)*(Timeline!$J$5:$J$305&gt;=AU$4+2)),SUMPRODUCT((INDEX(Timeline!$P$5:$AN$305,0,MATCH($A13,Timeline!$P$4:$AN$4,0))="x")*(Timeline!$K$5:$K$305="Task")*ISNUMBER(Timeline!$I$5:$I$305)*ISNUMBER(Timeline!$J$5:$J$305)*(Timeline!$I$5:$I$305&lt;=AU$4+3)*(Timeline!$J$5:$J$305&gt;=AU$4+3)),SUMPRODUCT((INDEX(Timeline!$P$5:$AN$305,0,MATCH($A13,Timeline!$P$4:$AN$4,0))="x")*(Timeline!$K$5:$K$305="Task")*ISNUMBER(Timeline!$I$5:$I$305)*ISNUMBER(Timeline!$J$5:$J$305)*(Timeline!$I$5:$I$305&lt;=AU$4+4)*(Timeline!$J$5:$J$305&gt;=AU$4+4)),SUMPRODUCT((INDEX(Timeline!$P$5:$AN$305,0,MATCH($A13,Timeline!$P$4:$AN$4,0))="x")*(Timeline!$K$5:$K$305="Task")*ISNUMBER(Timeline!$I$5:$I$305)*ISNUMBER(Timeline!$J$5:$J$305)*(Timeline!$I$5:$I$305&lt;=AU$4+5)*(Timeline!$J$5:$J$305&gt;=AU$4+5)),SUMPRODUCT((INDEX(Timeline!$P$5:$AN$305,0,MATCH($A13,Timeline!$P$4:$AN$4,0))="x")*(Timeline!$K$5:$K$305="Task")*ISNUMBER(Timeline!$I$5:$I$305)*ISNUMBER(Timeline!$J$5:$J$305)*(Timeline!$I$5:$I$305&lt;=AU$4+6)*(Timeline!$J$5:$J$305&gt;=AU$4+6)))</f>
        <v>0</v>
      </c>
      <c r="AV13" s="67">
        <f>MAX(SUMPRODUCT((INDEX(Timeline!$P$5:$AN$305,0,MATCH($A13,Timeline!$P$4:$AN$4,0))="x")*(Timeline!$K$5:$K$305="Task")*ISNUMBER(Timeline!$I$5:$I$305)*ISNUMBER(Timeline!$J$5:$J$305)*(Timeline!$I$5:$I$305&lt;=AV$4+0)*(Timeline!$J$5:$J$305&gt;=AV$4+0)),SUMPRODUCT((INDEX(Timeline!$P$5:$AN$305,0,MATCH($A13,Timeline!$P$4:$AN$4,0))="x")*(Timeline!$K$5:$K$305="Task")*ISNUMBER(Timeline!$I$5:$I$305)*ISNUMBER(Timeline!$J$5:$J$305)*(Timeline!$I$5:$I$305&lt;=AV$4+1)*(Timeline!$J$5:$J$305&gt;=AV$4+1)),SUMPRODUCT((INDEX(Timeline!$P$5:$AN$305,0,MATCH($A13,Timeline!$P$4:$AN$4,0))="x")*(Timeline!$K$5:$K$305="Task")*ISNUMBER(Timeline!$I$5:$I$305)*ISNUMBER(Timeline!$J$5:$J$305)*(Timeline!$I$5:$I$305&lt;=AV$4+2)*(Timeline!$J$5:$J$305&gt;=AV$4+2)),SUMPRODUCT((INDEX(Timeline!$P$5:$AN$305,0,MATCH($A13,Timeline!$P$4:$AN$4,0))="x")*(Timeline!$K$5:$K$305="Task")*ISNUMBER(Timeline!$I$5:$I$305)*ISNUMBER(Timeline!$J$5:$J$305)*(Timeline!$I$5:$I$305&lt;=AV$4+3)*(Timeline!$J$5:$J$305&gt;=AV$4+3)),SUMPRODUCT((INDEX(Timeline!$P$5:$AN$305,0,MATCH($A13,Timeline!$P$4:$AN$4,0))="x")*(Timeline!$K$5:$K$305="Task")*ISNUMBER(Timeline!$I$5:$I$305)*ISNUMBER(Timeline!$J$5:$J$305)*(Timeline!$I$5:$I$305&lt;=AV$4+4)*(Timeline!$J$5:$J$305&gt;=AV$4+4)),SUMPRODUCT((INDEX(Timeline!$P$5:$AN$305,0,MATCH($A13,Timeline!$P$4:$AN$4,0))="x")*(Timeline!$K$5:$K$305="Task")*ISNUMBER(Timeline!$I$5:$I$305)*ISNUMBER(Timeline!$J$5:$J$305)*(Timeline!$I$5:$I$305&lt;=AV$4+5)*(Timeline!$J$5:$J$305&gt;=AV$4+5)),SUMPRODUCT((INDEX(Timeline!$P$5:$AN$305,0,MATCH($A13,Timeline!$P$4:$AN$4,0))="x")*(Timeline!$K$5:$K$305="Task")*ISNUMBER(Timeline!$I$5:$I$305)*ISNUMBER(Timeline!$J$5:$J$305)*(Timeline!$I$5:$I$305&lt;=AV$4+6)*(Timeline!$J$5:$J$305&gt;=AV$4+6)))</f>
        <v>0</v>
      </c>
      <c r="AW13" s="67">
        <f>MAX(SUMPRODUCT((INDEX(Timeline!$P$5:$AN$305,0,MATCH($A13,Timeline!$P$4:$AN$4,0))="x")*(Timeline!$K$5:$K$305="Task")*ISNUMBER(Timeline!$I$5:$I$305)*ISNUMBER(Timeline!$J$5:$J$305)*(Timeline!$I$5:$I$305&lt;=AW$4+0)*(Timeline!$J$5:$J$305&gt;=AW$4+0)),SUMPRODUCT((INDEX(Timeline!$P$5:$AN$305,0,MATCH($A13,Timeline!$P$4:$AN$4,0))="x")*(Timeline!$K$5:$K$305="Task")*ISNUMBER(Timeline!$I$5:$I$305)*ISNUMBER(Timeline!$J$5:$J$305)*(Timeline!$I$5:$I$305&lt;=AW$4+1)*(Timeline!$J$5:$J$305&gt;=AW$4+1)),SUMPRODUCT((INDEX(Timeline!$P$5:$AN$305,0,MATCH($A13,Timeline!$P$4:$AN$4,0))="x")*(Timeline!$K$5:$K$305="Task")*ISNUMBER(Timeline!$I$5:$I$305)*ISNUMBER(Timeline!$J$5:$J$305)*(Timeline!$I$5:$I$305&lt;=AW$4+2)*(Timeline!$J$5:$J$305&gt;=AW$4+2)),SUMPRODUCT((INDEX(Timeline!$P$5:$AN$305,0,MATCH($A13,Timeline!$P$4:$AN$4,0))="x")*(Timeline!$K$5:$K$305="Task")*ISNUMBER(Timeline!$I$5:$I$305)*ISNUMBER(Timeline!$J$5:$J$305)*(Timeline!$I$5:$I$305&lt;=AW$4+3)*(Timeline!$J$5:$J$305&gt;=AW$4+3)),SUMPRODUCT((INDEX(Timeline!$P$5:$AN$305,0,MATCH($A13,Timeline!$P$4:$AN$4,0))="x")*(Timeline!$K$5:$K$305="Task")*ISNUMBER(Timeline!$I$5:$I$305)*ISNUMBER(Timeline!$J$5:$J$305)*(Timeline!$I$5:$I$305&lt;=AW$4+4)*(Timeline!$J$5:$J$305&gt;=AW$4+4)),SUMPRODUCT((INDEX(Timeline!$P$5:$AN$305,0,MATCH($A13,Timeline!$P$4:$AN$4,0))="x")*(Timeline!$K$5:$K$305="Task")*ISNUMBER(Timeline!$I$5:$I$305)*ISNUMBER(Timeline!$J$5:$J$305)*(Timeline!$I$5:$I$305&lt;=AW$4+5)*(Timeline!$J$5:$J$305&gt;=AW$4+5)),SUMPRODUCT((INDEX(Timeline!$P$5:$AN$305,0,MATCH($A13,Timeline!$P$4:$AN$4,0))="x")*(Timeline!$K$5:$K$305="Task")*ISNUMBER(Timeline!$I$5:$I$305)*ISNUMBER(Timeline!$J$5:$J$305)*(Timeline!$I$5:$I$305&lt;=AW$4+6)*(Timeline!$J$5:$J$305&gt;=AW$4+6)))</f>
        <v>0</v>
      </c>
      <c r="AX13" s="67">
        <f>MAX(SUMPRODUCT((INDEX(Timeline!$P$5:$AN$305,0,MATCH($A13,Timeline!$P$4:$AN$4,0))="x")*(Timeline!$K$5:$K$305="Task")*ISNUMBER(Timeline!$I$5:$I$305)*ISNUMBER(Timeline!$J$5:$J$305)*(Timeline!$I$5:$I$305&lt;=AX$4+0)*(Timeline!$J$5:$J$305&gt;=AX$4+0)),SUMPRODUCT((INDEX(Timeline!$P$5:$AN$305,0,MATCH($A13,Timeline!$P$4:$AN$4,0))="x")*(Timeline!$K$5:$K$305="Task")*ISNUMBER(Timeline!$I$5:$I$305)*ISNUMBER(Timeline!$J$5:$J$305)*(Timeline!$I$5:$I$305&lt;=AX$4+1)*(Timeline!$J$5:$J$305&gt;=AX$4+1)),SUMPRODUCT((INDEX(Timeline!$P$5:$AN$305,0,MATCH($A13,Timeline!$P$4:$AN$4,0))="x")*(Timeline!$K$5:$K$305="Task")*ISNUMBER(Timeline!$I$5:$I$305)*ISNUMBER(Timeline!$J$5:$J$305)*(Timeline!$I$5:$I$305&lt;=AX$4+2)*(Timeline!$J$5:$J$305&gt;=AX$4+2)),SUMPRODUCT((INDEX(Timeline!$P$5:$AN$305,0,MATCH($A13,Timeline!$P$4:$AN$4,0))="x")*(Timeline!$K$5:$K$305="Task")*ISNUMBER(Timeline!$I$5:$I$305)*ISNUMBER(Timeline!$J$5:$J$305)*(Timeline!$I$5:$I$305&lt;=AX$4+3)*(Timeline!$J$5:$J$305&gt;=AX$4+3)),SUMPRODUCT((INDEX(Timeline!$P$5:$AN$305,0,MATCH($A13,Timeline!$P$4:$AN$4,0))="x")*(Timeline!$K$5:$K$305="Task")*ISNUMBER(Timeline!$I$5:$I$305)*ISNUMBER(Timeline!$J$5:$J$305)*(Timeline!$I$5:$I$305&lt;=AX$4+4)*(Timeline!$J$5:$J$305&gt;=AX$4+4)),SUMPRODUCT((INDEX(Timeline!$P$5:$AN$305,0,MATCH($A13,Timeline!$P$4:$AN$4,0))="x")*(Timeline!$K$5:$K$305="Task")*ISNUMBER(Timeline!$I$5:$I$305)*ISNUMBER(Timeline!$J$5:$J$305)*(Timeline!$I$5:$I$305&lt;=AX$4+5)*(Timeline!$J$5:$J$305&gt;=AX$4+5)),SUMPRODUCT((INDEX(Timeline!$P$5:$AN$305,0,MATCH($A13,Timeline!$P$4:$AN$4,0))="x")*(Timeline!$K$5:$K$305="Task")*ISNUMBER(Timeline!$I$5:$I$305)*ISNUMBER(Timeline!$J$5:$J$305)*(Timeline!$I$5:$I$305&lt;=AX$4+6)*(Timeline!$J$5:$J$305&gt;=AX$4+6)))</f>
        <v>0</v>
      </c>
      <c r="AY13" s="67">
        <f>MAX(SUMPRODUCT((INDEX(Timeline!$P$5:$AN$305,0,MATCH($A13,Timeline!$P$4:$AN$4,0))="x")*(Timeline!$K$5:$K$305="Task")*ISNUMBER(Timeline!$I$5:$I$305)*ISNUMBER(Timeline!$J$5:$J$305)*(Timeline!$I$5:$I$305&lt;=AY$4+0)*(Timeline!$J$5:$J$305&gt;=AY$4+0)),SUMPRODUCT((INDEX(Timeline!$P$5:$AN$305,0,MATCH($A13,Timeline!$P$4:$AN$4,0))="x")*(Timeline!$K$5:$K$305="Task")*ISNUMBER(Timeline!$I$5:$I$305)*ISNUMBER(Timeline!$J$5:$J$305)*(Timeline!$I$5:$I$305&lt;=AY$4+1)*(Timeline!$J$5:$J$305&gt;=AY$4+1)),SUMPRODUCT((INDEX(Timeline!$P$5:$AN$305,0,MATCH($A13,Timeline!$P$4:$AN$4,0))="x")*(Timeline!$K$5:$K$305="Task")*ISNUMBER(Timeline!$I$5:$I$305)*ISNUMBER(Timeline!$J$5:$J$305)*(Timeline!$I$5:$I$305&lt;=AY$4+2)*(Timeline!$J$5:$J$305&gt;=AY$4+2)),SUMPRODUCT((INDEX(Timeline!$P$5:$AN$305,0,MATCH($A13,Timeline!$P$4:$AN$4,0))="x")*(Timeline!$K$5:$K$305="Task")*ISNUMBER(Timeline!$I$5:$I$305)*ISNUMBER(Timeline!$J$5:$J$305)*(Timeline!$I$5:$I$305&lt;=AY$4+3)*(Timeline!$J$5:$J$305&gt;=AY$4+3)),SUMPRODUCT((INDEX(Timeline!$P$5:$AN$305,0,MATCH($A13,Timeline!$P$4:$AN$4,0))="x")*(Timeline!$K$5:$K$305="Task")*ISNUMBER(Timeline!$I$5:$I$305)*ISNUMBER(Timeline!$J$5:$J$305)*(Timeline!$I$5:$I$305&lt;=AY$4+4)*(Timeline!$J$5:$J$305&gt;=AY$4+4)),SUMPRODUCT((INDEX(Timeline!$P$5:$AN$305,0,MATCH($A13,Timeline!$P$4:$AN$4,0))="x")*(Timeline!$K$5:$K$305="Task")*ISNUMBER(Timeline!$I$5:$I$305)*ISNUMBER(Timeline!$J$5:$J$305)*(Timeline!$I$5:$I$305&lt;=AY$4+5)*(Timeline!$J$5:$J$305&gt;=AY$4+5)),SUMPRODUCT((INDEX(Timeline!$P$5:$AN$305,0,MATCH($A13,Timeline!$P$4:$AN$4,0))="x")*(Timeline!$K$5:$K$305="Task")*ISNUMBER(Timeline!$I$5:$I$305)*ISNUMBER(Timeline!$J$5:$J$305)*(Timeline!$I$5:$I$305&lt;=AY$4+6)*(Timeline!$J$5:$J$305&gt;=AY$4+6)))</f>
        <v>0</v>
      </c>
      <c r="AZ13" s="67">
        <f>MAX(SUMPRODUCT((INDEX(Timeline!$P$5:$AN$305,0,MATCH($A13,Timeline!$P$4:$AN$4,0))="x")*(Timeline!$K$5:$K$305="Task")*ISNUMBER(Timeline!$I$5:$I$305)*ISNUMBER(Timeline!$J$5:$J$305)*(Timeline!$I$5:$I$305&lt;=AZ$4+0)*(Timeline!$J$5:$J$305&gt;=AZ$4+0)),SUMPRODUCT((INDEX(Timeline!$P$5:$AN$305,0,MATCH($A13,Timeline!$P$4:$AN$4,0))="x")*(Timeline!$K$5:$K$305="Task")*ISNUMBER(Timeline!$I$5:$I$305)*ISNUMBER(Timeline!$J$5:$J$305)*(Timeline!$I$5:$I$305&lt;=AZ$4+1)*(Timeline!$J$5:$J$305&gt;=AZ$4+1)),SUMPRODUCT((INDEX(Timeline!$P$5:$AN$305,0,MATCH($A13,Timeline!$P$4:$AN$4,0))="x")*(Timeline!$K$5:$K$305="Task")*ISNUMBER(Timeline!$I$5:$I$305)*ISNUMBER(Timeline!$J$5:$J$305)*(Timeline!$I$5:$I$305&lt;=AZ$4+2)*(Timeline!$J$5:$J$305&gt;=AZ$4+2)),SUMPRODUCT((INDEX(Timeline!$P$5:$AN$305,0,MATCH($A13,Timeline!$P$4:$AN$4,0))="x")*(Timeline!$K$5:$K$305="Task")*ISNUMBER(Timeline!$I$5:$I$305)*ISNUMBER(Timeline!$J$5:$J$305)*(Timeline!$I$5:$I$305&lt;=AZ$4+3)*(Timeline!$J$5:$J$305&gt;=AZ$4+3)),SUMPRODUCT((INDEX(Timeline!$P$5:$AN$305,0,MATCH($A13,Timeline!$P$4:$AN$4,0))="x")*(Timeline!$K$5:$K$305="Task")*ISNUMBER(Timeline!$I$5:$I$305)*ISNUMBER(Timeline!$J$5:$J$305)*(Timeline!$I$5:$I$305&lt;=AZ$4+4)*(Timeline!$J$5:$J$305&gt;=AZ$4+4)),SUMPRODUCT((INDEX(Timeline!$P$5:$AN$305,0,MATCH($A13,Timeline!$P$4:$AN$4,0))="x")*(Timeline!$K$5:$K$305="Task")*ISNUMBER(Timeline!$I$5:$I$305)*ISNUMBER(Timeline!$J$5:$J$305)*(Timeline!$I$5:$I$305&lt;=AZ$4+5)*(Timeline!$J$5:$J$305&gt;=AZ$4+5)),SUMPRODUCT((INDEX(Timeline!$P$5:$AN$305,0,MATCH($A13,Timeline!$P$4:$AN$4,0))="x")*(Timeline!$K$5:$K$305="Task")*ISNUMBER(Timeline!$I$5:$I$305)*ISNUMBER(Timeline!$J$5:$J$305)*(Timeline!$I$5:$I$305&lt;=AZ$4+6)*(Timeline!$J$5:$J$305&gt;=AZ$4+6)))</f>
        <v>0</v>
      </c>
      <c r="BA13" s="67">
        <f>MAX(SUMPRODUCT((INDEX(Timeline!$P$5:$AN$305,0,MATCH($A13,Timeline!$P$4:$AN$4,0))="x")*(Timeline!$K$5:$K$305="Task")*ISNUMBER(Timeline!$I$5:$I$305)*ISNUMBER(Timeline!$J$5:$J$305)*(Timeline!$I$5:$I$305&lt;=BA$4+0)*(Timeline!$J$5:$J$305&gt;=BA$4+0)),SUMPRODUCT((INDEX(Timeline!$P$5:$AN$305,0,MATCH($A13,Timeline!$P$4:$AN$4,0))="x")*(Timeline!$K$5:$K$305="Task")*ISNUMBER(Timeline!$I$5:$I$305)*ISNUMBER(Timeline!$J$5:$J$305)*(Timeline!$I$5:$I$305&lt;=BA$4+1)*(Timeline!$J$5:$J$305&gt;=BA$4+1)),SUMPRODUCT((INDEX(Timeline!$P$5:$AN$305,0,MATCH($A13,Timeline!$P$4:$AN$4,0))="x")*(Timeline!$K$5:$K$305="Task")*ISNUMBER(Timeline!$I$5:$I$305)*ISNUMBER(Timeline!$J$5:$J$305)*(Timeline!$I$5:$I$305&lt;=BA$4+2)*(Timeline!$J$5:$J$305&gt;=BA$4+2)),SUMPRODUCT((INDEX(Timeline!$P$5:$AN$305,0,MATCH($A13,Timeline!$P$4:$AN$4,0))="x")*(Timeline!$K$5:$K$305="Task")*ISNUMBER(Timeline!$I$5:$I$305)*ISNUMBER(Timeline!$J$5:$J$305)*(Timeline!$I$5:$I$305&lt;=BA$4+3)*(Timeline!$J$5:$J$305&gt;=BA$4+3)),SUMPRODUCT((INDEX(Timeline!$P$5:$AN$305,0,MATCH($A13,Timeline!$P$4:$AN$4,0))="x")*(Timeline!$K$5:$K$305="Task")*ISNUMBER(Timeline!$I$5:$I$305)*ISNUMBER(Timeline!$J$5:$J$305)*(Timeline!$I$5:$I$305&lt;=BA$4+4)*(Timeline!$J$5:$J$305&gt;=BA$4+4)),SUMPRODUCT((INDEX(Timeline!$P$5:$AN$305,0,MATCH($A13,Timeline!$P$4:$AN$4,0))="x")*(Timeline!$K$5:$K$305="Task")*ISNUMBER(Timeline!$I$5:$I$305)*ISNUMBER(Timeline!$J$5:$J$305)*(Timeline!$I$5:$I$305&lt;=BA$4+5)*(Timeline!$J$5:$J$305&gt;=BA$4+5)),SUMPRODUCT((INDEX(Timeline!$P$5:$AN$305,0,MATCH($A13,Timeline!$P$4:$AN$4,0))="x")*(Timeline!$K$5:$K$305="Task")*ISNUMBER(Timeline!$I$5:$I$305)*ISNUMBER(Timeline!$J$5:$J$305)*(Timeline!$I$5:$I$305&lt;=BA$4+6)*(Timeline!$J$5:$J$305&gt;=BA$4+6)))</f>
        <v>0</v>
      </c>
    </row>
    <row r="14" spans="1:53" ht="15" customHeight="1">
      <c r="A14" s="66" t="s">
        <v>45</v>
      </c>
      <c r="B14" s="66" t="s">
        <v>13</v>
      </c>
      <c r="C14" s="67">
        <f>MAX(SUMPRODUCT((INDEX(Timeline!$P$5:$AN$305,0,MATCH($A14,Timeline!$P$4:$AN$4,0))="x")*(Timeline!$K$5:$K$305="Task")*ISNUMBER(Timeline!$I$5:$I$305)*ISNUMBER(Timeline!$J$5:$J$305)*(Timeline!$I$5:$I$305&lt;=C$4+0)*(Timeline!$J$5:$J$305&gt;=C$4+0)),SUMPRODUCT((INDEX(Timeline!$P$5:$AN$305,0,MATCH($A14,Timeline!$P$4:$AN$4,0))="x")*(Timeline!$K$5:$K$305="Task")*ISNUMBER(Timeline!$I$5:$I$305)*ISNUMBER(Timeline!$J$5:$J$305)*(Timeline!$I$5:$I$305&lt;=C$4+1)*(Timeline!$J$5:$J$305&gt;=C$4+1)),SUMPRODUCT((INDEX(Timeline!$P$5:$AN$305,0,MATCH($A14,Timeline!$P$4:$AN$4,0))="x")*(Timeline!$K$5:$K$305="Task")*ISNUMBER(Timeline!$I$5:$I$305)*ISNUMBER(Timeline!$J$5:$J$305)*(Timeline!$I$5:$I$305&lt;=C$4+2)*(Timeline!$J$5:$J$305&gt;=C$4+2)),SUMPRODUCT((INDEX(Timeline!$P$5:$AN$305,0,MATCH($A14,Timeline!$P$4:$AN$4,0))="x")*(Timeline!$K$5:$K$305="Task")*ISNUMBER(Timeline!$I$5:$I$305)*ISNUMBER(Timeline!$J$5:$J$305)*(Timeline!$I$5:$I$305&lt;=C$4+3)*(Timeline!$J$5:$J$305&gt;=C$4+3)),SUMPRODUCT((INDEX(Timeline!$P$5:$AN$305,0,MATCH($A14,Timeline!$P$4:$AN$4,0))="x")*(Timeline!$K$5:$K$305="Task")*ISNUMBER(Timeline!$I$5:$I$305)*ISNUMBER(Timeline!$J$5:$J$305)*(Timeline!$I$5:$I$305&lt;=C$4+4)*(Timeline!$J$5:$J$305&gt;=C$4+4)),SUMPRODUCT((INDEX(Timeline!$P$5:$AN$305,0,MATCH($A14,Timeline!$P$4:$AN$4,0))="x")*(Timeline!$K$5:$K$305="Task")*ISNUMBER(Timeline!$I$5:$I$305)*ISNUMBER(Timeline!$J$5:$J$305)*(Timeline!$I$5:$I$305&lt;=C$4+5)*(Timeline!$J$5:$J$305&gt;=C$4+5)),SUMPRODUCT((INDEX(Timeline!$P$5:$AN$305,0,MATCH($A14,Timeline!$P$4:$AN$4,0))="x")*(Timeline!$K$5:$K$305="Task")*ISNUMBER(Timeline!$I$5:$I$305)*ISNUMBER(Timeline!$J$5:$J$305)*(Timeline!$I$5:$I$305&lt;=C$4+6)*(Timeline!$J$5:$J$305&gt;=C$4+6)))</f>
        <v>0</v>
      </c>
      <c r="D14" s="67">
        <f>MAX(SUMPRODUCT((INDEX(Timeline!$P$5:$AN$305,0,MATCH($A14,Timeline!$P$4:$AN$4,0))="x")*(Timeline!$K$5:$K$305="Task")*ISNUMBER(Timeline!$I$5:$I$305)*ISNUMBER(Timeline!$J$5:$J$305)*(Timeline!$I$5:$I$305&lt;=D$4+0)*(Timeline!$J$5:$J$305&gt;=D$4+0)),SUMPRODUCT((INDEX(Timeline!$P$5:$AN$305,0,MATCH($A14,Timeline!$P$4:$AN$4,0))="x")*(Timeline!$K$5:$K$305="Task")*ISNUMBER(Timeline!$I$5:$I$305)*ISNUMBER(Timeline!$J$5:$J$305)*(Timeline!$I$5:$I$305&lt;=D$4+1)*(Timeline!$J$5:$J$305&gt;=D$4+1)),SUMPRODUCT((INDEX(Timeline!$P$5:$AN$305,0,MATCH($A14,Timeline!$P$4:$AN$4,0))="x")*(Timeline!$K$5:$K$305="Task")*ISNUMBER(Timeline!$I$5:$I$305)*ISNUMBER(Timeline!$J$5:$J$305)*(Timeline!$I$5:$I$305&lt;=D$4+2)*(Timeline!$J$5:$J$305&gt;=D$4+2)),SUMPRODUCT((INDEX(Timeline!$P$5:$AN$305,0,MATCH($A14,Timeline!$P$4:$AN$4,0))="x")*(Timeline!$K$5:$K$305="Task")*ISNUMBER(Timeline!$I$5:$I$305)*ISNUMBER(Timeline!$J$5:$J$305)*(Timeline!$I$5:$I$305&lt;=D$4+3)*(Timeline!$J$5:$J$305&gt;=D$4+3)),SUMPRODUCT((INDEX(Timeline!$P$5:$AN$305,0,MATCH($A14,Timeline!$P$4:$AN$4,0))="x")*(Timeline!$K$5:$K$305="Task")*ISNUMBER(Timeline!$I$5:$I$305)*ISNUMBER(Timeline!$J$5:$J$305)*(Timeline!$I$5:$I$305&lt;=D$4+4)*(Timeline!$J$5:$J$305&gt;=D$4+4)),SUMPRODUCT((INDEX(Timeline!$P$5:$AN$305,0,MATCH($A14,Timeline!$P$4:$AN$4,0))="x")*(Timeline!$K$5:$K$305="Task")*ISNUMBER(Timeline!$I$5:$I$305)*ISNUMBER(Timeline!$J$5:$J$305)*(Timeline!$I$5:$I$305&lt;=D$4+5)*(Timeline!$J$5:$J$305&gt;=D$4+5)),SUMPRODUCT((INDEX(Timeline!$P$5:$AN$305,0,MATCH($A14,Timeline!$P$4:$AN$4,0))="x")*(Timeline!$K$5:$K$305="Task")*ISNUMBER(Timeline!$I$5:$I$305)*ISNUMBER(Timeline!$J$5:$J$305)*(Timeline!$I$5:$I$305&lt;=D$4+6)*(Timeline!$J$5:$J$305&gt;=D$4+6)))</f>
        <v>0</v>
      </c>
      <c r="E14" s="67">
        <f>MAX(SUMPRODUCT((INDEX(Timeline!$P$5:$AN$305,0,MATCH($A14,Timeline!$P$4:$AN$4,0))="x")*(Timeline!$K$5:$K$305="Task")*ISNUMBER(Timeline!$I$5:$I$305)*ISNUMBER(Timeline!$J$5:$J$305)*(Timeline!$I$5:$I$305&lt;=E$4+0)*(Timeline!$J$5:$J$305&gt;=E$4+0)),SUMPRODUCT((INDEX(Timeline!$P$5:$AN$305,0,MATCH($A14,Timeline!$P$4:$AN$4,0))="x")*(Timeline!$K$5:$K$305="Task")*ISNUMBER(Timeline!$I$5:$I$305)*ISNUMBER(Timeline!$J$5:$J$305)*(Timeline!$I$5:$I$305&lt;=E$4+1)*(Timeline!$J$5:$J$305&gt;=E$4+1)),SUMPRODUCT((INDEX(Timeline!$P$5:$AN$305,0,MATCH($A14,Timeline!$P$4:$AN$4,0))="x")*(Timeline!$K$5:$K$305="Task")*ISNUMBER(Timeline!$I$5:$I$305)*ISNUMBER(Timeline!$J$5:$J$305)*(Timeline!$I$5:$I$305&lt;=E$4+2)*(Timeline!$J$5:$J$305&gt;=E$4+2)),SUMPRODUCT((INDEX(Timeline!$P$5:$AN$305,0,MATCH($A14,Timeline!$P$4:$AN$4,0))="x")*(Timeline!$K$5:$K$305="Task")*ISNUMBER(Timeline!$I$5:$I$305)*ISNUMBER(Timeline!$J$5:$J$305)*(Timeline!$I$5:$I$305&lt;=E$4+3)*(Timeline!$J$5:$J$305&gt;=E$4+3)),SUMPRODUCT((INDEX(Timeline!$P$5:$AN$305,0,MATCH($A14,Timeline!$P$4:$AN$4,0))="x")*(Timeline!$K$5:$K$305="Task")*ISNUMBER(Timeline!$I$5:$I$305)*ISNUMBER(Timeline!$J$5:$J$305)*(Timeline!$I$5:$I$305&lt;=E$4+4)*(Timeline!$J$5:$J$305&gt;=E$4+4)),SUMPRODUCT((INDEX(Timeline!$P$5:$AN$305,0,MATCH($A14,Timeline!$P$4:$AN$4,0))="x")*(Timeline!$K$5:$K$305="Task")*ISNUMBER(Timeline!$I$5:$I$305)*ISNUMBER(Timeline!$J$5:$J$305)*(Timeline!$I$5:$I$305&lt;=E$4+5)*(Timeline!$J$5:$J$305&gt;=E$4+5)),SUMPRODUCT((INDEX(Timeline!$P$5:$AN$305,0,MATCH($A14,Timeline!$P$4:$AN$4,0))="x")*(Timeline!$K$5:$K$305="Task")*ISNUMBER(Timeline!$I$5:$I$305)*ISNUMBER(Timeline!$J$5:$J$305)*(Timeline!$I$5:$I$305&lt;=E$4+6)*(Timeline!$J$5:$J$305&gt;=E$4+6)))</f>
        <v>0</v>
      </c>
      <c r="F14" s="67">
        <f>MAX(SUMPRODUCT((INDEX(Timeline!$P$5:$AN$305,0,MATCH($A14,Timeline!$P$4:$AN$4,0))="x")*(Timeline!$K$5:$K$305="Task")*ISNUMBER(Timeline!$I$5:$I$305)*ISNUMBER(Timeline!$J$5:$J$305)*(Timeline!$I$5:$I$305&lt;=F$4+0)*(Timeline!$J$5:$J$305&gt;=F$4+0)),SUMPRODUCT((INDEX(Timeline!$P$5:$AN$305,0,MATCH($A14,Timeline!$P$4:$AN$4,0))="x")*(Timeline!$K$5:$K$305="Task")*ISNUMBER(Timeline!$I$5:$I$305)*ISNUMBER(Timeline!$J$5:$J$305)*(Timeline!$I$5:$I$305&lt;=F$4+1)*(Timeline!$J$5:$J$305&gt;=F$4+1)),SUMPRODUCT((INDEX(Timeline!$P$5:$AN$305,0,MATCH($A14,Timeline!$P$4:$AN$4,0))="x")*(Timeline!$K$5:$K$305="Task")*ISNUMBER(Timeline!$I$5:$I$305)*ISNUMBER(Timeline!$J$5:$J$305)*(Timeline!$I$5:$I$305&lt;=F$4+2)*(Timeline!$J$5:$J$305&gt;=F$4+2)),SUMPRODUCT((INDEX(Timeline!$P$5:$AN$305,0,MATCH($A14,Timeline!$P$4:$AN$4,0))="x")*(Timeline!$K$5:$K$305="Task")*ISNUMBER(Timeline!$I$5:$I$305)*ISNUMBER(Timeline!$J$5:$J$305)*(Timeline!$I$5:$I$305&lt;=F$4+3)*(Timeline!$J$5:$J$305&gt;=F$4+3)),SUMPRODUCT((INDEX(Timeline!$P$5:$AN$305,0,MATCH($A14,Timeline!$P$4:$AN$4,0))="x")*(Timeline!$K$5:$K$305="Task")*ISNUMBER(Timeline!$I$5:$I$305)*ISNUMBER(Timeline!$J$5:$J$305)*(Timeline!$I$5:$I$305&lt;=F$4+4)*(Timeline!$J$5:$J$305&gt;=F$4+4)),SUMPRODUCT((INDEX(Timeline!$P$5:$AN$305,0,MATCH($A14,Timeline!$P$4:$AN$4,0))="x")*(Timeline!$K$5:$K$305="Task")*ISNUMBER(Timeline!$I$5:$I$305)*ISNUMBER(Timeline!$J$5:$J$305)*(Timeline!$I$5:$I$305&lt;=F$4+5)*(Timeline!$J$5:$J$305&gt;=F$4+5)),SUMPRODUCT((INDEX(Timeline!$P$5:$AN$305,0,MATCH($A14,Timeline!$P$4:$AN$4,0))="x")*(Timeline!$K$5:$K$305="Task")*ISNUMBER(Timeline!$I$5:$I$305)*ISNUMBER(Timeline!$J$5:$J$305)*(Timeline!$I$5:$I$305&lt;=F$4+6)*(Timeline!$J$5:$J$305&gt;=F$4+6)))</f>
        <v>1</v>
      </c>
      <c r="G14" s="67">
        <f>MAX(SUMPRODUCT((INDEX(Timeline!$P$5:$AN$305,0,MATCH($A14,Timeline!$P$4:$AN$4,0))="x")*(Timeline!$K$5:$K$305="Task")*ISNUMBER(Timeline!$I$5:$I$305)*ISNUMBER(Timeline!$J$5:$J$305)*(Timeline!$I$5:$I$305&lt;=G$4+0)*(Timeline!$J$5:$J$305&gt;=G$4+0)),SUMPRODUCT((INDEX(Timeline!$P$5:$AN$305,0,MATCH($A14,Timeline!$P$4:$AN$4,0))="x")*(Timeline!$K$5:$K$305="Task")*ISNUMBER(Timeline!$I$5:$I$305)*ISNUMBER(Timeline!$J$5:$J$305)*(Timeline!$I$5:$I$305&lt;=G$4+1)*(Timeline!$J$5:$J$305&gt;=G$4+1)),SUMPRODUCT((INDEX(Timeline!$P$5:$AN$305,0,MATCH($A14,Timeline!$P$4:$AN$4,0))="x")*(Timeline!$K$5:$K$305="Task")*ISNUMBER(Timeline!$I$5:$I$305)*ISNUMBER(Timeline!$J$5:$J$305)*(Timeline!$I$5:$I$305&lt;=G$4+2)*(Timeline!$J$5:$J$305&gt;=G$4+2)),SUMPRODUCT((INDEX(Timeline!$P$5:$AN$305,0,MATCH($A14,Timeline!$P$4:$AN$4,0))="x")*(Timeline!$K$5:$K$305="Task")*ISNUMBER(Timeline!$I$5:$I$305)*ISNUMBER(Timeline!$J$5:$J$305)*(Timeline!$I$5:$I$305&lt;=G$4+3)*(Timeline!$J$5:$J$305&gt;=G$4+3)),SUMPRODUCT((INDEX(Timeline!$P$5:$AN$305,0,MATCH($A14,Timeline!$P$4:$AN$4,0))="x")*(Timeline!$K$5:$K$305="Task")*ISNUMBER(Timeline!$I$5:$I$305)*ISNUMBER(Timeline!$J$5:$J$305)*(Timeline!$I$5:$I$305&lt;=G$4+4)*(Timeline!$J$5:$J$305&gt;=G$4+4)),SUMPRODUCT((INDEX(Timeline!$P$5:$AN$305,0,MATCH($A14,Timeline!$P$4:$AN$4,0))="x")*(Timeline!$K$5:$K$305="Task")*ISNUMBER(Timeline!$I$5:$I$305)*ISNUMBER(Timeline!$J$5:$J$305)*(Timeline!$I$5:$I$305&lt;=G$4+5)*(Timeline!$J$5:$J$305&gt;=G$4+5)),SUMPRODUCT((INDEX(Timeline!$P$5:$AN$305,0,MATCH($A14,Timeline!$P$4:$AN$4,0))="x")*(Timeline!$K$5:$K$305="Task")*ISNUMBER(Timeline!$I$5:$I$305)*ISNUMBER(Timeline!$J$5:$J$305)*(Timeline!$I$5:$I$305&lt;=G$4+6)*(Timeline!$J$5:$J$305&gt;=G$4+6)))</f>
        <v>1</v>
      </c>
      <c r="H14" s="67">
        <f>MAX(SUMPRODUCT((INDEX(Timeline!$P$5:$AN$305,0,MATCH($A14,Timeline!$P$4:$AN$4,0))="x")*(Timeline!$K$5:$K$305="Task")*ISNUMBER(Timeline!$I$5:$I$305)*ISNUMBER(Timeline!$J$5:$J$305)*(Timeline!$I$5:$I$305&lt;=H$4+0)*(Timeline!$J$5:$J$305&gt;=H$4+0)),SUMPRODUCT((INDEX(Timeline!$P$5:$AN$305,0,MATCH($A14,Timeline!$P$4:$AN$4,0))="x")*(Timeline!$K$5:$K$305="Task")*ISNUMBER(Timeline!$I$5:$I$305)*ISNUMBER(Timeline!$J$5:$J$305)*(Timeline!$I$5:$I$305&lt;=H$4+1)*(Timeline!$J$5:$J$305&gt;=H$4+1)),SUMPRODUCT((INDEX(Timeline!$P$5:$AN$305,0,MATCH($A14,Timeline!$P$4:$AN$4,0))="x")*(Timeline!$K$5:$K$305="Task")*ISNUMBER(Timeline!$I$5:$I$305)*ISNUMBER(Timeline!$J$5:$J$305)*(Timeline!$I$5:$I$305&lt;=H$4+2)*(Timeline!$J$5:$J$305&gt;=H$4+2)),SUMPRODUCT((INDEX(Timeline!$P$5:$AN$305,0,MATCH($A14,Timeline!$P$4:$AN$4,0))="x")*(Timeline!$K$5:$K$305="Task")*ISNUMBER(Timeline!$I$5:$I$305)*ISNUMBER(Timeline!$J$5:$J$305)*(Timeline!$I$5:$I$305&lt;=H$4+3)*(Timeline!$J$5:$J$305&gt;=H$4+3)),SUMPRODUCT((INDEX(Timeline!$P$5:$AN$305,0,MATCH($A14,Timeline!$P$4:$AN$4,0))="x")*(Timeline!$K$5:$K$305="Task")*ISNUMBER(Timeline!$I$5:$I$305)*ISNUMBER(Timeline!$J$5:$J$305)*(Timeline!$I$5:$I$305&lt;=H$4+4)*(Timeline!$J$5:$J$305&gt;=H$4+4)),SUMPRODUCT((INDEX(Timeline!$P$5:$AN$305,0,MATCH($A14,Timeline!$P$4:$AN$4,0))="x")*(Timeline!$K$5:$K$305="Task")*ISNUMBER(Timeline!$I$5:$I$305)*ISNUMBER(Timeline!$J$5:$J$305)*(Timeline!$I$5:$I$305&lt;=H$4+5)*(Timeline!$J$5:$J$305&gt;=H$4+5)),SUMPRODUCT((INDEX(Timeline!$P$5:$AN$305,0,MATCH($A14,Timeline!$P$4:$AN$4,0))="x")*(Timeline!$K$5:$K$305="Task")*ISNUMBER(Timeline!$I$5:$I$305)*ISNUMBER(Timeline!$J$5:$J$305)*(Timeline!$I$5:$I$305&lt;=H$4+6)*(Timeline!$J$5:$J$305&gt;=H$4+6)))</f>
        <v>1</v>
      </c>
      <c r="I14" s="67">
        <f>MAX(SUMPRODUCT((INDEX(Timeline!$P$5:$AN$305,0,MATCH($A14,Timeline!$P$4:$AN$4,0))="x")*(Timeline!$K$5:$K$305="Task")*ISNUMBER(Timeline!$I$5:$I$305)*ISNUMBER(Timeline!$J$5:$J$305)*(Timeline!$I$5:$I$305&lt;=I$4+0)*(Timeline!$J$5:$J$305&gt;=I$4+0)),SUMPRODUCT((INDEX(Timeline!$P$5:$AN$305,0,MATCH($A14,Timeline!$P$4:$AN$4,0))="x")*(Timeline!$K$5:$K$305="Task")*ISNUMBER(Timeline!$I$5:$I$305)*ISNUMBER(Timeline!$J$5:$J$305)*(Timeline!$I$5:$I$305&lt;=I$4+1)*(Timeline!$J$5:$J$305&gt;=I$4+1)),SUMPRODUCT((INDEX(Timeline!$P$5:$AN$305,0,MATCH($A14,Timeline!$P$4:$AN$4,0))="x")*(Timeline!$K$5:$K$305="Task")*ISNUMBER(Timeline!$I$5:$I$305)*ISNUMBER(Timeline!$J$5:$J$305)*(Timeline!$I$5:$I$305&lt;=I$4+2)*(Timeline!$J$5:$J$305&gt;=I$4+2)),SUMPRODUCT((INDEX(Timeline!$P$5:$AN$305,0,MATCH($A14,Timeline!$P$4:$AN$4,0))="x")*(Timeline!$K$5:$K$305="Task")*ISNUMBER(Timeline!$I$5:$I$305)*ISNUMBER(Timeline!$J$5:$J$305)*(Timeline!$I$5:$I$305&lt;=I$4+3)*(Timeline!$J$5:$J$305&gt;=I$4+3)),SUMPRODUCT((INDEX(Timeline!$P$5:$AN$305,0,MATCH($A14,Timeline!$P$4:$AN$4,0))="x")*(Timeline!$K$5:$K$305="Task")*ISNUMBER(Timeline!$I$5:$I$305)*ISNUMBER(Timeline!$J$5:$J$305)*(Timeline!$I$5:$I$305&lt;=I$4+4)*(Timeline!$J$5:$J$305&gt;=I$4+4)),SUMPRODUCT((INDEX(Timeline!$P$5:$AN$305,0,MATCH($A14,Timeline!$P$4:$AN$4,0))="x")*(Timeline!$K$5:$K$305="Task")*ISNUMBER(Timeline!$I$5:$I$305)*ISNUMBER(Timeline!$J$5:$J$305)*(Timeline!$I$5:$I$305&lt;=I$4+5)*(Timeline!$J$5:$J$305&gt;=I$4+5)),SUMPRODUCT((INDEX(Timeline!$P$5:$AN$305,0,MATCH($A14,Timeline!$P$4:$AN$4,0))="x")*(Timeline!$K$5:$K$305="Task")*ISNUMBER(Timeline!$I$5:$I$305)*ISNUMBER(Timeline!$J$5:$J$305)*(Timeline!$I$5:$I$305&lt;=I$4+6)*(Timeline!$J$5:$J$305&gt;=I$4+6)))</f>
        <v>1</v>
      </c>
      <c r="J14" s="67">
        <f>MAX(SUMPRODUCT((INDEX(Timeline!$P$5:$AN$305,0,MATCH($A14,Timeline!$P$4:$AN$4,0))="x")*(Timeline!$K$5:$K$305="Task")*ISNUMBER(Timeline!$I$5:$I$305)*ISNUMBER(Timeline!$J$5:$J$305)*(Timeline!$I$5:$I$305&lt;=J$4+0)*(Timeline!$J$5:$J$305&gt;=J$4+0)),SUMPRODUCT((INDEX(Timeline!$P$5:$AN$305,0,MATCH($A14,Timeline!$P$4:$AN$4,0))="x")*(Timeline!$K$5:$K$305="Task")*ISNUMBER(Timeline!$I$5:$I$305)*ISNUMBER(Timeline!$J$5:$J$305)*(Timeline!$I$5:$I$305&lt;=J$4+1)*(Timeline!$J$5:$J$305&gt;=J$4+1)),SUMPRODUCT((INDEX(Timeline!$P$5:$AN$305,0,MATCH($A14,Timeline!$P$4:$AN$4,0))="x")*(Timeline!$K$5:$K$305="Task")*ISNUMBER(Timeline!$I$5:$I$305)*ISNUMBER(Timeline!$J$5:$J$305)*(Timeline!$I$5:$I$305&lt;=J$4+2)*(Timeline!$J$5:$J$305&gt;=J$4+2)),SUMPRODUCT((INDEX(Timeline!$P$5:$AN$305,0,MATCH($A14,Timeline!$P$4:$AN$4,0))="x")*(Timeline!$K$5:$K$305="Task")*ISNUMBER(Timeline!$I$5:$I$305)*ISNUMBER(Timeline!$J$5:$J$305)*(Timeline!$I$5:$I$305&lt;=J$4+3)*(Timeline!$J$5:$J$305&gt;=J$4+3)),SUMPRODUCT((INDEX(Timeline!$P$5:$AN$305,0,MATCH($A14,Timeline!$P$4:$AN$4,0))="x")*(Timeline!$K$5:$K$305="Task")*ISNUMBER(Timeline!$I$5:$I$305)*ISNUMBER(Timeline!$J$5:$J$305)*(Timeline!$I$5:$I$305&lt;=J$4+4)*(Timeline!$J$5:$J$305&gt;=J$4+4)),SUMPRODUCT((INDEX(Timeline!$P$5:$AN$305,0,MATCH($A14,Timeline!$P$4:$AN$4,0))="x")*(Timeline!$K$5:$K$305="Task")*ISNUMBER(Timeline!$I$5:$I$305)*ISNUMBER(Timeline!$J$5:$J$305)*(Timeline!$I$5:$I$305&lt;=J$4+5)*(Timeline!$J$5:$J$305&gt;=J$4+5)),SUMPRODUCT((INDEX(Timeline!$P$5:$AN$305,0,MATCH($A14,Timeline!$P$4:$AN$4,0))="x")*(Timeline!$K$5:$K$305="Task")*ISNUMBER(Timeline!$I$5:$I$305)*ISNUMBER(Timeline!$J$5:$J$305)*(Timeline!$I$5:$I$305&lt;=J$4+6)*(Timeline!$J$5:$J$305&gt;=J$4+6)))</f>
        <v>1</v>
      </c>
      <c r="K14" s="67">
        <f>MAX(SUMPRODUCT((INDEX(Timeline!$P$5:$AN$305,0,MATCH($A14,Timeline!$P$4:$AN$4,0))="x")*(Timeline!$K$5:$K$305="Task")*ISNUMBER(Timeline!$I$5:$I$305)*ISNUMBER(Timeline!$J$5:$J$305)*(Timeline!$I$5:$I$305&lt;=K$4+0)*(Timeline!$J$5:$J$305&gt;=K$4+0)),SUMPRODUCT((INDEX(Timeline!$P$5:$AN$305,0,MATCH($A14,Timeline!$P$4:$AN$4,0))="x")*(Timeline!$K$5:$K$305="Task")*ISNUMBER(Timeline!$I$5:$I$305)*ISNUMBER(Timeline!$J$5:$J$305)*(Timeline!$I$5:$I$305&lt;=K$4+1)*(Timeline!$J$5:$J$305&gt;=K$4+1)),SUMPRODUCT((INDEX(Timeline!$P$5:$AN$305,0,MATCH($A14,Timeline!$P$4:$AN$4,0))="x")*(Timeline!$K$5:$K$305="Task")*ISNUMBER(Timeline!$I$5:$I$305)*ISNUMBER(Timeline!$J$5:$J$305)*(Timeline!$I$5:$I$305&lt;=K$4+2)*(Timeline!$J$5:$J$305&gt;=K$4+2)),SUMPRODUCT((INDEX(Timeline!$P$5:$AN$305,0,MATCH($A14,Timeline!$P$4:$AN$4,0))="x")*(Timeline!$K$5:$K$305="Task")*ISNUMBER(Timeline!$I$5:$I$305)*ISNUMBER(Timeline!$J$5:$J$305)*(Timeline!$I$5:$I$305&lt;=K$4+3)*(Timeline!$J$5:$J$305&gt;=K$4+3)),SUMPRODUCT((INDEX(Timeline!$P$5:$AN$305,0,MATCH($A14,Timeline!$P$4:$AN$4,0))="x")*(Timeline!$K$5:$K$305="Task")*ISNUMBER(Timeline!$I$5:$I$305)*ISNUMBER(Timeline!$J$5:$J$305)*(Timeline!$I$5:$I$305&lt;=K$4+4)*(Timeline!$J$5:$J$305&gt;=K$4+4)),SUMPRODUCT((INDEX(Timeline!$P$5:$AN$305,0,MATCH($A14,Timeline!$P$4:$AN$4,0))="x")*(Timeline!$K$5:$K$305="Task")*ISNUMBER(Timeline!$I$5:$I$305)*ISNUMBER(Timeline!$J$5:$J$305)*(Timeline!$I$5:$I$305&lt;=K$4+5)*(Timeline!$J$5:$J$305&gt;=K$4+5)),SUMPRODUCT((INDEX(Timeline!$P$5:$AN$305,0,MATCH($A14,Timeline!$P$4:$AN$4,0))="x")*(Timeline!$K$5:$K$305="Task")*ISNUMBER(Timeline!$I$5:$I$305)*ISNUMBER(Timeline!$J$5:$J$305)*(Timeline!$I$5:$I$305&lt;=K$4+6)*(Timeline!$J$5:$J$305&gt;=K$4+6)))</f>
        <v>1</v>
      </c>
      <c r="L14" s="67">
        <f>MAX(SUMPRODUCT((INDEX(Timeline!$P$5:$AN$305,0,MATCH($A14,Timeline!$P$4:$AN$4,0))="x")*(Timeline!$K$5:$K$305="Task")*ISNUMBER(Timeline!$I$5:$I$305)*ISNUMBER(Timeline!$J$5:$J$305)*(Timeline!$I$5:$I$305&lt;=L$4+0)*(Timeline!$J$5:$J$305&gt;=L$4+0)),SUMPRODUCT((INDEX(Timeline!$P$5:$AN$305,0,MATCH($A14,Timeline!$P$4:$AN$4,0))="x")*(Timeline!$K$5:$K$305="Task")*ISNUMBER(Timeline!$I$5:$I$305)*ISNUMBER(Timeline!$J$5:$J$305)*(Timeline!$I$5:$I$305&lt;=L$4+1)*(Timeline!$J$5:$J$305&gt;=L$4+1)),SUMPRODUCT((INDEX(Timeline!$P$5:$AN$305,0,MATCH($A14,Timeline!$P$4:$AN$4,0))="x")*(Timeline!$K$5:$K$305="Task")*ISNUMBER(Timeline!$I$5:$I$305)*ISNUMBER(Timeline!$J$5:$J$305)*(Timeline!$I$5:$I$305&lt;=L$4+2)*(Timeline!$J$5:$J$305&gt;=L$4+2)),SUMPRODUCT((INDEX(Timeline!$P$5:$AN$305,0,MATCH($A14,Timeline!$P$4:$AN$4,0))="x")*(Timeline!$K$5:$K$305="Task")*ISNUMBER(Timeline!$I$5:$I$305)*ISNUMBER(Timeline!$J$5:$J$305)*(Timeline!$I$5:$I$305&lt;=L$4+3)*(Timeline!$J$5:$J$305&gt;=L$4+3)),SUMPRODUCT((INDEX(Timeline!$P$5:$AN$305,0,MATCH($A14,Timeline!$P$4:$AN$4,0))="x")*(Timeline!$K$5:$K$305="Task")*ISNUMBER(Timeline!$I$5:$I$305)*ISNUMBER(Timeline!$J$5:$J$305)*(Timeline!$I$5:$I$305&lt;=L$4+4)*(Timeline!$J$5:$J$305&gt;=L$4+4)),SUMPRODUCT((INDEX(Timeline!$P$5:$AN$305,0,MATCH($A14,Timeline!$P$4:$AN$4,0))="x")*(Timeline!$K$5:$K$305="Task")*ISNUMBER(Timeline!$I$5:$I$305)*ISNUMBER(Timeline!$J$5:$J$305)*(Timeline!$I$5:$I$305&lt;=L$4+5)*(Timeline!$J$5:$J$305&gt;=L$4+5)),SUMPRODUCT((INDEX(Timeline!$P$5:$AN$305,0,MATCH($A14,Timeline!$P$4:$AN$4,0))="x")*(Timeline!$K$5:$K$305="Task")*ISNUMBER(Timeline!$I$5:$I$305)*ISNUMBER(Timeline!$J$5:$J$305)*(Timeline!$I$5:$I$305&lt;=L$4+6)*(Timeline!$J$5:$J$305&gt;=L$4+6)))</f>
        <v>1</v>
      </c>
      <c r="M14" s="67">
        <f>MAX(SUMPRODUCT((INDEX(Timeline!$P$5:$AN$305,0,MATCH($A14,Timeline!$P$4:$AN$4,0))="x")*(Timeline!$K$5:$K$305="Task")*ISNUMBER(Timeline!$I$5:$I$305)*ISNUMBER(Timeline!$J$5:$J$305)*(Timeline!$I$5:$I$305&lt;=M$4+0)*(Timeline!$J$5:$J$305&gt;=M$4+0)),SUMPRODUCT((INDEX(Timeline!$P$5:$AN$305,0,MATCH($A14,Timeline!$P$4:$AN$4,0))="x")*(Timeline!$K$5:$K$305="Task")*ISNUMBER(Timeline!$I$5:$I$305)*ISNUMBER(Timeline!$J$5:$J$305)*(Timeline!$I$5:$I$305&lt;=M$4+1)*(Timeline!$J$5:$J$305&gt;=M$4+1)),SUMPRODUCT((INDEX(Timeline!$P$5:$AN$305,0,MATCH($A14,Timeline!$P$4:$AN$4,0))="x")*(Timeline!$K$5:$K$305="Task")*ISNUMBER(Timeline!$I$5:$I$305)*ISNUMBER(Timeline!$J$5:$J$305)*(Timeline!$I$5:$I$305&lt;=M$4+2)*(Timeline!$J$5:$J$305&gt;=M$4+2)),SUMPRODUCT((INDEX(Timeline!$P$5:$AN$305,0,MATCH($A14,Timeline!$P$4:$AN$4,0))="x")*(Timeline!$K$5:$K$305="Task")*ISNUMBER(Timeline!$I$5:$I$305)*ISNUMBER(Timeline!$J$5:$J$305)*(Timeline!$I$5:$I$305&lt;=M$4+3)*(Timeline!$J$5:$J$305&gt;=M$4+3)),SUMPRODUCT((INDEX(Timeline!$P$5:$AN$305,0,MATCH($A14,Timeline!$P$4:$AN$4,0))="x")*(Timeline!$K$5:$K$305="Task")*ISNUMBER(Timeline!$I$5:$I$305)*ISNUMBER(Timeline!$J$5:$J$305)*(Timeline!$I$5:$I$305&lt;=M$4+4)*(Timeline!$J$5:$J$305&gt;=M$4+4)),SUMPRODUCT((INDEX(Timeline!$P$5:$AN$305,0,MATCH($A14,Timeline!$P$4:$AN$4,0))="x")*(Timeline!$K$5:$K$305="Task")*ISNUMBER(Timeline!$I$5:$I$305)*ISNUMBER(Timeline!$J$5:$J$305)*(Timeline!$I$5:$I$305&lt;=M$4+5)*(Timeline!$J$5:$J$305&gt;=M$4+5)),SUMPRODUCT((INDEX(Timeline!$P$5:$AN$305,0,MATCH($A14,Timeline!$P$4:$AN$4,0))="x")*(Timeline!$K$5:$K$305="Task")*ISNUMBER(Timeline!$I$5:$I$305)*ISNUMBER(Timeline!$J$5:$J$305)*(Timeline!$I$5:$I$305&lt;=M$4+6)*(Timeline!$J$5:$J$305&gt;=M$4+6)))</f>
        <v>0</v>
      </c>
      <c r="N14" s="67">
        <f>MAX(SUMPRODUCT((INDEX(Timeline!$P$5:$AN$305,0,MATCH($A14,Timeline!$P$4:$AN$4,0))="x")*(Timeline!$K$5:$K$305="Task")*ISNUMBER(Timeline!$I$5:$I$305)*ISNUMBER(Timeline!$J$5:$J$305)*(Timeline!$I$5:$I$305&lt;=N$4+0)*(Timeline!$J$5:$J$305&gt;=N$4+0)),SUMPRODUCT((INDEX(Timeline!$P$5:$AN$305,0,MATCH($A14,Timeline!$P$4:$AN$4,0))="x")*(Timeline!$K$5:$K$305="Task")*ISNUMBER(Timeline!$I$5:$I$305)*ISNUMBER(Timeline!$J$5:$J$305)*(Timeline!$I$5:$I$305&lt;=N$4+1)*(Timeline!$J$5:$J$305&gt;=N$4+1)),SUMPRODUCT((INDEX(Timeline!$P$5:$AN$305,0,MATCH($A14,Timeline!$P$4:$AN$4,0))="x")*(Timeline!$K$5:$K$305="Task")*ISNUMBER(Timeline!$I$5:$I$305)*ISNUMBER(Timeline!$J$5:$J$305)*(Timeline!$I$5:$I$305&lt;=N$4+2)*(Timeline!$J$5:$J$305&gt;=N$4+2)),SUMPRODUCT((INDEX(Timeline!$P$5:$AN$305,0,MATCH($A14,Timeline!$P$4:$AN$4,0))="x")*(Timeline!$K$5:$K$305="Task")*ISNUMBER(Timeline!$I$5:$I$305)*ISNUMBER(Timeline!$J$5:$J$305)*(Timeline!$I$5:$I$305&lt;=N$4+3)*(Timeline!$J$5:$J$305&gt;=N$4+3)),SUMPRODUCT((INDEX(Timeline!$P$5:$AN$305,0,MATCH($A14,Timeline!$P$4:$AN$4,0))="x")*(Timeline!$K$5:$K$305="Task")*ISNUMBER(Timeline!$I$5:$I$305)*ISNUMBER(Timeline!$J$5:$J$305)*(Timeline!$I$5:$I$305&lt;=N$4+4)*(Timeline!$J$5:$J$305&gt;=N$4+4)),SUMPRODUCT((INDEX(Timeline!$P$5:$AN$305,0,MATCH($A14,Timeline!$P$4:$AN$4,0))="x")*(Timeline!$K$5:$K$305="Task")*ISNUMBER(Timeline!$I$5:$I$305)*ISNUMBER(Timeline!$J$5:$J$305)*(Timeline!$I$5:$I$305&lt;=N$4+5)*(Timeline!$J$5:$J$305&gt;=N$4+5)),SUMPRODUCT((INDEX(Timeline!$P$5:$AN$305,0,MATCH($A14,Timeline!$P$4:$AN$4,0))="x")*(Timeline!$K$5:$K$305="Task")*ISNUMBER(Timeline!$I$5:$I$305)*ISNUMBER(Timeline!$J$5:$J$305)*(Timeline!$I$5:$I$305&lt;=N$4+6)*(Timeline!$J$5:$J$305&gt;=N$4+6)))</f>
        <v>0</v>
      </c>
      <c r="O14" s="67">
        <f>MAX(SUMPRODUCT((INDEX(Timeline!$P$5:$AN$305,0,MATCH($A14,Timeline!$P$4:$AN$4,0))="x")*(Timeline!$K$5:$K$305="Task")*ISNUMBER(Timeline!$I$5:$I$305)*ISNUMBER(Timeline!$J$5:$J$305)*(Timeline!$I$5:$I$305&lt;=O$4+0)*(Timeline!$J$5:$J$305&gt;=O$4+0)),SUMPRODUCT((INDEX(Timeline!$P$5:$AN$305,0,MATCH($A14,Timeline!$P$4:$AN$4,0))="x")*(Timeline!$K$5:$K$305="Task")*ISNUMBER(Timeline!$I$5:$I$305)*ISNUMBER(Timeline!$J$5:$J$305)*(Timeline!$I$5:$I$305&lt;=O$4+1)*(Timeline!$J$5:$J$305&gt;=O$4+1)),SUMPRODUCT((INDEX(Timeline!$P$5:$AN$305,0,MATCH($A14,Timeline!$P$4:$AN$4,0))="x")*(Timeline!$K$5:$K$305="Task")*ISNUMBER(Timeline!$I$5:$I$305)*ISNUMBER(Timeline!$J$5:$J$305)*(Timeline!$I$5:$I$305&lt;=O$4+2)*(Timeline!$J$5:$J$305&gt;=O$4+2)),SUMPRODUCT((INDEX(Timeline!$P$5:$AN$305,0,MATCH($A14,Timeline!$P$4:$AN$4,0))="x")*(Timeline!$K$5:$K$305="Task")*ISNUMBER(Timeline!$I$5:$I$305)*ISNUMBER(Timeline!$J$5:$J$305)*(Timeline!$I$5:$I$305&lt;=O$4+3)*(Timeline!$J$5:$J$305&gt;=O$4+3)),SUMPRODUCT((INDEX(Timeline!$P$5:$AN$305,0,MATCH($A14,Timeline!$P$4:$AN$4,0))="x")*(Timeline!$K$5:$K$305="Task")*ISNUMBER(Timeline!$I$5:$I$305)*ISNUMBER(Timeline!$J$5:$J$305)*(Timeline!$I$5:$I$305&lt;=O$4+4)*(Timeline!$J$5:$J$305&gt;=O$4+4)),SUMPRODUCT((INDEX(Timeline!$P$5:$AN$305,0,MATCH($A14,Timeline!$P$4:$AN$4,0))="x")*(Timeline!$K$5:$K$305="Task")*ISNUMBER(Timeline!$I$5:$I$305)*ISNUMBER(Timeline!$J$5:$J$305)*(Timeline!$I$5:$I$305&lt;=O$4+5)*(Timeline!$J$5:$J$305&gt;=O$4+5)),SUMPRODUCT((INDEX(Timeline!$P$5:$AN$305,0,MATCH($A14,Timeline!$P$4:$AN$4,0))="x")*(Timeline!$K$5:$K$305="Task")*ISNUMBER(Timeline!$I$5:$I$305)*ISNUMBER(Timeline!$J$5:$J$305)*(Timeline!$I$5:$I$305&lt;=O$4+6)*(Timeline!$J$5:$J$305&gt;=O$4+6)))</f>
        <v>1</v>
      </c>
      <c r="P14" s="67">
        <f>MAX(SUMPRODUCT((INDEX(Timeline!$P$5:$AN$305,0,MATCH($A14,Timeline!$P$4:$AN$4,0))="x")*(Timeline!$K$5:$K$305="Task")*ISNUMBER(Timeline!$I$5:$I$305)*ISNUMBER(Timeline!$J$5:$J$305)*(Timeline!$I$5:$I$305&lt;=P$4+0)*(Timeline!$J$5:$J$305&gt;=P$4+0)),SUMPRODUCT((INDEX(Timeline!$P$5:$AN$305,0,MATCH($A14,Timeline!$P$4:$AN$4,0))="x")*(Timeline!$K$5:$K$305="Task")*ISNUMBER(Timeline!$I$5:$I$305)*ISNUMBER(Timeline!$J$5:$J$305)*(Timeline!$I$5:$I$305&lt;=P$4+1)*(Timeline!$J$5:$J$305&gt;=P$4+1)),SUMPRODUCT((INDEX(Timeline!$P$5:$AN$305,0,MATCH($A14,Timeline!$P$4:$AN$4,0))="x")*(Timeline!$K$5:$K$305="Task")*ISNUMBER(Timeline!$I$5:$I$305)*ISNUMBER(Timeline!$J$5:$J$305)*(Timeline!$I$5:$I$305&lt;=P$4+2)*(Timeline!$J$5:$J$305&gt;=P$4+2)),SUMPRODUCT((INDEX(Timeline!$P$5:$AN$305,0,MATCH($A14,Timeline!$P$4:$AN$4,0))="x")*(Timeline!$K$5:$K$305="Task")*ISNUMBER(Timeline!$I$5:$I$305)*ISNUMBER(Timeline!$J$5:$J$305)*(Timeline!$I$5:$I$305&lt;=P$4+3)*(Timeline!$J$5:$J$305&gt;=P$4+3)),SUMPRODUCT((INDEX(Timeline!$P$5:$AN$305,0,MATCH($A14,Timeline!$P$4:$AN$4,0))="x")*(Timeline!$K$5:$K$305="Task")*ISNUMBER(Timeline!$I$5:$I$305)*ISNUMBER(Timeline!$J$5:$J$305)*(Timeline!$I$5:$I$305&lt;=P$4+4)*(Timeline!$J$5:$J$305&gt;=P$4+4)),SUMPRODUCT((INDEX(Timeline!$P$5:$AN$305,0,MATCH($A14,Timeline!$P$4:$AN$4,0))="x")*(Timeline!$K$5:$K$305="Task")*ISNUMBER(Timeline!$I$5:$I$305)*ISNUMBER(Timeline!$J$5:$J$305)*(Timeline!$I$5:$I$305&lt;=P$4+5)*(Timeline!$J$5:$J$305&gt;=P$4+5)),SUMPRODUCT((INDEX(Timeline!$P$5:$AN$305,0,MATCH($A14,Timeline!$P$4:$AN$4,0))="x")*(Timeline!$K$5:$K$305="Task")*ISNUMBER(Timeline!$I$5:$I$305)*ISNUMBER(Timeline!$J$5:$J$305)*(Timeline!$I$5:$I$305&lt;=P$4+6)*(Timeline!$J$5:$J$305&gt;=P$4+6)))</f>
        <v>1</v>
      </c>
      <c r="Q14" s="67">
        <f>MAX(SUMPRODUCT((INDEX(Timeline!$P$5:$AN$305,0,MATCH($A14,Timeline!$P$4:$AN$4,0))="x")*(Timeline!$K$5:$K$305="Task")*ISNUMBER(Timeline!$I$5:$I$305)*ISNUMBER(Timeline!$J$5:$J$305)*(Timeline!$I$5:$I$305&lt;=Q$4+0)*(Timeline!$J$5:$J$305&gt;=Q$4+0)),SUMPRODUCT((INDEX(Timeline!$P$5:$AN$305,0,MATCH($A14,Timeline!$P$4:$AN$4,0))="x")*(Timeline!$K$5:$K$305="Task")*ISNUMBER(Timeline!$I$5:$I$305)*ISNUMBER(Timeline!$J$5:$J$305)*(Timeline!$I$5:$I$305&lt;=Q$4+1)*(Timeline!$J$5:$J$305&gt;=Q$4+1)),SUMPRODUCT((INDEX(Timeline!$P$5:$AN$305,0,MATCH($A14,Timeline!$P$4:$AN$4,0))="x")*(Timeline!$K$5:$K$305="Task")*ISNUMBER(Timeline!$I$5:$I$305)*ISNUMBER(Timeline!$J$5:$J$305)*(Timeline!$I$5:$I$305&lt;=Q$4+2)*(Timeline!$J$5:$J$305&gt;=Q$4+2)),SUMPRODUCT((INDEX(Timeline!$P$5:$AN$305,0,MATCH($A14,Timeline!$P$4:$AN$4,0))="x")*(Timeline!$K$5:$K$305="Task")*ISNUMBER(Timeline!$I$5:$I$305)*ISNUMBER(Timeline!$J$5:$J$305)*(Timeline!$I$5:$I$305&lt;=Q$4+3)*(Timeline!$J$5:$J$305&gt;=Q$4+3)),SUMPRODUCT((INDEX(Timeline!$P$5:$AN$305,0,MATCH($A14,Timeline!$P$4:$AN$4,0))="x")*(Timeline!$K$5:$K$305="Task")*ISNUMBER(Timeline!$I$5:$I$305)*ISNUMBER(Timeline!$J$5:$J$305)*(Timeline!$I$5:$I$305&lt;=Q$4+4)*(Timeline!$J$5:$J$305&gt;=Q$4+4)),SUMPRODUCT((INDEX(Timeline!$P$5:$AN$305,0,MATCH($A14,Timeline!$P$4:$AN$4,0))="x")*(Timeline!$K$5:$K$305="Task")*ISNUMBER(Timeline!$I$5:$I$305)*ISNUMBER(Timeline!$J$5:$J$305)*(Timeline!$I$5:$I$305&lt;=Q$4+5)*(Timeline!$J$5:$J$305&gt;=Q$4+5)),SUMPRODUCT((INDEX(Timeline!$P$5:$AN$305,0,MATCH($A14,Timeline!$P$4:$AN$4,0))="x")*(Timeline!$K$5:$K$305="Task")*ISNUMBER(Timeline!$I$5:$I$305)*ISNUMBER(Timeline!$J$5:$J$305)*(Timeline!$I$5:$I$305&lt;=Q$4+6)*(Timeline!$J$5:$J$305&gt;=Q$4+6)))</f>
        <v>1</v>
      </c>
      <c r="R14" s="67">
        <f>MAX(SUMPRODUCT((INDEX(Timeline!$P$5:$AN$305,0,MATCH($A14,Timeline!$P$4:$AN$4,0))="x")*(Timeline!$K$5:$K$305="Task")*ISNUMBER(Timeline!$I$5:$I$305)*ISNUMBER(Timeline!$J$5:$J$305)*(Timeline!$I$5:$I$305&lt;=R$4+0)*(Timeline!$J$5:$J$305&gt;=R$4+0)),SUMPRODUCT((INDEX(Timeline!$P$5:$AN$305,0,MATCH($A14,Timeline!$P$4:$AN$4,0))="x")*(Timeline!$K$5:$K$305="Task")*ISNUMBER(Timeline!$I$5:$I$305)*ISNUMBER(Timeline!$J$5:$J$305)*(Timeline!$I$5:$I$305&lt;=R$4+1)*(Timeline!$J$5:$J$305&gt;=R$4+1)),SUMPRODUCT((INDEX(Timeline!$P$5:$AN$305,0,MATCH($A14,Timeline!$P$4:$AN$4,0))="x")*(Timeline!$K$5:$K$305="Task")*ISNUMBER(Timeline!$I$5:$I$305)*ISNUMBER(Timeline!$J$5:$J$305)*(Timeline!$I$5:$I$305&lt;=R$4+2)*(Timeline!$J$5:$J$305&gt;=R$4+2)),SUMPRODUCT((INDEX(Timeline!$P$5:$AN$305,0,MATCH($A14,Timeline!$P$4:$AN$4,0))="x")*(Timeline!$K$5:$K$305="Task")*ISNUMBER(Timeline!$I$5:$I$305)*ISNUMBER(Timeline!$J$5:$J$305)*(Timeline!$I$5:$I$305&lt;=R$4+3)*(Timeline!$J$5:$J$305&gt;=R$4+3)),SUMPRODUCT((INDEX(Timeline!$P$5:$AN$305,0,MATCH($A14,Timeline!$P$4:$AN$4,0))="x")*(Timeline!$K$5:$K$305="Task")*ISNUMBER(Timeline!$I$5:$I$305)*ISNUMBER(Timeline!$J$5:$J$305)*(Timeline!$I$5:$I$305&lt;=R$4+4)*(Timeline!$J$5:$J$305&gt;=R$4+4)),SUMPRODUCT((INDEX(Timeline!$P$5:$AN$305,0,MATCH($A14,Timeline!$P$4:$AN$4,0))="x")*(Timeline!$K$5:$K$305="Task")*ISNUMBER(Timeline!$I$5:$I$305)*ISNUMBER(Timeline!$J$5:$J$305)*(Timeline!$I$5:$I$305&lt;=R$4+5)*(Timeline!$J$5:$J$305&gt;=R$4+5)),SUMPRODUCT((INDEX(Timeline!$P$5:$AN$305,0,MATCH($A14,Timeline!$P$4:$AN$4,0))="x")*(Timeline!$K$5:$K$305="Task")*ISNUMBER(Timeline!$I$5:$I$305)*ISNUMBER(Timeline!$J$5:$J$305)*(Timeline!$I$5:$I$305&lt;=R$4+6)*(Timeline!$J$5:$J$305&gt;=R$4+6)))</f>
        <v>1</v>
      </c>
      <c r="S14" s="67">
        <f>MAX(SUMPRODUCT((INDEX(Timeline!$P$5:$AN$305,0,MATCH($A14,Timeline!$P$4:$AN$4,0))="x")*(Timeline!$K$5:$K$305="Task")*ISNUMBER(Timeline!$I$5:$I$305)*ISNUMBER(Timeline!$J$5:$J$305)*(Timeline!$I$5:$I$305&lt;=S$4+0)*(Timeline!$J$5:$J$305&gt;=S$4+0)),SUMPRODUCT((INDEX(Timeline!$P$5:$AN$305,0,MATCH($A14,Timeline!$P$4:$AN$4,0))="x")*(Timeline!$K$5:$K$305="Task")*ISNUMBER(Timeline!$I$5:$I$305)*ISNUMBER(Timeline!$J$5:$J$305)*(Timeline!$I$5:$I$305&lt;=S$4+1)*(Timeline!$J$5:$J$305&gt;=S$4+1)),SUMPRODUCT((INDEX(Timeline!$P$5:$AN$305,0,MATCH($A14,Timeline!$P$4:$AN$4,0))="x")*(Timeline!$K$5:$K$305="Task")*ISNUMBER(Timeline!$I$5:$I$305)*ISNUMBER(Timeline!$J$5:$J$305)*(Timeline!$I$5:$I$305&lt;=S$4+2)*(Timeline!$J$5:$J$305&gt;=S$4+2)),SUMPRODUCT((INDEX(Timeline!$P$5:$AN$305,0,MATCH($A14,Timeline!$P$4:$AN$4,0))="x")*(Timeline!$K$5:$K$305="Task")*ISNUMBER(Timeline!$I$5:$I$305)*ISNUMBER(Timeline!$J$5:$J$305)*(Timeline!$I$5:$I$305&lt;=S$4+3)*(Timeline!$J$5:$J$305&gt;=S$4+3)),SUMPRODUCT((INDEX(Timeline!$P$5:$AN$305,0,MATCH($A14,Timeline!$P$4:$AN$4,0))="x")*(Timeline!$K$5:$K$305="Task")*ISNUMBER(Timeline!$I$5:$I$305)*ISNUMBER(Timeline!$J$5:$J$305)*(Timeline!$I$5:$I$305&lt;=S$4+4)*(Timeline!$J$5:$J$305&gt;=S$4+4)),SUMPRODUCT((INDEX(Timeline!$P$5:$AN$305,0,MATCH($A14,Timeline!$P$4:$AN$4,0))="x")*(Timeline!$K$5:$K$305="Task")*ISNUMBER(Timeline!$I$5:$I$305)*ISNUMBER(Timeline!$J$5:$J$305)*(Timeline!$I$5:$I$305&lt;=S$4+5)*(Timeline!$J$5:$J$305&gt;=S$4+5)),SUMPRODUCT((INDEX(Timeline!$P$5:$AN$305,0,MATCH($A14,Timeline!$P$4:$AN$4,0))="x")*(Timeline!$K$5:$K$305="Task")*ISNUMBER(Timeline!$I$5:$I$305)*ISNUMBER(Timeline!$J$5:$J$305)*(Timeline!$I$5:$I$305&lt;=S$4+6)*(Timeline!$J$5:$J$305&gt;=S$4+6)))</f>
        <v>1</v>
      </c>
      <c r="T14" s="67">
        <f>MAX(SUMPRODUCT((INDEX(Timeline!$P$5:$AN$305,0,MATCH($A14,Timeline!$P$4:$AN$4,0))="x")*(Timeline!$K$5:$K$305="Task")*ISNUMBER(Timeline!$I$5:$I$305)*ISNUMBER(Timeline!$J$5:$J$305)*(Timeline!$I$5:$I$305&lt;=T$4+0)*(Timeline!$J$5:$J$305&gt;=T$4+0)),SUMPRODUCT((INDEX(Timeline!$P$5:$AN$305,0,MATCH($A14,Timeline!$P$4:$AN$4,0))="x")*(Timeline!$K$5:$K$305="Task")*ISNUMBER(Timeline!$I$5:$I$305)*ISNUMBER(Timeline!$J$5:$J$305)*(Timeline!$I$5:$I$305&lt;=T$4+1)*(Timeline!$J$5:$J$305&gt;=T$4+1)),SUMPRODUCT((INDEX(Timeline!$P$5:$AN$305,0,MATCH($A14,Timeline!$P$4:$AN$4,0))="x")*(Timeline!$K$5:$K$305="Task")*ISNUMBER(Timeline!$I$5:$I$305)*ISNUMBER(Timeline!$J$5:$J$305)*(Timeline!$I$5:$I$305&lt;=T$4+2)*(Timeline!$J$5:$J$305&gt;=T$4+2)),SUMPRODUCT((INDEX(Timeline!$P$5:$AN$305,0,MATCH($A14,Timeline!$P$4:$AN$4,0))="x")*(Timeline!$K$5:$K$305="Task")*ISNUMBER(Timeline!$I$5:$I$305)*ISNUMBER(Timeline!$J$5:$J$305)*(Timeline!$I$5:$I$305&lt;=T$4+3)*(Timeline!$J$5:$J$305&gt;=T$4+3)),SUMPRODUCT((INDEX(Timeline!$P$5:$AN$305,0,MATCH($A14,Timeline!$P$4:$AN$4,0))="x")*(Timeline!$K$5:$K$305="Task")*ISNUMBER(Timeline!$I$5:$I$305)*ISNUMBER(Timeline!$J$5:$J$305)*(Timeline!$I$5:$I$305&lt;=T$4+4)*(Timeline!$J$5:$J$305&gt;=T$4+4)),SUMPRODUCT((INDEX(Timeline!$P$5:$AN$305,0,MATCH($A14,Timeline!$P$4:$AN$4,0))="x")*(Timeline!$K$5:$K$305="Task")*ISNUMBER(Timeline!$I$5:$I$305)*ISNUMBER(Timeline!$J$5:$J$305)*(Timeline!$I$5:$I$305&lt;=T$4+5)*(Timeline!$J$5:$J$305&gt;=T$4+5)),SUMPRODUCT((INDEX(Timeline!$P$5:$AN$305,0,MATCH($A14,Timeline!$P$4:$AN$4,0))="x")*(Timeline!$K$5:$K$305="Task")*ISNUMBER(Timeline!$I$5:$I$305)*ISNUMBER(Timeline!$J$5:$J$305)*(Timeline!$I$5:$I$305&lt;=T$4+6)*(Timeline!$J$5:$J$305&gt;=T$4+6)))</f>
        <v>1</v>
      </c>
      <c r="U14" s="67">
        <f>MAX(SUMPRODUCT((INDEX(Timeline!$P$5:$AN$305,0,MATCH($A14,Timeline!$P$4:$AN$4,0))="x")*(Timeline!$K$5:$K$305="Task")*ISNUMBER(Timeline!$I$5:$I$305)*ISNUMBER(Timeline!$J$5:$J$305)*(Timeline!$I$5:$I$305&lt;=U$4+0)*(Timeline!$J$5:$J$305&gt;=U$4+0)),SUMPRODUCT((INDEX(Timeline!$P$5:$AN$305,0,MATCH($A14,Timeline!$P$4:$AN$4,0))="x")*(Timeline!$K$5:$K$305="Task")*ISNUMBER(Timeline!$I$5:$I$305)*ISNUMBER(Timeline!$J$5:$J$305)*(Timeline!$I$5:$I$305&lt;=U$4+1)*(Timeline!$J$5:$J$305&gt;=U$4+1)),SUMPRODUCT((INDEX(Timeline!$P$5:$AN$305,0,MATCH($A14,Timeline!$P$4:$AN$4,0))="x")*(Timeline!$K$5:$K$305="Task")*ISNUMBER(Timeline!$I$5:$I$305)*ISNUMBER(Timeline!$J$5:$J$305)*(Timeline!$I$5:$I$305&lt;=U$4+2)*(Timeline!$J$5:$J$305&gt;=U$4+2)),SUMPRODUCT((INDEX(Timeline!$P$5:$AN$305,0,MATCH($A14,Timeline!$P$4:$AN$4,0))="x")*(Timeline!$K$5:$K$305="Task")*ISNUMBER(Timeline!$I$5:$I$305)*ISNUMBER(Timeline!$J$5:$J$305)*(Timeline!$I$5:$I$305&lt;=U$4+3)*(Timeline!$J$5:$J$305&gt;=U$4+3)),SUMPRODUCT((INDEX(Timeline!$P$5:$AN$305,0,MATCH($A14,Timeline!$P$4:$AN$4,0))="x")*(Timeline!$K$5:$K$305="Task")*ISNUMBER(Timeline!$I$5:$I$305)*ISNUMBER(Timeline!$J$5:$J$305)*(Timeline!$I$5:$I$305&lt;=U$4+4)*(Timeline!$J$5:$J$305&gt;=U$4+4)),SUMPRODUCT((INDEX(Timeline!$P$5:$AN$305,0,MATCH($A14,Timeline!$P$4:$AN$4,0))="x")*(Timeline!$K$5:$K$305="Task")*ISNUMBER(Timeline!$I$5:$I$305)*ISNUMBER(Timeline!$J$5:$J$305)*(Timeline!$I$5:$I$305&lt;=U$4+5)*(Timeline!$J$5:$J$305&gt;=U$4+5)),SUMPRODUCT((INDEX(Timeline!$P$5:$AN$305,0,MATCH($A14,Timeline!$P$4:$AN$4,0))="x")*(Timeline!$K$5:$K$305="Task")*ISNUMBER(Timeline!$I$5:$I$305)*ISNUMBER(Timeline!$J$5:$J$305)*(Timeline!$I$5:$I$305&lt;=U$4+6)*(Timeline!$J$5:$J$305&gt;=U$4+6)))</f>
        <v>0</v>
      </c>
      <c r="V14" s="67">
        <f>MAX(SUMPRODUCT((INDEX(Timeline!$P$5:$AN$305,0,MATCH($A14,Timeline!$P$4:$AN$4,0))="x")*(Timeline!$K$5:$K$305="Task")*ISNUMBER(Timeline!$I$5:$I$305)*ISNUMBER(Timeline!$J$5:$J$305)*(Timeline!$I$5:$I$305&lt;=V$4+0)*(Timeline!$J$5:$J$305&gt;=V$4+0)),SUMPRODUCT((INDEX(Timeline!$P$5:$AN$305,0,MATCH($A14,Timeline!$P$4:$AN$4,0))="x")*(Timeline!$K$5:$K$305="Task")*ISNUMBER(Timeline!$I$5:$I$305)*ISNUMBER(Timeline!$J$5:$J$305)*(Timeline!$I$5:$I$305&lt;=V$4+1)*(Timeline!$J$5:$J$305&gt;=V$4+1)),SUMPRODUCT((INDEX(Timeline!$P$5:$AN$305,0,MATCH($A14,Timeline!$P$4:$AN$4,0))="x")*(Timeline!$K$5:$K$305="Task")*ISNUMBER(Timeline!$I$5:$I$305)*ISNUMBER(Timeline!$J$5:$J$305)*(Timeline!$I$5:$I$305&lt;=V$4+2)*(Timeline!$J$5:$J$305&gt;=V$4+2)),SUMPRODUCT((INDEX(Timeline!$P$5:$AN$305,0,MATCH($A14,Timeline!$P$4:$AN$4,0))="x")*(Timeline!$K$5:$K$305="Task")*ISNUMBER(Timeline!$I$5:$I$305)*ISNUMBER(Timeline!$J$5:$J$305)*(Timeline!$I$5:$I$305&lt;=V$4+3)*(Timeline!$J$5:$J$305&gt;=V$4+3)),SUMPRODUCT((INDEX(Timeline!$P$5:$AN$305,0,MATCH($A14,Timeline!$P$4:$AN$4,0))="x")*(Timeline!$K$5:$K$305="Task")*ISNUMBER(Timeline!$I$5:$I$305)*ISNUMBER(Timeline!$J$5:$J$305)*(Timeline!$I$5:$I$305&lt;=V$4+4)*(Timeline!$J$5:$J$305&gt;=V$4+4)),SUMPRODUCT((INDEX(Timeline!$P$5:$AN$305,0,MATCH($A14,Timeline!$P$4:$AN$4,0))="x")*(Timeline!$K$5:$K$305="Task")*ISNUMBER(Timeline!$I$5:$I$305)*ISNUMBER(Timeline!$J$5:$J$305)*(Timeline!$I$5:$I$305&lt;=V$4+5)*(Timeline!$J$5:$J$305&gt;=V$4+5)),SUMPRODUCT((INDEX(Timeline!$P$5:$AN$305,0,MATCH($A14,Timeline!$P$4:$AN$4,0))="x")*(Timeline!$K$5:$K$305="Task")*ISNUMBER(Timeline!$I$5:$I$305)*ISNUMBER(Timeline!$J$5:$J$305)*(Timeline!$I$5:$I$305&lt;=V$4+6)*(Timeline!$J$5:$J$305&gt;=V$4+6)))</f>
        <v>0</v>
      </c>
      <c r="W14" s="67">
        <f>MAX(SUMPRODUCT((INDEX(Timeline!$P$5:$AN$305,0,MATCH($A14,Timeline!$P$4:$AN$4,0))="x")*(Timeline!$K$5:$K$305="Task")*ISNUMBER(Timeline!$I$5:$I$305)*ISNUMBER(Timeline!$J$5:$J$305)*(Timeline!$I$5:$I$305&lt;=W$4+0)*(Timeline!$J$5:$J$305&gt;=W$4+0)),SUMPRODUCT((INDEX(Timeline!$P$5:$AN$305,0,MATCH($A14,Timeline!$P$4:$AN$4,0))="x")*(Timeline!$K$5:$K$305="Task")*ISNUMBER(Timeline!$I$5:$I$305)*ISNUMBER(Timeline!$J$5:$J$305)*(Timeline!$I$5:$I$305&lt;=W$4+1)*(Timeline!$J$5:$J$305&gt;=W$4+1)),SUMPRODUCT((INDEX(Timeline!$P$5:$AN$305,0,MATCH($A14,Timeline!$P$4:$AN$4,0))="x")*(Timeline!$K$5:$K$305="Task")*ISNUMBER(Timeline!$I$5:$I$305)*ISNUMBER(Timeline!$J$5:$J$305)*(Timeline!$I$5:$I$305&lt;=W$4+2)*(Timeline!$J$5:$J$305&gt;=W$4+2)),SUMPRODUCT((INDEX(Timeline!$P$5:$AN$305,0,MATCH($A14,Timeline!$P$4:$AN$4,0))="x")*(Timeline!$K$5:$K$305="Task")*ISNUMBER(Timeline!$I$5:$I$305)*ISNUMBER(Timeline!$J$5:$J$305)*(Timeline!$I$5:$I$305&lt;=W$4+3)*(Timeline!$J$5:$J$305&gt;=W$4+3)),SUMPRODUCT((INDEX(Timeline!$P$5:$AN$305,0,MATCH($A14,Timeline!$P$4:$AN$4,0))="x")*(Timeline!$K$5:$K$305="Task")*ISNUMBER(Timeline!$I$5:$I$305)*ISNUMBER(Timeline!$J$5:$J$305)*(Timeline!$I$5:$I$305&lt;=W$4+4)*(Timeline!$J$5:$J$305&gt;=W$4+4)),SUMPRODUCT((INDEX(Timeline!$P$5:$AN$305,0,MATCH($A14,Timeline!$P$4:$AN$4,0))="x")*(Timeline!$K$5:$K$305="Task")*ISNUMBER(Timeline!$I$5:$I$305)*ISNUMBER(Timeline!$J$5:$J$305)*(Timeline!$I$5:$I$305&lt;=W$4+5)*(Timeline!$J$5:$J$305&gt;=W$4+5)),SUMPRODUCT((INDEX(Timeline!$P$5:$AN$305,0,MATCH($A14,Timeline!$P$4:$AN$4,0))="x")*(Timeline!$K$5:$K$305="Task")*ISNUMBER(Timeline!$I$5:$I$305)*ISNUMBER(Timeline!$J$5:$J$305)*(Timeline!$I$5:$I$305&lt;=W$4+6)*(Timeline!$J$5:$J$305&gt;=W$4+6)))</f>
        <v>1</v>
      </c>
      <c r="X14" s="67">
        <f>MAX(SUMPRODUCT((INDEX(Timeline!$P$5:$AN$305,0,MATCH($A14,Timeline!$P$4:$AN$4,0))="x")*(Timeline!$K$5:$K$305="Task")*ISNUMBER(Timeline!$I$5:$I$305)*ISNUMBER(Timeline!$J$5:$J$305)*(Timeline!$I$5:$I$305&lt;=X$4+0)*(Timeline!$J$5:$J$305&gt;=X$4+0)),SUMPRODUCT((INDEX(Timeline!$P$5:$AN$305,0,MATCH($A14,Timeline!$P$4:$AN$4,0))="x")*(Timeline!$K$5:$K$305="Task")*ISNUMBER(Timeline!$I$5:$I$305)*ISNUMBER(Timeline!$J$5:$J$305)*(Timeline!$I$5:$I$305&lt;=X$4+1)*(Timeline!$J$5:$J$305&gt;=X$4+1)),SUMPRODUCT((INDEX(Timeline!$P$5:$AN$305,0,MATCH($A14,Timeline!$P$4:$AN$4,0))="x")*(Timeline!$K$5:$K$305="Task")*ISNUMBER(Timeline!$I$5:$I$305)*ISNUMBER(Timeline!$J$5:$J$305)*(Timeline!$I$5:$I$305&lt;=X$4+2)*(Timeline!$J$5:$J$305&gt;=X$4+2)),SUMPRODUCT((INDEX(Timeline!$P$5:$AN$305,0,MATCH($A14,Timeline!$P$4:$AN$4,0))="x")*(Timeline!$K$5:$K$305="Task")*ISNUMBER(Timeline!$I$5:$I$305)*ISNUMBER(Timeline!$J$5:$J$305)*(Timeline!$I$5:$I$305&lt;=X$4+3)*(Timeline!$J$5:$J$305&gt;=X$4+3)),SUMPRODUCT((INDEX(Timeline!$P$5:$AN$305,0,MATCH($A14,Timeline!$P$4:$AN$4,0))="x")*(Timeline!$K$5:$K$305="Task")*ISNUMBER(Timeline!$I$5:$I$305)*ISNUMBER(Timeline!$J$5:$J$305)*(Timeline!$I$5:$I$305&lt;=X$4+4)*(Timeline!$J$5:$J$305&gt;=X$4+4)),SUMPRODUCT((INDEX(Timeline!$P$5:$AN$305,0,MATCH($A14,Timeline!$P$4:$AN$4,0))="x")*(Timeline!$K$5:$K$305="Task")*ISNUMBER(Timeline!$I$5:$I$305)*ISNUMBER(Timeline!$J$5:$J$305)*(Timeline!$I$5:$I$305&lt;=X$4+5)*(Timeline!$J$5:$J$305&gt;=X$4+5)),SUMPRODUCT((INDEX(Timeline!$P$5:$AN$305,0,MATCH($A14,Timeline!$P$4:$AN$4,0))="x")*(Timeline!$K$5:$K$305="Task")*ISNUMBER(Timeline!$I$5:$I$305)*ISNUMBER(Timeline!$J$5:$J$305)*(Timeline!$I$5:$I$305&lt;=X$4+6)*(Timeline!$J$5:$J$305&gt;=X$4+6)))</f>
        <v>1</v>
      </c>
      <c r="Y14" s="67">
        <f>MAX(SUMPRODUCT((INDEX(Timeline!$P$5:$AN$305,0,MATCH($A14,Timeline!$P$4:$AN$4,0))="x")*(Timeline!$K$5:$K$305="Task")*ISNUMBER(Timeline!$I$5:$I$305)*ISNUMBER(Timeline!$J$5:$J$305)*(Timeline!$I$5:$I$305&lt;=Y$4+0)*(Timeline!$J$5:$J$305&gt;=Y$4+0)),SUMPRODUCT((INDEX(Timeline!$P$5:$AN$305,0,MATCH($A14,Timeline!$P$4:$AN$4,0))="x")*(Timeline!$K$5:$K$305="Task")*ISNUMBER(Timeline!$I$5:$I$305)*ISNUMBER(Timeline!$J$5:$J$305)*(Timeline!$I$5:$I$305&lt;=Y$4+1)*(Timeline!$J$5:$J$305&gt;=Y$4+1)),SUMPRODUCT((INDEX(Timeline!$P$5:$AN$305,0,MATCH($A14,Timeline!$P$4:$AN$4,0))="x")*(Timeline!$K$5:$K$305="Task")*ISNUMBER(Timeline!$I$5:$I$305)*ISNUMBER(Timeline!$J$5:$J$305)*(Timeline!$I$5:$I$305&lt;=Y$4+2)*(Timeline!$J$5:$J$305&gt;=Y$4+2)),SUMPRODUCT((INDEX(Timeline!$P$5:$AN$305,0,MATCH($A14,Timeline!$P$4:$AN$4,0))="x")*(Timeline!$K$5:$K$305="Task")*ISNUMBER(Timeline!$I$5:$I$305)*ISNUMBER(Timeline!$J$5:$J$305)*(Timeline!$I$5:$I$305&lt;=Y$4+3)*(Timeline!$J$5:$J$305&gt;=Y$4+3)),SUMPRODUCT((INDEX(Timeline!$P$5:$AN$305,0,MATCH($A14,Timeline!$P$4:$AN$4,0))="x")*(Timeline!$K$5:$K$305="Task")*ISNUMBER(Timeline!$I$5:$I$305)*ISNUMBER(Timeline!$J$5:$J$305)*(Timeline!$I$5:$I$305&lt;=Y$4+4)*(Timeline!$J$5:$J$305&gt;=Y$4+4)),SUMPRODUCT((INDEX(Timeline!$P$5:$AN$305,0,MATCH($A14,Timeline!$P$4:$AN$4,0))="x")*(Timeline!$K$5:$K$305="Task")*ISNUMBER(Timeline!$I$5:$I$305)*ISNUMBER(Timeline!$J$5:$J$305)*(Timeline!$I$5:$I$305&lt;=Y$4+5)*(Timeline!$J$5:$J$305&gt;=Y$4+5)),SUMPRODUCT((INDEX(Timeline!$P$5:$AN$305,0,MATCH($A14,Timeline!$P$4:$AN$4,0))="x")*(Timeline!$K$5:$K$305="Task")*ISNUMBER(Timeline!$I$5:$I$305)*ISNUMBER(Timeline!$J$5:$J$305)*(Timeline!$I$5:$I$305&lt;=Y$4+6)*(Timeline!$J$5:$J$305&gt;=Y$4+6)))</f>
        <v>1</v>
      </c>
      <c r="Z14" s="67">
        <f>MAX(SUMPRODUCT((INDEX(Timeline!$P$5:$AN$305,0,MATCH($A14,Timeline!$P$4:$AN$4,0))="x")*(Timeline!$K$5:$K$305="Task")*ISNUMBER(Timeline!$I$5:$I$305)*ISNUMBER(Timeline!$J$5:$J$305)*(Timeline!$I$5:$I$305&lt;=Z$4+0)*(Timeline!$J$5:$J$305&gt;=Z$4+0)),SUMPRODUCT((INDEX(Timeline!$P$5:$AN$305,0,MATCH($A14,Timeline!$P$4:$AN$4,0))="x")*(Timeline!$K$5:$K$305="Task")*ISNUMBER(Timeline!$I$5:$I$305)*ISNUMBER(Timeline!$J$5:$J$305)*(Timeline!$I$5:$I$305&lt;=Z$4+1)*(Timeline!$J$5:$J$305&gt;=Z$4+1)),SUMPRODUCT((INDEX(Timeline!$P$5:$AN$305,0,MATCH($A14,Timeline!$P$4:$AN$4,0))="x")*(Timeline!$K$5:$K$305="Task")*ISNUMBER(Timeline!$I$5:$I$305)*ISNUMBER(Timeline!$J$5:$J$305)*(Timeline!$I$5:$I$305&lt;=Z$4+2)*(Timeline!$J$5:$J$305&gt;=Z$4+2)),SUMPRODUCT((INDEX(Timeline!$P$5:$AN$305,0,MATCH($A14,Timeline!$P$4:$AN$4,0))="x")*(Timeline!$K$5:$K$305="Task")*ISNUMBER(Timeline!$I$5:$I$305)*ISNUMBER(Timeline!$J$5:$J$305)*(Timeline!$I$5:$I$305&lt;=Z$4+3)*(Timeline!$J$5:$J$305&gt;=Z$4+3)),SUMPRODUCT((INDEX(Timeline!$P$5:$AN$305,0,MATCH($A14,Timeline!$P$4:$AN$4,0))="x")*(Timeline!$K$5:$K$305="Task")*ISNUMBER(Timeline!$I$5:$I$305)*ISNUMBER(Timeline!$J$5:$J$305)*(Timeline!$I$5:$I$305&lt;=Z$4+4)*(Timeline!$J$5:$J$305&gt;=Z$4+4)),SUMPRODUCT((INDEX(Timeline!$P$5:$AN$305,0,MATCH($A14,Timeline!$P$4:$AN$4,0))="x")*(Timeline!$K$5:$K$305="Task")*ISNUMBER(Timeline!$I$5:$I$305)*ISNUMBER(Timeline!$J$5:$J$305)*(Timeline!$I$5:$I$305&lt;=Z$4+5)*(Timeline!$J$5:$J$305&gt;=Z$4+5)),SUMPRODUCT((INDEX(Timeline!$P$5:$AN$305,0,MATCH($A14,Timeline!$P$4:$AN$4,0))="x")*(Timeline!$K$5:$K$305="Task")*ISNUMBER(Timeline!$I$5:$I$305)*ISNUMBER(Timeline!$J$5:$J$305)*(Timeline!$I$5:$I$305&lt;=Z$4+6)*(Timeline!$J$5:$J$305&gt;=Z$4+6)))</f>
        <v>1</v>
      </c>
      <c r="AA14" s="67">
        <f>MAX(SUMPRODUCT((INDEX(Timeline!$P$5:$AN$305,0,MATCH($A14,Timeline!$P$4:$AN$4,0))="x")*(Timeline!$K$5:$K$305="Task")*ISNUMBER(Timeline!$I$5:$I$305)*ISNUMBER(Timeline!$J$5:$J$305)*(Timeline!$I$5:$I$305&lt;=AA$4+0)*(Timeline!$J$5:$J$305&gt;=AA$4+0)),SUMPRODUCT((INDEX(Timeline!$P$5:$AN$305,0,MATCH($A14,Timeline!$P$4:$AN$4,0))="x")*(Timeline!$K$5:$K$305="Task")*ISNUMBER(Timeline!$I$5:$I$305)*ISNUMBER(Timeline!$J$5:$J$305)*(Timeline!$I$5:$I$305&lt;=AA$4+1)*(Timeline!$J$5:$J$305&gt;=AA$4+1)),SUMPRODUCT((INDEX(Timeline!$P$5:$AN$305,0,MATCH($A14,Timeline!$P$4:$AN$4,0))="x")*(Timeline!$K$5:$K$305="Task")*ISNUMBER(Timeline!$I$5:$I$305)*ISNUMBER(Timeline!$J$5:$J$305)*(Timeline!$I$5:$I$305&lt;=AA$4+2)*(Timeline!$J$5:$J$305&gt;=AA$4+2)),SUMPRODUCT((INDEX(Timeline!$P$5:$AN$305,0,MATCH($A14,Timeline!$P$4:$AN$4,0))="x")*(Timeline!$K$5:$K$305="Task")*ISNUMBER(Timeline!$I$5:$I$305)*ISNUMBER(Timeline!$J$5:$J$305)*(Timeline!$I$5:$I$305&lt;=AA$4+3)*(Timeline!$J$5:$J$305&gt;=AA$4+3)),SUMPRODUCT((INDEX(Timeline!$P$5:$AN$305,0,MATCH($A14,Timeline!$P$4:$AN$4,0))="x")*(Timeline!$K$5:$K$305="Task")*ISNUMBER(Timeline!$I$5:$I$305)*ISNUMBER(Timeline!$J$5:$J$305)*(Timeline!$I$5:$I$305&lt;=AA$4+4)*(Timeline!$J$5:$J$305&gt;=AA$4+4)),SUMPRODUCT((INDEX(Timeline!$P$5:$AN$305,0,MATCH($A14,Timeline!$P$4:$AN$4,0))="x")*(Timeline!$K$5:$K$305="Task")*ISNUMBER(Timeline!$I$5:$I$305)*ISNUMBER(Timeline!$J$5:$J$305)*(Timeline!$I$5:$I$305&lt;=AA$4+5)*(Timeline!$J$5:$J$305&gt;=AA$4+5)),SUMPRODUCT((INDEX(Timeline!$P$5:$AN$305,0,MATCH($A14,Timeline!$P$4:$AN$4,0))="x")*(Timeline!$K$5:$K$305="Task")*ISNUMBER(Timeline!$I$5:$I$305)*ISNUMBER(Timeline!$J$5:$J$305)*(Timeline!$I$5:$I$305&lt;=AA$4+6)*(Timeline!$J$5:$J$305&gt;=AA$4+6)))</f>
        <v>1</v>
      </c>
      <c r="AB14" s="67">
        <f>MAX(SUMPRODUCT((INDEX(Timeline!$P$5:$AN$305,0,MATCH($A14,Timeline!$P$4:$AN$4,0))="x")*(Timeline!$K$5:$K$305="Task")*ISNUMBER(Timeline!$I$5:$I$305)*ISNUMBER(Timeline!$J$5:$J$305)*(Timeline!$I$5:$I$305&lt;=AB$4+0)*(Timeline!$J$5:$J$305&gt;=AB$4+0)),SUMPRODUCT((INDEX(Timeline!$P$5:$AN$305,0,MATCH($A14,Timeline!$P$4:$AN$4,0))="x")*(Timeline!$K$5:$K$305="Task")*ISNUMBER(Timeline!$I$5:$I$305)*ISNUMBER(Timeline!$J$5:$J$305)*(Timeline!$I$5:$I$305&lt;=AB$4+1)*(Timeline!$J$5:$J$305&gt;=AB$4+1)),SUMPRODUCT((INDEX(Timeline!$P$5:$AN$305,0,MATCH($A14,Timeline!$P$4:$AN$4,0))="x")*(Timeline!$K$5:$K$305="Task")*ISNUMBER(Timeline!$I$5:$I$305)*ISNUMBER(Timeline!$J$5:$J$305)*(Timeline!$I$5:$I$305&lt;=AB$4+2)*(Timeline!$J$5:$J$305&gt;=AB$4+2)),SUMPRODUCT((INDEX(Timeline!$P$5:$AN$305,0,MATCH($A14,Timeline!$P$4:$AN$4,0))="x")*(Timeline!$K$5:$K$305="Task")*ISNUMBER(Timeline!$I$5:$I$305)*ISNUMBER(Timeline!$J$5:$J$305)*(Timeline!$I$5:$I$305&lt;=AB$4+3)*(Timeline!$J$5:$J$305&gt;=AB$4+3)),SUMPRODUCT((INDEX(Timeline!$P$5:$AN$305,0,MATCH($A14,Timeline!$P$4:$AN$4,0))="x")*(Timeline!$K$5:$K$305="Task")*ISNUMBER(Timeline!$I$5:$I$305)*ISNUMBER(Timeline!$J$5:$J$305)*(Timeline!$I$5:$I$305&lt;=AB$4+4)*(Timeline!$J$5:$J$305&gt;=AB$4+4)),SUMPRODUCT((INDEX(Timeline!$P$5:$AN$305,0,MATCH($A14,Timeline!$P$4:$AN$4,0))="x")*(Timeline!$K$5:$K$305="Task")*ISNUMBER(Timeline!$I$5:$I$305)*ISNUMBER(Timeline!$J$5:$J$305)*(Timeline!$I$5:$I$305&lt;=AB$4+5)*(Timeline!$J$5:$J$305&gt;=AB$4+5)),SUMPRODUCT((INDEX(Timeline!$P$5:$AN$305,0,MATCH($A14,Timeline!$P$4:$AN$4,0))="x")*(Timeline!$K$5:$K$305="Task")*ISNUMBER(Timeline!$I$5:$I$305)*ISNUMBER(Timeline!$J$5:$J$305)*(Timeline!$I$5:$I$305&lt;=AB$4+6)*(Timeline!$J$5:$J$305&gt;=AB$4+6)))</f>
        <v>1</v>
      </c>
      <c r="AC14" s="67">
        <f>MAX(SUMPRODUCT((INDEX(Timeline!$P$5:$AN$305,0,MATCH($A14,Timeline!$P$4:$AN$4,0))="x")*(Timeline!$K$5:$K$305="Task")*ISNUMBER(Timeline!$I$5:$I$305)*ISNUMBER(Timeline!$J$5:$J$305)*(Timeline!$I$5:$I$305&lt;=AC$4+0)*(Timeline!$J$5:$J$305&gt;=AC$4+0)),SUMPRODUCT((INDEX(Timeline!$P$5:$AN$305,0,MATCH($A14,Timeline!$P$4:$AN$4,0))="x")*(Timeline!$K$5:$K$305="Task")*ISNUMBER(Timeline!$I$5:$I$305)*ISNUMBER(Timeline!$J$5:$J$305)*(Timeline!$I$5:$I$305&lt;=AC$4+1)*(Timeline!$J$5:$J$305&gt;=AC$4+1)),SUMPRODUCT((INDEX(Timeline!$P$5:$AN$305,0,MATCH($A14,Timeline!$P$4:$AN$4,0))="x")*(Timeline!$K$5:$K$305="Task")*ISNUMBER(Timeline!$I$5:$I$305)*ISNUMBER(Timeline!$J$5:$J$305)*(Timeline!$I$5:$I$305&lt;=AC$4+2)*(Timeline!$J$5:$J$305&gt;=AC$4+2)),SUMPRODUCT((INDEX(Timeline!$P$5:$AN$305,0,MATCH($A14,Timeline!$P$4:$AN$4,0))="x")*(Timeline!$K$5:$K$305="Task")*ISNUMBER(Timeline!$I$5:$I$305)*ISNUMBER(Timeline!$J$5:$J$305)*(Timeline!$I$5:$I$305&lt;=AC$4+3)*(Timeline!$J$5:$J$305&gt;=AC$4+3)),SUMPRODUCT((INDEX(Timeline!$P$5:$AN$305,0,MATCH($A14,Timeline!$P$4:$AN$4,0))="x")*(Timeline!$K$5:$K$305="Task")*ISNUMBER(Timeline!$I$5:$I$305)*ISNUMBER(Timeline!$J$5:$J$305)*(Timeline!$I$5:$I$305&lt;=AC$4+4)*(Timeline!$J$5:$J$305&gt;=AC$4+4)),SUMPRODUCT((INDEX(Timeline!$P$5:$AN$305,0,MATCH($A14,Timeline!$P$4:$AN$4,0))="x")*(Timeline!$K$5:$K$305="Task")*ISNUMBER(Timeline!$I$5:$I$305)*ISNUMBER(Timeline!$J$5:$J$305)*(Timeline!$I$5:$I$305&lt;=AC$4+5)*(Timeline!$J$5:$J$305&gt;=AC$4+5)),SUMPRODUCT((INDEX(Timeline!$P$5:$AN$305,0,MATCH($A14,Timeline!$P$4:$AN$4,0))="x")*(Timeline!$K$5:$K$305="Task")*ISNUMBER(Timeline!$I$5:$I$305)*ISNUMBER(Timeline!$J$5:$J$305)*(Timeline!$I$5:$I$305&lt;=AC$4+6)*(Timeline!$J$5:$J$305&gt;=AC$4+6)))</f>
        <v>1</v>
      </c>
      <c r="AD14" s="67">
        <f>MAX(SUMPRODUCT((INDEX(Timeline!$P$5:$AN$305,0,MATCH($A14,Timeline!$P$4:$AN$4,0))="x")*(Timeline!$K$5:$K$305="Task")*ISNUMBER(Timeline!$I$5:$I$305)*ISNUMBER(Timeline!$J$5:$J$305)*(Timeline!$I$5:$I$305&lt;=AD$4+0)*(Timeline!$J$5:$J$305&gt;=AD$4+0)),SUMPRODUCT((INDEX(Timeline!$P$5:$AN$305,0,MATCH($A14,Timeline!$P$4:$AN$4,0))="x")*(Timeline!$K$5:$K$305="Task")*ISNUMBER(Timeline!$I$5:$I$305)*ISNUMBER(Timeline!$J$5:$J$305)*(Timeline!$I$5:$I$305&lt;=AD$4+1)*(Timeline!$J$5:$J$305&gt;=AD$4+1)),SUMPRODUCT((INDEX(Timeline!$P$5:$AN$305,0,MATCH($A14,Timeline!$P$4:$AN$4,0))="x")*(Timeline!$K$5:$K$305="Task")*ISNUMBER(Timeline!$I$5:$I$305)*ISNUMBER(Timeline!$J$5:$J$305)*(Timeline!$I$5:$I$305&lt;=AD$4+2)*(Timeline!$J$5:$J$305&gt;=AD$4+2)),SUMPRODUCT((INDEX(Timeline!$P$5:$AN$305,0,MATCH($A14,Timeline!$P$4:$AN$4,0))="x")*(Timeline!$K$5:$K$305="Task")*ISNUMBER(Timeline!$I$5:$I$305)*ISNUMBER(Timeline!$J$5:$J$305)*(Timeline!$I$5:$I$305&lt;=AD$4+3)*(Timeline!$J$5:$J$305&gt;=AD$4+3)),SUMPRODUCT((INDEX(Timeline!$P$5:$AN$305,0,MATCH($A14,Timeline!$P$4:$AN$4,0))="x")*(Timeline!$K$5:$K$305="Task")*ISNUMBER(Timeline!$I$5:$I$305)*ISNUMBER(Timeline!$J$5:$J$305)*(Timeline!$I$5:$I$305&lt;=AD$4+4)*(Timeline!$J$5:$J$305&gt;=AD$4+4)),SUMPRODUCT((INDEX(Timeline!$P$5:$AN$305,0,MATCH($A14,Timeline!$P$4:$AN$4,0))="x")*(Timeline!$K$5:$K$305="Task")*ISNUMBER(Timeline!$I$5:$I$305)*ISNUMBER(Timeline!$J$5:$J$305)*(Timeline!$I$5:$I$305&lt;=AD$4+5)*(Timeline!$J$5:$J$305&gt;=AD$4+5)),SUMPRODUCT((INDEX(Timeline!$P$5:$AN$305,0,MATCH($A14,Timeline!$P$4:$AN$4,0))="x")*(Timeline!$K$5:$K$305="Task")*ISNUMBER(Timeline!$I$5:$I$305)*ISNUMBER(Timeline!$J$5:$J$305)*(Timeline!$I$5:$I$305&lt;=AD$4+6)*(Timeline!$J$5:$J$305&gt;=AD$4+6)))</f>
        <v>1</v>
      </c>
      <c r="AE14" s="67">
        <f>MAX(SUMPRODUCT((INDEX(Timeline!$P$5:$AN$305,0,MATCH($A14,Timeline!$P$4:$AN$4,0))="x")*(Timeline!$K$5:$K$305="Task")*ISNUMBER(Timeline!$I$5:$I$305)*ISNUMBER(Timeline!$J$5:$J$305)*(Timeline!$I$5:$I$305&lt;=AE$4+0)*(Timeline!$J$5:$J$305&gt;=AE$4+0)),SUMPRODUCT((INDEX(Timeline!$P$5:$AN$305,0,MATCH($A14,Timeline!$P$4:$AN$4,0))="x")*(Timeline!$K$5:$K$305="Task")*ISNUMBER(Timeline!$I$5:$I$305)*ISNUMBER(Timeline!$J$5:$J$305)*(Timeline!$I$5:$I$305&lt;=AE$4+1)*(Timeline!$J$5:$J$305&gt;=AE$4+1)),SUMPRODUCT((INDEX(Timeline!$P$5:$AN$305,0,MATCH($A14,Timeline!$P$4:$AN$4,0))="x")*(Timeline!$K$5:$K$305="Task")*ISNUMBER(Timeline!$I$5:$I$305)*ISNUMBER(Timeline!$J$5:$J$305)*(Timeline!$I$5:$I$305&lt;=AE$4+2)*(Timeline!$J$5:$J$305&gt;=AE$4+2)),SUMPRODUCT((INDEX(Timeline!$P$5:$AN$305,0,MATCH($A14,Timeline!$P$4:$AN$4,0))="x")*(Timeline!$K$5:$K$305="Task")*ISNUMBER(Timeline!$I$5:$I$305)*ISNUMBER(Timeline!$J$5:$J$305)*(Timeline!$I$5:$I$305&lt;=AE$4+3)*(Timeline!$J$5:$J$305&gt;=AE$4+3)),SUMPRODUCT((INDEX(Timeline!$P$5:$AN$305,0,MATCH($A14,Timeline!$P$4:$AN$4,0))="x")*(Timeline!$K$5:$K$305="Task")*ISNUMBER(Timeline!$I$5:$I$305)*ISNUMBER(Timeline!$J$5:$J$305)*(Timeline!$I$5:$I$305&lt;=AE$4+4)*(Timeline!$J$5:$J$305&gt;=AE$4+4)),SUMPRODUCT((INDEX(Timeline!$P$5:$AN$305,0,MATCH($A14,Timeline!$P$4:$AN$4,0))="x")*(Timeline!$K$5:$K$305="Task")*ISNUMBER(Timeline!$I$5:$I$305)*ISNUMBER(Timeline!$J$5:$J$305)*(Timeline!$I$5:$I$305&lt;=AE$4+5)*(Timeline!$J$5:$J$305&gt;=AE$4+5)),SUMPRODUCT((INDEX(Timeline!$P$5:$AN$305,0,MATCH($A14,Timeline!$P$4:$AN$4,0))="x")*(Timeline!$K$5:$K$305="Task")*ISNUMBER(Timeline!$I$5:$I$305)*ISNUMBER(Timeline!$J$5:$J$305)*(Timeline!$I$5:$I$305&lt;=AE$4+6)*(Timeline!$J$5:$J$305&gt;=AE$4+6)))</f>
        <v>1</v>
      </c>
      <c r="AF14" s="67">
        <f>MAX(SUMPRODUCT((INDEX(Timeline!$P$5:$AN$305,0,MATCH($A14,Timeline!$P$4:$AN$4,0))="x")*(Timeline!$K$5:$K$305="Task")*ISNUMBER(Timeline!$I$5:$I$305)*ISNUMBER(Timeline!$J$5:$J$305)*(Timeline!$I$5:$I$305&lt;=AF$4+0)*(Timeline!$J$5:$J$305&gt;=AF$4+0)),SUMPRODUCT((INDEX(Timeline!$P$5:$AN$305,0,MATCH($A14,Timeline!$P$4:$AN$4,0))="x")*(Timeline!$K$5:$K$305="Task")*ISNUMBER(Timeline!$I$5:$I$305)*ISNUMBER(Timeline!$J$5:$J$305)*(Timeline!$I$5:$I$305&lt;=AF$4+1)*(Timeline!$J$5:$J$305&gt;=AF$4+1)),SUMPRODUCT((INDEX(Timeline!$P$5:$AN$305,0,MATCH($A14,Timeline!$P$4:$AN$4,0))="x")*(Timeline!$K$5:$K$305="Task")*ISNUMBER(Timeline!$I$5:$I$305)*ISNUMBER(Timeline!$J$5:$J$305)*(Timeline!$I$5:$I$305&lt;=AF$4+2)*(Timeline!$J$5:$J$305&gt;=AF$4+2)),SUMPRODUCT((INDEX(Timeline!$P$5:$AN$305,0,MATCH($A14,Timeline!$P$4:$AN$4,0))="x")*(Timeline!$K$5:$K$305="Task")*ISNUMBER(Timeline!$I$5:$I$305)*ISNUMBER(Timeline!$J$5:$J$305)*(Timeline!$I$5:$I$305&lt;=AF$4+3)*(Timeline!$J$5:$J$305&gt;=AF$4+3)),SUMPRODUCT((INDEX(Timeline!$P$5:$AN$305,0,MATCH($A14,Timeline!$P$4:$AN$4,0))="x")*(Timeline!$K$5:$K$305="Task")*ISNUMBER(Timeline!$I$5:$I$305)*ISNUMBER(Timeline!$J$5:$J$305)*(Timeline!$I$5:$I$305&lt;=AF$4+4)*(Timeline!$J$5:$J$305&gt;=AF$4+4)),SUMPRODUCT((INDEX(Timeline!$P$5:$AN$305,0,MATCH($A14,Timeline!$P$4:$AN$4,0))="x")*(Timeline!$K$5:$K$305="Task")*ISNUMBER(Timeline!$I$5:$I$305)*ISNUMBER(Timeline!$J$5:$J$305)*(Timeline!$I$5:$I$305&lt;=AF$4+5)*(Timeline!$J$5:$J$305&gt;=AF$4+5)),SUMPRODUCT((INDEX(Timeline!$P$5:$AN$305,0,MATCH($A14,Timeline!$P$4:$AN$4,0))="x")*(Timeline!$K$5:$K$305="Task")*ISNUMBER(Timeline!$I$5:$I$305)*ISNUMBER(Timeline!$J$5:$J$305)*(Timeline!$I$5:$I$305&lt;=AF$4+6)*(Timeline!$J$5:$J$305&gt;=AF$4+6)))</f>
        <v>1</v>
      </c>
      <c r="AG14" s="67">
        <f>MAX(SUMPRODUCT((INDEX(Timeline!$P$5:$AN$305,0,MATCH($A14,Timeline!$P$4:$AN$4,0))="x")*(Timeline!$K$5:$K$305="Task")*ISNUMBER(Timeline!$I$5:$I$305)*ISNUMBER(Timeline!$J$5:$J$305)*(Timeline!$I$5:$I$305&lt;=AG$4+0)*(Timeline!$J$5:$J$305&gt;=AG$4+0)),SUMPRODUCT((INDEX(Timeline!$P$5:$AN$305,0,MATCH($A14,Timeline!$P$4:$AN$4,0))="x")*(Timeline!$K$5:$K$305="Task")*ISNUMBER(Timeline!$I$5:$I$305)*ISNUMBER(Timeline!$J$5:$J$305)*(Timeline!$I$5:$I$305&lt;=AG$4+1)*(Timeline!$J$5:$J$305&gt;=AG$4+1)),SUMPRODUCT((INDEX(Timeline!$P$5:$AN$305,0,MATCH($A14,Timeline!$P$4:$AN$4,0))="x")*(Timeline!$K$5:$K$305="Task")*ISNUMBER(Timeline!$I$5:$I$305)*ISNUMBER(Timeline!$J$5:$J$305)*(Timeline!$I$5:$I$305&lt;=AG$4+2)*(Timeline!$J$5:$J$305&gt;=AG$4+2)),SUMPRODUCT((INDEX(Timeline!$P$5:$AN$305,0,MATCH($A14,Timeline!$P$4:$AN$4,0))="x")*(Timeline!$K$5:$K$305="Task")*ISNUMBER(Timeline!$I$5:$I$305)*ISNUMBER(Timeline!$J$5:$J$305)*(Timeline!$I$5:$I$305&lt;=AG$4+3)*(Timeline!$J$5:$J$305&gt;=AG$4+3)),SUMPRODUCT((INDEX(Timeline!$P$5:$AN$305,0,MATCH($A14,Timeline!$P$4:$AN$4,0))="x")*(Timeline!$K$5:$K$305="Task")*ISNUMBER(Timeline!$I$5:$I$305)*ISNUMBER(Timeline!$J$5:$J$305)*(Timeline!$I$5:$I$305&lt;=AG$4+4)*(Timeline!$J$5:$J$305&gt;=AG$4+4)),SUMPRODUCT((INDEX(Timeline!$P$5:$AN$305,0,MATCH($A14,Timeline!$P$4:$AN$4,0))="x")*(Timeline!$K$5:$K$305="Task")*ISNUMBER(Timeline!$I$5:$I$305)*ISNUMBER(Timeline!$J$5:$J$305)*(Timeline!$I$5:$I$305&lt;=AG$4+5)*(Timeline!$J$5:$J$305&gt;=AG$4+5)),SUMPRODUCT((INDEX(Timeline!$P$5:$AN$305,0,MATCH($A14,Timeline!$P$4:$AN$4,0))="x")*(Timeline!$K$5:$K$305="Task")*ISNUMBER(Timeline!$I$5:$I$305)*ISNUMBER(Timeline!$J$5:$J$305)*(Timeline!$I$5:$I$305&lt;=AG$4+6)*(Timeline!$J$5:$J$305&gt;=AG$4+6)))</f>
        <v>1</v>
      </c>
      <c r="AH14" s="67">
        <f>MAX(SUMPRODUCT((INDEX(Timeline!$P$5:$AN$305,0,MATCH($A14,Timeline!$P$4:$AN$4,0))="x")*(Timeline!$K$5:$K$305="Task")*ISNUMBER(Timeline!$I$5:$I$305)*ISNUMBER(Timeline!$J$5:$J$305)*(Timeline!$I$5:$I$305&lt;=AH$4+0)*(Timeline!$J$5:$J$305&gt;=AH$4+0)),SUMPRODUCT((INDEX(Timeline!$P$5:$AN$305,0,MATCH($A14,Timeline!$P$4:$AN$4,0))="x")*(Timeline!$K$5:$K$305="Task")*ISNUMBER(Timeline!$I$5:$I$305)*ISNUMBER(Timeline!$J$5:$J$305)*(Timeline!$I$5:$I$305&lt;=AH$4+1)*(Timeline!$J$5:$J$305&gt;=AH$4+1)),SUMPRODUCT((INDEX(Timeline!$P$5:$AN$305,0,MATCH($A14,Timeline!$P$4:$AN$4,0))="x")*(Timeline!$K$5:$K$305="Task")*ISNUMBER(Timeline!$I$5:$I$305)*ISNUMBER(Timeline!$J$5:$J$305)*(Timeline!$I$5:$I$305&lt;=AH$4+2)*(Timeline!$J$5:$J$305&gt;=AH$4+2)),SUMPRODUCT((INDEX(Timeline!$P$5:$AN$305,0,MATCH($A14,Timeline!$P$4:$AN$4,0))="x")*(Timeline!$K$5:$K$305="Task")*ISNUMBER(Timeline!$I$5:$I$305)*ISNUMBER(Timeline!$J$5:$J$305)*(Timeline!$I$5:$I$305&lt;=AH$4+3)*(Timeline!$J$5:$J$305&gt;=AH$4+3)),SUMPRODUCT((INDEX(Timeline!$P$5:$AN$305,0,MATCH($A14,Timeline!$P$4:$AN$4,0))="x")*(Timeline!$K$5:$K$305="Task")*ISNUMBER(Timeline!$I$5:$I$305)*ISNUMBER(Timeline!$J$5:$J$305)*(Timeline!$I$5:$I$305&lt;=AH$4+4)*(Timeline!$J$5:$J$305&gt;=AH$4+4)),SUMPRODUCT((INDEX(Timeline!$P$5:$AN$305,0,MATCH($A14,Timeline!$P$4:$AN$4,0))="x")*(Timeline!$K$5:$K$305="Task")*ISNUMBER(Timeline!$I$5:$I$305)*ISNUMBER(Timeline!$J$5:$J$305)*(Timeline!$I$5:$I$305&lt;=AH$4+5)*(Timeline!$J$5:$J$305&gt;=AH$4+5)),SUMPRODUCT((INDEX(Timeline!$P$5:$AN$305,0,MATCH($A14,Timeline!$P$4:$AN$4,0))="x")*(Timeline!$K$5:$K$305="Task")*ISNUMBER(Timeline!$I$5:$I$305)*ISNUMBER(Timeline!$J$5:$J$305)*(Timeline!$I$5:$I$305&lt;=AH$4+6)*(Timeline!$J$5:$J$305&gt;=AH$4+6)))</f>
        <v>1</v>
      </c>
      <c r="AI14" s="67">
        <f>MAX(SUMPRODUCT((INDEX(Timeline!$P$5:$AN$305,0,MATCH($A14,Timeline!$P$4:$AN$4,0))="x")*(Timeline!$K$5:$K$305="Task")*ISNUMBER(Timeline!$I$5:$I$305)*ISNUMBER(Timeline!$J$5:$J$305)*(Timeline!$I$5:$I$305&lt;=AI$4+0)*(Timeline!$J$5:$J$305&gt;=AI$4+0)),SUMPRODUCT((INDEX(Timeline!$P$5:$AN$305,0,MATCH($A14,Timeline!$P$4:$AN$4,0))="x")*(Timeline!$K$5:$K$305="Task")*ISNUMBER(Timeline!$I$5:$I$305)*ISNUMBER(Timeline!$J$5:$J$305)*(Timeline!$I$5:$I$305&lt;=AI$4+1)*(Timeline!$J$5:$J$305&gt;=AI$4+1)),SUMPRODUCT((INDEX(Timeline!$P$5:$AN$305,0,MATCH($A14,Timeline!$P$4:$AN$4,0))="x")*(Timeline!$K$5:$K$305="Task")*ISNUMBER(Timeline!$I$5:$I$305)*ISNUMBER(Timeline!$J$5:$J$305)*(Timeline!$I$5:$I$305&lt;=AI$4+2)*(Timeline!$J$5:$J$305&gt;=AI$4+2)),SUMPRODUCT((INDEX(Timeline!$P$5:$AN$305,0,MATCH($A14,Timeline!$P$4:$AN$4,0))="x")*(Timeline!$K$5:$K$305="Task")*ISNUMBER(Timeline!$I$5:$I$305)*ISNUMBER(Timeline!$J$5:$J$305)*(Timeline!$I$5:$I$305&lt;=AI$4+3)*(Timeline!$J$5:$J$305&gt;=AI$4+3)),SUMPRODUCT((INDEX(Timeline!$P$5:$AN$305,0,MATCH($A14,Timeline!$P$4:$AN$4,0))="x")*(Timeline!$K$5:$K$305="Task")*ISNUMBER(Timeline!$I$5:$I$305)*ISNUMBER(Timeline!$J$5:$J$305)*(Timeline!$I$5:$I$305&lt;=AI$4+4)*(Timeline!$J$5:$J$305&gt;=AI$4+4)),SUMPRODUCT((INDEX(Timeline!$P$5:$AN$305,0,MATCH($A14,Timeline!$P$4:$AN$4,0))="x")*(Timeline!$K$5:$K$305="Task")*ISNUMBER(Timeline!$I$5:$I$305)*ISNUMBER(Timeline!$J$5:$J$305)*(Timeline!$I$5:$I$305&lt;=AI$4+5)*(Timeline!$J$5:$J$305&gt;=AI$4+5)),SUMPRODUCT((INDEX(Timeline!$P$5:$AN$305,0,MATCH($A14,Timeline!$P$4:$AN$4,0))="x")*(Timeline!$K$5:$K$305="Task")*ISNUMBER(Timeline!$I$5:$I$305)*ISNUMBER(Timeline!$J$5:$J$305)*(Timeline!$I$5:$I$305&lt;=AI$4+6)*(Timeline!$J$5:$J$305&gt;=AI$4+6)))</f>
        <v>0</v>
      </c>
      <c r="AJ14" s="67">
        <f>MAX(SUMPRODUCT((INDEX(Timeline!$P$5:$AN$305,0,MATCH($A14,Timeline!$P$4:$AN$4,0))="x")*(Timeline!$K$5:$K$305="Task")*ISNUMBER(Timeline!$I$5:$I$305)*ISNUMBER(Timeline!$J$5:$J$305)*(Timeline!$I$5:$I$305&lt;=AJ$4+0)*(Timeline!$J$5:$J$305&gt;=AJ$4+0)),SUMPRODUCT((INDEX(Timeline!$P$5:$AN$305,0,MATCH($A14,Timeline!$P$4:$AN$4,0))="x")*(Timeline!$K$5:$K$305="Task")*ISNUMBER(Timeline!$I$5:$I$305)*ISNUMBER(Timeline!$J$5:$J$305)*(Timeline!$I$5:$I$305&lt;=AJ$4+1)*(Timeline!$J$5:$J$305&gt;=AJ$4+1)),SUMPRODUCT((INDEX(Timeline!$P$5:$AN$305,0,MATCH($A14,Timeline!$P$4:$AN$4,0))="x")*(Timeline!$K$5:$K$305="Task")*ISNUMBER(Timeline!$I$5:$I$305)*ISNUMBER(Timeline!$J$5:$J$305)*(Timeline!$I$5:$I$305&lt;=AJ$4+2)*(Timeline!$J$5:$J$305&gt;=AJ$4+2)),SUMPRODUCT((INDEX(Timeline!$P$5:$AN$305,0,MATCH($A14,Timeline!$P$4:$AN$4,0))="x")*(Timeline!$K$5:$K$305="Task")*ISNUMBER(Timeline!$I$5:$I$305)*ISNUMBER(Timeline!$J$5:$J$305)*(Timeline!$I$5:$I$305&lt;=AJ$4+3)*(Timeline!$J$5:$J$305&gt;=AJ$4+3)),SUMPRODUCT((INDEX(Timeline!$P$5:$AN$305,0,MATCH($A14,Timeline!$P$4:$AN$4,0))="x")*(Timeline!$K$5:$K$305="Task")*ISNUMBER(Timeline!$I$5:$I$305)*ISNUMBER(Timeline!$J$5:$J$305)*(Timeline!$I$5:$I$305&lt;=AJ$4+4)*(Timeline!$J$5:$J$305&gt;=AJ$4+4)),SUMPRODUCT((INDEX(Timeline!$P$5:$AN$305,0,MATCH($A14,Timeline!$P$4:$AN$4,0))="x")*(Timeline!$K$5:$K$305="Task")*ISNUMBER(Timeline!$I$5:$I$305)*ISNUMBER(Timeline!$J$5:$J$305)*(Timeline!$I$5:$I$305&lt;=AJ$4+5)*(Timeline!$J$5:$J$305&gt;=AJ$4+5)),SUMPRODUCT((INDEX(Timeline!$P$5:$AN$305,0,MATCH($A14,Timeline!$P$4:$AN$4,0))="x")*(Timeline!$K$5:$K$305="Task")*ISNUMBER(Timeline!$I$5:$I$305)*ISNUMBER(Timeline!$J$5:$J$305)*(Timeline!$I$5:$I$305&lt;=AJ$4+6)*(Timeline!$J$5:$J$305&gt;=AJ$4+6)))</f>
        <v>0</v>
      </c>
      <c r="AK14" s="67">
        <f>MAX(SUMPRODUCT((INDEX(Timeline!$P$5:$AN$305,0,MATCH($A14,Timeline!$P$4:$AN$4,0))="x")*(Timeline!$K$5:$K$305="Task")*ISNUMBER(Timeline!$I$5:$I$305)*ISNUMBER(Timeline!$J$5:$J$305)*(Timeline!$I$5:$I$305&lt;=AK$4+0)*(Timeline!$J$5:$J$305&gt;=AK$4+0)),SUMPRODUCT((INDEX(Timeline!$P$5:$AN$305,0,MATCH($A14,Timeline!$P$4:$AN$4,0))="x")*(Timeline!$K$5:$K$305="Task")*ISNUMBER(Timeline!$I$5:$I$305)*ISNUMBER(Timeline!$J$5:$J$305)*(Timeline!$I$5:$I$305&lt;=AK$4+1)*(Timeline!$J$5:$J$305&gt;=AK$4+1)),SUMPRODUCT((INDEX(Timeline!$P$5:$AN$305,0,MATCH($A14,Timeline!$P$4:$AN$4,0))="x")*(Timeline!$K$5:$K$305="Task")*ISNUMBER(Timeline!$I$5:$I$305)*ISNUMBER(Timeline!$J$5:$J$305)*(Timeline!$I$5:$I$305&lt;=AK$4+2)*(Timeline!$J$5:$J$305&gt;=AK$4+2)),SUMPRODUCT((INDEX(Timeline!$P$5:$AN$305,0,MATCH($A14,Timeline!$P$4:$AN$4,0))="x")*(Timeline!$K$5:$K$305="Task")*ISNUMBER(Timeline!$I$5:$I$305)*ISNUMBER(Timeline!$J$5:$J$305)*(Timeline!$I$5:$I$305&lt;=AK$4+3)*(Timeline!$J$5:$J$305&gt;=AK$4+3)),SUMPRODUCT((INDEX(Timeline!$P$5:$AN$305,0,MATCH($A14,Timeline!$P$4:$AN$4,0))="x")*(Timeline!$K$5:$K$305="Task")*ISNUMBER(Timeline!$I$5:$I$305)*ISNUMBER(Timeline!$J$5:$J$305)*(Timeline!$I$5:$I$305&lt;=AK$4+4)*(Timeline!$J$5:$J$305&gt;=AK$4+4)),SUMPRODUCT((INDEX(Timeline!$P$5:$AN$305,0,MATCH($A14,Timeline!$P$4:$AN$4,0))="x")*(Timeline!$K$5:$K$305="Task")*ISNUMBER(Timeline!$I$5:$I$305)*ISNUMBER(Timeline!$J$5:$J$305)*(Timeline!$I$5:$I$305&lt;=AK$4+5)*(Timeline!$J$5:$J$305&gt;=AK$4+5)),SUMPRODUCT((INDEX(Timeline!$P$5:$AN$305,0,MATCH($A14,Timeline!$P$4:$AN$4,0))="x")*(Timeline!$K$5:$K$305="Task")*ISNUMBER(Timeline!$I$5:$I$305)*ISNUMBER(Timeline!$J$5:$J$305)*(Timeline!$I$5:$I$305&lt;=AK$4+6)*(Timeline!$J$5:$J$305&gt;=AK$4+6)))</f>
        <v>0</v>
      </c>
      <c r="AL14" s="67">
        <f>MAX(SUMPRODUCT((INDEX(Timeline!$P$5:$AN$305,0,MATCH($A14,Timeline!$P$4:$AN$4,0))="x")*(Timeline!$K$5:$K$305="Task")*ISNUMBER(Timeline!$I$5:$I$305)*ISNUMBER(Timeline!$J$5:$J$305)*(Timeline!$I$5:$I$305&lt;=AL$4+0)*(Timeline!$J$5:$J$305&gt;=AL$4+0)),SUMPRODUCT((INDEX(Timeline!$P$5:$AN$305,0,MATCH($A14,Timeline!$P$4:$AN$4,0))="x")*(Timeline!$K$5:$K$305="Task")*ISNUMBER(Timeline!$I$5:$I$305)*ISNUMBER(Timeline!$J$5:$J$305)*(Timeline!$I$5:$I$305&lt;=AL$4+1)*(Timeline!$J$5:$J$305&gt;=AL$4+1)),SUMPRODUCT((INDEX(Timeline!$P$5:$AN$305,0,MATCH($A14,Timeline!$P$4:$AN$4,0))="x")*(Timeline!$K$5:$K$305="Task")*ISNUMBER(Timeline!$I$5:$I$305)*ISNUMBER(Timeline!$J$5:$J$305)*(Timeline!$I$5:$I$305&lt;=AL$4+2)*(Timeline!$J$5:$J$305&gt;=AL$4+2)),SUMPRODUCT((INDEX(Timeline!$P$5:$AN$305,0,MATCH($A14,Timeline!$P$4:$AN$4,0))="x")*(Timeline!$K$5:$K$305="Task")*ISNUMBER(Timeline!$I$5:$I$305)*ISNUMBER(Timeline!$J$5:$J$305)*(Timeline!$I$5:$I$305&lt;=AL$4+3)*(Timeline!$J$5:$J$305&gt;=AL$4+3)),SUMPRODUCT((INDEX(Timeline!$P$5:$AN$305,0,MATCH($A14,Timeline!$P$4:$AN$4,0))="x")*(Timeline!$K$5:$K$305="Task")*ISNUMBER(Timeline!$I$5:$I$305)*ISNUMBER(Timeline!$J$5:$J$305)*(Timeline!$I$5:$I$305&lt;=AL$4+4)*(Timeline!$J$5:$J$305&gt;=AL$4+4)),SUMPRODUCT((INDEX(Timeline!$P$5:$AN$305,0,MATCH($A14,Timeline!$P$4:$AN$4,0))="x")*(Timeline!$K$5:$K$305="Task")*ISNUMBER(Timeline!$I$5:$I$305)*ISNUMBER(Timeline!$J$5:$J$305)*(Timeline!$I$5:$I$305&lt;=AL$4+5)*(Timeline!$J$5:$J$305&gt;=AL$4+5)),SUMPRODUCT((INDEX(Timeline!$P$5:$AN$305,0,MATCH($A14,Timeline!$P$4:$AN$4,0))="x")*(Timeline!$K$5:$K$305="Task")*ISNUMBER(Timeline!$I$5:$I$305)*ISNUMBER(Timeline!$J$5:$J$305)*(Timeline!$I$5:$I$305&lt;=AL$4+6)*(Timeline!$J$5:$J$305&gt;=AL$4+6)))</f>
        <v>0</v>
      </c>
      <c r="AM14" s="67">
        <f>MAX(SUMPRODUCT((INDEX(Timeline!$P$5:$AN$305,0,MATCH($A14,Timeline!$P$4:$AN$4,0))="x")*(Timeline!$K$5:$K$305="Task")*ISNUMBER(Timeline!$I$5:$I$305)*ISNUMBER(Timeline!$J$5:$J$305)*(Timeline!$I$5:$I$305&lt;=AM$4+0)*(Timeline!$J$5:$J$305&gt;=AM$4+0)),SUMPRODUCT((INDEX(Timeline!$P$5:$AN$305,0,MATCH($A14,Timeline!$P$4:$AN$4,0))="x")*(Timeline!$K$5:$K$305="Task")*ISNUMBER(Timeline!$I$5:$I$305)*ISNUMBER(Timeline!$J$5:$J$305)*(Timeline!$I$5:$I$305&lt;=AM$4+1)*(Timeline!$J$5:$J$305&gt;=AM$4+1)),SUMPRODUCT((INDEX(Timeline!$P$5:$AN$305,0,MATCH($A14,Timeline!$P$4:$AN$4,0))="x")*(Timeline!$K$5:$K$305="Task")*ISNUMBER(Timeline!$I$5:$I$305)*ISNUMBER(Timeline!$J$5:$J$305)*(Timeline!$I$5:$I$305&lt;=AM$4+2)*(Timeline!$J$5:$J$305&gt;=AM$4+2)),SUMPRODUCT((INDEX(Timeline!$P$5:$AN$305,0,MATCH($A14,Timeline!$P$4:$AN$4,0))="x")*(Timeline!$K$5:$K$305="Task")*ISNUMBER(Timeline!$I$5:$I$305)*ISNUMBER(Timeline!$J$5:$J$305)*(Timeline!$I$5:$I$305&lt;=AM$4+3)*(Timeline!$J$5:$J$305&gt;=AM$4+3)),SUMPRODUCT((INDEX(Timeline!$P$5:$AN$305,0,MATCH($A14,Timeline!$P$4:$AN$4,0))="x")*(Timeline!$K$5:$K$305="Task")*ISNUMBER(Timeline!$I$5:$I$305)*ISNUMBER(Timeline!$J$5:$J$305)*(Timeline!$I$5:$I$305&lt;=AM$4+4)*(Timeline!$J$5:$J$305&gt;=AM$4+4)),SUMPRODUCT((INDEX(Timeline!$P$5:$AN$305,0,MATCH($A14,Timeline!$P$4:$AN$4,0))="x")*(Timeline!$K$5:$K$305="Task")*ISNUMBER(Timeline!$I$5:$I$305)*ISNUMBER(Timeline!$J$5:$J$305)*(Timeline!$I$5:$I$305&lt;=AM$4+5)*(Timeline!$J$5:$J$305&gt;=AM$4+5)),SUMPRODUCT((INDEX(Timeline!$P$5:$AN$305,0,MATCH($A14,Timeline!$P$4:$AN$4,0))="x")*(Timeline!$K$5:$K$305="Task")*ISNUMBER(Timeline!$I$5:$I$305)*ISNUMBER(Timeline!$J$5:$J$305)*(Timeline!$I$5:$I$305&lt;=AM$4+6)*(Timeline!$J$5:$J$305&gt;=AM$4+6)))</f>
        <v>0</v>
      </c>
      <c r="AN14" s="67">
        <f>MAX(SUMPRODUCT((INDEX(Timeline!$P$5:$AN$305,0,MATCH($A14,Timeline!$P$4:$AN$4,0))="x")*(Timeline!$K$5:$K$305="Task")*ISNUMBER(Timeline!$I$5:$I$305)*ISNUMBER(Timeline!$J$5:$J$305)*(Timeline!$I$5:$I$305&lt;=AN$4+0)*(Timeline!$J$5:$J$305&gt;=AN$4+0)),SUMPRODUCT((INDEX(Timeline!$P$5:$AN$305,0,MATCH($A14,Timeline!$P$4:$AN$4,0))="x")*(Timeline!$K$5:$K$305="Task")*ISNUMBER(Timeline!$I$5:$I$305)*ISNUMBER(Timeline!$J$5:$J$305)*(Timeline!$I$5:$I$305&lt;=AN$4+1)*(Timeline!$J$5:$J$305&gt;=AN$4+1)),SUMPRODUCT((INDEX(Timeline!$P$5:$AN$305,0,MATCH($A14,Timeline!$P$4:$AN$4,0))="x")*(Timeline!$K$5:$K$305="Task")*ISNUMBER(Timeline!$I$5:$I$305)*ISNUMBER(Timeline!$J$5:$J$305)*(Timeline!$I$5:$I$305&lt;=AN$4+2)*(Timeline!$J$5:$J$305&gt;=AN$4+2)),SUMPRODUCT((INDEX(Timeline!$P$5:$AN$305,0,MATCH($A14,Timeline!$P$4:$AN$4,0))="x")*(Timeline!$K$5:$K$305="Task")*ISNUMBER(Timeline!$I$5:$I$305)*ISNUMBER(Timeline!$J$5:$J$305)*(Timeline!$I$5:$I$305&lt;=AN$4+3)*(Timeline!$J$5:$J$305&gt;=AN$4+3)),SUMPRODUCT((INDEX(Timeline!$P$5:$AN$305,0,MATCH($A14,Timeline!$P$4:$AN$4,0))="x")*(Timeline!$K$5:$K$305="Task")*ISNUMBER(Timeline!$I$5:$I$305)*ISNUMBER(Timeline!$J$5:$J$305)*(Timeline!$I$5:$I$305&lt;=AN$4+4)*(Timeline!$J$5:$J$305&gt;=AN$4+4)),SUMPRODUCT((INDEX(Timeline!$P$5:$AN$305,0,MATCH($A14,Timeline!$P$4:$AN$4,0))="x")*(Timeline!$K$5:$K$305="Task")*ISNUMBER(Timeline!$I$5:$I$305)*ISNUMBER(Timeline!$J$5:$J$305)*(Timeline!$I$5:$I$305&lt;=AN$4+5)*(Timeline!$J$5:$J$305&gt;=AN$4+5)),SUMPRODUCT((INDEX(Timeline!$P$5:$AN$305,0,MATCH($A14,Timeline!$P$4:$AN$4,0))="x")*(Timeline!$K$5:$K$305="Task")*ISNUMBER(Timeline!$I$5:$I$305)*ISNUMBER(Timeline!$J$5:$J$305)*(Timeline!$I$5:$I$305&lt;=AN$4+6)*(Timeline!$J$5:$J$305&gt;=AN$4+6)))</f>
        <v>0</v>
      </c>
      <c r="AO14" s="67">
        <f>MAX(SUMPRODUCT((INDEX(Timeline!$P$5:$AN$305,0,MATCH($A14,Timeline!$P$4:$AN$4,0))="x")*(Timeline!$K$5:$K$305="Task")*ISNUMBER(Timeline!$I$5:$I$305)*ISNUMBER(Timeline!$J$5:$J$305)*(Timeline!$I$5:$I$305&lt;=AO$4+0)*(Timeline!$J$5:$J$305&gt;=AO$4+0)),SUMPRODUCT((INDEX(Timeline!$P$5:$AN$305,0,MATCH($A14,Timeline!$P$4:$AN$4,0))="x")*(Timeline!$K$5:$K$305="Task")*ISNUMBER(Timeline!$I$5:$I$305)*ISNUMBER(Timeline!$J$5:$J$305)*(Timeline!$I$5:$I$305&lt;=AO$4+1)*(Timeline!$J$5:$J$305&gt;=AO$4+1)),SUMPRODUCT((INDEX(Timeline!$P$5:$AN$305,0,MATCH($A14,Timeline!$P$4:$AN$4,0))="x")*(Timeline!$K$5:$K$305="Task")*ISNUMBER(Timeline!$I$5:$I$305)*ISNUMBER(Timeline!$J$5:$J$305)*(Timeline!$I$5:$I$305&lt;=AO$4+2)*(Timeline!$J$5:$J$305&gt;=AO$4+2)),SUMPRODUCT((INDEX(Timeline!$P$5:$AN$305,0,MATCH($A14,Timeline!$P$4:$AN$4,0))="x")*(Timeline!$K$5:$K$305="Task")*ISNUMBER(Timeline!$I$5:$I$305)*ISNUMBER(Timeline!$J$5:$J$305)*(Timeline!$I$5:$I$305&lt;=AO$4+3)*(Timeline!$J$5:$J$305&gt;=AO$4+3)),SUMPRODUCT((INDEX(Timeline!$P$5:$AN$305,0,MATCH($A14,Timeline!$P$4:$AN$4,0))="x")*(Timeline!$K$5:$K$305="Task")*ISNUMBER(Timeline!$I$5:$I$305)*ISNUMBER(Timeline!$J$5:$J$305)*(Timeline!$I$5:$I$305&lt;=AO$4+4)*(Timeline!$J$5:$J$305&gt;=AO$4+4)),SUMPRODUCT((INDEX(Timeline!$P$5:$AN$305,0,MATCH($A14,Timeline!$P$4:$AN$4,0))="x")*(Timeline!$K$5:$K$305="Task")*ISNUMBER(Timeline!$I$5:$I$305)*ISNUMBER(Timeline!$J$5:$J$305)*(Timeline!$I$5:$I$305&lt;=AO$4+5)*(Timeline!$J$5:$J$305&gt;=AO$4+5)),SUMPRODUCT((INDEX(Timeline!$P$5:$AN$305,0,MATCH($A14,Timeline!$P$4:$AN$4,0))="x")*(Timeline!$K$5:$K$305="Task")*ISNUMBER(Timeline!$I$5:$I$305)*ISNUMBER(Timeline!$J$5:$J$305)*(Timeline!$I$5:$I$305&lt;=AO$4+6)*(Timeline!$J$5:$J$305&gt;=AO$4+6)))</f>
        <v>0</v>
      </c>
      <c r="AP14" s="67">
        <f>MAX(SUMPRODUCT((INDEX(Timeline!$P$5:$AN$305,0,MATCH($A14,Timeline!$P$4:$AN$4,0))="x")*(Timeline!$K$5:$K$305="Task")*ISNUMBER(Timeline!$I$5:$I$305)*ISNUMBER(Timeline!$J$5:$J$305)*(Timeline!$I$5:$I$305&lt;=AP$4+0)*(Timeline!$J$5:$J$305&gt;=AP$4+0)),SUMPRODUCT((INDEX(Timeline!$P$5:$AN$305,0,MATCH($A14,Timeline!$P$4:$AN$4,0))="x")*(Timeline!$K$5:$K$305="Task")*ISNUMBER(Timeline!$I$5:$I$305)*ISNUMBER(Timeline!$J$5:$J$305)*(Timeline!$I$5:$I$305&lt;=AP$4+1)*(Timeline!$J$5:$J$305&gt;=AP$4+1)),SUMPRODUCT((INDEX(Timeline!$P$5:$AN$305,0,MATCH($A14,Timeline!$P$4:$AN$4,0))="x")*(Timeline!$K$5:$K$305="Task")*ISNUMBER(Timeline!$I$5:$I$305)*ISNUMBER(Timeline!$J$5:$J$305)*(Timeline!$I$5:$I$305&lt;=AP$4+2)*(Timeline!$J$5:$J$305&gt;=AP$4+2)),SUMPRODUCT((INDEX(Timeline!$P$5:$AN$305,0,MATCH($A14,Timeline!$P$4:$AN$4,0))="x")*(Timeline!$K$5:$K$305="Task")*ISNUMBER(Timeline!$I$5:$I$305)*ISNUMBER(Timeline!$J$5:$J$305)*(Timeline!$I$5:$I$305&lt;=AP$4+3)*(Timeline!$J$5:$J$305&gt;=AP$4+3)),SUMPRODUCT((INDEX(Timeline!$P$5:$AN$305,0,MATCH($A14,Timeline!$P$4:$AN$4,0))="x")*(Timeline!$K$5:$K$305="Task")*ISNUMBER(Timeline!$I$5:$I$305)*ISNUMBER(Timeline!$J$5:$J$305)*(Timeline!$I$5:$I$305&lt;=AP$4+4)*(Timeline!$J$5:$J$305&gt;=AP$4+4)),SUMPRODUCT((INDEX(Timeline!$P$5:$AN$305,0,MATCH($A14,Timeline!$P$4:$AN$4,0))="x")*(Timeline!$K$5:$K$305="Task")*ISNUMBER(Timeline!$I$5:$I$305)*ISNUMBER(Timeline!$J$5:$J$305)*(Timeline!$I$5:$I$305&lt;=AP$4+5)*(Timeline!$J$5:$J$305&gt;=AP$4+5)),SUMPRODUCT((INDEX(Timeline!$P$5:$AN$305,0,MATCH($A14,Timeline!$P$4:$AN$4,0))="x")*(Timeline!$K$5:$K$305="Task")*ISNUMBER(Timeline!$I$5:$I$305)*ISNUMBER(Timeline!$J$5:$J$305)*(Timeline!$I$5:$I$305&lt;=AP$4+6)*(Timeline!$J$5:$J$305&gt;=AP$4+6)))</f>
        <v>0</v>
      </c>
      <c r="AQ14" s="67">
        <f>MAX(SUMPRODUCT((INDEX(Timeline!$P$5:$AN$305,0,MATCH($A14,Timeline!$P$4:$AN$4,0))="x")*(Timeline!$K$5:$K$305="Task")*ISNUMBER(Timeline!$I$5:$I$305)*ISNUMBER(Timeline!$J$5:$J$305)*(Timeline!$I$5:$I$305&lt;=AQ$4+0)*(Timeline!$J$5:$J$305&gt;=AQ$4+0)),SUMPRODUCT((INDEX(Timeline!$P$5:$AN$305,0,MATCH($A14,Timeline!$P$4:$AN$4,0))="x")*(Timeline!$K$5:$K$305="Task")*ISNUMBER(Timeline!$I$5:$I$305)*ISNUMBER(Timeline!$J$5:$J$305)*(Timeline!$I$5:$I$305&lt;=AQ$4+1)*(Timeline!$J$5:$J$305&gt;=AQ$4+1)),SUMPRODUCT((INDEX(Timeline!$P$5:$AN$305,0,MATCH($A14,Timeline!$P$4:$AN$4,0))="x")*(Timeline!$K$5:$K$305="Task")*ISNUMBER(Timeline!$I$5:$I$305)*ISNUMBER(Timeline!$J$5:$J$305)*(Timeline!$I$5:$I$305&lt;=AQ$4+2)*(Timeline!$J$5:$J$305&gt;=AQ$4+2)),SUMPRODUCT((INDEX(Timeline!$P$5:$AN$305,0,MATCH($A14,Timeline!$P$4:$AN$4,0))="x")*(Timeline!$K$5:$K$305="Task")*ISNUMBER(Timeline!$I$5:$I$305)*ISNUMBER(Timeline!$J$5:$J$305)*(Timeline!$I$5:$I$305&lt;=AQ$4+3)*(Timeline!$J$5:$J$305&gt;=AQ$4+3)),SUMPRODUCT((INDEX(Timeline!$P$5:$AN$305,0,MATCH($A14,Timeline!$P$4:$AN$4,0))="x")*(Timeline!$K$5:$K$305="Task")*ISNUMBER(Timeline!$I$5:$I$305)*ISNUMBER(Timeline!$J$5:$J$305)*(Timeline!$I$5:$I$305&lt;=AQ$4+4)*(Timeline!$J$5:$J$305&gt;=AQ$4+4)),SUMPRODUCT((INDEX(Timeline!$P$5:$AN$305,0,MATCH($A14,Timeline!$P$4:$AN$4,0))="x")*(Timeline!$K$5:$K$305="Task")*ISNUMBER(Timeline!$I$5:$I$305)*ISNUMBER(Timeline!$J$5:$J$305)*(Timeline!$I$5:$I$305&lt;=AQ$4+5)*(Timeline!$J$5:$J$305&gt;=AQ$4+5)),SUMPRODUCT((INDEX(Timeline!$P$5:$AN$305,0,MATCH($A14,Timeline!$P$4:$AN$4,0))="x")*(Timeline!$K$5:$K$305="Task")*ISNUMBER(Timeline!$I$5:$I$305)*ISNUMBER(Timeline!$J$5:$J$305)*(Timeline!$I$5:$I$305&lt;=AQ$4+6)*(Timeline!$J$5:$J$305&gt;=AQ$4+6)))</f>
        <v>0</v>
      </c>
      <c r="AR14" s="67">
        <f>MAX(SUMPRODUCT((INDEX(Timeline!$P$5:$AN$305,0,MATCH($A14,Timeline!$P$4:$AN$4,0))="x")*(Timeline!$K$5:$K$305="Task")*ISNUMBER(Timeline!$I$5:$I$305)*ISNUMBER(Timeline!$J$5:$J$305)*(Timeline!$I$5:$I$305&lt;=AR$4+0)*(Timeline!$J$5:$J$305&gt;=AR$4+0)),SUMPRODUCT((INDEX(Timeline!$P$5:$AN$305,0,MATCH($A14,Timeline!$P$4:$AN$4,0))="x")*(Timeline!$K$5:$K$305="Task")*ISNUMBER(Timeline!$I$5:$I$305)*ISNUMBER(Timeline!$J$5:$J$305)*(Timeline!$I$5:$I$305&lt;=AR$4+1)*(Timeline!$J$5:$J$305&gt;=AR$4+1)),SUMPRODUCT((INDEX(Timeline!$P$5:$AN$305,0,MATCH($A14,Timeline!$P$4:$AN$4,0))="x")*(Timeline!$K$5:$K$305="Task")*ISNUMBER(Timeline!$I$5:$I$305)*ISNUMBER(Timeline!$J$5:$J$305)*(Timeline!$I$5:$I$305&lt;=AR$4+2)*(Timeline!$J$5:$J$305&gt;=AR$4+2)),SUMPRODUCT((INDEX(Timeline!$P$5:$AN$305,0,MATCH($A14,Timeline!$P$4:$AN$4,0))="x")*(Timeline!$K$5:$K$305="Task")*ISNUMBER(Timeline!$I$5:$I$305)*ISNUMBER(Timeline!$J$5:$J$305)*(Timeline!$I$5:$I$305&lt;=AR$4+3)*(Timeline!$J$5:$J$305&gt;=AR$4+3)),SUMPRODUCT((INDEX(Timeline!$P$5:$AN$305,0,MATCH($A14,Timeline!$P$4:$AN$4,0))="x")*(Timeline!$K$5:$K$305="Task")*ISNUMBER(Timeline!$I$5:$I$305)*ISNUMBER(Timeline!$J$5:$J$305)*(Timeline!$I$5:$I$305&lt;=AR$4+4)*(Timeline!$J$5:$J$305&gt;=AR$4+4)),SUMPRODUCT((INDEX(Timeline!$P$5:$AN$305,0,MATCH($A14,Timeline!$P$4:$AN$4,0))="x")*(Timeline!$K$5:$K$305="Task")*ISNUMBER(Timeline!$I$5:$I$305)*ISNUMBER(Timeline!$J$5:$J$305)*(Timeline!$I$5:$I$305&lt;=AR$4+5)*(Timeline!$J$5:$J$305&gt;=AR$4+5)),SUMPRODUCT((INDEX(Timeline!$P$5:$AN$305,0,MATCH($A14,Timeline!$P$4:$AN$4,0))="x")*(Timeline!$K$5:$K$305="Task")*ISNUMBER(Timeline!$I$5:$I$305)*ISNUMBER(Timeline!$J$5:$J$305)*(Timeline!$I$5:$I$305&lt;=AR$4+6)*(Timeline!$J$5:$J$305&gt;=AR$4+6)))</f>
        <v>0</v>
      </c>
      <c r="AS14" s="67">
        <f>MAX(SUMPRODUCT((INDEX(Timeline!$P$5:$AN$305,0,MATCH($A14,Timeline!$P$4:$AN$4,0))="x")*(Timeline!$K$5:$K$305="Task")*ISNUMBER(Timeline!$I$5:$I$305)*ISNUMBER(Timeline!$J$5:$J$305)*(Timeline!$I$5:$I$305&lt;=AS$4+0)*(Timeline!$J$5:$J$305&gt;=AS$4+0)),SUMPRODUCT((INDEX(Timeline!$P$5:$AN$305,0,MATCH($A14,Timeline!$P$4:$AN$4,0))="x")*(Timeline!$K$5:$K$305="Task")*ISNUMBER(Timeline!$I$5:$I$305)*ISNUMBER(Timeline!$J$5:$J$305)*(Timeline!$I$5:$I$305&lt;=AS$4+1)*(Timeline!$J$5:$J$305&gt;=AS$4+1)),SUMPRODUCT((INDEX(Timeline!$P$5:$AN$305,0,MATCH($A14,Timeline!$P$4:$AN$4,0))="x")*(Timeline!$K$5:$K$305="Task")*ISNUMBER(Timeline!$I$5:$I$305)*ISNUMBER(Timeline!$J$5:$J$305)*(Timeline!$I$5:$I$305&lt;=AS$4+2)*(Timeline!$J$5:$J$305&gt;=AS$4+2)),SUMPRODUCT((INDEX(Timeline!$P$5:$AN$305,0,MATCH($A14,Timeline!$P$4:$AN$4,0))="x")*(Timeline!$K$5:$K$305="Task")*ISNUMBER(Timeline!$I$5:$I$305)*ISNUMBER(Timeline!$J$5:$J$305)*(Timeline!$I$5:$I$305&lt;=AS$4+3)*(Timeline!$J$5:$J$305&gt;=AS$4+3)),SUMPRODUCT((INDEX(Timeline!$P$5:$AN$305,0,MATCH($A14,Timeline!$P$4:$AN$4,0))="x")*(Timeline!$K$5:$K$305="Task")*ISNUMBER(Timeline!$I$5:$I$305)*ISNUMBER(Timeline!$J$5:$J$305)*(Timeline!$I$5:$I$305&lt;=AS$4+4)*(Timeline!$J$5:$J$305&gt;=AS$4+4)),SUMPRODUCT((INDEX(Timeline!$P$5:$AN$305,0,MATCH($A14,Timeline!$P$4:$AN$4,0))="x")*(Timeline!$K$5:$K$305="Task")*ISNUMBER(Timeline!$I$5:$I$305)*ISNUMBER(Timeline!$J$5:$J$305)*(Timeline!$I$5:$I$305&lt;=AS$4+5)*(Timeline!$J$5:$J$305&gt;=AS$4+5)),SUMPRODUCT((INDEX(Timeline!$P$5:$AN$305,0,MATCH($A14,Timeline!$P$4:$AN$4,0))="x")*(Timeline!$K$5:$K$305="Task")*ISNUMBER(Timeline!$I$5:$I$305)*ISNUMBER(Timeline!$J$5:$J$305)*(Timeline!$I$5:$I$305&lt;=AS$4+6)*(Timeline!$J$5:$J$305&gt;=AS$4+6)))</f>
        <v>0</v>
      </c>
      <c r="AT14" s="67">
        <f>MAX(SUMPRODUCT((INDEX(Timeline!$P$5:$AN$305,0,MATCH($A14,Timeline!$P$4:$AN$4,0))="x")*(Timeline!$K$5:$K$305="Task")*ISNUMBER(Timeline!$I$5:$I$305)*ISNUMBER(Timeline!$J$5:$J$305)*(Timeline!$I$5:$I$305&lt;=AT$4+0)*(Timeline!$J$5:$J$305&gt;=AT$4+0)),SUMPRODUCT((INDEX(Timeline!$P$5:$AN$305,0,MATCH($A14,Timeline!$P$4:$AN$4,0))="x")*(Timeline!$K$5:$K$305="Task")*ISNUMBER(Timeline!$I$5:$I$305)*ISNUMBER(Timeline!$J$5:$J$305)*(Timeline!$I$5:$I$305&lt;=AT$4+1)*(Timeline!$J$5:$J$305&gt;=AT$4+1)),SUMPRODUCT((INDEX(Timeline!$P$5:$AN$305,0,MATCH($A14,Timeline!$P$4:$AN$4,0))="x")*(Timeline!$K$5:$K$305="Task")*ISNUMBER(Timeline!$I$5:$I$305)*ISNUMBER(Timeline!$J$5:$J$305)*(Timeline!$I$5:$I$305&lt;=AT$4+2)*(Timeline!$J$5:$J$305&gt;=AT$4+2)),SUMPRODUCT((INDEX(Timeline!$P$5:$AN$305,0,MATCH($A14,Timeline!$P$4:$AN$4,0))="x")*(Timeline!$K$5:$K$305="Task")*ISNUMBER(Timeline!$I$5:$I$305)*ISNUMBER(Timeline!$J$5:$J$305)*(Timeline!$I$5:$I$305&lt;=AT$4+3)*(Timeline!$J$5:$J$305&gt;=AT$4+3)),SUMPRODUCT((INDEX(Timeline!$P$5:$AN$305,0,MATCH($A14,Timeline!$P$4:$AN$4,0))="x")*(Timeline!$K$5:$K$305="Task")*ISNUMBER(Timeline!$I$5:$I$305)*ISNUMBER(Timeline!$J$5:$J$305)*(Timeline!$I$5:$I$305&lt;=AT$4+4)*(Timeline!$J$5:$J$305&gt;=AT$4+4)),SUMPRODUCT((INDEX(Timeline!$P$5:$AN$305,0,MATCH($A14,Timeline!$P$4:$AN$4,0))="x")*(Timeline!$K$5:$K$305="Task")*ISNUMBER(Timeline!$I$5:$I$305)*ISNUMBER(Timeline!$J$5:$J$305)*(Timeline!$I$5:$I$305&lt;=AT$4+5)*(Timeline!$J$5:$J$305&gt;=AT$4+5)),SUMPRODUCT((INDEX(Timeline!$P$5:$AN$305,0,MATCH($A14,Timeline!$P$4:$AN$4,0))="x")*(Timeline!$K$5:$K$305="Task")*ISNUMBER(Timeline!$I$5:$I$305)*ISNUMBER(Timeline!$J$5:$J$305)*(Timeline!$I$5:$I$305&lt;=AT$4+6)*(Timeline!$J$5:$J$305&gt;=AT$4+6)))</f>
        <v>0</v>
      </c>
      <c r="AU14" s="67">
        <f>MAX(SUMPRODUCT((INDEX(Timeline!$P$5:$AN$305,0,MATCH($A14,Timeline!$P$4:$AN$4,0))="x")*(Timeline!$K$5:$K$305="Task")*ISNUMBER(Timeline!$I$5:$I$305)*ISNUMBER(Timeline!$J$5:$J$305)*(Timeline!$I$5:$I$305&lt;=AU$4+0)*(Timeline!$J$5:$J$305&gt;=AU$4+0)),SUMPRODUCT((INDEX(Timeline!$P$5:$AN$305,0,MATCH($A14,Timeline!$P$4:$AN$4,0))="x")*(Timeline!$K$5:$K$305="Task")*ISNUMBER(Timeline!$I$5:$I$305)*ISNUMBER(Timeline!$J$5:$J$305)*(Timeline!$I$5:$I$305&lt;=AU$4+1)*(Timeline!$J$5:$J$305&gt;=AU$4+1)),SUMPRODUCT((INDEX(Timeline!$P$5:$AN$305,0,MATCH($A14,Timeline!$P$4:$AN$4,0))="x")*(Timeline!$K$5:$K$305="Task")*ISNUMBER(Timeline!$I$5:$I$305)*ISNUMBER(Timeline!$J$5:$J$305)*(Timeline!$I$5:$I$305&lt;=AU$4+2)*(Timeline!$J$5:$J$305&gt;=AU$4+2)),SUMPRODUCT((INDEX(Timeline!$P$5:$AN$305,0,MATCH($A14,Timeline!$P$4:$AN$4,0))="x")*(Timeline!$K$5:$K$305="Task")*ISNUMBER(Timeline!$I$5:$I$305)*ISNUMBER(Timeline!$J$5:$J$305)*(Timeline!$I$5:$I$305&lt;=AU$4+3)*(Timeline!$J$5:$J$305&gt;=AU$4+3)),SUMPRODUCT((INDEX(Timeline!$P$5:$AN$305,0,MATCH($A14,Timeline!$P$4:$AN$4,0))="x")*(Timeline!$K$5:$K$305="Task")*ISNUMBER(Timeline!$I$5:$I$305)*ISNUMBER(Timeline!$J$5:$J$305)*(Timeline!$I$5:$I$305&lt;=AU$4+4)*(Timeline!$J$5:$J$305&gt;=AU$4+4)),SUMPRODUCT((INDEX(Timeline!$P$5:$AN$305,0,MATCH($A14,Timeline!$P$4:$AN$4,0))="x")*(Timeline!$K$5:$K$305="Task")*ISNUMBER(Timeline!$I$5:$I$305)*ISNUMBER(Timeline!$J$5:$J$305)*(Timeline!$I$5:$I$305&lt;=AU$4+5)*(Timeline!$J$5:$J$305&gt;=AU$4+5)),SUMPRODUCT((INDEX(Timeline!$P$5:$AN$305,0,MATCH($A14,Timeline!$P$4:$AN$4,0))="x")*(Timeline!$K$5:$K$305="Task")*ISNUMBER(Timeline!$I$5:$I$305)*ISNUMBER(Timeline!$J$5:$J$305)*(Timeline!$I$5:$I$305&lt;=AU$4+6)*(Timeline!$J$5:$J$305&gt;=AU$4+6)))</f>
        <v>0</v>
      </c>
      <c r="AV14" s="67">
        <f>MAX(SUMPRODUCT((INDEX(Timeline!$P$5:$AN$305,0,MATCH($A14,Timeline!$P$4:$AN$4,0))="x")*(Timeline!$K$5:$K$305="Task")*ISNUMBER(Timeline!$I$5:$I$305)*ISNUMBER(Timeline!$J$5:$J$305)*(Timeline!$I$5:$I$305&lt;=AV$4+0)*(Timeline!$J$5:$J$305&gt;=AV$4+0)),SUMPRODUCT((INDEX(Timeline!$P$5:$AN$305,0,MATCH($A14,Timeline!$P$4:$AN$4,0))="x")*(Timeline!$K$5:$K$305="Task")*ISNUMBER(Timeline!$I$5:$I$305)*ISNUMBER(Timeline!$J$5:$J$305)*(Timeline!$I$5:$I$305&lt;=AV$4+1)*(Timeline!$J$5:$J$305&gt;=AV$4+1)),SUMPRODUCT((INDEX(Timeline!$P$5:$AN$305,0,MATCH($A14,Timeline!$P$4:$AN$4,0))="x")*(Timeline!$K$5:$K$305="Task")*ISNUMBER(Timeline!$I$5:$I$305)*ISNUMBER(Timeline!$J$5:$J$305)*(Timeline!$I$5:$I$305&lt;=AV$4+2)*(Timeline!$J$5:$J$305&gt;=AV$4+2)),SUMPRODUCT((INDEX(Timeline!$P$5:$AN$305,0,MATCH($A14,Timeline!$P$4:$AN$4,0))="x")*(Timeline!$K$5:$K$305="Task")*ISNUMBER(Timeline!$I$5:$I$305)*ISNUMBER(Timeline!$J$5:$J$305)*(Timeline!$I$5:$I$305&lt;=AV$4+3)*(Timeline!$J$5:$J$305&gt;=AV$4+3)),SUMPRODUCT((INDEX(Timeline!$P$5:$AN$305,0,MATCH($A14,Timeline!$P$4:$AN$4,0))="x")*(Timeline!$K$5:$K$305="Task")*ISNUMBER(Timeline!$I$5:$I$305)*ISNUMBER(Timeline!$J$5:$J$305)*(Timeline!$I$5:$I$305&lt;=AV$4+4)*(Timeline!$J$5:$J$305&gt;=AV$4+4)),SUMPRODUCT((INDEX(Timeline!$P$5:$AN$305,0,MATCH($A14,Timeline!$P$4:$AN$4,0))="x")*(Timeline!$K$5:$K$305="Task")*ISNUMBER(Timeline!$I$5:$I$305)*ISNUMBER(Timeline!$J$5:$J$305)*(Timeline!$I$5:$I$305&lt;=AV$4+5)*(Timeline!$J$5:$J$305&gt;=AV$4+5)),SUMPRODUCT((INDEX(Timeline!$P$5:$AN$305,0,MATCH($A14,Timeline!$P$4:$AN$4,0))="x")*(Timeline!$K$5:$K$305="Task")*ISNUMBER(Timeline!$I$5:$I$305)*ISNUMBER(Timeline!$J$5:$J$305)*(Timeline!$I$5:$I$305&lt;=AV$4+6)*(Timeline!$J$5:$J$305&gt;=AV$4+6)))</f>
        <v>0</v>
      </c>
      <c r="AW14" s="67">
        <f>MAX(SUMPRODUCT((INDEX(Timeline!$P$5:$AN$305,0,MATCH($A14,Timeline!$P$4:$AN$4,0))="x")*(Timeline!$K$5:$K$305="Task")*ISNUMBER(Timeline!$I$5:$I$305)*ISNUMBER(Timeline!$J$5:$J$305)*(Timeline!$I$5:$I$305&lt;=AW$4+0)*(Timeline!$J$5:$J$305&gt;=AW$4+0)),SUMPRODUCT((INDEX(Timeline!$P$5:$AN$305,0,MATCH($A14,Timeline!$P$4:$AN$4,0))="x")*(Timeline!$K$5:$K$305="Task")*ISNUMBER(Timeline!$I$5:$I$305)*ISNUMBER(Timeline!$J$5:$J$305)*(Timeline!$I$5:$I$305&lt;=AW$4+1)*(Timeline!$J$5:$J$305&gt;=AW$4+1)),SUMPRODUCT((INDEX(Timeline!$P$5:$AN$305,0,MATCH($A14,Timeline!$P$4:$AN$4,0))="x")*(Timeline!$K$5:$K$305="Task")*ISNUMBER(Timeline!$I$5:$I$305)*ISNUMBER(Timeline!$J$5:$J$305)*(Timeline!$I$5:$I$305&lt;=AW$4+2)*(Timeline!$J$5:$J$305&gt;=AW$4+2)),SUMPRODUCT((INDEX(Timeline!$P$5:$AN$305,0,MATCH($A14,Timeline!$P$4:$AN$4,0))="x")*(Timeline!$K$5:$K$305="Task")*ISNUMBER(Timeline!$I$5:$I$305)*ISNUMBER(Timeline!$J$5:$J$305)*(Timeline!$I$5:$I$305&lt;=AW$4+3)*(Timeline!$J$5:$J$305&gt;=AW$4+3)),SUMPRODUCT((INDEX(Timeline!$P$5:$AN$305,0,MATCH($A14,Timeline!$P$4:$AN$4,0))="x")*(Timeline!$K$5:$K$305="Task")*ISNUMBER(Timeline!$I$5:$I$305)*ISNUMBER(Timeline!$J$5:$J$305)*(Timeline!$I$5:$I$305&lt;=AW$4+4)*(Timeline!$J$5:$J$305&gt;=AW$4+4)),SUMPRODUCT((INDEX(Timeline!$P$5:$AN$305,0,MATCH($A14,Timeline!$P$4:$AN$4,0))="x")*(Timeline!$K$5:$K$305="Task")*ISNUMBER(Timeline!$I$5:$I$305)*ISNUMBER(Timeline!$J$5:$J$305)*(Timeline!$I$5:$I$305&lt;=AW$4+5)*(Timeline!$J$5:$J$305&gt;=AW$4+5)),SUMPRODUCT((INDEX(Timeline!$P$5:$AN$305,0,MATCH($A14,Timeline!$P$4:$AN$4,0))="x")*(Timeline!$K$5:$K$305="Task")*ISNUMBER(Timeline!$I$5:$I$305)*ISNUMBER(Timeline!$J$5:$J$305)*(Timeline!$I$5:$I$305&lt;=AW$4+6)*(Timeline!$J$5:$J$305&gt;=AW$4+6)))</f>
        <v>0</v>
      </c>
      <c r="AX14" s="67">
        <f>MAX(SUMPRODUCT((INDEX(Timeline!$P$5:$AN$305,0,MATCH($A14,Timeline!$P$4:$AN$4,0))="x")*(Timeline!$K$5:$K$305="Task")*ISNUMBER(Timeline!$I$5:$I$305)*ISNUMBER(Timeline!$J$5:$J$305)*(Timeline!$I$5:$I$305&lt;=AX$4+0)*(Timeline!$J$5:$J$305&gt;=AX$4+0)),SUMPRODUCT((INDEX(Timeline!$P$5:$AN$305,0,MATCH($A14,Timeline!$P$4:$AN$4,0))="x")*(Timeline!$K$5:$K$305="Task")*ISNUMBER(Timeline!$I$5:$I$305)*ISNUMBER(Timeline!$J$5:$J$305)*(Timeline!$I$5:$I$305&lt;=AX$4+1)*(Timeline!$J$5:$J$305&gt;=AX$4+1)),SUMPRODUCT((INDEX(Timeline!$P$5:$AN$305,0,MATCH($A14,Timeline!$P$4:$AN$4,0))="x")*(Timeline!$K$5:$K$305="Task")*ISNUMBER(Timeline!$I$5:$I$305)*ISNUMBER(Timeline!$J$5:$J$305)*(Timeline!$I$5:$I$305&lt;=AX$4+2)*(Timeline!$J$5:$J$305&gt;=AX$4+2)),SUMPRODUCT((INDEX(Timeline!$P$5:$AN$305,0,MATCH($A14,Timeline!$P$4:$AN$4,0))="x")*(Timeline!$K$5:$K$305="Task")*ISNUMBER(Timeline!$I$5:$I$305)*ISNUMBER(Timeline!$J$5:$J$305)*(Timeline!$I$5:$I$305&lt;=AX$4+3)*(Timeline!$J$5:$J$305&gt;=AX$4+3)),SUMPRODUCT((INDEX(Timeline!$P$5:$AN$305,0,MATCH($A14,Timeline!$P$4:$AN$4,0))="x")*(Timeline!$K$5:$K$305="Task")*ISNUMBER(Timeline!$I$5:$I$305)*ISNUMBER(Timeline!$J$5:$J$305)*(Timeline!$I$5:$I$305&lt;=AX$4+4)*(Timeline!$J$5:$J$305&gt;=AX$4+4)),SUMPRODUCT((INDEX(Timeline!$P$5:$AN$305,0,MATCH($A14,Timeline!$P$4:$AN$4,0))="x")*(Timeline!$K$5:$K$305="Task")*ISNUMBER(Timeline!$I$5:$I$305)*ISNUMBER(Timeline!$J$5:$J$305)*(Timeline!$I$5:$I$305&lt;=AX$4+5)*(Timeline!$J$5:$J$305&gt;=AX$4+5)),SUMPRODUCT((INDEX(Timeline!$P$5:$AN$305,0,MATCH($A14,Timeline!$P$4:$AN$4,0))="x")*(Timeline!$K$5:$K$305="Task")*ISNUMBER(Timeline!$I$5:$I$305)*ISNUMBER(Timeline!$J$5:$J$305)*(Timeline!$I$5:$I$305&lt;=AX$4+6)*(Timeline!$J$5:$J$305&gt;=AX$4+6)))</f>
        <v>0</v>
      </c>
      <c r="AY14" s="67">
        <f>MAX(SUMPRODUCT((INDEX(Timeline!$P$5:$AN$305,0,MATCH($A14,Timeline!$P$4:$AN$4,0))="x")*(Timeline!$K$5:$K$305="Task")*ISNUMBER(Timeline!$I$5:$I$305)*ISNUMBER(Timeline!$J$5:$J$305)*(Timeline!$I$5:$I$305&lt;=AY$4+0)*(Timeline!$J$5:$J$305&gt;=AY$4+0)),SUMPRODUCT((INDEX(Timeline!$P$5:$AN$305,0,MATCH($A14,Timeline!$P$4:$AN$4,0))="x")*(Timeline!$K$5:$K$305="Task")*ISNUMBER(Timeline!$I$5:$I$305)*ISNUMBER(Timeline!$J$5:$J$305)*(Timeline!$I$5:$I$305&lt;=AY$4+1)*(Timeline!$J$5:$J$305&gt;=AY$4+1)),SUMPRODUCT((INDEX(Timeline!$P$5:$AN$305,0,MATCH($A14,Timeline!$P$4:$AN$4,0))="x")*(Timeline!$K$5:$K$305="Task")*ISNUMBER(Timeline!$I$5:$I$305)*ISNUMBER(Timeline!$J$5:$J$305)*(Timeline!$I$5:$I$305&lt;=AY$4+2)*(Timeline!$J$5:$J$305&gt;=AY$4+2)),SUMPRODUCT((INDEX(Timeline!$P$5:$AN$305,0,MATCH($A14,Timeline!$P$4:$AN$4,0))="x")*(Timeline!$K$5:$K$305="Task")*ISNUMBER(Timeline!$I$5:$I$305)*ISNUMBER(Timeline!$J$5:$J$305)*(Timeline!$I$5:$I$305&lt;=AY$4+3)*(Timeline!$J$5:$J$305&gt;=AY$4+3)),SUMPRODUCT((INDEX(Timeline!$P$5:$AN$305,0,MATCH($A14,Timeline!$P$4:$AN$4,0))="x")*(Timeline!$K$5:$K$305="Task")*ISNUMBER(Timeline!$I$5:$I$305)*ISNUMBER(Timeline!$J$5:$J$305)*(Timeline!$I$5:$I$305&lt;=AY$4+4)*(Timeline!$J$5:$J$305&gt;=AY$4+4)),SUMPRODUCT((INDEX(Timeline!$P$5:$AN$305,0,MATCH($A14,Timeline!$P$4:$AN$4,0))="x")*(Timeline!$K$5:$K$305="Task")*ISNUMBER(Timeline!$I$5:$I$305)*ISNUMBER(Timeline!$J$5:$J$305)*(Timeline!$I$5:$I$305&lt;=AY$4+5)*(Timeline!$J$5:$J$305&gt;=AY$4+5)),SUMPRODUCT((INDEX(Timeline!$P$5:$AN$305,0,MATCH($A14,Timeline!$P$4:$AN$4,0))="x")*(Timeline!$K$5:$K$305="Task")*ISNUMBER(Timeline!$I$5:$I$305)*ISNUMBER(Timeline!$J$5:$J$305)*(Timeline!$I$5:$I$305&lt;=AY$4+6)*(Timeline!$J$5:$J$305&gt;=AY$4+6)))</f>
        <v>0</v>
      </c>
      <c r="AZ14" s="67">
        <f>MAX(SUMPRODUCT((INDEX(Timeline!$P$5:$AN$305,0,MATCH($A14,Timeline!$P$4:$AN$4,0))="x")*(Timeline!$K$5:$K$305="Task")*ISNUMBER(Timeline!$I$5:$I$305)*ISNUMBER(Timeline!$J$5:$J$305)*(Timeline!$I$5:$I$305&lt;=AZ$4+0)*(Timeline!$J$5:$J$305&gt;=AZ$4+0)),SUMPRODUCT((INDEX(Timeline!$P$5:$AN$305,0,MATCH($A14,Timeline!$P$4:$AN$4,0))="x")*(Timeline!$K$5:$K$305="Task")*ISNUMBER(Timeline!$I$5:$I$305)*ISNUMBER(Timeline!$J$5:$J$305)*(Timeline!$I$5:$I$305&lt;=AZ$4+1)*(Timeline!$J$5:$J$305&gt;=AZ$4+1)),SUMPRODUCT((INDEX(Timeline!$P$5:$AN$305,0,MATCH($A14,Timeline!$P$4:$AN$4,0))="x")*(Timeline!$K$5:$K$305="Task")*ISNUMBER(Timeline!$I$5:$I$305)*ISNUMBER(Timeline!$J$5:$J$305)*(Timeline!$I$5:$I$305&lt;=AZ$4+2)*(Timeline!$J$5:$J$305&gt;=AZ$4+2)),SUMPRODUCT((INDEX(Timeline!$P$5:$AN$305,0,MATCH($A14,Timeline!$P$4:$AN$4,0))="x")*(Timeline!$K$5:$K$305="Task")*ISNUMBER(Timeline!$I$5:$I$305)*ISNUMBER(Timeline!$J$5:$J$305)*(Timeline!$I$5:$I$305&lt;=AZ$4+3)*(Timeline!$J$5:$J$305&gt;=AZ$4+3)),SUMPRODUCT((INDEX(Timeline!$P$5:$AN$305,0,MATCH($A14,Timeline!$P$4:$AN$4,0))="x")*(Timeline!$K$5:$K$305="Task")*ISNUMBER(Timeline!$I$5:$I$305)*ISNUMBER(Timeline!$J$5:$J$305)*(Timeline!$I$5:$I$305&lt;=AZ$4+4)*(Timeline!$J$5:$J$305&gt;=AZ$4+4)),SUMPRODUCT((INDEX(Timeline!$P$5:$AN$305,0,MATCH($A14,Timeline!$P$4:$AN$4,0))="x")*(Timeline!$K$5:$K$305="Task")*ISNUMBER(Timeline!$I$5:$I$305)*ISNUMBER(Timeline!$J$5:$J$305)*(Timeline!$I$5:$I$305&lt;=AZ$4+5)*(Timeline!$J$5:$J$305&gt;=AZ$4+5)),SUMPRODUCT((INDEX(Timeline!$P$5:$AN$305,0,MATCH($A14,Timeline!$P$4:$AN$4,0))="x")*(Timeline!$K$5:$K$305="Task")*ISNUMBER(Timeline!$I$5:$I$305)*ISNUMBER(Timeline!$J$5:$J$305)*(Timeline!$I$5:$I$305&lt;=AZ$4+6)*(Timeline!$J$5:$J$305&gt;=AZ$4+6)))</f>
        <v>0</v>
      </c>
      <c r="BA14" s="67">
        <f>MAX(SUMPRODUCT((INDEX(Timeline!$P$5:$AN$305,0,MATCH($A14,Timeline!$P$4:$AN$4,0))="x")*(Timeline!$K$5:$K$305="Task")*ISNUMBER(Timeline!$I$5:$I$305)*ISNUMBER(Timeline!$J$5:$J$305)*(Timeline!$I$5:$I$305&lt;=BA$4+0)*(Timeline!$J$5:$J$305&gt;=BA$4+0)),SUMPRODUCT((INDEX(Timeline!$P$5:$AN$305,0,MATCH($A14,Timeline!$P$4:$AN$4,0))="x")*(Timeline!$K$5:$K$305="Task")*ISNUMBER(Timeline!$I$5:$I$305)*ISNUMBER(Timeline!$J$5:$J$305)*(Timeline!$I$5:$I$305&lt;=BA$4+1)*(Timeline!$J$5:$J$305&gt;=BA$4+1)),SUMPRODUCT((INDEX(Timeline!$P$5:$AN$305,0,MATCH($A14,Timeline!$P$4:$AN$4,0))="x")*(Timeline!$K$5:$K$305="Task")*ISNUMBER(Timeline!$I$5:$I$305)*ISNUMBER(Timeline!$J$5:$J$305)*(Timeline!$I$5:$I$305&lt;=BA$4+2)*(Timeline!$J$5:$J$305&gt;=BA$4+2)),SUMPRODUCT((INDEX(Timeline!$P$5:$AN$305,0,MATCH($A14,Timeline!$P$4:$AN$4,0))="x")*(Timeline!$K$5:$K$305="Task")*ISNUMBER(Timeline!$I$5:$I$305)*ISNUMBER(Timeline!$J$5:$J$305)*(Timeline!$I$5:$I$305&lt;=BA$4+3)*(Timeline!$J$5:$J$305&gt;=BA$4+3)),SUMPRODUCT((INDEX(Timeline!$P$5:$AN$305,0,MATCH($A14,Timeline!$P$4:$AN$4,0))="x")*(Timeline!$K$5:$K$305="Task")*ISNUMBER(Timeline!$I$5:$I$305)*ISNUMBER(Timeline!$J$5:$J$305)*(Timeline!$I$5:$I$305&lt;=BA$4+4)*(Timeline!$J$5:$J$305&gt;=BA$4+4)),SUMPRODUCT((INDEX(Timeline!$P$5:$AN$305,0,MATCH($A14,Timeline!$P$4:$AN$4,0))="x")*(Timeline!$K$5:$K$305="Task")*ISNUMBER(Timeline!$I$5:$I$305)*ISNUMBER(Timeline!$J$5:$J$305)*(Timeline!$I$5:$I$305&lt;=BA$4+5)*(Timeline!$J$5:$J$305&gt;=BA$4+5)),SUMPRODUCT((INDEX(Timeline!$P$5:$AN$305,0,MATCH($A14,Timeline!$P$4:$AN$4,0))="x")*(Timeline!$K$5:$K$305="Task")*ISNUMBER(Timeline!$I$5:$I$305)*ISNUMBER(Timeline!$J$5:$J$305)*(Timeline!$I$5:$I$305&lt;=BA$4+6)*(Timeline!$J$5:$J$305&gt;=BA$4+6)))</f>
        <v>0</v>
      </c>
    </row>
    <row r="15" spans="1:53" ht="15" customHeight="1">
      <c r="A15" s="66" t="s">
        <v>46</v>
      </c>
      <c r="B15" s="66" t="s">
        <v>13</v>
      </c>
      <c r="C15" s="67">
        <f>MAX(SUMPRODUCT((INDEX(Timeline!$P$5:$AN$305,0,MATCH($A15,Timeline!$P$4:$AN$4,0))="x")*(Timeline!$K$5:$K$305="Task")*ISNUMBER(Timeline!$I$5:$I$305)*ISNUMBER(Timeline!$J$5:$J$305)*(Timeline!$I$5:$I$305&lt;=C$4+0)*(Timeline!$J$5:$J$305&gt;=C$4+0)),SUMPRODUCT((INDEX(Timeline!$P$5:$AN$305,0,MATCH($A15,Timeline!$P$4:$AN$4,0))="x")*(Timeline!$K$5:$K$305="Task")*ISNUMBER(Timeline!$I$5:$I$305)*ISNUMBER(Timeline!$J$5:$J$305)*(Timeline!$I$5:$I$305&lt;=C$4+1)*(Timeline!$J$5:$J$305&gt;=C$4+1)),SUMPRODUCT((INDEX(Timeline!$P$5:$AN$305,0,MATCH($A15,Timeline!$P$4:$AN$4,0))="x")*(Timeline!$K$5:$K$305="Task")*ISNUMBER(Timeline!$I$5:$I$305)*ISNUMBER(Timeline!$J$5:$J$305)*(Timeline!$I$5:$I$305&lt;=C$4+2)*(Timeline!$J$5:$J$305&gt;=C$4+2)),SUMPRODUCT((INDEX(Timeline!$P$5:$AN$305,0,MATCH($A15,Timeline!$P$4:$AN$4,0))="x")*(Timeline!$K$5:$K$305="Task")*ISNUMBER(Timeline!$I$5:$I$305)*ISNUMBER(Timeline!$J$5:$J$305)*(Timeline!$I$5:$I$305&lt;=C$4+3)*(Timeline!$J$5:$J$305&gt;=C$4+3)),SUMPRODUCT((INDEX(Timeline!$P$5:$AN$305,0,MATCH($A15,Timeline!$P$4:$AN$4,0))="x")*(Timeline!$K$5:$K$305="Task")*ISNUMBER(Timeline!$I$5:$I$305)*ISNUMBER(Timeline!$J$5:$J$305)*(Timeline!$I$5:$I$305&lt;=C$4+4)*(Timeline!$J$5:$J$305&gt;=C$4+4)),SUMPRODUCT((INDEX(Timeline!$P$5:$AN$305,0,MATCH($A15,Timeline!$P$4:$AN$4,0))="x")*(Timeline!$K$5:$K$305="Task")*ISNUMBER(Timeline!$I$5:$I$305)*ISNUMBER(Timeline!$J$5:$J$305)*(Timeline!$I$5:$I$305&lt;=C$4+5)*(Timeline!$J$5:$J$305&gt;=C$4+5)),SUMPRODUCT((INDEX(Timeline!$P$5:$AN$305,0,MATCH($A15,Timeline!$P$4:$AN$4,0))="x")*(Timeline!$K$5:$K$305="Task")*ISNUMBER(Timeline!$I$5:$I$305)*ISNUMBER(Timeline!$J$5:$J$305)*(Timeline!$I$5:$I$305&lt;=C$4+6)*(Timeline!$J$5:$J$305&gt;=C$4+6)))</f>
        <v>0</v>
      </c>
      <c r="D15" s="67">
        <f>MAX(SUMPRODUCT((INDEX(Timeline!$P$5:$AN$305,0,MATCH($A15,Timeline!$P$4:$AN$4,0))="x")*(Timeline!$K$5:$K$305="Task")*ISNUMBER(Timeline!$I$5:$I$305)*ISNUMBER(Timeline!$J$5:$J$305)*(Timeline!$I$5:$I$305&lt;=D$4+0)*(Timeline!$J$5:$J$305&gt;=D$4+0)),SUMPRODUCT((INDEX(Timeline!$P$5:$AN$305,0,MATCH($A15,Timeline!$P$4:$AN$4,0))="x")*(Timeline!$K$5:$K$305="Task")*ISNUMBER(Timeline!$I$5:$I$305)*ISNUMBER(Timeline!$J$5:$J$305)*(Timeline!$I$5:$I$305&lt;=D$4+1)*(Timeline!$J$5:$J$305&gt;=D$4+1)),SUMPRODUCT((INDEX(Timeline!$P$5:$AN$305,0,MATCH($A15,Timeline!$P$4:$AN$4,0))="x")*(Timeline!$K$5:$K$305="Task")*ISNUMBER(Timeline!$I$5:$I$305)*ISNUMBER(Timeline!$J$5:$J$305)*(Timeline!$I$5:$I$305&lt;=D$4+2)*(Timeline!$J$5:$J$305&gt;=D$4+2)),SUMPRODUCT((INDEX(Timeline!$P$5:$AN$305,0,MATCH($A15,Timeline!$P$4:$AN$4,0))="x")*(Timeline!$K$5:$K$305="Task")*ISNUMBER(Timeline!$I$5:$I$305)*ISNUMBER(Timeline!$J$5:$J$305)*(Timeline!$I$5:$I$305&lt;=D$4+3)*(Timeline!$J$5:$J$305&gt;=D$4+3)),SUMPRODUCT((INDEX(Timeline!$P$5:$AN$305,0,MATCH($A15,Timeline!$P$4:$AN$4,0))="x")*(Timeline!$K$5:$K$305="Task")*ISNUMBER(Timeline!$I$5:$I$305)*ISNUMBER(Timeline!$J$5:$J$305)*(Timeline!$I$5:$I$305&lt;=D$4+4)*(Timeline!$J$5:$J$305&gt;=D$4+4)),SUMPRODUCT((INDEX(Timeline!$P$5:$AN$305,0,MATCH($A15,Timeline!$P$4:$AN$4,0))="x")*(Timeline!$K$5:$K$305="Task")*ISNUMBER(Timeline!$I$5:$I$305)*ISNUMBER(Timeline!$J$5:$J$305)*(Timeline!$I$5:$I$305&lt;=D$4+5)*(Timeline!$J$5:$J$305&gt;=D$4+5)),SUMPRODUCT((INDEX(Timeline!$P$5:$AN$305,0,MATCH($A15,Timeline!$P$4:$AN$4,0))="x")*(Timeline!$K$5:$K$305="Task")*ISNUMBER(Timeline!$I$5:$I$305)*ISNUMBER(Timeline!$J$5:$J$305)*(Timeline!$I$5:$I$305&lt;=D$4+6)*(Timeline!$J$5:$J$305&gt;=D$4+6)))</f>
        <v>0</v>
      </c>
      <c r="E15" s="67">
        <f>MAX(SUMPRODUCT((INDEX(Timeline!$P$5:$AN$305,0,MATCH($A15,Timeline!$P$4:$AN$4,0))="x")*(Timeline!$K$5:$K$305="Task")*ISNUMBER(Timeline!$I$5:$I$305)*ISNUMBER(Timeline!$J$5:$J$305)*(Timeline!$I$5:$I$305&lt;=E$4+0)*(Timeline!$J$5:$J$305&gt;=E$4+0)),SUMPRODUCT((INDEX(Timeline!$P$5:$AN$305,0,MATCH($A15,Timeline!$P$4:$AN$4,0))="x")*(Timeline!$K$5:$K$305="Task")*ISNUMBER(Timeline!$I$5:$I$305)*ISNUMBER(Timeline!$J$5:$J$305)*(Timeline!$I$5:$I$305&lt;=E$4+1)*(Timeline!$J$5:$J$305&gt;=E$4+1)),SUMPRODUCT((INDEX(Timeline!$P$5:$AN$305,0,MATCH($A15,Timeline!$P$4:$AN$4,0))="x")*(Timeline!$K$5:$K$305="Task")*ISNUMBER(Timeline!$I$5:$I$305)*ISNUMBER(Timeline!$J$5:$J$305)*(Timeline!$I$5:$I$305&lt;=E$4+2)*(Timeline!$J$5:$J$305&gt;=E$4+2)),SUMPRODUCT((INDEX(Timeline!$P$5:$AN$305,0,MATCH($A15,Timeline!$P$4:$AN$4,0))="x")*(Timeline!$K$5:$K$305="Task")*ISNUMBER(Timeline!$I$5:$I$305)*ISNUMBER(Timeline!$J$5:$J$305)*(Timeline!$I$5:$I$305&lt;=E$4+3)*(Timeline!$J$5:$J$305&gt;=E$4+3)),SUMPRODUCT((INDEX(Timeline!$P$5:$AN$305,0,MATCH($A15,Timeline!$P$4:$AN$4,0))="x")*(Timeline!$K$5:$K$305="Task")*ISNUMBER(Timeline!$I$5:$I$305)*ISNUMBER(Timeline!$J$5:$J$305)*(Timeline!$I$5:$I$305&lt;=E$4+4)*(Timeline!$J$5:$J$305&gt;=E$4+4)),SUMPRODUCT((INDEX(Timeline!$P$5:$AN$305,0,MATCH($A15,Timeline!$P$4:$AN$4,0))="x")*(Timeline!$K$5:$K$305="Task")*ISNUMBER(Timeline!$I$5:$I$305)*ISNUMBER(Timeline!$J$5:$J$305)*(Timeline!$I$5:$I$305&lt;=E$4+5)*(Timeline!$J$5:$J$305&gt;=E$4+5)),SUMPRODUCT((INDEX(Timeline!$P$5:$AN$305,0,MATCH($A15,Timeline!$P$4:$AN$4,0))="x")*(Timeline!$K$5:$K$305="Task")*ISNUMBER(Timeline!$I$5:$I$305)*ISNUMBER(Timeline!$J$5:$J$305)*(Timeline!$I$5:$I$305&lt;=E$4+6)*(Timeline!$J$5:$J$305&gt;=E$4+6)))</f>
        <v>0</v>
      </c>
      <c r="F15" s="67">
        <f>MAX(SUMPRODUCT((INDEX(Timeline!$P$5:$AN$305,0,MATCH($A15,Timeline!$P$4:$AN$4,0))="x")*(Timeline!$K$5:$K$305="Task")*ISNUMBER(Timeline!$I$5:$I$305)*ISNUMBER(Timeline!$J$5:$J$305)*(Timeline!$I$5:$I$305&lt;=F$4+0)*(Timeline!$J$5:$J$305&gt;=F$4+0)),SUMPRODUCT((INDEX(Timeline!$P$5:$AN$305,0,MATCH($A15,Timeline!$P$4:$AN$4,0))="x")*(Timeline!$K$5:$K$305="Task")*ISNUMBER(Timeline!$I$5:$I$305)*ISNUMBER(Timeline!$J$5:$J$305)*(Timeline!$I$5:$I$305&lt;=F$4+1)*(Timeline!$J$5:$J$305&gt;=F$4+1)),SUMPRODUCT((INDEX(Timeline!$P$5:$AN$305,0,MATCH($A15,Timeline!$P$4:$AN$4,0))="x")*(Timeline!$K$5:$K$305="Task")*ISNUMBER(Timeline!$I$5:$I$305)*ISNUMBER(Timeline!$J$5:$J$305)*(Timeline!$I$5:$I$305&lt;=F$4+2)*(Timeline!$J$5:$J$305&gt;=F$4+2)),SUMPRODUCT((INDEX(Timeline!$P$5:$AN$305,0,MATCH($A15,Timeline!$P$4:$AN$4,0))="x")*(Timeline!$K$5:$K$305="Task")*ISNUMBER(Timeline!$I$5:$I$305)*ISNUMBER(Timeline!$J$5:$J$305)*(Timeline!$I$5:$I$305&lt;=F$4+3)*(Timeline!$J$5:$J$305&gt;=F$4+3)),SUMPRODUCT((INDEX(Timeline!$P$5:$AN$305,0,MATCH($A15,Timeline!$P$4:$AN$4,0))="x")*(Timeline!$K$5:$K$305="Task")*ISNUMBER(Timeline!$I$5:$I$305)*ISNUMBER(Timeline!$J$5:$J$305)*(Timeline!$I$5:$I$305&lt;=F$4+4)*(Timeline!$J$5:$J$305&gt;=F$4+4)),SUMPRODUCT((INDEX(Timeline!$P$5:$AN$305,0,MATCH($A15,Timeline!$P$4:$AN$4,0))="x")*(Timeline!$K$5:$K$305="Task")*ISNUMBER(Timeline!$I$5:$I$305)*ISNUMBER(Timeline!$J$5:$J$305)*(Timeline!$I$5:$I$305&lt;=F$4+5)*(Timeline!$J$5:$J$305&gt;=F$4+5)),SUMPRODUCT((INDEX(Timeline!$P$5:$AN$305,0,MATCH($A15,Timeline!$P$4:$AN$4,0))="x")*(Timeline!$K$5:$K$305="Task")*ISNUMBER(Timeline!$I$5:$I$305)*ISNUMBER(Timeline!$J$5:$J$305)*(Timeline!$I$5:$I$305&lt;=F$4+6)*(Timeline!$J$5:$J$305&gt;=F$4+6)))</f>
        <v>0</v>
      </c>
      <c r="G15" s="67">
        <f>MAX(SUMPRODUCT((INDEX(Timeline!$P$5:$AN$305,0,MATCH($A15,Timeline!$P$4:$AN$4,0))="x")*(Timeline!$K$5:$K$305="Task")*ISNUMBER(Timeline!$I$5:$I$305)*ISNUMBER(Timeline!$J$5:$J$305)*(Timeline!$I$5:$I$305&lt;=G$4+0)*(Timeline!$J$5:$J$305&gt;=G$4+0)),SUMPRODUCT((INDEX(Timeline!$P$5:$AN$305,0,MATCH($A15,Timeline!$P$4:$AN$4,0))="x")*(Timeline!$K$5:$K$305="Task")*ISNUMBER(Timeline!$I$5:$I$305)*ISNUMBER(Timeline!$J$5:$J$305)*(Timeline!$I$5:$I$305&lt;=G$4+1)*(Timeline!$J$5:$J$305&gt;=G$4+1)),SUMPRODUCT((INDEX(Timeline!$P$5:$AN$305,0,MATCH($A15,Timeline!$P$4:$AN$4,0))="x")*(Timeline!$K$5:$K$305="Task")*ISNUMBER(Timeline!$I$5:$I$305)*ISNUMBER(Timeline!$J$5:$J$305)*(Timeline!$I$5:$I$305&lt;=G$4+2)*(Timeline!$J$5:$J$305&gt;=G$4+2)),SUMPRODUCT((INDEX(Timeline!$P$5:$AN$305,0,MATCH($A15,Timeline!$P$4:$AN$4,0))="x")*(Timeline!$K$5:$K$305="Task")*ISNUMBER(Timeline!$I$5:$I$305)*ISNUMBER(Timeline!$J$5:$J$305)*(Timeline!$I$5:$I$305&lt;=G$4+3)*(Timeline!$J$5:$J$305&gt;=G$4+3)),SUMPRODUCT((INDEX(Timeline!$P$5:$AN$305,0,MATCH($A15,Timeline!$P$4:$AN$4,0))="x")*(Timeline!$K$5:$K$305="Task")*ISNUMBER(Timeline!$I$5:$I$305)*ISNUMBER(Timeline!$J$5:$J$305)*(Timeline!$I$5:$I$305&lt;=G$4+4)*(Timeline!$J$5:$J$305&gt;=G$4+4)),SUMPRODUCT((INDEX(Timeline!$P$5:$AN$305,0,MATCH($A15,Timeline!$P$4:$AN$4,0))="x")*(Timeline!$K$5:$K$305="Task")*ISNUMBER(Timeline!$I$5:$I$305)*ISNUMBER(Timeline!$J$5:$J$305)*(Timeline!$I$5:$I$305&lt;=G$4+5)*(Timeline!$J$5:$J$305&gt;=G$4+5)),SUMPRODUCT((INDEX(Timeline!$P$5:$AN$305,0,MATCH($A15,Timeline!$P$4:$AN$4,0))="x")*(Timeline!$K$5:$K$305="Task")*ISNUMBER(Timeline!$I$5:$I$305)*ISNUMBER(Timeline!$J$5:$J$305)*(Timeline!$I$5:$I$305&lt;=G$4+6)*(Timeline!$J$5:$J$305&gt;=G$4+6)))</f>
        <v>1</v>
      </c>
      <c r="H15" s="67">
        <f>MAX(SUMPRODUCT((INDEX(Timeline!$P$5:$AN$305,0,MATCH($A15,Timeline!$P$4:$AN$4,0))="x")*(Timeline!$K$5:$K$305="Task")*ISNUMBER(Timeline!$I$5:$I$305)*ISNUMBER(Timeline!$J$5:$J$305)*(Timeline!$I$5:$I$305&lt;=H$4+0)*(Timeline!$J$5:$J$305&gt;=H$4+0)),SUMPRODUCT((INDEX(Timeline!$P$5:$AN$305,0,MATCH($A15,Timeline!$P$4:$AN$4,0))="x")*(Timeline!$K$5:$K$305="Task")*ISNUMBER(Timeline!$I$5:$I$305)*ISNUMBER(Timeline!$J$5:$J$305)*(Timeline!$I$5:$I$305&lt;=H$4+1)*(Timeline!$J$5:$J$305&gt;=H$4+1)),SUMPRODUCT((INDEX(Timeline!$P$5:$AN$305,0,MATCH($A15,Timeline!$P$4:$AN$4,0))="x")*(Timeline!$K$5:$K$305="Task")*ISNUMBER(Timeline!$I$5:$I$305)*ISNUMBER(Timeline!$J$5:$J$305)*(Timeline!$I$5:$I$305&lt;=H$4+2)*(Timeline!$J$5:$J$305&gt;=H$4+2)),SUMPRODUCT((INDEX(Timeline!$P$5:$AN$305,0,MATCH($A15,Timeline!$P$4:$AN$4,0))="x")*(Timeline!$K$5:$K$305="Task")*ISNUMBER(Timeline!$I$5:$I$305)*ISNUMBER(Timeline!$J$5:$J$305)*(Timeline!$I$5:$I$305&lt;=H$4+3)*(Timeline!$J$5:$J$305&gt;=H$4+3)),SUMPRODUCT((INDEX(Timeline!$P$5:$AN$305,0,MATCH($A15,Timeline!$P$4:$AN$4,0))="x")*(Timeline!$K$5:$K$305="Task")*ISNUMBER(Timeline!$I$5:$I$305)*ISNUMBER(Timeline!$J$5:$J$305)*(Timeline!$I$5:$I$305&lt;=H$4+4)*(Timeline!$J$5:$J$305&gt;=H$4+4)),SUMPRODUCT((INDEX(Timeline!$P$5:$AN$305,0,MATCH($A15,Timeline!$P$4:$AN$4,0))="x")*(Timeline!$K$5:$K$305="Task")*ISNUMBER(Timeline!$I$5:$I$305)*ISNUMBER(Timeline!$J$5:$J$305)*(Timeline!$I$5:$I$305&lt;=H$4+5)*(Timeline!$J$5:$J$305&gt;=H$4+5)),SUMPRODUCT((INDEX(Timeline!$P$5:$AN$305,0,MATCH($A15,Timeline!$P$4:$AN$4,0))="x")*(Timeline!$K$5:$K$305="Task")*ISNUMBER(Timeline!$I$5:$I$305)*ISNUMBER(Timeline!$J$5:$J$305)*(Timeline!$I$5:$I$305&lt;=H$4+6)*(Timeline!$J$5:$J$305&gt;=H$4+6)))</f>
        <v>1</v>
      </c>
      <c r="I15" s="67">
        <f>MAX(SUMPRODUCT((INDEX(Timeline!$P$5:$AN$305,0,MATCH($A15,Timeline!$P$4:$AN$4,0))="x")*(Timeline!$K$5:$K$305="Task")*ISNUMBER(Timeline!$I$5:$I$305)*ISNUMBER(Timeline!$J$5:$J$305)*(Timeline!$I$5:$I$305&lt;=I$4+0)*(Timeline!$J$5:$J$305&gt;=I$4+0)),SUMPRODUCT((INDEX(Timeline!$P$5:$AN$305,0,MATCH($A15,Timeline!$P$4:$AN$4,0))="x")*(Timeline!$K$5:$K$305="Task")*ISNUMBER(Timeline!$I$5:$I$305)*ISNUMBER(Timeline!$J$5:$J$305)*(Timeline!$I$5:$I$305&lt;=I$4+1)*(Timeline!$J$5:$J$305&gt;=I$4+1)),SUMPRODUCT((INDEX(Timeline!$P$5:$AN$305,0,MATCH($A15,Timeline!$P$4:$AN$4,0))="x")*(Timeline!$K$5:$K$305="Task")*ISNUMBER(Timeline!$I$5:$I$305)*ISNUMBER(Timeline!$J$5:$J$305)*(Timeline!$I$5:$I$305&lt;=I$4+2)*(Timeline!$J$5:$J$305&gt;=I$4+2)),SUMPRODUCT((INDEX(Timeline!$P$5:$AN$305,0,MATCH($A15,Timeline!$P$4:$AN$4,0))="x")*(Timeline!$K$5:$K$305="Task")*ISNUMBER(Timeline!$I$5:$I$305)*ISNUMBER(Timeline!$J$5:$J$305)*(Timeline!$I$5:$I$305&lt;=I$4+3)*(Timeline!$J$5:$J$305&gt;=I$4+3)),SUMPRODUCT((INDEX(Timeline!$P$5:$AN$305,0,MATCH($A15,Timeline!$P$4:$AN$4,0))="x")*(Timeline!$K$5:$K$305="Task")*ISNUMBER(Timeline!$I$5:$I$305)*ISNUMBER(Timeline!$J$5:$J$305)*(Timeline!$I$5:$I$305&lt;=I$4+4)*(Timeline!$J$5:$J$305&gt;=I$4+4)),SUMPRODUCT((INDEX(Timeline!$P$5:$AN$305,0,MATCH($A15,Timeline!$P$4:$AN$4,0))="x")*(Timeline!$K$5:$K$305="Task")*ISNUMBER(Timeline!$I$5:$I$305)*ISNUMBER(Timeline!$J$5:$J$305)*(Timeline!$I$5:$I$305&lt;=I$4+5)*(Timeline!$J$5:$J$305&gt;=I$4+5)),SUMPRODUCT((INDEX(Timeline!$P$5:$AN$305,0,MATCH($A15,Timeline!$P$4:$AN$4,0))="x")*(Timeline!$K$5:$K$305="Task")*ISNUMBER(Timeline!$I$5:$I$305)*ISNUMBER(Timeline!$J$5:$J$305)*(Timeline!$I$5:$I$305&lt;=I$4+6)*(Timeline!$J$5:$J$305&gt;=I$4+6)))</f>
        <v>1</v>
      </c>
      <c r="J15" s="67">
        <f>MAX(SUMPRODUCT((INDEX(Timeline!$P$5:$AN$305,0,MATCH($A15,Timeline!$P$4:$AN$4,0))="x")*(Timeline!$K$5:$K$305="Task")*ISNUMBER(Timeline!$I$5:$I$305)*ISNUMBER(Timeline!$J$5:$J$305)*(Timeline!$I$5:$I$305&lt;=J$4+0)*(Timeline!$J$5:$J$305&gt;=J$4+0)),SUMPRODUCT((INDEX(Timeline!$P$5:$AN$305,0,MATCH($A15,Timeline!$P$4:$AN$4,0))="x")*(Timeline!$K$5:$K$305="Task")*ISNUMBER(Timeline!$I$5:$I$305)*ISNUMBER(Timeline!$J$5:$J$305)*(Timeline!$I$5:$I$305&lt;=J$4+1)*(Timeline!$J$5:$J$305&gt;=J$4+1)),SUMPRODUCT((INDEX(Timeline!$P$5:$AN$305,0,MATCH($A15,Timeline!$P$4:$AN$4,0))="x")*(Timeline!$K$5:$K$305="Task")*ISNUMBER(Timeline!$I$5:$I$305)*ISNUMBER(Timeline!$J$5:$J$305)*(Timeline!$I$5:$I$305&lt;=J$4+2)*(Timeline!$J$5:$J$305&gt;=J$4+2)),SUMPRODUCT((INDEX(Timeline!$P$5:$AN$305,0,MATCH($A15,Timeline!$P$4:$AN$4,0))="x")*(Timeline!$K$5:$K$305="Task")*ISNUMBER(Timeline!$I$5:$I$305)*ISNUMBER(Timeline!$J$5:$J$305)*(Timeline!$I$5:$I$305&lt;=J$4+3)*(Timeline!$J$5:$J$305&gt;=J$4+3)),SUMPRODUCT((INDEX(Timeline!$P$5:$AN$305,0,MATCH($A15,Timeline!$P$4:$AN$4,0))="x")*(Timeline!$K$5:$K$305="Task")*ISNUMBER(Timeline!$I$5:$I$305)*ISNUMBER(Timeline!$J$5:$J$305)*(Timeline!$I$5:$I$305&lt;=J$4+4)*(Timeline!$J$5:$J$305&gt;=J$4+4)),SUMPRODUCT((INDEX(Timeline!$P$5:$AN$305,0,MATCH($A15,Timeline!$P$4:$AN$4,0))="x")*(Timeline!$K$5:$K$305="Task")*ISNUMBER(Timeline!$I$5:$I$305)*ISNUMBER(Timeline!$J$5:$J$305)*(Timeline!$I$5:$I$305&lt;=J$4+5)*(Timeline!$J$5:$J$305&gt;=J$4+5)),SUMPRODUCT((INDEX(Timeline!$P$5:$AN$305,0,MATCH($A15,Timeline!$P$4:$AN$4,0))="x")*(Timeline!$K$5:$K$305="Task")*ISNUMBER(Timeline!$I$5:$I$305)*ISNUMBER(Timeline!$J$5:$J$305)*(Timeline!$I$5:$I$305&lt;=J$4+6)*(Timeline!$J$5:$J$305&gt;=J$4+6)))</f>
        <v>0</v>
      </c>
      <c r="K15" s="67">
        <f>MAX(SUMPRODUCT((INDEX(Timeline!$P$5:$AN$305,0,MATCH($A15,Timeline!$P$4:$AN$4,0))="x")*(Timeline!$K$5:$K$305="Task")*ISNUMBER(Timeline!$I$5:$I$305)*ISNUMBER(Timeline!$J$5:$J$305)*(Timeline!$I$5:$I$305&lt;=K$4+0)*(Timeline!$J$5:$J$305&gt;=K$4+0)),SUMPRODUCT((INDEX(Timeline!$P$5:$AN$305,0,MATCH($A15,Timeline!$P$4:$AN$4,0))="x")*(Timeline!$K$5:$K$305="Task")*ISNUMBER(Timeline!$I$5:$I$305)*ISNUMBER(Timeline!$J$5:$J$305)*(Timeline!$I$5:$I$305&lt;=K$4+1)*(Timeline!$J$5:$J$305&gt;=K$4+1)),SUMPRODUCT((INDEX(Timeline!$P$5:$AN$305,0,MATCH($A15,Timeline!$P$4:$AN$4,0))="x")*(Timeline!$K$5:$K$305="Task")*ISNUMBER(Timeline!$I$5:$I$305)*ISNUMBER(Timeline!$J$5:$J$305)*(Timeline!$I$5:$I$305&lt;=K$4+2)*(Timeline!$J$5:$J$305&gt;=K$4+2)),SUMPRODUCT((INDEX(Timeline!$P$5:$AN$305,0,MATCH($A15,Timeline!$P$4:$AN$4,0))="x")*(Timeline!$K$5:$K$305="Task")*ISNUMBER(Timeline!$I$5:$I$305)*ISNUMBER(Timeline!$J$5:$J$305)*(Timeline!$I$5:$I$305&lt;=K$4+3)*(Timeline!$J$5:$J$305&gt;=K$4+3)),SUMPRODUCT((INDEX(Timeline!$P$5:$AN$305,0,MATCH($A15,Timeline!$P$4:$AN$4,0))="x")*(Timeline!$K$5:$K$305="Task")*ISNUMBER(Timeline!$I$5:$I$305)*ISNUMBER(Timeline!$J$5:$J$305)*(Timeline!$I$5:$I$305&lt;=K$4+4)*(Timeline!$J$5:$J$305&gt;=K$4+4)),SUMPRODUCT((INDEX(Timeline!$P$5:$AN$305,0,MATCH($A15,Timeline!$P$4:$AN$4,0))="x")*(Timeline!$K$5:$K$305="Task")*ISNUMBER(Timeline!$I$5:$I$305)*ISNUMBER(Timeline!$J$5:$J$305)*(Timeline!$I$5:$I$305&lt;=K$4+5)*(Timeline!$J$5:$J$305&gt;=K$4+5)),SUMPRODUCT((INDEX(Timeline!$P$5:$AN$305,0,MATCH($A15,Timeline!$P$4:$AN$4,0))="x")*(Timeline!$K$5:$K$305="Task")*ISNUMBER(Timeline!$I$5:$I$305)*ISNUMBER(Timeline!$J$5:$J$305)*(Timeline!$I$5:$I$305&lt;=K$4+6)*(Timeline!$J$5:$J$305&gt;=K$4+6)))</f>
        <v>1</v>
      </c>
      <c r="L15" s="67">
        <f>MAX(SUMPRODUCT((INDEX(Timeline!$P$5:$AN$305,0,MATCH($A15,Timeline!$P$4:$AN$4,0))="x")*(Timeline!$K$5:$K$305="Task")*ISNUMBER(Timeline!$I$5:$I$305)*ISNUMBER(Timeline!$J$5:$J$305)*(Timeline!$I$5:$I$305&lt;=L$4+0)*(Timeline!$J$5:$J$305&gt;=L$4+0)),SUMPRODUCT((INDEX(Timeline!$P$5:$AN$305,0,MATCH($A15,Timeline!$P$4:$AN$4,0))="x")*(Timeline!$K$5:$K$305="Task")*ISNUMBER(Timeline!$I$5:$I$305)*ISNUMBER(Timeline!$J$5:$J$305)*(Timeline!$I$5:$I$305&lt;=L$4+1)*(Timeline!$J$5:$J$305&gt;=L$4+1)),SUMPRODUCT((INDEX(Timeline!$P$5:$AN$305,0,MATCH($A15,Timeline!$P$4:$AN$4,0))="x")*(Timeline!$K$5:$K$305="Task")*ISNUMBER(Timeline!$I$5:$I$305)*ISNUMBER(Timeline!$J$5:$J$305)*(Timeline!$I$5:$I$305&lt;=L$4+2)*(Timeline!$J$5:$J$305&gt;=L$4+2)),SUMPRODUCT((INDEX(Timeline!$P$5:$AN$305,0,MATCH($A15,Timeline!$P$4:$AN$4,0))="x")*(Timeline!$K$5:$K$305="Task")*ISNUMBER(Timeline!$I$5:$I$305)*ISNUMBER(Timeline!$J$5:$J$305)*(Timeline!$I$5:$I$305&lt;=L$4+3)*(Timeline!$J$5:$J$305&gt;=L$4+3)),SUMPRODUCT((INDEX(Timeline!$P$5:$AN$305,0,MATCH($A15,Timeline!$P$4:$AN$4,0))="x")*(Timeline!$K$5:$K$305="Task")*ISNUMBER(Timeline!$I$5:$I$305)*ISNUMBER(Timeline!$J$5:$J$305)*(Timeline!$I$5:$I$305&lt;=L$4+4)*(Timeline!$J$5:$J$305&gt;=L$4+4)),SUMPRODUCT((INDEX(Timeline!$P$5:$AN$305,0,MATCH($A15,Timeline!$P$4:$AN$4,0))="x")*(Timeline!$K$5:$K$305="Task")*ISNUMBER(Timeline!$I$5:$I$305)*ISNUMBER(Timeline!$J$5:$J$305)*(Timeline!$I$5:$I$305&lt;=L$4+5)*(Timeline!$J$5:$J$305&gt;=L$4+5)),SUMPRODUCT((INDEX(Timeline!$P$5:$AN$305,0,MATCH($A15,Timeline!$P$4:$AN$4,0))="x")*(Timeline!$K$5:$K$305="Task")*ISNUMBER(Timeline!$I$5:$I$305)*ISNUMBER(Timeline!$J$5:$J$305)*(Timeline!$I$5:$I$305&lt;=L$4+6)*(Timeline!$J$5:$J$305&gt;=L$4+6)))</f>
        <v>1</v>
      </c>
      <c r="M15" s="67">
        <f>MAX(SUMPRODUCT((INDEX(Timeline!$P$5:$AN$305,0,MATCH($A15,Timeline!$P$4:$AN$4,0))="x")*(Timeline!$K$5:$K$305="Task")*ISNUMBER(Timeline!$I$5:$I$305)*ISNUMBER(Timeline!$J$5:$J$305)*(Timeline!$I$5:$I$305&lt;=M$4+0)*(Timeline!$J$5:$J$305&gt;=M$4+0)),SUMPRODUCT((INDEX(Timeline!$P$5:$AN$305,0,MATCH($A15,Timeline!$P$4:$AN$4,0))="x")*(Timeline!$K$5:$K$305="Task")*ISNUMBER(Timeline!$I$5:$I$305)*ISNUMBER(Timeline!$J$5:$J$305)*(Timeline!$I$5:$I$305&lt;=M$4+1)*(Timeline!$J$5:$J$305&gt;=M$4+1)),SUMPRODUCT((INDEX(Timeline!$P$5:$AN$305,0,MATCH($A15,Timeline!$P$4:$AN$4,0))="x")*(Timeline!$K$5:$K$305="Task")*ISNUMBER(Timeline!$I$5:$I$305)*ISNUMBER(Timeline!$J$5:$J$305)*(Timeline!$I$5:$I$305&lt;=M$4+2)*(Timeline!$J$5:$J$305&gt;=M$4+2)),SUMPRODUCT((INDEX(Timeline!$P$5:$AN$305,0,MATCH($A15,Timeline!$P$4:$AN$4,0))="x")*(Timeline!$K$5:$K$305="Task")*ISNUMBER(Timeline!$I$5:$I$305)*ISNUMBER(Timeline!$J$5:$J$305)*(Timeline!$I$5:$I$305&lt;=M$4+3)*(Timeline!$J$5:$J$305&gt;=M$4+3)),SUMPRODUCT((INDEX(Timeline!$P$5:$AN$305,0,MATCH($A15,Timeline!$P$4:$AN$4,0))="x")*(Timeline!$K$5:$K$305="Task")*ISNUMBER(Timeline!$I$5:$I$305)*ISNUMBER(Timeline!$J$5:$J$305)*(Timeline!$I$5:$I$305&lt;=M$4+4)*(Timeline!$J$5:$J$305&gt;=M$4+4)),SUMPRODUCT((INDEX(Timeline!$P$5:$AN$305,0,MATCH($A15,Timeline!$P$4:$AN$4,0))="x")*(Timeline!$K$5:$K$305="Task")*ISNUMBER(Timeline!$I$5:$I$305)*ISNUMBER(Timeline!$J$5:$J$305)*(Timeline!$I$5:$I$305&lt;=M$4+5)*(Timeline!$J$5:$J$305&gt;=M$4+5)),SUMPRODUCT((INDEX(Timeline!$P$5:$AN$305,0,MATCH($A15,Timeline!$P$4:$AN$4,0))="x")*(Timeline!$K$5:$K$305="Task")*ISNUMBER(Timeline!$I$5:$I$305)*ISNUMBER(Timeline!$J$5:$J$305)*(Timeline!$I$5:$I$305&lt;=M$4+6)*(Timeline!$J$5:$J$305&gt;=M$4+6)))</f>
        <v>1</v>
      </c>
      <c r="N15" s="67">
        <f>MAX(SUMPRODUCT((INDEX(Timeline!$P$5:$AN$305,0,MATCH($A15,Timeline!$P$4:$AN$4,0))="x")*(Timeline!$K$5:$K$305="Task")*ISNUMBER(Timeline!$I$5:$I$305)*ISNUMBER(Timeline!$J$5:$J$305)*(Timeline!$I$5:$I$305&lt;=N$4+0)*(Timeline!$J$5:$J$305&gt;=N$4+0)),SUMPRODUCT((INDEX(Timeline!$P$5:$AN$305,0,MATCH($A15,Timeline!$P$4:$AN$4,0))="x")*(Timeline!$K$5:$K$305="Task")*ISNUMBER(Timeline!$I$5:$I$305)*ISNUMBER(Timeline!$J$5:$J$305)*(Timeline!$I$5:$I$305&lt;=N$4+1)*(Timeline!$J$5:$J$305&gt;=N$4+1)),SUMPRODUCT((INDEX(Timeline!$P$5:$AN$305,0,MATCH($A15,Timeline!$P$4:$AN$4,0))="x")*(Timeline!$K$5:$K$305="Task")*ISNUMBER(Timeline!$I$5:$I$305)*ISNUMBER(Timeline!$J$5:$J$305)*(Timeline!$I$5:$I$305&lt;=N$4+2)*(Timeline!$J$5:$J$305&gt;=N$4+2)),SUMPRODUCT((INDEX(Timeline!$P$5:$AN$305,0,MATCH($A15,Timeline!$P$4:$AN$4,0))="x")*(Timeline!$K$5:$K$305="Task")*ISNUMBER(Timeline!$I$5:$I$305)*ISNUMBER(Timeline!$J$5:$J$305)*(Timeline!$I$5:$I$305&lt;=N$4+3)*(Timeline!$J$5:$J$305&gt;=N$4+3)),SUMPRODUCT((INDEX(Timeline!$P$5:$AN$305,0,MATCH($A15,Timeline!$P$4:$AN$4,0))="x")*(Timeline!$K$5:$K$305="Task")*ISNUMBER(Timeline!$I$5:$I$305)*ISNUMBER(Timeline!$J$5:$J$305)*(Timeline!$I$5:$I$305&lt;=N$4+4)*(Timeline!$J$5:$J$305&gt;=N$4+4)),SUMPRODUCT((INDEX(Timeline!$P$5:$AN$305,0,MATCH($A15,Timeline!$P$4:$AN$4,0))="x")*(Timeline!$K$5:$K$305="Task")*ISNUMBER(Timeline!$I$5:$I$305)*ISNUMBER(Timeline!$J$5:$J$305)*(Timeline!$I$5:$I$305&lt;=N$4+5)*(Timeline!$J$5:$J$305&gt;=N$4+5)),SUMPRODUCT((INDEX(Timeline!$P$5:$AN$305,0,MATCH($A15,Timeline!$P$4:$AN$4,0))="x")*(Timeline!$K$5:$K$305="Task")*ISNUMBER(Timeline!$I$5:$I$305)*ISNUMBER(Timeline!$J$5:$J$305)*(Timeline!$I$5:$I$305&lt;=N$4+6)*(Timeline!$J$5:$J$305&gt;=N$4+6)))</f>
        <v>1</v>
      </c>
      <c r="O15" s="67">
        <f>MAX(SUMPRODUCT((INDEX(Timeline!$P$5:$AN$305,0,MATCH($A15,Timeline!$P$4:$AN$4,0))="x")*(Timeline!$K$5:$K$305="Task")*ISNUMBER(Timeline!$I$5:$I$305)*ISNUMBER(Timeline!$J$5:$J$305)*(Timeline!$I$5:$I$305&lt;=O$4+0)*(Timeline!$J$5:$J$305&gt;=O$4+0)),SUMPRODUCT((INDEX(Timeline!$P$5:$AN$305,0,MATCH($A15,Timeline!$P$4:$AN$4,0))="x")*(Timeline!$K$5:$K$305="Task")*ISNUMBER(Timeline!$I$5:$I$305)*ISNUMBER(Timeline!$J$5:$J$305)*(Timeline!$I$5:$I$305&lt;=O$4+1)*(Timeline!$J$5:$J$305&gt;=O$4+1)),SUMPRODUCT((INDEX(Timeline!$P$5:$AN$305,0,MATCH($A15,Timeline!$P$4:$AN$4,0))="x")*(Timeline!$K$5:$K$305="Task")*ISNUMBER(Timeline!$I$5:$I$305)*ISNUMBER(Timeline!$J$5:$J$305)*(Timeline!$I$5:$I$305&lt;=O$4+2)*(Timeline!$J$5:$J$305&gt;=O$4+2)),SUMPRODUCT((INDEX(Timeline!$P$5:$AN$305,0,MATCH($A15,Timeline!$P$4:$AN$4,0))="x")*(Timeline!$K$5:$K$305="Task")*ISNUMBER(Timeline!$I$5:$I$305)*ISNUMBER(Timeline!$J$5:$J$305)*(Timeline!$I$5:$I$305&lt;=O$4+3)*(Timeline!$J$5:$J$305&gt;=O$4+3)),SUMPRODUCT((INDEX(Timeline!$P$5:$AN$305,0,MATCH($A15,Timeline!$P$4:$AN$4,0))="x")*(Timeline!$K$5:$K$305="Task")*ISNUMBER(Timeline!$I$5:$I$305)*ISNUMBER(Timeline!$J$5:$J$305)*(Timeline!$I$5:$I$305&lt;=O$4+4)*(Timeline!$J$5:$J$305&gt;=O$4+4)),SUMPRODUCT((INDEX(Timeline!$P$5:$AN$305,0,MATCH($A15,Timeline!$P$4:$AN$4,0))="x")*(Timeline!$K$5:$K$305="Task")*ISNUMBER(Timeline!$I$5:$I$305)*ISNUMBER(Timeline!$J$5:$J$305)*(Timeline!$I$5:$I$305&lt;=O$4+5)*(Timeline!$J$5:$J$305&gt;=O$4+5)),SUMPRODUCT((INDEX(Timeline!$P$5:$AN$305,0,MATCH($A15,Timeline!$P$4:$AN$4,0))="x")*(Timeline!$K$5:$K$305="Task")*ISNUMBER(Timeline!$I$5:$I$305)*ISNUMBER(Timeline!$J$5:$J$305)*(Timeline!$I$5:$I$305&lt;=O$4+6)*(Timeline!$J$5:$J$305&gt;=O$4+6)))</f>
        <v>1</v>
      </c>
      <c r="P15" s="67">
        <f>MAX(SUMPRODUCT((INDEX(Timeline!$P$5:$AN$305,0,MATCH($A15,Timeline!$P$4:$AN$4,0))="x")*(Timeline!$K$5:$K$305="Task")*ISNUMBER(Timeline!$I$5:$I$305)*ISNUMBER(Timeline!$J$5:$J$305)*(Timeline!$I$5:$I$305&lt;=P$4+0)*(Timeline!$J$5:$J$305&gt;=P$4+0)),SUMPRODUCT((INDEX(Timeline!$P$5:$AN$305,0,MATCH($A15,Timeline!$P$4:$AN$4,0))="x")*(Timeline!$K$5:$K$305="Task")*ISNUMBER(Timeline!$I$5:$I$305)*ISNUMBER(Timeline!$J$5:$J$305)*(Timeline!$I$5:$I$305&lt;=P$4+1)*(Timeline!$J$5:$J$305&gt;=P$4+1)),SUMPRODUCT((INDEX(Timeline!$P$5:$AN$305,0,MATCH($A15,Timeline!$P$4:$AN$4,0))="x")*(Timeline!$K$5:$K$305="Task")*ISNUMBER(Timeline!$I$5:$I$305)*ISNUMBER(Timeline!$J$5:$J$305)*(Timeline!$I$5:$I$305&lt;=P$4+2)*(Timeline!$J$5:$J$305&gt;=P$4+2)),SUMPRODUCT((INDEX(Timeline!$P$5:$AN$305,0,MATCH($A15,Timeline!$P$4:$AN$4,0))="x")*(Timeline!$K$5:$K$305="Task")*ISNUMBER(Timeline!$I$5:$I$305)*ISNUMBER(Timeline!$J$5:$J$305)*(Timeline!$I$5:$I$305&lt;=P$4+3)*(Timeline!$J$5:$J$305&gt;=P$4+3)),SUMPRODUCT((INDEX(Timeline!$P$5:$AN$305,0,MATCH($A15,Timeline!$P$4:$AN$4,0))="x")*(Timeline!$K$5:$K$305="Task")*ISNUMBER(Timeline!$I$5:$I$305)*ISNUMBER(Timeline!$J$5:$J$305)*(Timeline!$I$5:$I$305&lt;=P$4+4)*(Timeline!$J$5:$J$305&gt;=P$4+4)),SUMPRODUCT((INDEX(Timeline!$P$5:$AN$305,0,MATCH($A15,Timeline!$P$4:$AN$4,0))="x")*(Timeline!$K$5:$K$305="Task")*ISNUMBER(Timeline!$I$5:$I$305)*ISNUMBER(Timeline!$J$5:$J$305)*(Timeline!$I$5:$I$305&lt;=P$4+5)*(Timeline!$J$5:$J$305&gt;=P$4+5)),SUMPRODUCT((INDEX(Timeline!$P$5:$AN$305,0,MATCH($A15,Timeline!$P$4:$AN$4,0))="x")*(Timeline!$K$5:$K$305="Task")*ISNUMBER(Timeline!$I$5:$I$305)*ISNUMBER(Timeline!$J$5:$J$305)*(Timeline!$I$5:$I$305&lt;=P$4+6)*(Timeline!$J$5:$J$305&gt;=P$4+6)))</f>
        <v>1</v>
      </c>
      <c r="Q15" s="67">
        <f>MAX(SUMPRODUCT((INDEX(Timeline!$P$5:$AN$305,0,MATCH($A15,Timeline!$P$4:$AN$4,0))="x")*(Timeline!$K$5:$K$305="Task")*ISNUMBER(Timeline!$I$5:$I$305)*ISNUMBER(Timeline!$J$5:$J$305)*(Timeline!$I$5:$I$305&lt;=Q$4+0)*(Timeline!$J$5:$J$305&gt;=Q$4+0)),SUMPRODUCT((INDEX(Timeline!$P$5:$AN$305,0,MATCH($A15,Timeline!$P$4:$AN$4,0))="x")*(Timeline!$K$5:$K$305="Task")*ISNUMBER(Timeline!$I$5:$I$305)*ISNUMBER(Timeline!$J$5:$J$305)*(Timeline!$I$5:$I$305&lt;=Q$4+1)*(Timeline!$J$5:$J$305&gt;=Q$4+1)),SUMPRODUCT((INDEX(Timeline!$P$5:$AN$305,0,MATCH($A15,Timeline!$P$4:$AN$4,0))="x")*(Timeline!$K$5:$K$305="Task")*ISNUMBER(Timeline!$I$5:$I$305)*ISNUMBER(Timeline!$J$5:$J$305)*(Timeline!$I$5:$I$305&lt;=Q$4+2)*(Timeline!$J$5:$J$305&gt;=Q$4+2)),SUMPRODUCT((INDEX(Timeline!$P$5:$AN$305,0,MATCH($A15,Timeline!$P$4:$AN$4,0))="x")*(Timeline!$K$5:$K$305="Task")*ISNUMBER(Timeline!$I$5:$I$305)*ISNUMBER(Timeline!$J$5:$J$305)*(Timeline!$I$5:$I$305&lt;=Q$4+3)*(Timeline!$J$5:$J$305&gt;=Q$4+3)),SUMPRODUCT((INDEX(Timeline!$P$5:$AN$305,0,MATCH($A15,Timeline!$P$4:$AN$4,0))="x")*(Timeline!$K$5:$K$305="Task")*ISNUMBER(Timeline!$I$5:$I$305)*ISNUMBER(Timeline!$J$5:$J$305)*(Timeline!$I$5:$I$305&lt;=Q$4+4)*(Timeline!$J$5:$J$305&gt;=Q$4+4)),SUMPRODUCT((INDEX(Timeline!$P$5:$AN$305,0,MATCH($A15,Timeline!$P$4:$AN$4,0))="x")*(Timeline!$K$5:$K$305="Task")*ISNUMBER(Timeline!$I$5:$I$305)*ISNUMBER(Timeline!$J$5:$J$305)*(Timeline!$I$5:$I$305&lt;=Q$4+5)*(Timeline!$J$5:$J$305&gt;=Q$4+5)),SUMPRODUCT((INDEX(Timeline!$P$5:$AN$305,0,MATCH($A15,Timeline!$P$4:$AN$4,0))="x")*(Timeline!$K$5:$K$305="Task")*ISNUMBER(Timeline!$I$5:$I$305)*ISNUMBER(Timeline!$J$5:$J$305)*(Timeline!$I$5:$I$305&lt;=Q$4+6)*(Timeline!$J$5:$J$305&gt;=Q$4+6)))</f>
        <v>1</v>
      </c>
      <c r="R15" s="67">
        <f>MAX(SUMPRODUCT((INDEX(Timeline!$P$5:$AN$305,0,MATCH($A15,Timeline!$P$4:$AN$4,0))="x")*(Timeline!$K$5:$K$305="Task")*ISNUMBER(Timeline!$I$5:$I$305)*ISNUMBER(Timeline!$J$5:$J$305)*(Timeline!$I$5:$I$305&lt;=R$4+0)*(Timeline!$J$5:$J$305&gt;=R$4+0)),SUMPRODUCT((INDEX(Timeline!$P$5:$AN$305,0,MATCH($A15,Timeline!$P$4:$AN$4,0))="x")*(Timeline!$K$5:$K$305="Task")*ISNUMBER(Timeline!$I$5:$I$305)*ISNUMBER(Timeline!$J$5:$J$305)*(Timeline!$I$5:$I$305&lt;=R$4+1)*(Timeline!$J$5:$J$305&gt;=R$4+1)),SUMPRODUCT((INDEX(Timeline!$P$5:$AN$305,0,MATCH($A15,Timeline!$P$4:$AN$4,0))="x")*(Timeline!$K$5:$K$305="Task")*ISNUMBER(Timeline!$I$5:$I$305)*ISNUMBER(Timeline!$J$5:$J$305)*(Timeline!$I$5:$I$305&lt;=R$4+2)*(Timeline!$J$5:$J$305&gt;=R$4+2)),SUMPRODUCT((INDEX(Timeline!$P$5:$AN$305,0,MATCH($A15,Timeline!$P$4:$AN$4,0))="x")*(Timeline!$K$5:$K$305="Task")*ISNUMBER(Timeline!$I$5:$I$305)*ISNUMBER(Timeline!$J$5:$J$305)*(Timeline!$I$5:$I$305&lt;=R$4+3)*(Timeline!$J$5:$J$305&gt;=R$4+3)),SUMPRODUCT((INDEX(Timeline!$P$5:$AN$305,0,MATCH($A15,Timeline!$P$4:$AN$4,0))="x")*(Timeline!$K$5:$K$305="Task")*ISNUMBER(Timeline!$I$5:$I$305)*ISNUMBER(Timeline!$J$5:$J$305)*(Timeline!$I$5:$I$305&lt;=R$4+4)*(Timeline!$J$5:$J$305&gt;=R$4+4)),SUMPRODUCT((INDEX(Timeline!$P$5:$AN$305,0,MATCH($A15,Timeline!$P$4:$AN$4,0))="x")*(Timeline!$K$5:$K$305="Task")*ISNUMBER(Timeline!$I$5:$I$305)*ISNUMBER(Timeline!$J$5:$J$305)*(Timeline!$I$5:$I$305&lt;=R$4+5)*(Timeline!$J$5:$J$305&gt;=R$4+5)),SUMPRODUCT((INDEX(Timeline!$P$5:$AN$305,0,MATCH($A15,Timeline!$P$4:$AN$4,0))="x")*(Timeline!$K$5:$K$305="Task")*ISNUMBER(Timeline!$I$5:$I$305)*ISNUMBER(Timeline!$J$5:$J$305)*(Timeline!$I$5:$I$305&lt;=R$4+6)*(Timeline!$J$5:$J$305&gt;=R$4+6)))</f>
        <v>1</v>
      </c>
      <c r="S15" s="67">
        <f>MAX(SUMPRODUCT((INDEX(Timeline!$P$5:$AN$305,0,MATCH($A15,Timeline!$P$4:$AN$4,0))="x")*(Timeline!$K$5:$K$305="Task")*ISNUMBER(Timeline!$I$5:$I$305)*ISNUMBER(Timeline!$J$5:$J$305)*(Timeline!$I$5:$I$305&lt;=S$4+0)*(Timeline!$J$5:$J$305&gt;=S$4+0)),SUMPRODUCT((INDEX(Timeline!$P$5:$AN$305,0,MATCH($A15,Timeline!$P$4:$AN$4,0))="x")*(Timeline!$K$5:$K$305="Task")*ISNUMBER(Timeline!$I$5:$I$305)*ISNUMBER(Timeline!$J$5:$J$305)*(Timeline!$I$5:$I$305&lt;=S$4+1)*(Timeline!$J$5:$J$305&gt;=S$4+1)),SUMPRODUCT((INDEX(Timeline!$P$5:$AN$305,0,MATCH($A15,Timeline!$P$4:$AN$4,0))="x")*(Timeline!$K$5:$K$305="Task")*ISNUMBER(Timeline!$I$5:$I$305)*ISNUMBER(Timeline!$J$5:$J$305)*(Timeline!$I$5:$I$305&lt;=S$4+2)*(Timeline!$J$5:$J$305&gt;=S$4+2)),SUMPRODUCT((INDEX(Timeline!$P$5:$AN$305,0,MATCH($A15,Timeline!$P$4:$AN$4,0))="x")*(Timeline!$K$5:$K$305="Task")*ISNUMBER(Timeline!$I$5:$I$305)*ISNUMBER(Timeline!$J$5:$J$305)*(Timeline!$I$5:$I$305&lt;=S$4+3)*(Timeline!$J$5:$J$305&gt;=S$4+3)),SUMPRODUCT((INDEX(Timeline!$P$5:$AN$305,0,MATCH($A15,Timeline!$P$4:$AN$4,0))="x")*(Timeline!$K$5:$K$305="Task")*ISNUMBER(Timeline!$I$5:$I$305)*ISNUMBER(Timeline!$J$5:$J$305)*(Timeline!$I$5:$I$305&lt;=S$4+4)*(Timeline!$J$5:$J$305&gt;=S$4+4)),SUMPRODUCT((INDEX(Timeline!$P$5:$AN$305,0,MATCH($A15,Timeline!$P$4:$AN$4,0))="x")*(Timeline!$K$5:$K$305="Task")*ISNUMBER(Timeline!$I$5:$I$305)*ISNUMBER(Timeline!$J$5:$J$305)*(Timeline!$I$5:$I$305&lt;=S$4+5)*(Timeline!$J$5:$J$305&gt;=S$4+5)),SUMPRODUCT((INDEX(Timeline!$P$5:$AN$305,0,MATCH($A15,Timeline!$P$4:$AN$4,0))="x")*(Timeline!$K$5:$K$305="Task")*ISNUMBER(Timeline!$I$5:$I$305)*ISNUMBER(Timeline!$J$5:$J$305)*(Timeline!$I$5:$I$305&lt;=S$4+6)*(Timeline!$J$5:$J$305&gt;=S$4+6)))</f>
        <v>1</v>
      </c>
      <c r="T15" s="67">
        <f>MAX(SUMPRODUCT((INDEX(Timeline!$P$5:$AN$305,0,MATCH($A15,Timeline!$P$4:$AN$4,0))="x")*(Timeline!$K$5:$K$305="Task")*ISNUMBER(Timeline!$I$5:$I$305)*ISNUMBER(Timeline!$J$5:$J$305)*(Timeline!$I$5:$I$305&lt;=T$4+0)*(Timeline!$J$5:$J$305&gt;=T$4+0)),SUMPRODUCT((INDEX(Timeline!$P$5:$AN$305,0,MATCH($A15,Timeline!$P$4:$AN$4,0))="x")*(Timeline!$K$5:$K$305="Task")*ISNUMBER(Timeline!$I$5:$I$305)*ISNUMBER(Timeline!$J$5:$J$305)*(Timeline!$I$5:$I$305&lt;=T$4+1)*(Timeline!$J$5:$J$305&gt;=T$4+1)),SUMPRODUCT((INDEX(Timeline!$P$5:$AN$305,0,MATCH($A15,Timeline!$P$4:$AN$4,0))="x")*(Timeline!$K$5:$K$305="Task")*ISNUMBER(Timeline!$I$5:$I$305)*ISNUMBER(Timeline!$J$5:$J$305)*(Timeline!$I$5:$I$305&lt;=T$4+2)*(Timeline!$J$5:$J$305&gt;=T$4+2)),SUMPRODUCT((INDEX(Timeline!$P$5:$AN$305,0,MATCH($A15,Timeline!$P$4:$AN$4,0))="x")*(Timeline!$K$5:$K$305="Task")*ISNUMBER(Timeline!$I$5:$I$305)*ISNUMBER(Timeline!$J$5:$J$305)*(Timeline!$I$5:$I$305&lt;=T$4+3)*(Timeline!$J$5:$J$305&gt;=T$4+3)),SUMPRODUCT((INDEX(Timeline!$P$5:$AN$305,0,MATCH($A15,Timeline!$P$4:$AN$4,0))="x")*(Timeline!$K$5:$K$305="Task")*ISNUMBER(Timeline!$I$5:$I$305)*ISNUMBER(Timeline!$J$5:$J$305)*(Timeline!$I$5:$I$305&lt;=T$4+4)*(Timeline!$J$5:$J$305&gt;=T$4+4)),SUMPRODUCT((INDEX(Timeline!$P$5:$AN$305,0,MATCH($A15,Timeline!$P$4:$AN$4,0))="x")*(Timeline!$K$5:$K$305="Task")*ISNUMBER(Timeline!$I$5:$I$305)*ISNUMBER(Timeline!$J$5:$J$305)*(Timeline!$I$5:$I$305&lt;=T$4+5)*(Timeline!$J$5:$J$305&gt;=T$4+5)),SUMPRODUCT((INDEX(Timeline!$P$5:$AN$305,0,MATCH($A15,Timeline!$P$4:$AN$4,0))="x")*(Timeline!$K$5:$K$305="Task")*ISNUMBER(Timeline!$I$5:$I$305)*ISNUMBER(Timeline!$J$5:$J$305)*(Timeline!$I$5:$I$305&lt;=T$4+6)*(Timeline!$J$5:$J$305&gt;=T$4+6)))</f>
        <v>1</v>
      </c>
      <c r="U15" s="67">
        <f>MAX(SUMPRODUCT((INDEX(Timeline!$P$5:$AN$305,0,MATCH($A15,Timeline!$P$4:$AN$4,0))="x")*(Timeline!$K$5:$K$305="Task")*ISNUMBER(Timeline!$I$5:$I$305)*ISNUMBER(Timeline!$J$5:$J$305)*(Timeline!$I$5:$I$305&lt;=U$4+0)*(Timeline!$J$5:$J$305&gt;=U$4+0)),SUMPRODUCT((INDEX(Timeline!$P$5:$AN$305,0,MATCH($A15,Timeline!$P$4:$AN$4,0))="x")*(Timeline!$K$5:$K$305="Task")*ISNUMBER(Timeline!$I$5:$I$305)*ISNUMBER(Timeline!$J$5:$J$305)*(Timeline!$I$5:$I$305&lt;=U$4+1)*(Timeline!$J$5:$J$305&gt;=U$4+1)),SUMPRODUCT((INDEX(Timeline!$P$5:$AN$305,0,MATCH($A15,Timeline!$P$4:$AN$4,0))="x")*(Timeline!$K$5:$K$305="Task")*ISNUMBER(Timeline!$I$5:$I$305)*ISNUMBER(Timeline!$J$5:$J$305)*(Timeline!$I$5:$I$305&lt;=U$4+2)*(Timeline!$J$5:$J$305&gt;=U$4+2)),SUMPRODUCT((INDEX(Timeline!$P$5:$AN$305,0,MATCH($A15,Timeline!$P$4:$AN$4,0))="x")*(Timeline!$K$5:$K$305="Task")*ISNUMBER(Timeline!$I$5:$I$305)*ISNUMBER(Timeline!$J$5:$J$305)*(Timeline!$I$5:$I$305&lt;=U$4+3)*(Timeline!$J$5:$J$305&gt;=U$4+3)),SUMPRODUCT((INDEX(Timeline!$P$5:$AN$305,0,MATCH($A15,Timeline!$P$4:$AN$4,0))="x")*(Timeline!$K$5:$K$305="Task")*ISNUMBER(Timeline!$I$5:$I$305)*ISNUMBER(Timeline!$J$5:$J$305)*(Timeline!$I$5:$I$305&lt;=U$4+4)*(Timeline!$J$5:$J$305&gt;=U$4+4)),SUMPRODUCT((INDEX(Timeline!$P$5:$AN$305,0,MATCH($A15,Timeline!$P$4:$AN$4,0))="x")*(Timeline!$K$5:$K$305="Task")*ISNUMBER(Timeline!$I$5:$I$305)*ISNUMBER(Timeline!$J$5:$J$305)*(Timeline!$I$5:$I$305&lt;=U$4+5)*(Timeline!$J$5:$J$305&gt;=U$4+5)),SUMPRODUCT((INDEX(Timeline!$P$5:$AN$305,0,MATCH($A15,Timeline!$P$4:$AN$4,0))="x")*(Timeline!$K$5:$K$305="Task")*ISNUMBER(Timeline!$I$5:$I$305)*ISNUMBER(Timeline!$J$5:$J$305)*(Timeline!$I$5:$I$305&lt;=U$4+6)*(Timeline!$J$5:$J$305&gt;=U$4+6)))</f>
        <v>1</v>
      </c>
      <c r="V15" s="67">
        <f>MAX(SUMPRODUCT((INDEX(Timeline!$P$5:$AN$305,0,MATCH($A15,Timeline!$P$4:$AN$4,0))="x")*(Timeline!$K$5:$K$305="Task")*ISNUMBER(Timeline!$I$5:$I$305)*ISNUMBER(Timeline!$J$5:$J$305)*(Timeline!$I$5:$I$305&lt;=V$4+0)*(Timeline!$J$5:$J$305&gt;=V$4+0)),SUMPRODUCT((INDEX(Timeline!$P$5:$AN$305,0,MATCH($A15,Timeline!$P$4:$AN$4,0))="x")*(Timeline!$K$5:$K$305="Task")*ISNUMBER(Timeline!$I$5:$I$305)*ISNUMBER(Timeline!$J$5:$J$305)*(Timeline!$I$5:$I$305&lt;=V$4+1)*(Timeline!$J$5:$J$305&gt;=V$4+1)),SUMPRODUCT((INDEX(Timeline!$P$5:$AN$305,0,MATCH($A15,Timeline!$P$4:$AN$4,0))="x")*(Timeline!$K$5:$K$305="Task")*ISNUMBER(Timeline!$I$5:$I$305)*ISNUMBER(Timeline!$J$5:$J$305)*(Timeline!$I$5:$I$305&lt;=V$4+2)*(Timeline!$J$5:$J$305&gt;=V$4+2)),SUMPRODUCT((INDEX(Timeline!$P$5:$AN$305,0,MATCH($A15,Timeline!$P$4:$AN$4,0))="x")*(Timeline!$K$5:$K$305="Task")*ISNUMBER(Timeline!$I$5:$I$305)*ISNUMBER(Timeline!$J$5:$J$305)*(Timeline!$I$5:$I$305&lt;=V$4+3)*(Timeline!$J$5:$J$305&gt;=V$4+3)),SUMPRODUCT((INDEX(Timeline!$P$5:$AN$305,0,MATCH($A15,Timeline!$P$4:$AN$4,0))="x")*(Timeline!$K$5:$K$305="Task")*ISNUMBER(Timeline!$I$5:$I$305)*ISNUMBER(Timeline!$J$5:$J$305)*(Timeline!$I$5:$I$305&lt;=V$4+4)*(Timeline!$J$5:$J$305&gt;=V$4+4)),SUMPRODUCT((INDEX(Timeline!$P$5:$AN$305,0,MATCH($A15,Timeline!$P$4:$AN$4,0))="x")*(Timeline!$K$5:$K$305="Task")*ISNUMBER(Timeline!$I$5:$I$305)*ISNUMBER(Timeline!$J$5:$J$305)*(Timeline!$I$5:$I$305&lt;=V$4+5)*(Timeline!$J$5:$J$305&gt;=V$4+5)),SUMPRODUCT((INDEX(Timeline!$P$5:$AN$305,0,MATCH($A15,Timeline!$P$4:$AN$4,0))="x")*(Timeline!$K$5:$K$305="Task")*ISNUMBER(Timeline!$I$5:$I$305)*ISNUMBER(Timeline!$J$5:$J$305)*(Timeline!$I$5:$I$305&lt;=V$4+6)*(Timeline!$J$5:$J$305&gt;=V$4+6)))</f>
        <v>1</v>
      </c>
      <c r="W15" s="67">
        <f>MAX(SUMPRODUCT((INDEX(Timeline!$P$5:$AN$305,0,MATCH($A15,Timeline!$P$4:$AN$4,0))="x")*(Timeline!$K$5:$K$305="Task")*ISNUMBER(Timeline!$I$5:$I$305)*ISNUMBER(Timeline!$J$5:$J$305)*(Timeline!$I$5:$I$305&lt;=W$4+0)*(Timeline!$J$5:$J$305&gt;=W$4+0)),SUMPRODUCT((INDEX(Timeline!$P$5:$AN$305,0,MATCH($A15,Timeline!$P$4:$AN$4,0))="x")*(Timeline!$K$5:$K$305="Task")*ISNUMBER(Timeline!$I$5:$I$305)*ISNUMBER(Timeline!$J$5:$J$305)*(Timeline!$I$5:$I$305&lt;=W$4+1)*(Timeline!$J$5:$J$305&gt;=W$4+1)),SUMPRODUCT((INDEX(Timeline!$P$5:$AN$305,0,MATCH($A15,Timeline!$P$4:$AN$4,0))="x")*(Timeline!$K$5:$K$305="Task")*ISNUMBER(Timeline!$I$5:$I$305)*ISNUMBER(Timeline!$J$5:$J$305)*(Timeline!$I$5:$I$305&lt;=W$4+2)*(Timeline!$J$5:$J$305&gt;=W$4+2)),SUMPRODUCT((INDEX(Timeline!$P$5:$AN$305,0,MATCH($A15,Timeline!$P$4:$AN$4,0))="x")*(Timeline!$K$5:$K$305="Task")*ISNUMBER(Timeline!$I$5:$I$305)*ISNUMBER(Timeline!$J$5:$J$305)*(Timeline!$I$5:$I$305&lt;=W$4+3)*(Timeline!$J$5:$J$305&gt;=W$4+3)),SUMPRODUCT((INDEX(Timeline!$P$5:$AN$305,0,MATCH($A15,Timeline!$P$4:$AN$4,0))="x")*(Timeline!$K$5:$K$305="Task")*ISNUMBER(Timeline!$I$5:$I$305)*ISNUMBER(Timeline!$J$5:$J$305)*(Timeline!$I$5:$I$305&lt;=W$4+4)*(Timeline!$J$5:$J$305&gt;=W$4+4)),SUMPRODUCT((INDEX(Timeline!$P$5:$AN$305,0,MATCH($A15,Timeline!$P$4:$AN$4,0))="x")*(Timeline!$K$5:$K$305="Task")*ISNUMBER(Timeline!$I$5:$I$305)*ISNUMBER(Timeline!$J$5:$J$305)*(Timeline!$I$5:$I$305&lt;=W$4+5)*(Timeline!$J$5:$J$305&gt;=W$4+5)),SUMPRODUCT((INDEX(Timeline!$P$5:$AN$305,0,MATCH($A15,Timeline!$P$4:$AN$4,0))="x")*(Timeline!$K$5:$K$305="Task")*ISNUMBER(Timeline!$I$5:$I$305)*ISNUMBER(Timeline!$J$5:$J$305)*(Timeline!$I$5:$I$305&lt;=W$4+6)*(Timeline!$J$5:$J$305&gt;=W$4+6)))</f>
        <v>1</v>
      </c>
      <c r="X15" s="67">
        <f>MAX(SUMPRODUCT((INDEX(Timeline!$P$5:$AN$305,0,MATCH($A15,Timeline!$P$4:$AN$4,0))="x")*(Timeline!$K$5:$K$305="Task")*ISNUMBER(Timeline!$I$5:$I$305)*ISNUMBER(Timeline!$J$5:$J$305)*(Timeline!$I$5:$I$305&lt;=X$4+0)*(Timeline!$J$5:$J$305&gt;=X$4+0)),SUMPRODUCT((INDEX(Timeline!$P$5:$AN$305,0,MATCH($A15,Timeline!$P$4:$AN$4,0))="x")*(Timeline!$K$5:$K$305="Task")*ISNUMBER(Timeline!$I$5:$I$305)*ISNUMBER(Timeline!$J$5:$J$305)*(Timeline!$I$5:$I$305&lt;=X$4+1)*(Timeline!$J$5:$J$305&gt;=X$4+1)),SUMPRODUCT((INDEX(Timeline!$P$5:$AN$305,0,MATCH($A15,Timeline!$P$4:$AN$4,0))="x")*(Timeline!$K$5:$K$305="Task")*ISNUMBER(Timeline!$I$5:$I$305)*ISNUMBER(Timeline!$J$5:$J$305)*(Timeline!$I$5:$I$305&lt;=X$4+2)*(Timeline!$J$5:$J$305&gt;=X$4+2)),SUMPRODUCT((INDEX(Timeline!$P$5:$AN$305,0,MATCH($A15,Timeline!$P$4:$AN$4,0))="x")*(Timeline!$K$5:$K$305="Task")*ISNUMBER(Timeline!$I$5:$I$305)*ISNUMBER(Timeline!$J$5:$J$305)*(Timeline!$I$5:$I$305&lt;=X$4+3)*(Timeline!$J$5:$J$305&gt;=X$4+3)),SUMPRODUCT((INDEX(Timeline!$P$5:$AN$305,0,MATCH($A15,Timeline!$P$4:$AN$4,0))="x")*(Timeline!$K$5:$K$305="Task")*ISNUMBER(Timeline!$I$5:$I$305)*ISNUMBER(Timeline!$J$5:$J$305)*(Timeline!$I$5:$I$305&lt;=X$4+4)*(Timeline!$J$5:$J$305&gt;=X$4+4)),SUMPRODUCT((INDEX(Timeline!$P$5:$AN$305,0,MATCH($A15,Timeline!$P$4:$AN$4,0))="x")*(Timeline!$K$5:$K$305="Task")*ISNUMBER(Timeline!$I$5:$I$305)*ISNUMBER(Timeline!$J$5:$J$305)*(Timeline!$I$5:$I$305&lt;=X$4+5)*(Timeline!$J$5:$J$305&gt;=X$4+5)),SUMPRODUCT((INDEX(Timeline!$P$5:$AN$305,0,MATCH($A15,Timeline!$P$4:$AN$4,0))="x")*(Timeline!$K$5:$K$305="Task")*ISNUMBER(Timeline!$I$5:$I$305)*ISNUMBER(Timeline!$J$5:$J$305)*(Timeline!$I$5:$I$305&lt;=X$4+6)*(Timeline!$J$5:$J$305&gt;=X$4+6)))</f>
        <v>1</v>
      </c>
      <c r="Y15" s="67">
        <f>MAX(SUMPRODUCT((INDEX(Timeline!$P$5:$AN$305,0,MATCH($A15,Timeline!$P$4:$AN$4,0))="x")*(Timeline!$K$5:$K$305="Task")*ISNUMBER(Timeline!$I$5:$I$305)*ISNUMBER(Timeline!$J$5:$J$305)*(Timeline!$I$5:$I$305&lt;=Y$4+0)*(Timeline!$J$5:$J$305&gt;=Y$4+0)),SUMPRODUCT((INDEX(Timeline!$P$5:$AN$305,0,MATCH($A15,Timeline!$P$4:$AN$4,0))="x")*(Timeline!$K$5:$K$305="Task")*ISNUMBER(Timeline!$I$5:$I$305)*ISNUMBER(Timeline!$J$5:$J$305)*(Timeline!$I$5:$I$305&lt;=Y$4+1)*(Timeline!$J$5:$J$305&gt;=Y$4+1)),SUMPRODUCT((INDEX(Timeline!$P$5:$AN$305,0,MATCH($A15,Timeline!$P$4:$AN$4,0))="x")*(Timeline!$K$5:$K$305="Task")*ISNUMBER(Timeline!$I$5:$I$305)*ISNUMBER(Timeline!$J$5:$J$305)*(Timeline!$I$5:$I$305&lt;=Y$4+2)*(Timeline!$J$5:$J$305&gt;=Y$4+2)),SUMPRODUCT((INDEX(Timeline!$P$5:$AN$305,0,MATCH($A15,Timeline!$P$4:$AN$4,0))="x")*(Timeline!$K$5:$K$305="Task")*ISNUMBER(Timeline!$I$5:$I$305)*ISNUMBER(Timeline!$J$5:$J$305)*(Timeline!$I$5:$I$305&lt;=Y$4+3)*(Timeline!$J$5:$J$305&gt;=Y$4+3)),SUMPRODUCT((INDEX(Timeline!$P$5:$AN$305,0,MATCH($A15,Timeline!$P$4:$AN$4,0))="x")*(Timeline!$K$5:$K$305="Task")*ISNUMBER(Timeline!$I$5:$I$305)*ISNUMBER(Timeline!$J$5:$J$305)*(Timeline!$I$5:$I$305&lt;=Y$4+4)*(Timeline!$J$5:$J$305&gt;=Y$4+4)),SUMPRODUCT((INDEX(Timeline!$P$5:$AN$305,0,MATCH($A15,Timeline!$P$4:$AN$4,0))="x")*(Timeline!$K$5:$K$305="Task")*ISNUMBER(Timeline!$I$5:$I$305)*ISNUMBER(Timeline!$J$5:$J$305)*(Timeline!$I$5:$I$305&lt;=Y$4+5)*(Timeline!$J$5:$J$305&gt;=Y$4+5)),SUMPRODUCT((INDEX(Timeline!$P$5:$AN$305,0,MATCH($A15,Timeline!$P$4:$AN$4,0))="x")*(Timeline!$K$5:$K$305="Task")*ISNUMBER(Timeline!$I$5:$I$305)*ISNUMBER(Timeline!$J$5:$J$305)*(Timeline!$I$5:$I$305&lt;=Y$4+6)*(Timeline!$J$5:$J$305&gt;=Y$4+6)))</f>
        <v>1</v>
      </c>
      <c r="Z15" s="67">
        <f>MAX(SUMPRODUCT((INDEX(Timeline!$P$5:$AN$305,0,MATCH($A15,Timeline!$P$4:$AN$4,0))="x")*(Timeline!$K$5:$K$305="Task")*ISNUMBER(Timeline!$I$5:$I$305)*ISNUMBER(Timeline!$J$5:$J$305)*(Timeline!$I$5:$I$305&lt;=Z$4+0)*(Timeline!$J$5:$J$305&gt;=Z$4+0)),SUMPRODUCT((INDEX(Timeline!$P$5:$AN$305,0,MATCH($A15,Timeline!$P$4:$AN$4,0))="x")*(Timeline!$K$5:$K$305="Task")*ISNUMBER(Timeline!$I$5:$I$305)*ISNUMBER(Timeline!$J$5:$J$305)*(Timeline!$I$5:$I$305&lt;=Z$4+1)*(Timeline!$J$5:$J$305&gt;=Z$4+1)),SUMPRODUCT((INDEX(Timeline!$P$5:$AN$305,0,MATCH($A15,Timeline!$P$4:$AN$4,0))="x")*(Timeline!$K$5:$K$305="Task")*ISNUMBER(Timeline!$I$5:$I$305)*ISNUMBER(Timeline!$J$5:$J$305)*(Timeline!$I$5:$I$305&lt;=Z$4+2)*(Timeline!$J$5:$J$305&gt;=Z$4+2)),SUMPRODUCT((INDEX(Timeline!$P$5:$AN$305,0,MATCH($A15,Timeline!$P$4:$AN$4,0))="x")*(Timeline!$K$5:$K$305="Task")*ISNUMBER(Timeline!$I$5:$I$305)*ISNUMBER(Timeline!$J$5:$J$305)*(Timeline!$I$5:$I$305&lt;=Z$4+3)*(Timeline!$J$5:$J$305&gt;=Z$4+3)),SUMPRODUCT((INDEX(Timeline!$P$5:$AN$305,0,MATCH($A15,Timeline!$P$4:$AN$4,0))="x")*(Timeline!$K$5:$K$305="Task")*ISNUMBER(Timeline!$I$5:$I$305)*ISNUMBER(Timeline!$J$5:$J$305)*(Timeline!$I$5:$I$305&lt;=Z$4+4)*(Timeline!$J$5:$J$305&gt;=Z$4+4)),SUMPRODUCT((INDEX(Timeline!$P$5:$AN$305,0,MATCH($A15,Timeline!$P$4:$AN$4,0))="x")*(Timeline!$K$5:$K$305="Task")*ISNUMBER(Timeline!$I$5:$I$305)*ISNUMBER(Timeline!$J$5:$J$305)*(Timeline!$I$5:$I$305&lt;=Z$4+5)*(Timeline!$J$5:$J$305&gt;=Z$4+5)),SUMPRODUCT((INDEX(Timeline!$P$5:$AN$305,0,MATCH($A15,Timeline!$P$4:$AN$4,0))="x")*(Timeline!$K$5:$K$305="Task")*ISNUMBER(Timeline!$I$5:$I$305)*ISNUMBER(Timeline!$J$5:$J$305)*(Timeline!$I$5:$I$305&lt;=Z$4+6)*(Timeline!$J$5:$J$305&gt;=Z$4+6)))</f>
        <v>1</v>
      </c>
      <c r="AA15" s="67">
        <f>MAX(SUMPRODUCT((INDEX(Timeline!$P$5:$AN$305,0,MATCH($A15,Timeline!$P$4:$AN$4,0))="x")*(Timeline!$K$5:$K$305="Task")*ISNUMBER(Timeline!$I$5:$I$305)*ISNUMBER(Timeline!$J$5:$J$305)*(Timeline!$I$5:$I$305&lt;=AA$4+0)*(Timeline!$J$5:$J$305&gt;=AA$4+0)),SUMPRODUCT((INDEX(Timeline!$P$5:$AN$305,0,MATCH($A15,Timeline!$P$4:$AN$4,0))="x")*(Timeline!$K$5:$K$305="Task")*ISNUMBER(Timeline!$I$5:$I$305)*ISNUMBER(Timeline!$J$5:$J$305)*(Timeline!$I$5:$I$305&lt;=AA$4+1)*(Timeline!$J$5:$J$305&gt;=AA$4+1)),SUMPRODUCT((INDEX(Timeline!$P$5:$AN$305,0,MATCH($A15,Timeline!$P$4:$AN$4,0))="x")*(Timeline!$K$5:$K$305="Task")*ISNUMBER(Timeline!$I$5:$I$305)*ISNUMBER(Timeline!$J$5:$J$305)*(Timeline!$I$5:$I$305&lt;=AA$4+2)*(Timeline!$J$5:$J$305&gt;=AA$4+2)),SUMPRODUCT((INDEX(Timeline!$P$5:$AN$305,0,MATCH($A15,Timeline!$P$4:$AN$4,0))="x")*(Timeline!$K$5:$K$305="Task")*ISNUMBER(Timeline!$I$5:$I$305)*ISNUMBER(Timeline!$J$5:$J$305)*(Timeline!$I$5:$I$305&lt;=AA$4+3)*(Timeline!$J$5:$J$305&gt;=AA$4+3)),SUMPRODUCT((INDEX(Timeline!$P$5:$AN$305,0,MATCH($A15,Timeline!$P$4:$AN$4,0))="x")*(Timeline!$K$5:$K$305="Task")*ISNUMBER(Timeline!$I$5:$I$305)*ISNUMBER(Timeline!$J$5:$J$305)*(Timeline!$I$5:$I$305&lt;=AA$4+4)*(Timeline!$J$5:$J$305&gt;=AA$4+4)),SUMPRODUCT((INDEX(Timeline!$P$5:$AN$305,0,MATCH($A15,Timeline!$P$4:$AN$4,0))="x")*(Timeline!$K$5:$K$305="Task")*ISNUMBER(Timeline!$I$5:$I$305)*ISNUMBER(Timeline!$J$5:$J$305)*(Timeline!$I$5:$I$305&lt;=AA$4+5)*(Timeline!$J$5:$J$305&gt;=AA$4+5)),SUMPRODUCT((INDEX(Timeline!$P$5:$AN$305,0,MATCH($A15,Timeline!$P$4:$AN$4,0))="x")*(Timeline!$K$5:$K$305="Task")*ISNUMBER(Timeline!$I$5:$I$305)*ISNUMBER(Timeline!$J$5:$J$305)*(Timeline!$I$5:$I$305&lt;=AA$4+6)*(Timeline!$J$5:$J$305&gt;=AA$4+6)))</f>
        <v>1</v>
      </c>
      <c r="AB15" s="67">
        <f>MAX(SUMPRODUCT((INDEX(Timeline!$P$5:$AN$305,0,MATCH($A15,Timeline!$P$4:$AN$4,0))="x")*(Timeline!$K$5:$K$305="Task")*ISNUMBER(Timeline!$I$5:$I$305)*ISNUMBER(Timeline!$J$5:$J$305)*(Timeline!$I$5:$I$305&lt;=AB$4+0)*(Timeline!$J$5:$J$305&gt;=AB$4+0)),SUMPRODUCT((INDEX(Timeline!$P$5:$AN$305,0,MATCH($A15,Timeline!$P$4:$AN$4,0))="x")*(Timeline!$K$5:$K$305="Task")*ISNUMBER(Timeline!$I$5:$I$305)*ISNUMBER(Timeline!$J$5:$J$305)*(Timeline!$I$5:$I$305&lt;=AB$4+1)*(Timeline!$J$5:$J$305&gt;=AB$4+1)),SUMPRODUCT((INDEX(Timeline!$P$5:$AN$305,0,MATCH($A15,Timeline!$P$4:$AN$4,0))="x")*(Timeline!$K$5:$K$305="Task")*ISNUMBER(Timeline!$I$5:$I$305)*ISNUMBER(Timeline!$J$5:$J$305)*(Timeline!$I$5:$I$305&lt;=AB$4+2)*(Timeline!$J$5:$J$305&gt;=AB$4+2)),SUMPRODUCT((INDEX(Timeline!$P$5:$AN$305,0,MATCH($A15,Timeline!$P$4:$AN$4,0))="x")*(Timeline!$K$5:$K$305="Task")*ISNUMBER(Timeline!$I$5:$I$305)*ISNUMBER(Timeline!$J$5:$J$305)*(Timeline!$I$5:$I$305&lt;=AB$4+3)*(Timeline!$J$5:$J$305&gt;=AB$4+3)),SUMPRODUCT((INDEX(Timeline!$P$5:$AN$305,0,MATCH($A15,Timeline!$P$4:$AN$4,0))="x")*(Timeline!$K$5:$K$305="Task")*ISNUMBER(Timeline!$I$5:$I$305)*ISNUMBER(Timeline!$J$5:$J$305)*(Timeline!$I$5:$I$305&lt;=AB$4+4)*(Timeline!$J$5:$J$305&gt;=AB$4+4)),SUMPRODUCT((INDEX(Timeline!$P$5:$AN$305,0,MATCH($A15,Timeline!$P$4:$AN$4,0))="x")*(Timeline!$K$5:$K$305="Task")*ISNUMBER(Timeline!$I$5:$I$305)*ISNUMBER(Timeline!$J$5:$J$305)*(Timeline!$I$5:$I$305&lt;=AB$4+5)*(Timeline!$J$5:$J$305&gt;=AB$4+5)),SUMPRODUCT((INDEX(Timeline!$P$5:$AN$305,0,MATCH($A15,Timeline!$P$4:$AN$4,0))="x")*(Timeline!$K$5:$K$305="Task")*ISNUMBER(Timeline!$I$5:$I$305)*ISNUMBER(Timeline!$J$5:$J$305)*(Timeline!$I$5:$I$305&lt;=AB$4+6)*(Timeline!$J$5:$J$305&gt;=AB$4+6)))</f>
        <v>1</v>
      </c>
      <c r="AC15" s="67">
        <f>MAX(SUMPRODUCT((INDEX(Timeline!$P$5:$AN$305,0,MATCH($A15,Timeline!$P$4:$AN$4,0))="x")*(Timeline!$K$5:$K$305="Task")*ISNUMBER(Timeline!$I$5:$I$305)*ISNUMBER(Timeline!$J$5:$J$305)*(Timeline!$I$5:$I$305&lt;=AC$4+0)*(Timeline!$J$5:$J$305&gt;=AC$4+0)),SUMPRODUCT((INDEX(Timeline!$P$5:$AN$305,0,MATCH($A15,Timeline!$P$4:$AN$4,0))="x")*(Timeline!$K$5:$K$305="Task")*ISNUMBER(Timeline!$I$5:$I$305)*ISNUMBER(Timeline!$J$5:$J$305)*(Timeline!$I$5:$I$305&lt;=AC$4+1)*(Timeline!$J$5:$J$305&gt;=AC$4+1)),SUMPRODUCT((INDEX(Timeline!$P$5:$AN$305,0,MATCH($A15,Timeline!$P$4:$AN$4,0))="x")*(Timeline!$K$5:$K$305="Task")*ISNUMBER(Timeline!$I$5:$I$305)*ISNUMBER(Timeline!$J$5:$J$305)*(Timeline!$I$5:$I$305&lt;=AC$4+2)*(Timeline!$J$5:$J$305&gt;=AC$4+2)),SUMPRODUCT((INDEX(Timeline!$P$5:$AN$305,0,MATCH($A15,Timeline!$P$4:$AN$4,0))="x")*(Timeline!$K$5:$K$305="Task")*ISNUMBER(Timeline!$I$5:$I$305)*ISNUMBER(Timeline!$J$5:$J$305)*(Timeline!$I$5:$I$305&lt;=AC$4+3)*(Timeline!$J$5:$J$305&gt;=AC$4+3)),SUMPRODUCT((INDEX(Timeline!$P$5:$AN$305,0,MATCH($A15,Timeline!$P$4:$AN$4,0))="x")*(Timeline!$K$5:$K$305="Task")*ISNUMBER(Timeline!$I$5:$I$305)*ISNUMBER(Timeline!$J$5:$J$305)*(Timeline!$I$5:$I$305&lt;=AC$4+4)*(Timeline!$J$5:$J$305&gt;=AC$4+4)),SUMPRODUCT((INDEX(Timeline!$P$5:$AN$305,0,MATCH($A15,Timeline!$P$4:$AN$4,0))="x")*(Timeline!$K$5:$K$305="Task")*ISNUMBER(Timeline!$I$5:$I$305)*ISNUMBER(Timeline!$J$5:$J$305)*(Timeline!$I$5:$I$305&lt;=AC$4+5)*(Timeline!$J$5:$J$305&gt;=AC$4+5)),SUMPRODUCT((INDEX(Timeline!$P$5:$AN$305,0,MATCH($A15,Timeline!$P$4:$AN$4,0))="x")*(Timeline!$K$5:$K$305="Task")*ISNUMBER(Timeline!$I$5:$I$305)*ISNUMBER(Timeline!$J$5:$J$305)*(Timeline!$I$5:$I$305&lt;=AC$4+6)*(Timeline!$J$5:$J$305&gt;=AC$4+6)))</f>
        <v>1</v>
      </c>
      <c r="AD15" s="67">
        <f>MAX(SUMPRODUCT((INDEX(Timeline!$P$5:$AN$305,0,MATCH($A15,Timeline!$P$4:$AN$4,0))="x")*(Timeline!$K$5:$K$305="Task")*ISNUMBER(Timeline!$I$5:$I$305)*ISNUMBER(Timeline!$J$5:$J$305)*(Timeline!$I$5:$I$305&lt;=AD$4+0)*(Timeline!$J$5:$J$305&gt;=AD$4+0)),SUMPRODUCT((INDEX(Timeline!$P$5:$AN$305,0,MATCH($A15,Timeline!$P$4:$AN$4,0))="x")*(Timeline!$K$5:$K$305="Task")*ISNUMBER(Timeline!$I$5:$I$305)*ISNUMBER(Timeline!$J$5:$J$305)*(Timeline!$I$5:$I$305&lt;=AD$4+1)*(Timeline!$J$5:$J$305&gt;=AD$4+1)),SUMPRODUCT((INDEX(Timeline!$P$5:$AN$305,0,MATCH($A15,Timeline!$P$4:$AN$4,0))="x")*(Timeline!$K$5:$K$305="Task")*ISNUMBER(Timeline!$I$5:$I$305)*ISNUMBER(Timeline!$J$5:$J$305)*(Timeline!$I$5:$I$305&lt;=AD$4+2)*(Timeline!$J$5:$J$305&gt;=AD$4+2)),SUMPRODUCT((INDEX(Timeline!$P$5:$AN$305,0,MATCH($A15,Timeline!$P$4:$AN$4,0))="x")*(Timeline!$K$5:$K$305="Task")*ISNUMBER(Timeline!$I$5:$I$305)*ISNUMBER(Timeline!$J$5:$J$305)*(Timeline!$I$5:$I$305&lt;=AD$4+3)*(Timeline!$J$5:$J$305&gt;=AD$4+3)),SUMPRODUCT((INDEX(Timeline!$P$5:$AN$305,0,MATCH($A15,Timeline!$P$4:$AN$4,0))="x")*(Timeline!$K$5:$K$305="Task")*ISNUMBER(Timeline!$I$5:$I$305)*ISNUMBER(Timeline!$J$5:$J$305)*(Timeline!$I$5:$I$305&lt;=AD$4+4)*(Timeline!$J$5:$J$305&gt;=AD$4+4)),SUMPRODUCT((INDEX(Timeline!$P$5:$AN$305,0,MATCH($A15,Timeline!$P$4:$AN$4,0))="x")*(Timeline!$K$5:$K$305="Task")*ISNUMBER(Timeline!$I$5:$I$305)*ISNUMBER(Timeline!$J$5:$J$305)*(Timeline!$I$5:$I$305&lt;=AD$4+5)*(Timeline!$J$5:$J$305&gt;=AD$4+5)),SUMPRODUCT((INDEX(Timeline!$P$5:$AN$305,0,MATCH($A15,Timeline!$P$4:$AN$4,0))="x")*(Timeline!$K$5:$K$305="Task")*ISNUMBER(Timeline!$I$5:$I$305)*ISNUMBER(Timeline!$J$5:$J$305)*(Timeline!$I$5:$I$305&lt;=AD$4+6)*(Timeline!$J$5:$J$305&gt;=AD$4+6)))</f>
        <v>1</v>
      </c>
      <c r="AE15" s="67">
        <f>MAX(SUMPRODUCT((INDEX(Timeline!$P$5:$AN$305,0,MATCH($A15,Timeline!$P$4:$AN$4,0))="x")*(Timeline!$K$5:$K$305="Task")*ISNUMBER(Timeline!$I$5:$I$305)*ISNUMBER(Timeline!$J$5:$J$305)*(Timeline!$I$5:$I$305&lt;=AE$4+0)*(Timeline!$J$5:$J$305&gt;=AE$4+0)),SUMPRODUCT((INDEX(Timeline!$P$5:$AN$305,0,MATCH($A15,Timeline!$P$4:$AN$4,0))="x")*(Timeline!$K$5:$K$305="Task")*ISNUMBER(Timeline!$I$5:$I$305)*ISNUMBER(Timeline!$J$5:$J$305)*(Timeline!$I$5:$I$305&lt;=AE$4+1)*(Timeline!$J$5:$J$305&gt;=AE$4+1)),SUMPRODUCT((INDEX(Timeline!$P$5:$AN$305,0,MATCH($A15,Timeline!$P$4:$AN$4,0))="x")*(Timeline!$K$5:$K$305="Task")*ISNUMBER(Timeline!$I$5:$I$305)*ISNUMBER(Timeline!$J$5:$J$305)*(Timeline!$I$5:$I$305&lt;=AE$4+2)*(Timeline!$J$5:$J$305&gt;=AE$4+2)),SUMPRODUCT((INDEX(Timeline!$P$5:$AN$305,0,MATCH($A15,Timeline!$P$4:$AN$4,0))="x")*(Timeline!$K$5:$K$305="Task")*ISNUMBER(Timeline!$I$5:$I$305)*ISNUMBER(Timeline!$J$5:$J$305)*(Timeline!$I$5:$I$305&lt;=AE$4+3)*(Timeline!$J$5:$J$305&gt;=AE$4+3)),SUMPRODUCT((INDEX(Timeline!$P$5:$AN$305,0,MATCH($A15,Timeline!$P$4:$AN$4,0))="x")*(Timeline!$K$5:$K$305="Task")*ISNUMBER(Timeline!$I$5:$I$305)*ISNUMBER(Timeline!$J$5:$J$305)*(Timeline!$I$5:$I$305&lt;=AE$4+4)*(Timeline!$J$5:$J$305&gt;=AE$4+4)),SUMPRODUCT((INDEX(Timeline!$P$5:$AN$305,0,MATCH($A15,Timeline!$P$4:$AN$4,0))="x")*(Timeline!$K$5:$K$305="Task")*ISNUMBER(Timeline!$I$5:$I$305)*ISNUMBER(Timeline!$J$5:$J$305)*(Timeline!$I$5:$I$305&lt;=AE$4+5)*(Timeline!$J$5:$J$305&gt;=AE$4+5)),SUMPRODUCT((INDEX(Timeline!$P$5:$AN$305,0,MATCH($A15,Timeline!$P$4:$AN$4,0))="x")*(Timeline!$K$5:$K$305="Task")*ISNUMBER(Timeline!$I$5:$I$305)*ISNUMBER(Timeline!$J$5:$J$305)*(Timeline!$I$5:$I$305&lt;=AE$4+6)*(Timeline!$J$5:$J$305&gt;=AE$4+6)))</f>
        <v>1</v>
      </c>
      <c r="AF15" s="67">
        <f>MAX(SUMPRODUCT((INDEX(Timeline!$P$5:$AN$305,0,MATCH($A15,Timeline!$P$4:$AN$4,0))="x")*(Timeline!$K$5:$K$305="Task")*ISNUMBER(Timeline!$I$5:$I$305)*ISNUMBER(Timeline!$J$5:$J$305)*(Timeline!$I$5:$I$305&lt;=AF$4+0)*(Timeline!$J$5:$J$305&gt;=AF$4+0)),SUMPRODUCT((INDEX(Timeline!$P$5:$AN$305,0,MATCH($A15,Timeline!$P$4:$AN$4,0))="x")*(Timeline!$K$5:$K$305="Task")*ISNUMBER(Timeline!$I$5:$I$305)*ISNUMBER(Timeline!$J$5:$J$305)*(Timeline!$I$5:$I$305&lt;=AF$4+1)*(Timeline!$J$5:$J$305&gt;=AF$4+1)),SUMPRODUCT((INDEX(Timeline!$P$5:$AN$305,0,MATCH($A15,Timeline!$P$4:$AN$4,0))="x")*(Timeline!$K$5:$K$305="Task")*ISNUMBER(Timeline!$I$5:$I$305)*ISNUMBER(Timeline!$J$5:$J$305)*(Timeline!$I$5:$I$305&lt;=AF$4+2)*(Timeline!$J$5:$J$305&gt;=AF$4+2)),SUMPRODUCT((INDEX(Timeline!$P$5:$AN$305,0,MATCH($A15,Timeline!$P$4:$AN$4,0))="x")*(Timeline!$K$5:$K$305="Task")*ISNUMBER(Timeline!$I$5:$I$305)*ISNUMBER(Timeline!$J$5:$J$305)*(Timeline!$I$5:$I$305&lt;=AF$4+3)*(Timeline!$J$5:$J$305&gt;=AF$4+3)),SUMPRODUCT((INDEX(Timeline!$P$5:$AN$305,0,MATCH($A15,Timeline!$P$4:$AN$4,0))="x")*(Timeline!$K$5:$K$305="Task")*ISNUMBER(Timeline!$I$5:$I$305)*ISNUMBER(Timeline!$J$5:$J$305)*(Timeline!$I$5:$I$305&lt;=AF$4+4)*(Timeline!$J$5:$J$305&gt;=AF$4+4)),SUMPRODUCT((INDEX(Timeline!$P$5:$AN$305,0,MATCH($A15,Timeline!$P$4:$AN$4,0))="x")*(Timeline!$K$5:$K$305="Task")*ISNUMBER(Timeline!$I$5:$I$305)*ISNUMBER(Timeline!$J$5:$J$305)*(Timeline!$I$5:$I$305&lt;=AF$4+5)*(Timeline!$J$5:$J$305&gt;=AF$4+5)),SUMPRODUCT((INDEX(Timeline!$P$5:$AN$305,0,MATCH($A15,Timeline!$P$4:$AN$4,0))="x")*(Timeline!$K$5:$K$305="Task")*ISNUMBER(Timeline!$I$5:$I$305)*ISNUMBER(Timeline!$J$5:$J$305)*(Timeline!$I$5:$I$305&lt;=AF$4+6)*(Timeline!$J$5:$J$305&gt;=AF$4+6)))</f>
        <v>1</v>
      </c>
      <c r="AG15" s="67">
        <f>MAX(SUMPRODUCT((INDEX(Timeline!$P$5:$AN$305,0,MATCH($A15,Timeline!$P$4:$AN$4,0))="x")*(Timeline!$K$5:$K$305="Task")*ISNUMBER(Timeline!$I$5:$I$305)*ISNUMBER(Timeline!$J$5:$J$305)*(Timeline!$I$5:$I$305&lt;=AG$4+0)*(Timeline!$J$5:$J$305&gt;=AG$4+0)),SUMPRODUCT((INDEX(Timeline!$P$5:$AN$305,0,MATCH($A15,Timeline!$P$4:$AN$4,0))="x")*(Timeline!$K$5:$K$305="Task")*ISNUMBER(Timeline!$I$5:$I$305)*ISNUMBER(Timeline!$J$5:$J$305)*(Timeline!$I$5:$I$305&lt;=AG$4+1)*(Timeline!$J$5:$J$305&gt;=AG$4+1)),SUMPRODUCT((INDEX(Timeline!$P$5:$AN$305,0,MATCH($A15,Timeline!$P$4:$AN$4,0))="x")*(Timeline!$K$5:$K$305="Task")*ISNUMBER(Timeline!$I$5:$I$305)*ISNUMBER(Timeline!$J$5:$J$305)*(Timeline!$I$5:$I$305&lt;=AG$4+2)*(Timeline!$J$5:$J$305&gt;=AG$4+2)),SUMPRODUCT((INDEX(Timeline!$P$5:$AN$305,0,MATCH($A15,Timeline!$P$4:$AN$4,0))="x")*(Timeline!$K$5:$K$305="Task")*ISNUMBER(Timeline!$I$5:$I$305)*ISNUMBER(Timeline!$J$5:$J$305)*(Timeline!$I$5:$I$305&lt;=AG$4+3)*(Timeline!$J$5:$J$305&gt;=AG$4+3)),SUMPRODUCT((INDEX(Timeline!$P$5:$AN$305,0,MATCH($A15,Timeline!$P$4:$AN$4,0))="x")*(Timeline!$K$5:$K$305="Task")*ISNUMBER(Timeline!$I$5:$I$305)*ISNUMBER(Timeline!$J$5:$J$305)*(Timeline!$I$5:$I$305&lt;=AG$4+4)*(Timeline!$J$5:$J$305&gt;=AG$4+4)),SUMPRODUCT((INDEX(Timeline!$P$5:$AN$305,0,MATCH($A15,Timeline!$P$4:$AN$4,0))="x")*(Timeline!$K$5:$K$305="Task")*ISNUMBER(Timeline!$I$5:$I$305)*ISNUMBER(Timeline!$J$5:$J$305)*(Timeline!$I$5:$I$305&lt;=AG$4+5)*(Timeline!$J$5:$J$305&gt;=AG$4+5)),SUMPRODUCT((INDEX(Timeline!$P$5:$AN$305,0,MATCH($A15,Timeline!$P$4:$AN$4,0))="x")*(Timeline!$K$5:$K$305="Task")*ISNUMBER(Timeline!$I$5:$I$305)*ISNUMBER(Timeline!$J$5:$J$305)*(Timeline!$I$5:$I$305&lt;=AG$4+6)*(Timeline!$J$5:$J$305&gt;=AG$4+6)))</f>
        <v>0</v>
      </c>
      <c r="AH15" s="67">
        <f>MAX(SUMPRODUCT((INDEX(Timeline!$P$5:$AN$305,0,MATCH($A15,Timeline!$P$4:$AN$4,0))="x")*(Timeline!$K$5:$K$305="Task")*ISNUMBER(Timeline!$I$5:$I$305)*ISNUMBER(Timeline!$J$5:$J$305)*(Timeline!$I$5:$I$305&lt;=AH$4+0)*(Timeline!$J$5:$J$305&gt;=AH$4+0)),SUMPRODUCT((INDEX(Timeline!$P$5:$AN$305,0,MATCH($A15,Timeline!$P$4:$AN$4,0))="x")*(Timeline!$K$5:$K$305="Task")*ISNUMBER(Timeline!$I$5:$I$305)*ISNUMBER(Timeline!$J$5:$J$305)*(Timeline!$I$5:$I$305&lt;=AH$4+1)*(Timeline!$J$5:$J$305&gt;=AH$4+1)),SUMPRODUCT((INDEX(Timeline!$P$5:$AN$305,0,MATCH($A15,Timeline!$P$4:$AN$4,0))="x")*(Timeline!$K$5:$K$305="Task")*ISNUMBER(Timeline!$I$5:$I$305)*ISNUMBER(Timeline!$J$5:$J$305)*(Timeline!$I$5:$I$305&lt;=AH$4+2)*(Timeline!$J$5:$J$305&gt;=AH$4+2)),SUMPRODUCT((INDEX(Timeline!$P$5:$AN$305,0,MATCH($A15,Timeline!$P$4:$AN$4,0))="x")*(Timeline!$K$5:$K$305="Task")*ISNUMBER(Timeline!$I$5:$I$305)*ISNUMBER(Timeline!$J$5:$J$305)*(Timeline!$I$5:$I$305&lt;=AH$4+3)*(Timeline!$J$5:$J$305&gt;=AH$4+3)),SUMPRODUCT((INDEX(Timeline!$P$5:$AN$305,0,MATCH($A15,Timeline!$P$4:$AN$4,0))="x")*(Timeline!$K$5:$K$305="Task")*ISNUMBER(Timeline!$I$5:$I$305)*ISNUMBER(Timeline!$J$5:$J$305)*(Timeline!$I$5:$I$305&lt;=AH$4+4)*(Timeline!$J$5:$J$305&gt;=AH$4+4)),SUMPRODUCT((INDEX(Timeline!$P$5:$AN$305,0,MATCH($A15,Timeline!$P$4:$AN$4,0))="x")*(Timeline!$K$5:$K$305="Task")*ISNUMBER(Timeline!$I$5:$I$305)*ISNUMBER(Timeline!$J$5:$J$305)*(Timeline!$I$5:$I$305&lt;=AH$4+5)*(Timeline!$J$5:$J$305&gt;=AH$4+5)),SUMPRODUCT((INDEX(Timeline!$P$5:$AN$305,0,MATCH($A15,Timeline!$P$4:$AN$4,0))="x")*(Timeline!$K$5:$K$305="Task")*ISNUMBER(Timeline!$I$5:$I$305)*ISNUMBER(Timeline!$J$5:$J$305)*(Timeline!$I$5:$I$305&lt;=AH$4+6)*(Timeline!$J$5:$J$305&gt;=AH$4+6)))</f>
        <v>0</v>
      </c>
      <c r="AI15" s="67">
        <f>MAX(SUMPRODUCT((INDEX(Timeline!$P$5:$AN$305,0,MATCH($A15,Timeline!$P$4:$AN$4,0))="x")*(Timeline!$K$5:$K$305="Task")*ISNUMBER(Timeline!$I$5:$I$305)*ISNUMBER(Timeline!$J$5:$J$305)*(Timeline!$I$5:$I$305&lt;=AI$4+0)*(Timeline!$J$5:$J$305&gt;=AI$4+0)),SUMPRODUCT((INDEX(Timeline!$P$5:$AN$305,0,MATCH($A15,Timeline!$P$4:$AN$4,0))="x")*(Timeline!$K$5:$K$305="Task")*ISNUMBER(Timeline!$I$5:$I$305)*ISNUMBER(Timeline!$J$5:$J$305)*(Timeline!$I$5:$I$305&lt;=AI$4+1)*(Timeline!$J$5:$J$305&gt;=AI$4+1)),SUMPRODUCT((INDEX(Timeline!$P$5:$AN$305,0,MATCH($A15,Timeline!$P$4:$AN$4,0))="x")*(Timeline!$K$5:$K$305="Task")*ISNUMBER(Timeline!$I$5:$I$305)*ISNUMBER(Timeline!$J$5:$J$305)*(Timeline!$I$5:$I$305&lt;=AI$4+2)*(Timeline!$J$5:$J$305&gt;=AI$4+2)),SUMPRODUCT((INDEX(Timeline!$P$5:$AN$305,0,MATCH($A15,Timeline!$P$4:$AN$4,0))="x")*(Timeline!$K$5:$K$305="Task")*ISNUMBER(Timeline!$I$5:$I$305)*ISNUMBER(Timeline!$J$5:$J$305)*(Timeline!$I$5:$I$305&lt;=AI$4+3)*(Timeline!$J$5:$J$305&gt;=AI$4+3)),SUMPRODUCT((INDEX(Timeline!$P$5:$AN$305,0,MATCH($A15,Timeline!$P$4:$AN$4,0))="x")*(Timeline!$K$5:$K$305="Task")*ISNUMBER(Timeline!$I$5:$I$305)*ISNUMBER(Timeline!$J$5:$J$305)*(Timeline!$I$5:$I$305&lt;=AI$4+4)*(Timeline!$J$5:$J$305&gt;=AI$4+4)),SUMPRODUCT((INDEX(Timeline!$P$5:$AN$305,0,MATCH($A15,Timeline!$P$4:$AN$4,0))="x")*(Timeline!$K$5:$K$305="Task")*ISNUMBER(Timeline!$I$5:$I$305)*ISNUMBER(Timeline!$J$5:$J$305)*(Timeline!$I$5:$I$305&lt;=AI$4+5)*(Timeline!$J$5:$J$305&gt;=AI$4+5)),SUMPRODUCT((INDEX(Timeline!$P$5:$AN$305,0,MATCH($A15,Timeline!$P$4:$AN$4,0))="x")*(Timeline!$K$5:$K$305="Task")*ISNUMBER(Timeline!$I$5:$I$305)*ISNUMBER(Timeline!$J$5:$J$305)*(Timeline!$I$5:$I$305&lt;=AI$4+6)*(Timeline!$J$5:$J$305&gt;=AI$4+6)))</f>
        <v>0</v>
      </c>
      <c r="AJ15" s="67">
        <f>MAX(SUMPRODUCT((INDEX(Timeline!$P$5:$AN$305,0,MATCH($A15,Timeline!$P$4:$AN$4,0))="x")*(Timeline!$K$5:$K$305="Task")*ISNUMBER(Timeline!$I$5:$I$305)*ISNUMBER(Timeline!$J$5:$J$305)*(Timeline!$I$5:$I$305&lt;=AJ$4+0)*(Timeline!$J$5:$J$305&gt;=AJ$4+0)),SUMPRODUCT((INDEX(Timeline!$P$5:$AN$305,0,MATCH($A15,Timeline!$P$4:$AN$4,0))="x")*(Timeline!$K$5:$K$305="Task")*ISNUMBER(Timeline!$I$5:$I$305)*ISNUMBER(Timeline!$J$5:$J$305)*(Timeline!$I$5:$I$305&lt;=AJ$4+1)*(Timeline!$J$5:$J$305&gt;=AJ$4+1)),SUMPRODUCT((INDEX(Timeline!$P$5:$AN$305,0,MATCH($A15,Timeline!$P$4:$AN$4,0))="x")*(Timeline!$K$5:$K$305="Task")*ISNUMBER(Timeline!$I$5:$I$305)*ISNUMBER(Timeline!$J$5:$J$305)*(Timeline!$I$5:$I$305&lt;=AJ$4+2)*(Timeline!$J$5:$J$305&gt;=AJ$4+2)),SUMPRODUCT((INDEX(Timeline!$P$5:$AN$305,0,MATCH($A15,Timeline!$P$4:$AN$4,0))="x")*(Timeline!$K$5:$K$305="Task")*ISNUMBER(Timeline!$I$5:$I$305)*ISNUMBER(Timeline!$J$5:$J$305)*(Timeline!$I$5:$I$305&lt;=AJ$4+3)*(Timeline!$J$5:$J$305&gt;=AJ$4+3)),SUMPRODUCT((INDEX(Timeline!$P$5:$AN$305,0,MATCH($A15,Timeline!$P$4:$AN$4,0))="x")*(Timeline!$K$5:$K$305="Task")*ISNUMBER(Timeline!$I$5:$I$305)*ISNUMBER(Timeline!$J$5:$J$305)*(Timeline!$I$5:$I$305&lt;=AJ$4+4)*(Timeline!$J$5:$J$305&gt;=AJ$4+4)),SUMPRODUCT((INDEX(Timeline!$P$5:$AN$305,0,MATCH($A15,Timeline!$P$4:$AN$4,0))="x")*(Timeline!$K$5:$K$305="Task")*ISNUMBER(Timeline!$I$5:$I$305)*ISNUMBER(Timeline!$J$5:$J$305)*(Timeline!$I$5:$I$305&lt;=AJ$4+5)*(Timeline!$J$5:$J$305&gt;=AJ$4+5)),SUMPRODUCT((INDEX(Timeline!$P$5:$AN$305,0,MATCH($A15,Timeline!$P$4:$AN$4,0))="x")*(Timeline!$K$5:$K$305="Task")*ISNUMBER(Timeline!$I$5:$I$305)*ISNUMBER(Timeline!$J$5:$J$305)*(Timeline!$I$5:$I$305&lt;=AJ$4+6)*(Timeline!$J$5:$J$305&gt;=AJ$4+6)))</f>
        <v>1</v>
      </c>
      <c r="AK15" s="67">
        <f>MAX(SUMPRODUCT((INDEX(Timeline!$P$5:$AN$305,0,MATCH($A15,Timeline!$P$4:$AN$4,0))="x")*(Timeline!$K$5:$K$305="Task")*ISNUMBER(Timeline!$I$5:$I$305)*ISNUMBER(Timeline!$J$5:$J$305)*(Timeline!$I$5:$I$305&lt;=AK$4+0)*(Timeline!$J$5:$J$305&gt;=AK$4+0)),SUMPRODUCT((INDEX(Timeline!$P$5:$AN$305,0,MATCH($A15,Timeline!$P$4:$AN$4,0))="x")*(Timeline!$K$5:$K$305="Task")*ISNUMBER(Timeline!$I$5:$I$305)*ISNUMBER(Timeline!$J$5:$J$305)*(Timeline!$I$5:$I$305&lt;=AK$4+1)*(Timeline!$J$5:$J$305&gt;=AK$4+1)),SUMPRODUCT((INDEX(Timeline!$P$5:$AN$305,0,MATCH($A15,Timeline!$P$4:$AN$4,0))="x")*(Timeline!$K$5:$K$305="Task")*ISNUMBER(Timeline!$I$5:$I$305)*ISNUMBER(Timeline!$J$5:$J$305)*(Timeline!$I$5:$I$305&lt;=AK$4+2)*(Timeline!$J$5:$J$305&gt;=AK$4+2)),SUMPRODUCT((INDEX(Timeline!$P$5:$AN$305,0,MATCH($A15,Timeline!$P$4:$AN$4,0))="x")*(Timeline!$K$5:$K$305="Task")*ISNUMBER(Timeline!$I$5:$I$305)*ISNUMBER(Timeline!$J$5:$J$305)*(Timeline!$I$5:$I$305&lt;=AK$4+3)*(Timeline!$J$5:$J$305&gt;=AK$4+3)),SUMPRODUCT((INDEX(Timeline!$P$5:$AN$305,0,MATCH($A15,Timeline!$P$4:$AN$4,0))="x")*(Timeline!$K$5:$K$305="Task")*ISNUMBER(Timeline!$I$5:$I$305)*ISNUMBER(Timeline!$J$5:$J$305)*(Timeline!$I$5:$I$305&lt;=AK$4+4)*(Timeline!$J$5:$J$305&gt;=AK$4+4)),SUMPRODUCT((INDEX(Timeline!$P$5:$AN$305,0,MATCH($A15,Timeline!$P$4:$AN$4,0))="x")*(Timeline!$K$5:$K$305="Task")*ISNUMBER(Timeline!$I$5:$I$305)*ISNUMBER(Timeline!$J$5:$J$305)*(Timeline!$I$5:$I$305&lt;=AK$4+5)*(Timeline!$J$5:$J$305&gt;=AK$4+5)),SUMPRODUCT((INDEX(Timeline!$P$5:$AN$305,0,MATCH($A15,Timeline!$P$4:$AN$4,0))="x")*(Timeline!$K$5:$K$305="Task")*ISNUMBER(Timeline!$I$5:$I$305)*ISNUMBER(Timeline!$J$5:$J$305)*(Timeline!$I$5:$I$305&lt;=AK$4+6)*(Timeline!$J$5:$J$305&gt;=AK$4+6)))</f>
        <v>0</v>
      </c>
      <c r="AL15" s="67">
        <f>MAX(SUMPRODUCT((INDEX(Timeline!$P$5:$AN$305,0,MATCH($A15,Timeline!$P$4:$AN$4,0))="x")*(Timeline!$K$5:$K$305="Task")*ISNUMBER(Timeline!$I$5:$I$305)*ISNUMBER(Timeline!$J$5:$J$305)*(Timeline!$I$5:$I$305&lt;=AL$4+0)*(Timeline!$J$5:$J$305&gt;=AL$4+0)),SUMPRODUCT((INDEX(Timeline!$P$5:$AN$305,0,MATCH($A15,Timeline!$P$4:$AN$4,0))="x")*(Timeline!$K$5:$K$305="Task")*ISNUMBER(Timeline!$I$5:$I$305)*ISNUMBER(Timeline!$J$5:$J$305)*(Timeline!$I$5:$I$305&lt;=AL$4+1)*(Timeline!$J$5:$J$305&gt;=AL$4+1)),SUMPRODUCT((INDEX(Timeline!$P$5:$AN$305,0,MATCH($A15,Timeline!$P$4:$AN$4,0))="x")*(Timeline!$K$5:$K$305="Task")*ISNUMBER(Timeline!$I$5:$I$305)*ISNUMBER(Timeline!$J$5:$J$305)*(Timeline!$I$5:$I$305&lt;=AL$4+2)*(Timeline!$J$5:$J$305&gt;=AL$4+2)),SUMPRODUCT((INDEX(Timeline!$P$5:$AN$305,0,MATCH($A15,Timeline!$P$4:$AN$4,0))="x")*(Timeline!$K$5:$K$305="Task")*ISNUMBER(Timeline!$I$5:$I$305)*ISNUMBER(Timeline!$J$5:$J$305)*(Timeline!$I$5:$I$305&lt;=AL$4+3)*(Timeline!$J$5:$J$305&gt;=AL$4+3)),SUMPRODUCT((INDEX(Timeline!$P$5:$AN$305,0,MATCH($A15,Timeline!$P$4:$AN$4,0))="x")*(Timeline!$K$5:$K$305="Task")*ISNUMBER(Timeline!$I$5:$I$305)*ISNUMBER(Timeline!$J$5:$J$305)*(Timeline!$I$5:$I$305&lt;=AL$4+4)*(Timeline!$J$5:$J$305&gt;=AL$4+4)),SUMPRODUCT((INDEX(Timeline!$P$5:$AN$305,0,MATCH($A15,Timeline!$P$4:$AN$4,0))="x")*(Timeline!$K$5:$K$305="Task")*ISNUMBER(Timeline!$I$5:$I$305)*ISNUMBER(Timeline!$J$5:$J$305)*(Timeline!$I$5:$I$305&lt;=AL$4+5)*(Timeline!$J$5:$J$305&gt;=AL$4+5)),SUMPRODUCT((INDEX(Timeline!$P$5:$AN$305,0,MATCH($A15,Timeline!$P$4:$AN$4,0))="x")*(Timeline!$K$5:$K$305="Task")*ISNUMBER(Timeline!$I$5:$I$305)*ISNUMBER(Timeline!$J$5:$J$305)*(Timeline!$I$5:$I$305&lt;=AL$4+6)*(Timeline!$J$5:$J$305&gt;=AL$4+6)))</f>
        <v>0</v>
      </c>
      <c r="AM15" s="67">
        <f>MAX(SUMPRODUCT((INDEX(Timeline!$P$5:$AN$305,0,MATCH($A15,Timeline!$P$4:$AN$4,0))="x")*(Timeline!$K$5:$K$305="Task")*ISNUMBER(Timeline!$I$5:$I$305)*ISNUMBER(Timeline!$J$5:$J$305)*(Timeline!$I$5:$I$305&lt;=AM$4+0)*(Timeline!$J$5:$J$305&gt;=AM$4+0)),SUMPRODUCT((INDEX(Timeline!$P$5:$AN$305,0,MATCH($A15,Timeline!$P$4:$AN$4,0))="x")*(Timeline!$K$5:$K$305="Task")*ISNUMBER(Timeline!$I$5:$I$305)*ISNUMBER(Timeline!$J$5:$J$305)*(Timeline!$I$5:$I$305&lt;=AM$4+1)*(Timeline!$J$5:$J$305&gt;=AM$4+1)),SUMPRODUCT((INDEX(Timeline!$P$5:$AN$305,0,MATCH($A15,Timeline!$P$4:$AN$4,0))="x")*(Timeline!$K$5:$K$305="Task")*ISNUMBER(Timeline!$I$5:$I$305)*ISNUMBER(Timeline!$J$5:$J$305)*(Timeline!$I$5:$I$305&lt;=AM$4+2)*(Timeline!$J$5:$J$305&gt;=AM$4+2)),SUMPRODUCT((INDEX(Timeline!$P$5:$AN$305,0,MATCH($A15,Timeline!$P$4:$AN$4,0))="x")*(Timeline!$K$5:$K$305="Task")*ISNUMBER(Timeline!$I$5:$I$305)*ISNUMBER(Timeline!$J$5:$J$305)*(Timeline!$I$5:$I$305&lt;=AM$4+3)*(Timeline!$J$5:$J$305&gt;=AM$4+3)),SUMPRODUCT((INDEX(Timeline!$P$5:$AN$305,0,MATCH($A15,Timeline!$P$4:$AN$4,0))="x")*(Timeline!$K$5:$K$305="Task")*ISNUMBER(Timeline!$I$5:$I$305)*ISNUMBER(Timeline!$J$5:$J$305)*(Timeline!$I$5:$I$305&lt;=AM$4+4)*(Timeline!$J$5:$J$305&gt;=AM$4+4)),SUMPRODUCT((INDEX(Timeline!$P$5:$AN$305,0,MATCH($A15,Timeline!$P$4:$AN$4,0))="x")*(Timeline!$K$5:$K$305="Task")*ISNUMBER(Timeline!$I$5:$I$305)*ISNUMBER(Timeline!$J$5:$J$305)*(Timeline!$I$5:$I$305&lt;=AM$4+5)*(Timeline!$J$5:$J$305&gt;=AM$4+5)),SUMPRODUCT((INDEX(Timeline!$P$5:$AN$305,0,MATCH($A15,Timeline!$P$4:$AN$4,0))="x")*(Timeline!$K$5:$K$305="Task")*ISNUMBER(Timeline!$I$5:$I$305)*ISNUMBER(Timeline!$J$5:$J$305)*(Timeline!$I$5:$I$305&lt;=AM$4+6)*(Timeline!$J$5:$J$305&gt;=AM$4+6)))</f>
        <v>0</v>
      </c>
      <c r="AN15" s="67">
        <f>MAX(SUMPRODUCT((INDEX(Timeline!$P$5:$AN$305,0,MATCH($A15,Timeline!$P$4:$AN$4,0))="x")*(Timeline!$K$5:$K$305="Task")*ISNUMBER(Timeline!$I$5:$I$305)*ISNUMBER(Timeline!$J$5:$J$305)*(Timeline!$I$5:$I$305&lt;=AN$4+0)*(Timeline!$J$5:$J$305&gt;=AN$4+0)),SUMPRODUCT((INDEX(Timeline!$P$5:$AN$305,0,MATCH($A15,Timeline!$P$4:$AN$4,0))="x")*(Timeline!$K$5:$K$305="Task")*ISNUMBER(Timeline!$I$5:$I$305)*ISNUMBER(Timeline!$J$5:$J$305)*(Timeline!$I$5:$I$305&lt;=AN$4+1)*(Timeline!$J$5:$J$305&gt;=AN$4+1)),SUMPRODUCT((INDEX(Timeline!$P$5:$AN$305,0,MATCH($A15,Timeline!$P$4:$AN$4,0))="x")*(Timeline!$K$5:$K$305="Task")*ISNUMBER(Timeline!$I$5:$I$305)*ISNUMBER(Timeline!$J$5:$J$305)*(Timeline!$I$5:$I$305&lt;=AN$4+2)*(Timeline!$J$5:$J$305&gt;=AN$4+2)),SUMPRODUCT((INDEX(Timeline!$P$5:$AN$305,0,MATCH($A15,Timeline!$P$4:$AN$4,0))="x")*(Timeline!$K$5:$K$305="Task")*ISNUMBER(Timeline!$I$5:$I$305)*ISNUMBER(Timeline!$J$5:$J$305)*(Timeline!$I$5:$I$305&lt;=AN$4+3)*(Timeline!$J$5:$J$305&gt;=AN$4+3)),SUMPRODUCT((INDEX(Timeline!$P$5:$AN$305,0,MATCH($A15,Timeline!$P$4:$AN$4,0))="x")*(Timeline!$K$5:$K$305="Task")*ISNUMBER(Timeline!$I$5:$I$305)*ISNUMBER(Timeline!$J$5:$J$305)*(Timeline!$I$5:$I$305&lt;=AN$4+4)*(Timeline!$J$5:$J$305&gt;=AN$4+4)),SUMPRODUCT((INDEX(Timeline!$P$5:$AN$305,0,MATCH($A15,Timeline!$P$4:$AN$4,0))="x")*(Timeline!$K$5:$K$305="Task")*ISNUMBER(Timeline!$I$5:$I$305)*ISNUMBER(Timeline!$J$5:$J$305)*(Timeline!$I$5:$I$305&lt;=AN$4+5)*(Timeline!$J$5:$J$305&gt;=AN$4+5)),SUMPRODUCT((INDEX(Timeline!$P$5:$AN$305,0,MATCH($A15,Timeline!$P$4:$AN$4,0))="x")*(Timeline!$K$5:$K$305="Task")*ISNUMBER(Timeline!$I$5:$I$305)*ISNUMBER(Timeline!$J$5:$J$305)*(Timeline!$I$5:$I$305&lt;=AN$4+6)*(Timeline!$J$5:$J$305&gt;=AN$4+6)))</f>
        <v>0</v>
      </c>
      <c r="AO15" s="67">
        <f>MAX(SUMPRODUCT((INDEX(Timeline!$P$5:$AN$305,0,MATCH($A15,Timeline!$P$4:$AN$4,0))="x")*(Timeline!$K$5:$K$305="Task")*ISNUMBER(Timeline!$I$5:$I$305)*ISNUMBER(Timeline!$J$5:$J$305)*(Timeline!$I$5:$I$305&lt;=AO$4+0)*(Timeline!$J$5:$J$305&gt;=AO$4+0)),SUMPRODUCT((INDEX(Timeline!$P$5:$AN$305,0,MATCH($A15,Timeline!$P$4:$AN$4,0))="x")*(Timeline!$K$5:$K$305="Task")*ISNUMBER(Timeline!$I$5:$I$305)*ISNUMBER(Timeline!$J$5:$J$305)*(Timeline!$I$5:$I$305&lt;=AO$4+1)*(Timeline!$J$5:$J$305&gt;=AO$4+1)),SUMPRODUCT((INDEX(Timeline!$P$5:$AN$305,0,MATCH($A15,Timeline!$P$4:$AN$4,0))="x")*(Timeline!$K$5:$K$305="Task")*ISNUMBER(Timeline!$I$5:$I$305)*ISNUMBER(Timeline!$J$5:$J$305)*(Timeline!$I$5:$I$305&lt;=AO$4+2)*(Timeline!$J$5:$J$305&gt;=AO$4+2)),SUMPRODUCT((INDEX(Timeline!$P$5:$AN$305,0,MATCH($A15,Timeline!$P$4:$AN$4,0))="x")*(Timeline!$K$5:$K$305="Task")*ISNUMBER(Timeline!$I$5:$I$305)*ISNUMBER(Timeline!$J$5:$J$305)*(Timeline!$I$5:$I$305&lt;=AO$4+3)*(Timeline!$J$5:$J$305&gt;=AO$4+3)),SUMPRODUCT((INDEX(Timeline!$P$5:$AN$305,0,MATCH($A15,Timeline!$P$4:$AN$4,0))="x")*(Timeline!$K$5:$K$305="Task")*ISNUMBER(Timeline!$I$5:$I$305)*ISNUMBER(Timeline!$J$5:$J$305)*(Timeline!$I$5:$I$305&lt;=AO$4+4)*(Timeline!$J$5:$J$305&gt;=AO$4+4)),SUMPRODUCT((INDEX(Timeline!$P$5:$AN$305,0,MATCH($A15,Timeline!$P$4:$AN$4,0))="x")*(Timeline!$K$5:$K$305="Task")*ISNUMBER(Timeline!$I$5:$I$305)*ISNUMBER(Timeline!$J$5:$J$305)*(Timeline!$I$5:$I$305&lt;=AO$4+5)*(Timeline!$J$5:$J$305&gt;=AO$4+5)),SUMPRODUCT((INDEX(Timeline!$P$5:$AN$305,0,MATCH($A15,Timeline!$P$4:$AN$4,0))="x")*(Timeline!$K$5:$K$305="Task")*ISNUMBER(Timeline!$I$5:$I$305)*ISNUMBER(Timeline!$J$5:$J$305)*(Timeline!$I$5:$I$305&lt;=AO$4+6)*(Timeline!$J$5:$J$305&gt;=AO$4+6)))</f>
        <v>0</v>
      </c>
      <c r="AP15" s="67">
        <f>MAX(SUMPRODUCT((INDEX(Timeline!$P$5:$AN$305,0,MATCH($A15,Timeline!$P$4:$AN$4,0))="x")*(Timeline!$K$5:$K$305="Task")*ISNUMBER(Timeline!$I$5:$I$305)*ISNUMBER(Timeline!$J$5:$J$305)*(Timeline!$I$5:$I$305&lt;=AP$4+0)*(Timeline!$J$5:$J$305&gt;=AP$4+0)),SUMPRODUCT((INDEX(Timeline!$P$5:$AN$305,0,MATCH($A15,Timeline!$P$4:$AN$4,0))="x")*(Timeline!$K$5:$K$305="Task")*ISNUMBER(Timeline!$I$5:$I$305)*ISNUMBER(Timeline!$J$5:$J$305)*(Timeline!$I$5:$I$305&lt;=AP$4+1)*(Timeline!$J$5:$J$305&gt;=AP$4+1)),SUMPRODUCT((INDEX(Timeline!$P$5:$AN$305,0,MATCH($A15,Timeline!$P$4:$AN$4,0))="x")*(Timeline!$K$5:$K$305="Task")*ISNUMBER(Timeline!$I$5:$I$305)*ISNUMBER(Timeline!$J$5:$J$305)*(Timeline!$I$5:$I$305&lt;=AP$4+2)*(Timeline!$J$5:$J$305&gt;=AP$4+2)),SUMPRODUCT((INDEX(Timeline!$P$5:$AN$305,0,MATCH($A15,Timeline!$P$4:$AN$4,0))="x")*(Timeline!$K$5:$K$305="Task")*ISNUMBER(Timeline!$I$5:$I$305)*ISNUMBER(Timeline!$J$5:$J$305)*(Timeline!$I$5:$I$305&lt;=AP$4+3)*(Timeline!$J$5:$J$305&gt;=AP$4+3)),SUMPRODUCT((INDEX(Timeline!$P$5:$AN$305,0,MATCH($A15,Timeline!$P$4:$AN$4,0))="x")*(Timeline!$K$5:$K$305="Task")*ISNUMBER(Timeline!$I$5:$I$305)*ISNUMBER(Timeline!$J$5:$J$305)*(Timeline!$I$5:$I$305&lt;=AP$4+4)*(Timeline!$J$5:$J$305&gt;=AP$4+4)),SUMPRODUCT((INDEX(Timeline!$P$5:$AN$305,0,MATCH($A15,Timeline!$P$4:$AN$4,0))="x")*(Timeline!$K$5:$K$305="Task")*ISNUMBER(Timeline!$I$5:$I$305)*ISNUMBER(Timeline!$J$5:$J$305)*(Timeline!$I$5:$I$305&lt;=AP$4+5)*(Timeline!$J$5:$J$305&gt;=AP$4+5)),SUMPRODUCT((INDEX(Timeline!$P$5:$AN$305,0,MATCH($A15,Timeline!$P$4:$AN$4,0))="x")*(Timeline!$K$5:$K$305="Task")*ISNUMBER(Timeline!$I$5:$I$305)*ISNUMBER(Timeline!$J$5:$J$305)*(Timeline!$I$5:$I$305&lt;=AP$4+6)*(Timeline!$J$5:$J$305&gt;=AP$4+6)))</f>
        <v>0</v>
      </c>
      <c r="AQ15" s="67">
        <f>MAX(SUMPRODUCT((INDEX(Timeline!$P$5:$AN$305,0,MATCH($A15,Timeline!$P$4:$AN$4,0))="x")*(Timeline!$K$5:$K$305="Task")*ISNUMBER(Timeline!$I$5:$I$305)*ISNUMBER(Timeline!$J$5:$J$305)*(Timeline!$I$5:$I$305&lt;=AQ$4+0)*(Timeline!$J$5:$J$305&gt;=AQ$4+0)),SUMPRODUCT((INDEX(Timeline!$P$5:$AN$305,0,MATCH($A15,Timeline!$P$4:$AN$4,0))="x")*(Timeline!$K$5:$K$305="Task")*ISNUMBER(Timeline!$I$5:$I$305)*ISNUMBER(Timeline!$J$5:$J$305)*(Timeline!$I$5:$I$305&lt;=AQ$4+1)*(Timeline!$J$5:$J$305&gt;=AQ$4+1)),SUMPRODUCT((INDEX(Timeline!$P$5:$AN$305,0,MATCH($A15,Timeline!$P$4:$AN$4,0))="x")*(Timeline!$K$5:$K$305="Task")*ISNUMBER(Timeline!$I$5:$I$305)*ISNUMBER(Timeline!$J$5:$J$305)*(Timeline!$I$5:$I$305&lt;=AQ$4+2)*(Timeline!$J$5:$J$305&gt;=AQ$4+2)),SUMPRODUCT((INDEX(Timeline!$P$5:$AN$305,0,MATCH($A15,Timeline!$P$4:$AN$4,0))="x")*(Timeline!$K$5:$K$305="Task")*ISNUMBER(Timeline!$I$5:$I$305)*ISNUMBER(Timeline!$J$5:$J$305)*(Timeline!$I$5:$I$305&lt;=AQ$4+3)*(Timeline!$J$5:$J$305&gt;=AQ$4+3)),SUMPRODUCT((INDEX(Timeline!$P$5:$AN$305,0,MATCH($A15,Timeline!$P$4:$AN$4,0))="x")*(Timeline!$K$5:$K$305="Task")*ISNUMBER(Timeline!$I$5:$I$305)*ISNUMBER(Timeline!$J$5:$J$305)*(Timeline!$I$5:$I$305&lt;=AQ$4+4)*(Timeline!$J$5:$J$305&gt;=AQ$4+4)),SUMPRODUCT((INDEX(Timeline!$P$5:$AN$305,0,MATCH($A15,Timeline!$P$4:$AN$4,0))="x")*(Timeline!$K$5:$K$305="Task")*ISNUMBER(Timeline!$I$5:$I$305)*ISNUMBER(Timeline!$J$5:$J$305)*(Timeline!$I$5:$I$305&lt;=AQ$4+5)*(Timeline!$J$5:$J$305&gt;=AQ$4+5)),SUMPRODUCT((INDEX(Timeline!$P$5:$AN$305,0,MATCH($A15,Timeline!$P$4:$AN$4,0))="x")*(Timeline!$K$5:$K$305="Task")*ISNUMBER(Timeline!$I$5:$I$305)*ISNUMBER(Timeline!$J$5:$J$305)*(Timeline!$I$5:$I$305&lt;=AQ$4+6)*(Timeline!$J$5:$J$305&gt;=AQ$4+6)))</f>
        <v>0</v>
      </c>
      <c r="AR15" s="67">
        <f>MAX(SUMPRODUCT((INDEX(Timeline!$P$5:$AN$305,0,MATCH($A15,Timeline!$P$4:$AN$4,0))="x")*(Timeline!$K$5:$K$305="Task")*ISNUMBER(Timeline!$I$5:$I$305)*ISNUMBER(Timeline!$J$5:$J$305)*(Timeline!$I$5:$I$305&lt;=AR$4+0)*(Timeline!$J$5:$J$305&gt;=AR$4+0)),SUMPRODUCT((INDEX(Timeline!$P$5:$AN$305,0,MATCH($A15,Timeline!$P$4:$AN$4,0))="x")*(Timeline!$K$5:$K$305="Task")*ISNUMBER(Timeline!$I$5:$I$305)*ISNUMBER(Timeline!$J$5:$J$305)*(Timeline!$I$5:$I$305&lt;=AR$4+1)*(Timeline!$J$5:$J$305&gt;=AR$4+1)),SUMPRODUCT((INDEX(Timeline!$P$5:$AN$305,0,MATCH($A15,Timeline!$P$4:$AN$4,0))="x")*(Timeline!$K$5:$K$305="Task")*ISNUMBER(Timeline!$I$5:$I$305)*ISNUMBER(Timeline!$J$5:$J$305)*(Timeline!$I$5:$I$305&lt;=AR$4+2)*(Timeline!$J$5:$J$305&gt;=AR$4+2)),SUMPRODUCT((INDEX(Timeline!$P$5:$AN$305,0,MATCH($A15,Timeline!$P$4:$AN$4,0))="x")*(Timeline!$K$5:$K$305="Task")*ISNUMBER(Timeline!$I$5:$I$305)*ISNUMBER(Timeline!$J$5:$J$305)*(Timeline!$I$5:$I$305&lt;=AR$4+3)*(Timeline!$J$5:$J$305&gt;=AR$4+3)),SUMPRODUCT((INDEX(Timeline!$P$5:$AN$305,0,MATCH($A15,Timeline!$P$4:$AN$4,0))="x")*(Timeline!$K$5:$K$305="Task")*ISNUMBER(Timeline!$I$5:$I$305)*ISNUMBER(Timeline!$J$5:$J$305)*(Timeline!$I$5:$I$305&lt;=AR$4+4)*(Timeline!$J$5:$J$305&gt;=AR$4+4)),SUMPRODUCT((INDEX(Timeline!$P$5:$AN$305,0,MATCH($A15,Timeline!$P$4:$AN$4,0))="x")*(Timeline!$K$5:$K$305="Task")*ISNUMBER(Timeline!$I$5:$I$305)*ISNUMBER(Timeline!$J$5:$J$305)*(Timeline!$I$5:$I$305&lt;=AR$4+5)*(Timeline!$J$5:$J$305&gt;=AR$4+5)),SUMPRODUCT((INDEX(Timeline!$P$5:$AN$305,0,MATCH($A15,Timeline!$P$4:$AN$4,0))="x")*(Timeline!$K$5:$K$305="Task")*ISNUMBER(Timeline!$I$5:$I$305)*ISNUMBER(Timeline!$J$5:$J$305)*(Timeline!$I$5:$I$305&lt;=AR$4+6)*(Timeline!$J$5:$J$305&gt;=AR$4+6)))</f>
        <v>0</v>
      </c>
      <c r="AS15" s="67">
        <f>MAX(SUMPRODUCT((INDEX(Timeline!$P$5:$AN$305,0,MATCH($A15,Timeline!$P$4:$AN$4,0))="x")*(Timeline!$K$5:$K$305="Task")*ISNUMBER(Timeline!$I$5:$I$305)*ISNUMBER(Timeline!$J$5:$J$305)*(Timeline!$I$5:$I$305&lt;=AS$4+0)*(Timeline!$J$5:$J$305&gt;=AS$4+0)),SUMPRODUCT((INDEX(Timeline!$P$5:$AN$305,0,MATCH($A15,Timeline!$P$4:$AN$4,0))="x")*(Timeline!$K$5:$K$305="Task")*ISNUMBER(Timeline!$I$5:$I$305)*ISNUMBER(Timeline!$J$5:$J$305)*(Timeline!$I$5:$I$305&lt;=AS$4+1)*(Timeline!$J$5:$J$305&gt;=AS$4+1)),SUMPRODUCT((INDEX(Timeline!$P$5:$AN$305,0,MATCH($A15,Timeline!$P$4:$AN$4,0))="x")*(Timeline!$K$5:$K$305="Task")*ISNUMBER(Timeline!$I$5:$I$305)*ISNUMBER(Timeline!$J$5:$J$305)*(Timeline!$I$5:$I$305&lt;=AS$4+2)*(Timeline!$J$5:$J$305&gt;=AS$4+2)),SUMPRODUCT((INDEX(Timeline!$P$5:$AN$305,0,MATCH($A15,Timeline!$P$4:$AN$4,0))="x")*(Timeline!$K$5:$K$305="Task")*ISNUMBER(Timeline!$I$5:$I$305)*ISNUMBER(Timeline!$J$5:$J$305)*(Timeline!$I$5:$I$305&lt;=AS$4+3)*(Timeline!$J$5:$J$305&gt;=AS$4+3)),SUMPRODUCT((INDEX(Timeline!$P$5:$AN$305,0,MATCH($A15,Timeline!$P$4:$AN$4,0))="x")*(Timeline!$K$5:$K$305="Task")*ISNUMBER(Timeline!$I$5:$I$305)*ISNUMBER(Timeline!$J$5:$J$305)*(Timeline!$I$5:$I$305&lt;=AS$4+4)*(Timeline!$J$5:$J$305&gt;=AS$4+4)),SUMPRODUCT((INDEX(Timeline!$P$5:$AN$305,0,MATCH($A15,Timeline!$P$4:$AN$4,0))="x")*(Timeline!$K$5:$K$305="Task")*ISNUMBER(Timeline!$I$5:$I$305)*ISNUMBER(Timeline!$J$5:$J$305)*(Timeline!$I$5:$I$305&lt;=AS$4+5)*(Timeline!$J$5:$J$305&gt;=AS$4+5)),SUMPRODUCT((INDEX(Timeline!$P$5:$AN$305,0,MATCH($A15,Timeline!$P$4:$AN$4,0))="x")*(Timeline!$K$5:$K$305="Task")*ISNUMBER(Timeline!$I$5:$I$305)*ISNUMBER(Timeline!$J$5:$J$305)*(Timeline!$I$5:$I$305&lt;=AS$4+6)*(Timeline!$J$5:$J$305&gt;=AS$4+6)))</f>
        <v>0</v>
      </c>
      <c r="AT15" s="67">
        <f>MAX(SUMPRODUCT((INDEX(Timeline!$P$5:$AN$305,0,MATCH($A15,Timeline!$P$4:$AN$4,0))="x")*(Timeline!$K$5:$K$305="Task")*ISNUMBER(Timeline!$I$5:$I$305)*ISNUMBER(Timeline!$J$5:$J$305)*(Timeline!$I$5:$I$305&lt;=AT$4+0)*(Timeline!$J$5:$J$305&gt;=AT$4+0)),SUMPRODUCT((INDEX(Timeline!$P$5:$AN$305,0,MATCH($A15,Timeline!$P$4:$AN$4,0))="x")*(Timeline!$K$5:$K$305="Task")*ISNUMBER(Timeline!$I$5:$I$305)*ISNUMBER(Timeline!$J$5:$J$305)*(Timeline!$I$5:$I$305&lt;=AT$4+1)*(Timeline!$J$5:$J$305&gt;=AT$4+1)),SUMPRODUCT((INDEX(Timeline!$P$5:$AN$305,0,MATCH($A15,Timeline!$P$4:$AN$4,0))="x")*(Timeline!$K$5:$K$305="Task")*ISNUMBER(Timeline!$I$5:$I$305)*ISNUMBER(Timeline!$J$5:$J$305)*(Timeline!$I$5:$I$305&lt;=AT$4+2)*(Timeline!$J$5:$J$305&gt;=AT$4+2)),SUMPRODUCT((INDEX(Timeline!$P$5:$AN$305,0,MATCH($A15,Timeline!$P$4:$AN$4,0))="x")*(Timeline!$K$5:$K$305="Task")*ISNUMBER(Timeline!$I$5:$I$305)*ISNUMBER(Timeline!$J$5:$J$305)*(Timeline!$I$5:$I$305&lt;=AT$4+3)*(Timeline!$J$5:$J$305&gt;=AT$4+3)),SUMPRODUCT((INDEX(Timeline!$P$5:$AN$305,0,MATCH($A15,Timeline!$P$4:$AN$4,0))="x")*(Timeline!$K$5:$K$305="Task")*ISNUMBER(Timeline!$I$5:$I$305)*ISNUMBER(Timeline!$J$5:$J$305)*(Timeline!$I$5:$I$305&lt;=AT$4+4)*(Timeline!$J$5:$J$305&gt;=AT$4+4)),SUMPRODUCT((INDEX(Timeline!$P$5:$AN$305,0,MATCH($A15,Timeline!$P$4:$AN$4,0))="x")*(Timeline!$K$5:$K$305="Task")*ISNUMBER(Timeline!$I$5:$I$305)*ISNUMBER(Timeline!$J$5:$J$305)*(Timeline!$I$5:$I$305&lt;=AT$4+5)*(Timeline!$J$5:$J$305&gt;=AT$4+5)),SUMPRODUCT((INDEX(Timeline!$P$5:$AN$305,0,MATCH($A15,Timeline!$P$4:$AN$4,0))="x")*(Timeline!$K$5:$K$305="Task")*ISNUMBER(Timeline!$I$5:$I$305)*ISNUMBER(Timeline!$J$5:$J$305)*(Timeline!$I$5:$I$305&lt;=AT$4+6)*(Timeline!$J$5:$J$305&gt;=AT$4+6)))</f>
        <v>0</v>
      </c>
      <c r="AU15" s="67">
        <f>MAX(SUMPRODUCT((INDEX(Timeline!$P$5:$AN$305,0,MATCH($A15,Timeline!$P$4:$AN$4,0))="x")*(Timeline!$K$5:$K$305="Task")*ISNUMBER(Timeline!$I$5:$I$305)*ISNUMBER(Timeline!$J$5:$J$305)*(Timeline!$I$5:$I$305&lt;=AU$4+0)*(Timeline!$J$5:$J$305&gt;=AU$4+0)),SUMPRODUCT((INDEX(Timeline!$P$5:$AN$305,0,MATCH($A15,Timeline!$P$4:$AN$4,0))="x")*(Timeline!$K$5:$K$305="Task")*ISNUMBER(Timeline!$I$5:$I$305)*ISNUMBER(Timeline!$J$5:$J$305)*(Timeline!$I$5:$I$305&lt;=AU$4+1)*(Timeline!$J$5:$J$305&gt;=AU$4+1)),SUMPRODUCT((INDEX(Timeline!$P$5:$AN$305,0,MATCH($A15,Timeline!$P$4:$AN$4,0))="x")*(Timeline!$K$5:$K$305="Task")*ISNUMBER(Timeline!$I$5:$I$305)*ISNUMBER(Timeline!$J$5:$J$305)*(Timeline!$I$5:$I$305&lt;=AU$4+2)*(Timeline!$J$5:$J$305&gt;=AU$4+2)),SUMPRODUCT((INDEX(Timeline!$P$5:$AN$305,0,MATCH($A15,Timeline!$P$4:$AN$4,0))="x")*(Timeline!$K$5:$K$305="Task")*ISNUMBER(Timeline!$I$5:$I$305)*ISNUMBER(Timeline!$J$5:$J$305)*(Timeline!$I$5:$I$305&lt;=AU$4+3)*(Timeline!$J$5:$J$305&gt;=AU$4+3)),SUMPRODUCT((INDEX(Timeline!$P$5:$AN$305,0,MATCH($A15,Timeline!$P$4:$AN$4,0))="x")*(Timeline!$K$5:$K$305="Task")*ISNUMBER(Timeline!$I$5:$I$305)*ISNUMBER(Timeline!$J$5:$J$305)*(Timeline!$I$5:$I$305&lt;=AU$4+4)*(Timeline!$J$5:$J$305&gt;=AU$4+4)),SUMPRODUCT((INDEX(Timeline!$P$5:$AN$305,0,MATCH($A15,Timeline!$P$4:$AN$4,0))="x")*(Timeline!$K$5:$K$305="Task")*ISNUMBER(Timeline!$I$5:$I$305)*ISNUMBER(Timeline!$J$5:$J$305)*(Timeline!$I$5:$I$305&lt;=AU$4+5)*(Timeline!$J$5:$J$305&gt;=AU$4+5)),SUMPRODUCT((INDEX(Timeline!$P$5:$AN$305,0,MATCH($A15,Timeline!$P$4:$AN$4,0))="x")*(Timeline!$K$5:$K$305="Task")*ISNUMBER(Timeline!$I$5:$I$305)*ISNUMBER(Timeline!$J$5:$J$305)*(Timeline!$I$5:$I$305&lt;=AU$4+6)*(Timeline!$J$5:$J$305&gt;=AU$4+6)))</f>
        <v>0</v>
      </c>
      <c r="AV15" s="67">
        <f>MAX(SUMPRODUCT((INDEX(Timeline!$P$5:$AN$305,0,MATCH($A15,Timeline!$P$4:$AN$4,0))="x")*(Timeline!$K$5:$K$305="Task")*ISNUMBER(Timeline!$I$5:$I$305)*ISNUMBER(Timeline!$J$5:$J$305)*(Timeline!$I$5:$I$305&lt;=AV$4+0)*(Timeline!$J$5:$J$305&gt;=AV$4+0)),SUMPRODUCT((INDEX(Timeline!$P$5:$AN$305,0,MATCH($A15,Timeline!$P$4:$AN$4,0))="x")*(Timeline!$K$5:$K$305="Task")*ISNUMBER(Timeline!$I$5:$I$305)*ISNUMBER(Timeline!$J$5:$J$305)*(Timeline!$I$5:$I$305&lt;=AV$4+1)*(Timeline!$J$5:$J$305&gt;=AV$4+1)),SUMPRODUCT((INDEX(Timeline!$P$5:$AN$305,0,MATCH($A15,Timeline!$P$4:$AN$4,0))="x")*(Timeline!$K$5:$K$305="Task")*ISNUMBER(Timeline!$I$5:$I$305)*ISNUMBER(Timeline!$J$5:$J$305)*(Timeline!$I$5:$I$305&lt;=AV$4+2)*(Timeline!$J$5:$J$305&gt;=AV$4+2)),SUMPRODUCT((INDEX(Timeline!$P$5:$AN$305,0,MATCH($A15,Timeline!$P$4:$AN$4,0))="x")*(Timeline!$K$5:$K$305="Task")*ISNUMBER(Timeline!$I$5:$I$305)*ISNUMBER(Timeline!$J$5:$J$305)*(Timeline!$I$5:$I$305&lt;=AV$4+3)*(Timeline!$J$5:$J$305&gt;=AV$4+3)),SUMPRODUCT((INDEX(Timeline!$P$5:$AN$305,0,MATCH($A15,Timeline!$P$4:$AN$4,0))="x")*(Timeline!$K$5:$K$305="Task")*ISNUMBER(Timeline!$I$5:$I$305)*ISNUMBER(Timeline!$J$5:$J$305)*(Timeline!$I$5:$I$305&lt;=AV$4+4)*(Timeline!$J$5:$J$305&gt;=AV$4+4)),SUMPRODUCT((INDEX(Timeline!$P$5:$AN$305,0,MATCH($A15,Timeline!$P$4:$AN$4,0))="x")*(Timeline!$K$5:$K$305="Task")*ISNUMBER(Timeline!$I$5:$I$305)*ISNUMBER(Timeline!$J$5:$J$305)*(Timeline!$I$5:$I$305&lt;=AV$4+5)*(Timeline!$J$5:$J$305&gt;=AV$4+5)),SUMPRODUCT((INDEX(Timeline!$P$5:$AN$305,0,MATCH($A15,Timeline!$P$4:$AN$4,0))="x")*(Timeline!$K$5:$K$305="Task")*ISNUMBER(Timeline!$I$5:$I$305)*ISNUMBER(Timeline!$J$5:$J$305)*(Timeline!$I$5:$I$305&lt;=AV$4+6)*(Timeline!$J$5:$J$305&gt;=AV$4+6)))</f>
        <v>0</v>
      </c>
      <c r="AW15" s="67">
        <f>MAX(SUMPRODUCT((INDEX(Timeline!$P$5:$AN$305,0,MATCH($A15,Timeline!$P$4:$AN$4,0))="x")*(Timeline!$K$5:$K$305="Task")*ISNUMBER(Timeline!$I$5:$I$305)*ISNUMBER(Timeline!$J$5:$J$305)*(Timeline!$I$5:$I$305&lt;=AW$4+0)*(Timeline!$J$5:$J$305&gt;=AW$4+0)),SUMPRODUCT((INDEX(Timeline!$P$5:$AN$305,0,MATCH($A15,Timeline!$P$4:$AN$4,0))="x")*(Timeline!$K$5:$K$305="Task")*ISNUMBER(Timeline!$I$5:$I$305)*ISNUMBER(Timeline!$J$5:$J$305)*(Timeline!$I$5:$I$305&lt;=AW$4+1)*(Timeline!$J$5:$J$305&gt;=AW$4+1)),SUMPRODUCT((INDEX(Timeline!$P$5:$AN$305,0,MATCH($A15,Timeline!$P$4:$AN$4,0))="x")*(Timeline!$K$5:$K$305="Task")*ISNUMBER(Timeline!$I$5:$I$305)*ISNUMBER(Timeline!$J$5:$J$305)*(Timeline!$I$5:$I$305&lt;=AW$4+2)*(Timeline!$J$5:$J$305&gt;=AW$4+2)),SUMPRODUCT((INDEX(Timeline!$P$5:$AN$305,0,MATCH($A15,Timeline!$P$4:$AN$4,0))="x")*(Timeline!$K$5:$K$305="Task")*ISNUMBER(Timeline!$I$5:$I$305)*ISNUMBER(Timeline!$J$5:$J$305)*(Timeline!$I$5:$I$305&lt;=AW$4+3)*(Timeline!$J$5:$J$305&gt;=AW$4+3)),SUMPRODUCT((INDEX(Timeline!$P$5:$AN$305,0,MATCH($A15,Timeline!$P$4:$AN$4,0))="x")*(Timeline!$K$5:$K$305="Task")*ISNUMBER(Timeline!$I$5:$I$305)*ISNUMBER(Timeline!$J$5:$J$305)*(Timeline!$I$5:$I$305&lt;=AW$4+4)*(Timeline!$J$5:$J$305&gt;=AW$4+4)),SUMPRODUCT((INDEX(Timeline!$P$5:$AN$305,0,MATCH($A15,Timeline!$P$4:$AN$4,0))="x")*(Timeline!$K$5:$K$305="Task")*ISNUMBER(Timeline!$I$5:$I$305)*ISNUMBER(Timeline!$J$5:$J$305)*(Timeline!$I$5:$I$305&lt;=AW$4+5)*(Timeline!$J$5:$J$305&gt;=AW$4+5)),SUMPRODUCT((INDEX(Timeline!$P$5:$AN$305,0,MATCH($A15,Timeline!$P$4:$AN$4,0))="x")*(Timeline!$K$5:$K$305="Task")*ISNUMBER(Timeline!$I$5:$I$305)*ISNUMBER(Timeline!$J$5:$J$305)*(Timeline!$I$5:$I$305&lt;=AW$4+6)*(Timeline!$J$5:$J$305&gt;=AW$4+6)))</f>
        <v>0</v>
      </c>
      <c r="AX15" s="67">
        <f>MAX(SUMPRODUCT((INDEX(Timeline!$P$5:$AN$305,0,MATCH($A15,Timeline!$P$4:$AN$4,0))="x")*(Timeline!$K$5:$K$305="Task")*ISNUMBER(Timeline!$I$5:$I$305)*ISNUMBER(Timeline!$J$5:$J$305)*(Timeline!$I$5:$I$305&lt;=AX$4+0)*(Timeline!$J$5:$J$305&gt;=AX$4+0)),SUMPRODUCT((INDEX(Timeline!$P$5:$AN$305,0,MATCH($A15,Timeline!$P$4:$AN$4,0))="x")*(Timeline!$K$5:$K$305="Task")*ISNUMBER(Timeline!$I$5:$I$305)*ISNUMBER(Timeline!$J$5:$J$305)*(Timeline!$I$5:$I$305&lt;=AX$4+1)*(Timeline!$J$5:$J$305&gt;=AX$4+1)),SUMPRODUCT((INDEX(Timeline!$P$5:$AN$305,0,MATCH($A15,Timeline!$P$4:$AN$4,0))="x")*(Timeline!$K$5:$K$305="Task")*ISNUMBER(Timeline!$I$5:$I$305)*ISNUMBER(Timeline!$J$5:$J$305)*(Timeline!$I$5:$I$305&lt;=AX$4+2)*(Timeline!$J$5:$J$305&gt;=AX$4+2)),SUMPRODUCT((INDEX(Timeline!$P$5:$AN$305,0,MATCH($A15,Timeline!$P$4:$AN$4,0))="x")*(Timeline!$K$5:$K$305="Task")*ISNUMBER(Timeline!$I$5:$I$305)*ISNUMBER(Timeline!$J$5:$J$305)*(Timeline!$I$5:$I$305&lt;=AX$4+3)*(Timeline!$J$5:$J$305&gt;=AX$4+3)),SUMPRODUCT((INDEX(Timeline!$P$5:$AN$305,0,MATCH($A15,Timeline!$P$4:$AN$4,0))="x")*(Timeline!$K$5:$K$305="Task")*ISNUMBER(Timeline!$I$5:$I$305)*ISNUMBER(Timeline!$J$5:$J$305)*(Timeline!$I$5:$I$305&lt;=AX$4+4)*(Timeline!$J$5:$J$305&gt;=AX$4+4)),SUMPRODUCT((INDEX(Timeline!$P$5:$AN$305,0,MATCH($A15,Timeline!$P$4:$AN$4,0))="x")*(Timeline!$K$5:$K$305="Task")*ISNUMBER(Timeline!$I$5:$I$305)*ISNUMBER(Timeline!$J$5:$J$305)*(Timeline!$I$5:$I$305&lt;=AX$4+5)*(Timeline!$J$5:$J$305&gt;=AX$4+5)),SUMPRODUCT((INDEX(Timeline!$P$5:$AN$305,0,MATCH($A15,Timeline!$P$4:$AN$4,0))="x")*(Timeline!$K$5:$K$305="Task")*ISNUMBER(Timeline!$I$5:$I$305)*ISNUMBER(Timeline!$J$5:$J$305)*(Timeline!$I$5:$I$305&lt;=AX$4+6)*(Timeline!$J$5:$J$305&gt;=AX$4+6)))</f>
        <v>0</v>
      </c>
      <c r="AY15" s="67">
        <f>MAX(SUMPRODUCT((INDEX(Timeline!$P$5:$AN$305,0,MATCH($A15,Timeline!$P$4:$AN$4,0))="x")*(Timeline!$K$5:$K$305="Task")*ISNUMBER(Timeline!$I$5:$I$305)*ISNUMBER(Timeline!$J$5:$J$305)*(Timeline!$I$5:$I$305&lt;=AY$4+0)*(Timeline!$J$5:$J$305&gt;=AY$4+0)),SUMPRODUCT((INDEX(Timeline!$P$5:$AN$305,0,MATCH($A15,Timeline!$P$4:$AN$4,0))="x")*(Timeline!$K$5:$K$305="Task")*ISNUMBER(Timeline!$I$5:$I$305)*ISNUMBER(Timeline!$J$5:$J$305)*(Timeline!$I$5:$I$305&lt;=AY$4+1)*(Timeline!$J$5:$J$305&gt;=AY$4+1)),SUMPRODUCT((INDEX(Timeline!$P$5:$AN$305,0,MATCH($A15,Timeline!$P$4:$AN$4,0))="x")*(Timeline!$K$5:$K$305="Task")*ISNUMBER(Timeline!$I$5:$I$305)*ISNUMBER(Timeline!$J$5:$J$305)*(Timeline!$I$5:$I$305&lt;=AY$4+2)*(Timeline!$J$5:$J$305&gt;=AY$4+2)),SUMPRODUCT((INDEX(Timeline!$P$5:$AN$305,0,MATCH($A15,Timeline!$P$4:$AN$4,0))="x")*(Timeline!$K$5:$K$305="Task")*ISNUMBER(Timeline!$I$5:$I$305)*ISNUMBER(Timeline!$J$5:$J$305)*(Timeline!$I$5:$I$305&lt;=AY$4+3)*(Timeline!$J$5:$J$305&gt;=AY$4+3)),SUMPRODUCT((INDEX(Timeline!$P$5:$AN$305,0,MATCH($A15,Timeline!$P$4:$AN$4,0))="x")*(Timeline!$K$5:$K$305="Task")*ISNUMBER(Timeline!$I$5:$I$305)*ISNUMBER(Timeline!$J$5:$J$305)*(Timeline!$I$5:$I$305&lt;=AY$4+4)*(Timeline!$J$5:$J$305&gt;=AY$4+4)),SUMPRODUCT((INDEX(Timeline!$P$5:$AN$305,0,MATCH($A15,Timeline!$P$4:$AN$4,0))="x")*(Timeline!$K$5:$K$305="Task")*ISNUMBER(Timeline!$I$5:$I$305)*ISNUMBER(Timeline!$J$5:$J$305)*(Timeline!$I$5:$I$305&lt;=AY$4+5)*(Timeline!$J$5:$J$305&gt;=AY$4+5)),SUMPRODUCT((INDEX(Timeline!$P$5:$AN$305,0,MATCH($A15,Timeline!$P$4:$AN$4,0))="x")*(Timeline!$K$5:$K$305="Task")*ISNUMBER(Timeline!$I$5:$I$305)*ISNUMBER(Timeline!$J$5:$J$305)*(Timeline!$I$5:$I$305&lt;=AY$4+6)*(Timeline!$J$5:$J$305&gt;=AY$4+6)))</f>
        <v>0</v>
      </c>
      <c r="AZ15" s="67">
        <f>MAX(SUMPRODUCT((INDEX(Timeline!$P$5:$AN$305,0,MATCH($A15,Timeline!$P$4:$AN$4,0))="x")*(Timeline!$K$5:$K$305="Task")*ISNUMBER(Timeline!$I$5:$I$305)*ISNUMBER(Timeline!$J$5:$J$305)*(Timeline!$I$5:$I$305&lt;=AZ$4+0)*(Timeline!$J$5:$J$305&gt;=AZ$4+0)),SUMPRODUCT((INDEX(Timeline!$P$5:$AN$305,0,MATCH($A15,Timeline!$P$4:$AN$4,0))="x")*(Timeline!$K$5:$K$305="Task")*ISNUMBER(Timeline!$I$5:$I$305)*ISNUMBER(Timeline!$J$5:$J$305)*(Timeline!$I$5:$I$305&lt;=AZ$4+1)*(Timeline!$J$5:$J$305&gt;=AZ$4+1)),SUMPRODUCT((INDEX(Timeline!$P$5:$AN$305,0,MATCH($A15,Timeline!$P$4:$AN$4,0))="x")*(Timeline!$K$5:$K$305="Task")*ISNUMBER(Timeline!$I$5:$I$305)*ISNUMBER(Timeline!$J$5:$J$305)*(Timeline!$I$5:$I$305&lt;=AZ$4+2)*(Timeline!$J$5:$J$305&gt;=AZ$4+2)),SUMPRODUCT((INDEX(Timeline!$P$5:$AN$305,0,MATCH($A15,Timeline!$P$4:$AN$4,0))="x")*(Timeline!$K$5:$K$305="Task")*ISNUMBER(Timeline!$I$5:$I$305)*ISNUMBER(Timeline!$J$5:$J$305)*(Timeline!$I$5:$I$305&lt;=AZ$4+3)*(Timeline!$J$5:$J$305&gt;=AZ$4+3)),SUMPRODUCT((INDEX(Timeline!$P$5:$AN$305,0,MATCH($A15,Timeline!$P$4:$AN$4,0))="x")*(Timeline!$K$5:$K$305="Task")*ISNUMBER(Timeline!$I$5:$I$305)*ISNUMBER(Timeline!$J$5:$J$305)*(Timeline!$I$5:$I$305&lt;=AZ$4+4)*(Timeline!$J$5:$J$305&gt;=AZ$4+4)),SUMPRODUCT((INDEX(Timeline!$P$5:$AN$305,0,MATCH($A15,Timeline!$P$4:$AN$4,0))="x")*(Timeline!$K$5:$K$305="Task")*ISNUMBER(Timeline!$I$5:$I$305)*ISNUMBER(Timeline!$J$5:$J$305)*(Timeline!$I$5:$I$305&lt;=AZ$4+5)*(Timeline!$J$5:$J$305&gt;=AZ$4+5)),SUMPRODUCT((INDEX(Timeline!$P$5:$AN$305,0,MATCH($A15,Timeline!$P$4:$AN$4,0))="x")*(Timeline!$K$5:$K$305="Task")*ISNUMBER(Timeline!$I$5:$I$305)*ISNUMBER(Timeline!$J$5:$J$305)*(Timeline!$I$5:$I$305&lt;=AZ$4+6)*(Timeline!$J$5:$J$305&gt;=AZ$4+6)))</f>
        <v>0</v>
      </c>
      <c r="BA15" s="67">
        <f>MAX(SUMPRODUCT((INDEX(Timeline!$P$5:$AN$305,0,MATCH($A15,Timeline!$P$4:$AN$4,0))="x")*(Timeline!$K$5:$K$305="Task")*ISNUMBER(Timeline!$I$5:$I$305)*ISNUMBER(Timeline!$J$5:$J$305)*(Timeline!$I$5:$I$305&lt;=BA$4+0)*(Timeline!$J$5:$J$305&gt;=BA$4+0)),SUMPRODUCT((INDEX(Timeline!$P$5:$AN$305,0,MATCH($A15,Timeline!$P$4:$AN$4,0))="x")*(Timeline!$K$5:$K$305="Task")*ISNUMBER(Timeline!$I$5:$I$305)*ISNUMBER(Timeline!$J$5:$J$305)*(Timeline!$I$5:$I$305&lt;=BA$4+1)*(Timeline!$J$5:$J$305&gt;=BA$4+1)),SUMPRODUCT((INDEX(Timeline!$P$5:$AN$305,0,MATCH($A15,Timeline!$P$4:$AN$4,0))="x")*(Timeline!$K$5:$K$305="Task")*ISNUMBER(Timeline!$I$5:$I$305)*ISNUMBER(Timeline!$J$5:$J$305)*(Timeline!$I$5:$I$305&lt;=BA$4+2)*(Timeline!$J$5:$J$305&gt;=BA$4+2)),SUMPRODUCT((INDEX(Timeline!$P$5:$AN$305,0,MATCH($A15,Timeline!$P$4:$AN$4,0))="x")*(Timeline!$K$5:$K$305="Task")*ISNUMBER(Timeline!$I$5:$I$305)*ISNUMBER(Timeline!$J$5:$J$305)*(Timeline!$I$5:$I$305&lt;=BA$4+3)*(Timeline!$J$5:$J$305&gt;=BA$4+3)),SUMPRODUCT((INDEX(Timeline!$P$5:$AN$305,0,MATCH($A15,Timeline!$P$4:$AN$4,0))="x")*(Timeline!$K$5:$K$305="Task")*ISNUMBER(Timeline!$I$5:$I$305)*ISNUMBER(Timeline!$J$5:$J$305)*(Timeline!$I$5:$I$305&lt;=BA$4+4)*(Timeline!$J$5:$J$305&gt;=BA$4+4)),SUMPRODUCT((INDEX(Timeline!$P$5:$AN$305,0,MATCH($A15,Timeline!$P$4:$AN$4,0))="x")*(Timeline!$K$5:$K$305="Task")*ISNUMBER(Timeline!$I$5:$I$305)*ISNUMBER(Timeline!$J$5:$J$305)*(Timeline!$I$5:$I$305&lt;=BA$4+5)*(Timeline!$J$5:$J$305&gt;=BA$4+5)),SUMPRODUCT((INDEX(Timeline!$P$5:$AN$305,0,MATCH($A15,Timeline!$P$4:$AN$4,0))="x")*(Timeline!$K$5:$K$305="Task")*ISNUMBER(Timeline!$I$5:$I$305)*ISNUMBER(Timeline!$J$5:$J$305)*(Timeline!$I$5:$I$305&lt;=BA$4+6)*(Timeline!$J$5:$J$305&gt;=BA$4+6)))</f>
        <v>0</v>
      </c>
    </row>
    <row r="16" spans="1:53" ht="15" customHeight="1">
      <c r="A16" s="66" t="s">
        <v>47</v>
      </c>
      <c r="B16" s="66" t="s">
        <v>14</v>
      </c>
      <c r="C16" s="67">
        <f>MAX(SUMPRODUCT((INDEX(Timeline!$P$5:$AN$305,0,MATCH($A16,Timeline!$P$4:$AN$4,0))="x")*(Timeline!$K$5:$K$305="Task")*ISNUMBER(Timeline!$I$5:$I$305)*ISNUMBER(Timeline!$J$5:$J$305)*(Timeline!$I$5:$I$305&lt;=C$4+0)*(Timeline!$J$5:$J$305&gt;=C$4+0)),SUMPRODUCT((INDEX(Timeline!$P$5:$AN$305,0,MATCH($A16,Timeline!$P$4:$AN$4,0))="x")*(Timeline!$K$5:$K$305="Task")*ISNUMBER(Timeline!$I$5:$I$305)*ISNUMBER(Timeline!$J$5:$J$305)*(Timeline!$I$5:$I$305&lt;=C$4+1)*(Timeline!$J$5:$J$305&gt;=C$4+1)),SUMPRODUCT((INDEX(Timeline!$P$5:$AN$305,0,MATCH($A16,Timeline!$P$4:$AN$4,0))="x")*(Timeline!$K$5:$K$305="Task")*ISNUMBER(Timeline!$I$5:$I$305)*ISNUMBER(Timeline!$J$5:$J$305)*(Timeline!$I$5:$I$305&lt;=C$4+2)*(Timeline!$J$5:$J$305&gt;=C$4+2)),SUMPRODUCT((INDEX(Timeline!$P$5:$AN$305,0,MATCH($A16,Timeline!$P$4:$AN$4,0))="x")*(Timeline!$K$5:$K$305="Task")*ISNUMBER(Timeline!$I$5:$I$305)*ISNUMBER(Timeline!$J$5:$J$305)*(Timeline!$I$5:$I$305&lt;=C$4+3)*(Timeline!$J$5:$J$305&gt;=C$4+3)),SUMPRODUCT((INDEX(Timeline!$P$5:$AN$305,0,MATCH($A16,Timeline!$P$4:$AN$4,0))="x")*(Timeline!$K$5:$K$305="Task")*ISNUMBER(Timeline!$I$5:$I$305)*ISNUMBER(Timeline!$J$5:$J$305)*(Timeline!$I$5:$I$305&lt;=C$4+4)*(Timeline!$J$5:$J$305&gt;=C$4+4)),SUMPRODUCT((INDEX(Timeline!$P$5:$AN$305,0,MATCH($A16,Timeline!$P$4:$AN$4,0))="x")*(Timeline!$K$5:$K$305="Task")*ISNUMBER(Timeline!$I$5:$I$305)*ISNUMBER(Timeline!$J$5:$J$305)*(Timeline!$I$5:$I$305&lt;=C$4+5)*(Timeline!$J$5:$J$305&gt;=C$4+5)),SUMPRODUCT((INDEX(Timeline!$P$5:$AN$305,0,MATCH($A16,Timeline!$P$4:$AN$4,0))="x")*(Timeline!$K$5:$K$305="Task")*ISNUMBER(Timeline!$I$5:$I$305)*ISNUMBER(Timeline!$J$5:$J$305)*(Timeline!$I$5:$I$305&lt;=C$4+6)*(Timeline!$J$5:$J$305&gt;=C$4+6)))</f>
        <v>0</v>
      </c>
      <c r="D16" s="67">
        <f>MAX(SUMPRODUCT((INDEX(Timeline!$P$5:$AN$305,0,MATCH($A16,Timeline!$P$4:$AN$4,0))="x")*(Timeline!$K$5:$K$305="Task")*ISNUMBER(Timeline!$I$5:$I$305)*ISNUMBER(Timeline!$J$5:$J$305)*(Timeline!$I$5:$I$305&lt;=D$4+0)*(Timeline!$J$5:$J$305&gt;=D$4+0)),SUMPRODUCT((INDEX(Timeline!$P$5:$AN$305,0,MATCH($A16,Timeline!$P$4:$AN$4,0))="x")*(Timeline!$K$5:$K$305="Task")*ISNUMBER(Timeline!$I$5:$I$305)*ISNUMBER(Timeline!$J$5:$J$305)*(Timeline!$I$5:$I$305&lt;=D$4+1)*(Timeline!$J$5:$J$305&gt;=D$4+1)),SUMPRODUCT((INDEX(Timeline!$P$5:$AN$305,0,MATCH($A16,Timeline!$P$4:$AN$4,0))="x")*(Timeline!$K$5:$K$305="Task")*ISNUMBER(Timeline!$I$5:$I$305)*ISNUMBER(Timeline!$J$5:$J$305)*(Timeline!$I$5:$I$305&lt;=D$4+2)*(Timeline!$J$5:$J$305&gt;=D$4+2)),SUMPRODUCT((INDEX(Timeline!$P$5:$AN$305,0,MATCH($A16,Timeline!$P$4:$AN$4,0))="x")*(Timeline!$K$5:$K$305="Task")*ISNUMBER(Timeline!$I$5:$I$305)*ISNUMBER(Timeline!$J$5:$J$305)*(Timeline!$I$5:$I$305&lt;=D$4+3)*(Timeline!$J$5:$J$305&gt;=D$4+3)),SUMPRODUCT((INDEX(Timeline!$P$5:$AN$305,0,MATCH($A16,Timeline!$P$4:$AN$4,0))="x")*(Timeline!$K$5:$K$305="Task")*ISNUMBER(Timeline!$I$5:$I$305)*ISNUMBER(Timeline!$J$5:$J$305)*(Timeline!$I$5:$I$305&lt;=D$4+4)*(Timeline!$J$5:$J$305&gt;=D$4+4)),SUMPRODUCT((INDEX(Timeline!$P$5:$AN$305,0,MATCH($A16,Timeline!$P$4:$AN$4,0))="x")*(Timeline!$K$5:$K$305="Task")*ISNUMBER(Timeline!$I$5:$I$305)*ISNUMBER(Timeline!$J$5:$J$305)*(Timeline!$I$5:$I$305&lt;=D$4+5)*(Timeline!$J$5:$J$305&gt;=D$4+5)),SUMPRODUCT((INDEX(Timeline!$P$5:$AN$305,0,MATCH($A16,Timeline!$P$4:$AN$4,0))="x")*(Timeline!$K$5:$K$305="Task")*ISNUMBER(Timeline!$I$5:$I$305)*ISNUMBER(Timeline!$J$5:$J$305)*(Timeline!$I$5:$I$305&lt;=D$4+6)*(Timeline!$J$5:$J$305&gt;=D$4+6)))</f>
        <v>0</v>
      </c>
      <c r="E16" s="67">
        <f>MAX(SUMPRODUCT((INDEX(Timeline!$P$5:$AN$305,0,MATCH($A16,Timeline!$P$4:$AN$4,0))="x")*(Timeline!$K$5:$K$305="Task")*ISNUMBER(Timeline!$I$5:$I$305)*ISNUMBER(Timeline!$J$5:$J$305)*(Timeline!$I$5:$I$305&lt;=E$4+0)*(Timeline!$J$5:$J$305&gt;=E$4+0)),SUMPRODUCT((INDEX(Timeline!$P$5:$AN$305,0,MATCH($A16,Timeline!$P$4:$AN$4,0))="x")*(Timeline!$K$5:$K$305="Task")*ISNUMBER(Timeline!$I$5:$I$305)*ISNUMBER(Timeline!$J$5:$J$305)*(Timeline!$I$5:$I$305&lt;=E$4+1)*(Timeline!$J$5:$J$305&gt;=E$4+1)),SUMPRODUCT((INDEX(Timeline!$P$5:$AN$305,0,MATCH($A16,Timeline!$P$4:$AN$4,0))="x")*(Timeline!$K$5:$K$305="Task")*ISNUMBER(Timeline!$I$5:$I$305)*ISNUMBER(Timeline!$J$5:$J$305)*(Timeline!$I$5:$I$305&lt;=E$4+2)*(Timeline!$J$5:$J$305&gt;=E$4+2)),SUMPRODUCT((INDEX(Timeline!$P$5:$AN$305,0,MATCH($A16,Timeline!$P$4:$AN$4,0))="x")*(Timeline!$K$5:$K$305="Task")*ISNUMBER(Timeline!$I$5:$I$305)*ISNUMBER(Timeline!$J$5:$J$305)*(Timeline!$I$5:$I$305&lt;=E$4+3)*(Timeline!$J$5:$J$305&gt;=E$4+3)),SUMPRODUCT((INDEX(Timeline!$P$5:$AN$305,0,MATCH($A16,Timeline!$P$4:$AN$4,0))="x")*(Timeline!$K$5:$K$305="Task")*ISNUMBER(Timeline!$I$5:$I$305)*ISNUMBER(Timeline!$J$5:$J$305)*(Timeline!$I$5:$I$305&lt;=E$4+4)*(Timeline!$J$5:$J$305&gt;=E$4+4)),SUMPRODUCT((INDEX(Timeline!$P$5:$AN$305,0,MATCH($A16,Timeline!$P$4:$AN$4,0))="x")*(Timeline!$K$5:$K$305="Task")*ISNUMBER(Timeline!$I$5:$I$305)*ISNUMBER(Timeline!$J$5:$J$305)*(Timeline!$I$5:$I$305&lt;=E$4+5)*(Timeline!$J$5:$J$305&gt;=E$4+5)),SUMPRODUCT((INDEX(Timeline!$P$5:$AN$305,0,MATCH($A16,Timeline!$P$4:$AN$4,0))="x")*(Timeline!$K$5:$K$305="Task")*ISNUMBER(Timeline!$I$5:$I$305)*ISNUMBER(Timeline!$J$5:$J$305)*(Timeline!$I$5:$I$305&lt;=E$4+6)*(Timeline!$J$5:$J$305&gt;=E$4+6)))</f>
        <v>0</v>
      </c>
      <c r="F16" s="67">
        <f>MAX(SUMPRODUCT((INDEX(Timeline!$P$5:$AN$305,0,MATCH($A16,Timeline!$P$4:$AN$4,0))="x")*(Timeline!$K$5:$K$305="Task")*ISNUMBER(Timeline!$I$5:$I$305)*ISNUMBER(Timeline!$J$5:$J$305)*(Timeline!$I$5:$I$305&lt;=F$4+0)*(Timeline!$J$5:$J$305&gt;=F$4+0)),SUMPRODUCT((INDEX(Timeline!$P$5:$AN$305,0,MATCH($A16,Timeline!$P$4:$AN$4,0))="x")*(Timeline!$K$5:$K$305="Task")*ISNUMBER(Timeline!$I$5:$I$305)*ISNUMBER(Timeline!$J$5:$J$305)*(Timeline!$I$5:$I$305&lt;=F$4+1)*(Timeline!$J$5:$J$305&gt;=F$4+1)),SUMPRODUCT((INDEX(Timeline!$P$5:$AN$305,0,MATCH($A16,Timeline!$P$4:$AN$4,0))="x")*(Timeline!$K$5:$K$305="Task")*ISNUMBER(Timeline!$I$5:$I$305)*ISNUMBER(Timeline!$J$5:$J$305)*(Timeline!$I$5:$I$305&lt;=F$4+2)*(Timeline!$J$5:$J$305&gt;=F$4+2)),SUMPRODUCT((INDEX(Timeline!$P$5:$AN$305,0,MATCH($A16,Timeline!$P$4:$AN$4,0))="x")*(Timeline!$K$5:$K$305="Task")*ISNUMBER(Timeline!$I$5:$I$305)*ISNUMBER(Timeline!$J$5:$J$305)*(Timeline!$I$5:$I$305&lt;=F$4+3)*(Timeline!$J$5:$J$305&gt;=F$4+3)),SUMPRODUCT((INDEX(Timeline!$P$5:$AN$305,0,MATCH($A16,Timeline!$P$4:$AN$4,0))="x")*(Timeline!$K$5:$K$305="Task")*ISNUMBER(Timeline!$I$5:$I$305)*ISNUMBER(Timeline!$J$5:$J$305)*(Timeline!$I$5:$I$305&lt;=F$4+4)*(Timeline!$J$5:$J$305&gt;=F$4+4)),SUMPRODUCT((INDEX(Timeline!$P$5:$AN$305,0,MATCH($A16,Timeline!$P$4:$AN$4,0))="x")*(Timeline!$K$5:$K$305="Task")*ISNUMBER(Timeline!$I$5:$I$305)*ISNUMBER(Timeline!$J$5:$J$305)*(Timeline!$I$5:$I$305&lt;=F$4+5)*(Timeline!$J$5:$J$305&gt;=F$4+5)),SUMPRODUCT((INDEX(Timeline!$P$5:$AN$305,0,MATCH($A16,Timeline!$P$4:$AN$4,0))="x")*(Timeline!$K$5:$K$305="Task")*ISNUMBER(Timeline!$I$5:$I$305)*ISNUMBER(Timeline!$J$5:$J$305)*(Timeline!$I$5:$I$305&lt;=F$4+6)*(Timeline!$J$5:$J$305&gt;=F$4+6)))</f>
        <v>1</v>
      </c>
      <c r="G16" s="67">
        <f>MAX(SUMPRODUCT((INDEX(Timeline!$P$5:$AN$305,0,MATCH($A16,Timeline!$P$4:$AN$4,0))="x")*(Timeline!$K$5:$K$305="Task")*ISNUMBER(Timeline!$I$5:$I$305)*ISNUMBER(Timeline!$J$5:$J$305)*(Timeline!$I$5:$I$305&lt;=G$4+0)*(Timeline!$J$5:$J$305&gt;=G$4+0)),SUMPRODUCT((INDEX(Timeline!$P$5:$AN$305,0,MATCH($A16,Timeline!$P$4:$AN$4,0))="x")*(Timeline!$K$5:$K$305="Task")*ISNUMBER(Timeline!$I$5:$I$305)*ISNUMBER(Timeline!$J$5:$J$305)*(Timeline!$I$5:$I$305&lt;=G$4+1)*(Timeline!$J$5:$J$305&gt;=G$4+1)),SUMPRODUCT((INDEX(Timeline!$P$5:$AN$305,0,MATCH($A16,Timeline!$P$4:$AN$4,0))="x")*(Timeline!$K$5:$K$305="Task")*ISNUMBER(Timeline!$I$5:$I$305)*ISNUMBER(Timeline!$J$5:$J$305)*(Timeline!$I$5:$I$305&lt;=G$4+2)*(Timeline!$J$5:$J$305&gt;=G$4+2)),SUMPRODUCT((INDEX(Timeline!$P$5:$AN$305,0,MATCH($A16,Timeline!$P$4:$AN$4,0))="x")*(Timeline!$K$5:$K$305="Task")*ISNUMBER(Timeline!$I$5:$I$305)*ISNUMBER(Timeline!$J$5:$J$305)*(Timeline!$I$5:$I$305&lt;=G$4+3)*(Timeline!$J$5:$J$305&gt;=G$4+3)),SUMPRODUCT((INDEX(Timeline!$P$5:$AN$305,0,MATCH($A16,Timeline!$P$4:$AN$4,0))="x")*(Timeline!$K$5:$K$305="Task")*ISNUMBER(Timeline!$I$5:$I$305)*ISNUMBER(Timeline!$J$5:$J$305)*(Timeline!$I$5:$I$305&lt;=G$4+4)*(Timeline!$J$5:$J$305&gt;=G$4+4)),SUMPRODUCT((INDEX(Timeline!$P$5:$AN$305,0,MATCH($A16,Timeline!$P$4:$AN$4,0))="x")*(Timeline!$K$5:$K$305="Task")*ISNUMBER(Timeline!$I$5:$I$305)*ISNUMBER(Timeline!$J$5:$J$305)*(Timeline!$I$5:$I$305&lt;=G$4+5)*(Timeline!$J$5:$J$305&gt;=G$4+5)),SUMPRODUCT((INDEX(Timeline!$P$5:$AN$305,0,MATCH($A16,Timeline!$P$4:$AN$4,0))="x")*(Timeline!$K$5:$K$305="Task")*ISNUMBER(Timeline!$I$5:$I$305)*ISNUMBER(Timeline!$J$5:$J$305)*(Timeline!$I$5:$I$305&lt;=G$4+6)*(Timeline!$J$5:$J$305&gt;=G$4+6)))</f>
        <v>1</v>
      </c>
      <c r="H16" s="67">
        <f>MAX(SUMPRODUCT((INDEX(Timeline!$P$5:$AN$305,0,MATCH($A16,Timeline!$P$4:$AN$4,0))="x")*(Timeline!$K$5:$K$305="Task")*ISNUMBER(Timeline!$I$5:$I$305)*ISNUMBER(Timeline!$J$5:$J$305)*(Timeline!$I$5:$I$305&lt;=H$4+0)*(Timeline!$J$5:$J$305&gt;=H$4+0)),SUMPRODUCT((INDEX(Timeline!$P$5:$AN$305,0,MATCH($A16,Timeline!$P$4:$AN$4,0))="x")*(Timeline!$K$5:$K$305="Task")*ISNUMBER(Timeline!$I$5:$I$305)*ISNUMBER(Timeline!$J$5:$J$305)*(Timeline!$I$5:$I$305&lt;=H$4+1)*(Timeline!$J$5:$J$305&gt;=H$4+1)),SUMPRODUCT((INDEX(Timeline!$P$5:$AN$305,0,MATCH($A16,Timeline!$P$4:$AN$4,0))="x")*(Timeline!$K$5:$K$305="Task")*ISNUMBER(Timeline!$I$5:$I$305)*ISNUMBER(Timeline!$J$5:$J$305)*(Timeline!$I$5:$I$305&lt;=H$4+2)*(Timeline!$J$5:$J$305&gt;=H$4+2)),SUMPRODUCT((INDEX(Timeline!$P$5:$AN$305,0,MATCH($A16,Timeline!$P$4:$AN$4,0))="x")*(Timeline!$K$5:$K$305="Task")*ISNUMBER(Timeline!$I$5:$I$305)*ISNUMBER(Timeline!$J$5:$J$305)*(Timeline!$I$5:$I$305&lt;=H$4+3)*(Timeline!$J$5:$J$305&gt;=H$4+3)),SUMPRODUCT((INDEX(Timeline!$P$5:$AN$305,0,MATCH($A16,Timeline!$P$4:$AN$4,0))="x")*(Timeline!$K$5:$K$305="Task")*ISNUMBER(Timeline!$I$5:$I$305)*ISNUMBER(Timeline!$J$5:$J$305)*(Timeline!$I$5:$I$305&lt;=H$4+4)*(Timeline!$J$5:$J$305&gt;=H$4+4)),SUMPRODUCT((INDEX(Timeline!$P$5:$AN$305,0,MATCH($A16,Timeline!$P$4:$AN$4,0))="x")*(Timeline!$K$5:$K$305="Task")*ISNUMBER(Timeline!$I$5:$I$305)*ISNUMBER(Timeline!$J$5:$J$305)*(Timeline!$I$5:$I$305&lt;=H$4+5)*(Timeline!$J$5:$J$305&gt;=H$4+5)),SUMPRODUCT((INDEX(Timeline!$P$5:$AN$305,0,MATCH($A16,Timeline!$P$4:$AN$4,0))="x")*(Timeline!$K$5:$K$305="Task")*ISNUMBER(Timeline!$I$5:$I$305)*ISNUMBER(Timeline!$J$5:$J$305)*(Timeline!$I$5:$I$305&lt;=H$4+6)*(Timeline!$J$5:$J$305&gt;=H$4+6)))</f>
        <v>1</v>
      </c>
      <c r="I16" s="67">
        <f>MAX(SUMPRODUCT((INDEX(Timeline!$P$5:$AN$305,0,MATCH($A16,Timeline!$P$4:$AN$4,0))="x")*(Timeline!$K$5:$K$305="Task")*ISNUMBER(Timeline!$I$5:$I$305)*ISNUMBER(Timeline!$J$5:$J$305)*(Timeline!$I$5:$I$305&lt;=I$4+0)*(Timeline!$J$5:$J$305&gt;=I$4+0)),SUMPRODUCT((INDEX(Timeline!$P$5:$AN$305,0,MATCH($A16,Timeline!$P$4:$AN$4,0))="x")*(Timeline!$K$5:$K$305="Task")*ISNUMBER(Timeline!$I$5:$I$305)*ISNUMBER(Timeline!$J$5:$J$305)*(Timeline!$I$5:$I$305&lt;=I$4+1)*(Timeline!$J$5:$J$305&gt;=I$4+1)),SUMPRODUCT((INDEX(Timeline!$P$5:$AN$305,0,MATCH($A16,Timeline!$P$4:$AN$4,0))="x")*(Timeline!$K$5:$K$305="Task")*ISNUMBER(Timeline!$I$5:$I$305)*ISNUMBER(Timeline!$J$5:$J$305)*(Timeline!$I$5:$I$305&lt;=I$4+2)*(Timeline!$J$5:$J$305&gt;=I$4+2)),SUMPRODUCT((INDEX(Timeline!$P$5:$AN$305,0,MATCH($A16,Timeline!$P$4:$AN$4,0))="x")*(Timeline!$K$5:$K$305="Task")*ISNUMBER(Timeline!$I$5:$I$305)*ISNUMBER(Timeline!$J$5:$J$305)*(Timeline!$I$5:$I$305&lt;=I$4+3)*(Timeline!$J$5:$J$305&gt;=I$4+3)),SUMPRODUCT((INDEX(Timeline!$P$5:$AN$305,0,MATCH($A16,Timeline!$P$4:$AN$4,0))="x")*(Timeline!$K$5:$K$305="Task")*ISNUMBER(Timeline!$I$5:$I$305)*ISNUMBER(Timeline!$J$5:$J$305)*(Timeline!$I$5:$I$305&lt;=I$4+4)*(Timeline!$J$5:$J$305&gt;=I$4+4)),SUMPRODUCT((INDEX(Timeline!$P$5:$AN$305,0,MATCH($A16,Timeline!$P$4:$AN$4,0))="x")*(Timeline!$K$5:$K$305="Task")*ISNUMBER(Timeline!$I$5:$I$305)*ISNUMBER(Timeline!$J$5:$J$305)*(Timeline!$I$5:$I$305&lt;=I$4+5)*(Timeline!$J$5:$J$305&gt;=I$4+5)),SUMPRODUCT((INDEX(Timeline!$P$5:$AN$305,0,MATCH($A16,Timeline!$P$4:$AN$4,0))="x")*(Timeline!$K$5:$K$305="Task")*ISNUMBER(Timeline!$I$5:$I$305)*ISNUMBER(Timeline!$J$5:$J$305)*(Timeline!$I$5:$I$305&lt;=I$4+6)*(Timeline!$J$5:$J$305&gt;=I$4+6)))</f>
        <v>0</v>
      </c>
      <c r="J16" s="67">
        <f>MAX(SUMPRODUCT((INDEX(Timeline!$P$5:$AN$305,0,MATCH($A16,Timeline!$P$4:$AN$4,0))="x")*(Timeline!$K$5:$K$305="Task")*ISNUMBER(Timeline!$I$5:$I$305)*ISNUMBER(Timeline!$J$5:$J$305)*(Timeline!$I$5:$I$305&lt;=J$4+0)*(Timeline!$J$5:$J$305&gt;=J$4+0)),SUMPRODUCT((INDEX(Timeline!$P$5:$AN$305,0,MATCH($A16,Timeline!$P$4:$AN$4,0))="x")*(Timeline!$K$5:$K$305="Task")*ISNUMBER(Timeline!$I$5:$I$305)*ISNUMBER(Timeline!$J$5:$J$305)*(Timeline!$I$5:$I$305&lt;=J$4+1)*(Timeline!$J$5:$J$305&gt;=J$4+1)),SUMPRODUCT((INDEX(Timeline!$P$5:$AN$305,0,MATCH($A16,Timeline!$P$4:$AN$4,0))="x")*(Timeline!$K$5:$K$305="Task")*ISNUMBER(Timeline!$I$5:$I$305)*ISNUMBER(Timeline!$J$5:$J$305)*(Timeline!$I$5:$I$305&lt;=J$4+2)*(Timeline!$J$5:$J$305&gt;=J$4+2)),SUMPRODUCT((INDEX(Timeline!$P$5:$AN$305,0,MATCH($A16,Timeline!$P$4:$AN$4,0))="x")*(Timeline!$K$5:$K$305="Task")*ISNUMBER(Timeline!$I$5:$I$305)*ISNUMBER(Timeline!$J$5:$J$305)*(Timeline!$I$5:$I$305&lt;=J$4+3)*(Timeline!$J$5:$J$305&gt;=J$4+3)),SUMPRODUCT((INDEX(Timeline!$P$5:$AN$305,0,MATCH($A16,Timeline!$P$4:$AN$4,0))="x")*(Timeline!$K$5:$K$305="Task")*ISNUMBER(Timeline!$I$5:$I$305)*ISNUMBER(Timeline!$J$5:$J$305)*(Timeline!$I$5:$I$305&lt;=J$4+4)*(Timeline!$J$5:$J$305&gt;=J$4+4)),SUMPRODUCT((INDEX(Timeline!$P$5:$AN$305,0,MATCH($A16,Timeline!$P$4:$AN$4,0))="x")*(Timeline!$K$5:$K$305="Task")*ISNUMBER(Timeline!$I$5:$I$305)*ISNUMBER(Timeline!$J$5:$J$305)*(Timeline!$I$5:$I$305&lt;=J$4+5)*(Timeline!$J$5:$J$305&gt;=J$4+5)),SUMPRODUCT((INDEX(Timeline!$P$5:$AN$305,0,MATCH($A16,Timeline!$P$4:$AN$4,0))="x")*(Timeline!$K$5:$K$305="Task")*ISNUMBER(Timeline!$I$5:$I$305)*ISNUMBER(Timeline!$J$5:$J$305)*(Timeline!$I$5:$I$305&lt;=J$4+6)*(Timeline!$J$5:$J$305&gt;=J$4+6)))</f>
        <v>0</v>
      </c>
      <c r="K16" s="67">
        <f>MAX(SUMPRODUCT((INDEX(Timeline!$P$5:$AN$305,0,MATCH($A16,Timeline!$P$4:$AN$4,0))="x")*(Timeline!$K$5:$K$305="Task")*ISNUMBER(Timeline!$I$5:$I$305)*ISNUMBER(Timeline!$J$5:$J$305)*(Timeline!$I$5:$I$305&lt;=K$4+0)*(Timeline!$J$5:$J$305&gt;=K$4+0)),SUMPRODUCT((INDEX(Timeline!$P$5:$AN$305,0,MATCH($A16,Timeline!$P$4:$AN$4,0))="x")*(Timeline!$K$5:$K$305="Task")*ISNUMBER(Timeline!$I$5:$I$305)*ISNUMBER(Timeline!$J$5:$J$305)*(Timeline!$I$5:$I$305&lt;=K$4+1)*(Timeline!$J$5:$J$305&gt;=K$4+1)),SUMPRODUCT((INDEX(Timeline!$P$5:$AN$305,0,MATCH($A16,Timeline!$P$4:$AN$4,0))="x")*(Timeline!$K$5:$K$305="Task")*ISNUMBER(Timeline!$I$5:$I$305)*ISNUMBER(Timeline!$J$5:$J$305)*(Timeline!$I$5:$I$305&lt;=K$4+2)*(Timeline!$J$5:$J$305&gt;=K$4+2)),SUMPRODUCT((INDEX(Timeline!$P$5:$AN$305,0,MATCH($A16,Timeline!$P$4:$AN$4,0))="x")*(Timeline!$K$5:$K$305="Task")*ISNUMBER(Timeline!$I$5:$I$305)*ISNUMBER(Timeline!$J$5:$J$305)*(Timeline!$I$5:$I$305&lt;=K$4+3)*(Timeline!$J$5:$J$305&gt;=K$4+3)),SUMPRODUCT((INDEX(Timeline!$P$5:$AN$305,0,MATCH($A16,Timeline!$P$4:$AN$4,0))="x")*(Timeline!$K$5:$K$305="Task")*ISNUMBER(Timeline!$I$5:$I$305)*ISNUMBER(Timeline!$J$5:$J$305)*(Timeline!$I$5:$I$305&lt;=K$4+4)*(Timeline!$J$5:$J$305&gt;=K$4+4)),SUMPRODUCT((INDEX(Timeline!$P$5:$AN$305,0,MATCH($A16,Timeline!$P$4:$AN$4,0))="x")*(Timeline!$K$5:$K$305="Task")*ISNUMBER(Timeline!$I$5:$I$305)*ISNUMBER(Timeline!$J$5:$J$305)*(Timeline!$I$5:$I$305&lt;=K$4+5)*(Timeline!$J$5:$J$305&gt;=K$4+5)),SUMPRODUCT((INDEX(Timeline!$P$5:$AN$305,0,MATCH($A16,Timeline!$P$4:$AN$4,0))="x")*(Timeline!$K$5:$K$305="Task")*ISNUMBER(Timeline!$I$5:$I$305)*ISNUMBER(Timeline!$J$5:$J$305)*(Timeline!$I$5:$I$305&lt;=K$4+6)*(Timeline!$J$5:$J$305&gt;=K$4+6)))</f>
        <v>1</v>
      </c>
      <c r="L16" s="67">
        <f>MAX(SUMPRODUCT((INDEX(Timeline!$P$5:$AN$305,0,MATCH($A16,Timeline!$P$4:$AN$4,0))="x")*(Timeline!$K$5:$K$305="Task")*ISNUMBER(Timeline!$I$5:$I$305)*ISNUMBER(Timeline!$J$5:$J$305)*(Timeline!$I$5:$I$305&lt;=L$4+0)*(Timeline!$J$5:$J$305&gt;=L$4+0)),SUMPRODUCT((INDEX(Timeline!$P$5:$AN$305,0,MATCH($A16,Timeline!$P$4:$AN$4,0))="x")*(Timeline!$K$5:$K$305="Task")*ISNUMBER(Timeline!$I$5:$I$305)*ISNUMBER(Timeline!$J$5:$J$305)*(Timeline!$I$5:$I$305&lt;=L$4+1)*(Timeline!$J$5:$J$305&gt;=L$4+1)),SUMPRODUCT((INDEX(Timeline!$P$5:$AN$305,0,MATCH($A16,Timeline!$P$4:$AN$4,0))="x")*(Timeline!$K$5:$K$305="Task")*ISNUMBER(Timeline!$I$5:$I$305)*ISNUMBER(Timeline!$J$5:$J$305)*(Timeline!$I$5:$I$305&lt;=L$4+2)*(Timeline!$J$5:$J$305&gt;=L$4+2)),SUMPRODUCT((INDEX(Timeline!$P$5:$AN$305,0,MATCH($A16,Timeline!$P$4:$AN$4,0))="x")*(Timeline!$K$5:$K$305="Task")*ISNUMBER(Timeline!$I$5:$I$305)*ISNUMBER(Timeline!$J$5:$J$305)*(Timeline!$I$5:$I$305&lt;=L$4+3)*(Timeline!$J$5:$J$305&gt;=L$4+3)),SUMPRODUCT((INDEX(Timeline!$P$5:$AN$305,0,MATCH($A16,Timeline!$P$4:$AN$4,0))="x")*(Timeline!$K$5:$K$305="Task")*ISNUMBER(Timeline!$I$5:$I$305)*ISNUMBER(Timeline!$J$5:$J$305)*(Timeline!$I$5:$I$305&lt;=L$4+4)*(Timeline!$J$5:$J$305&gt;=L$4+4)),SUMPRODUCT((INDEX(Timeline!$P$5:$AN$305,0,MATCH($A16,Timeline!$P$4:$AN$4,0))="x")*(Timeline!$K$5:$K$305="Task")*ISNUMBER(Timeline!$I$5:$I$305)*ISNUMBER(Timeline!$J$5:$J$305)*(Timeline!$I$5:$I$305&lt;=L$4+5)*(Timeline!$J$5:$J$305&gt;=L$4+5)),SUMPRODUCT((INDEX(Timeline!$P$5:$AN$305,0,MATCH($A16,Timeline!$P$4:$AN$4,0))="x")*(Timeline!$K$5:$K$305="Task")*ISNUMBER(Timeline!$I$5:$I$305)*ISNUMBER(Timeline!$J$5:$J$305)*(Timeline!$I$5:$I$305&lt;=L$4+6)*(Timeline!$J$5:$J$305&gt;=L$4+6)))</f>
        <v>1</v>
      </c>
      <c r="M16" s="67">
        <f>MAX(SUMPRODUCT((INDEX(Timeline!$P$5:$AN$305,0,MATCH($A16,Timeline!$P$4:$AN$4,0))="x")*(Timeline!$K$5:$K$305="Task")*ISNUMBER(Timeline!$I$5:$I$305)*ISNUMBER(Timeline!$J$5:$J$305)*(Timeline!$I$5:$I$305&lt;=M$4+0)*(Timeline!$J$5:$J$305&gt;=M$4+0)),SUMPRODUCT((INDEX(Timeline!$P$5:$AN$305,0,MATCH($A16,Timeline!$P$4:$AN$4,0))="x")*(Timeline!$K$5:$K$305="Task")*ISNUMBER(Timeline!$I$5:$I$305)*ISNUMBER(Timeline!$J$5:$J$305)*(Timeline!$I$5:$I$305&lt;=M$4+1)*(Timeline!$J$5:$J$305&gt;=M$4+1)),SUMPRODUCT((INDEX(Timeline!$P$5:$AN$305,0,MATCH($A16,Timeline!$P$4:$AN$4,0))="x")*(Timeline!$K$5:$K$305="Task")*ISNUMBER(Timeline!$I$5:$I$305)*ISNUMBER(Timeline!$J$5:$J$305)*(Timeline!$I$5:$I$305&lt;=M$4+2)*(Timeline!$J$5:$J$305&gt;=M$4+2)),SUMPRODUCT((INDEX(Timeline!$P$5:$AN$305,0,MATCH($A16,Timeline!$P$4:$AN$4,0))="x")*(Timeline!$K$5:$K$305="Task")*ISNUMBER(Timeline!$I$5:$I$305)*ISNUMBER(Timeline!$J$5:$J$305)*(Timeline!$I$5:$I$305&lt;=M$4+3)*(Timeline!$J$5:$J$305&gt;=M$4+3)),SUMPRODUCT((INDEX(Timeline!$P$5:$AN$305,0,MATCH($A16,Timeline!$P$4:$AN$4,0))="x")*(Timeline!$K$5:$K$305="Task")*ISNUMBER(Timeline!$I$5:$I$305)*ISNUMBER(Timeline!$J$5:$J$305)*(Timeline!$I$5:$I$305&lt;=M$4+4)*(Timeline!$J$5:$J$305&gt;=M$4+4)),SUMPRODUCT((INDEX(Timeline!$P$5:$AN$305,0,MATCH($A16,Timeline!$P$4:$AN$4,0))="x")*(Timeline!$K$5:$K$305="Task")*ISNUMBER(Timeline!$I$5:$I$305)*ISNUMBER(Timeline!$J$5:$J$305)*(Timeline!$I$5:$I$305&lt;=M$4+5)*(Timeline!$J$5:$J$305&gt;=M$4+5)),SUMPRODUCT((INDEX(Timeline!$P$5:$AN$305,0,MATCH($A16,Timeline!$P$4:$AN$4,0))="x")*(Timeline!$K$5:$K$305="Task")*ISNUMBER(Timeline!$I$5:$I$305)*ISNUMBER(Timeline!$J$5:$J$305)*(Timeline!$I$5:$I$305&lt;=M$4+6)*(Timeline!$J$5:$J$305&gt;=M$4+6)))</f>
        <v>1</v>
      </c>
      <c r="N16" s="67">
        <f>MAX(SUMPRODUCT((INDEX(Timeline!$P$5:$AN$305,0,MATCH($A16,Timeline!$P$4:$AN$4,0))="x")*(Timeline!$K$5:$K$305="Task")*ISNUMBER(Timeline!$I$5:$I$305)*ISNUMBER(Timeline!$J$5:$J$305)*(Timeline!$I$5:$I$305&lt;=N$4+0)*(Timeline!$J$5:$J$305&gt;=N$4+0)),SUMPRODUCT((INDEX(Timeline!$P$5:$AN$305,0,MATCH($A16,Timeline!$P$4:$AN$4,0))="x")*(Timeline!$K$5:$K$305="Task")*ISNUMBER(Timeline!$I$5:$I$305)*ISNUMBER(Timeline!$J$5:$J$305)*(Timeline!$I$5:$I$305&lt;=N$4+1)*(Timeline!$J$5:$J$305&gt;=N$4+1)),SUMPRODUCT((INDEX(Timeline!$P$5:$AN$305,0,MATCH($A16,Timeline!$P$4:$AN$4,0))="x")*(Timeline!$K$5:$K$305="Task")*ISNUMBER(Timeline!$I$5:$I$305)*ISNUMBER(Timeline!$J$5:$J$305)*(Timeline!$I$5:$I$305&lt;=N$4+2)*(Timeline!$J$5:$J$305&gt;=N$4+2)),SUMPRODUCT((INDEX(Timeline!$P$5:$AN$305,0,MATCH($A16,Timeline!$P$4:$AN$4,0))="x")*(Timeline!$K$5:$K$305="Task")*ISNUMBER(Timeline!$I$5:$I$305)*ISNUMBER(Timeline!$J$5:$J$305)*(Timeline!$I$5:$I$305&lt;=N$4+3)*(Timeline!$J$5:$J$305&gt;=N$4+3)),SUMPRODUCT((INDEX(Timeline!$P$5:$AN$305,0,MATCH($A16,Timeline!$P$4:$AN$4,0))="x")*(Timeline!$K$5:$K$305="Task")*ISNUMBER(Timeline!$I$5:$I$305)*ISNUMBER(Timeline!$J$5:$J$305)*(Timeline!$I$5:$I$305&lt;=N$4+4)*(Timeline!$J$5:$J$305&gt;=N$4+4)),SUMPRODUCT((INDEX(Timeline!$P$5:$AN$305,0,MATCH($A16,Timeline!$P$4:$AN$4,0))="x")*(Timeline!$K$5:$K$305="Task")*ISNUMBER(Timeline!$I$5:$I$305)*ISNUMBER(Timeline!$J$5:$J$305)*(Timeline!$I$5:$I$305&lt;=N$4+5)*(Timeline!$J$5:$J$305&gt;=N$4+5)),SUMPRODUCT((INDEX(Timeline!$P$5:$AN$305,0,MATCH($A16,Timeline!$P$4:$AN$4,0))="x")*(Timeline!$K$5:$K$305="Task")*ISNUMBER(Timeline!$I$5:$I$305)*ISNUMBER(Timeline!$J$5:$J$305)*(Timeline!$I$5:$I$305&lt;=N$4+6)*(Timeline!$J$5:$J$305&gt;=N$4+6)))</f>
        <v>1</v>
      </c>
      <c r="O16" s="67">
        <f>MAX(SUMPRODUCT((INDEX(Timeline!$P$5:$AN$305,0,MATCH($A16,Timeline!$P$4:$AN$4,0))="x")*(Timeline!$K$5:$K$305="Task")*ISNUMBER(Timeline!$I$5:$I$305)*ISNUMBER(Timeline!$J$5:$J$305)*(Timeline!$I$5:$I$305&lt;=O$4+0)*(Timeline!$J$5:$J$305&gt;=O$4+0)),SUMPRODUCT((INDEX(Timeline!$P$5:$AN$305,0,MATCH($A16,Timeline!$P$4:$AN$4,0))="x")*(Timeline!$K$5:$K$305="Task")*ISNUMBER(Timeline!$I$5:$I$305)*ISNUMBER(Timeline!$J$5:$J$305)*(Timeline!$I$5:$I$305&lt;=O$4+1)*(Timeline!$J$5:$J$305&gt;=O$4+1)),SUMPRODUCT((INDEX(Timeline!$P$5:$AN$305,0,MATCH($A16,Timeline!$P$4:$AN$4,0))="x")*(Timeline!$K$5:$K$305="Task")*ISNUMBER(Timeline!$I$5:$I$305)*ISNUMBER(Timeline!$J$5:$J$305)*(Timeline!$I$5:$I$305&lt;=O$4+2)*(Timeline!$J$5:$J$305&gt;=O$4+2)),SUMPRODUCT((INDEX(Timeline!$P$5:$AN$305,0,MATCH($A16,Timeline!$P$4:$AN$4,0))="x")*(Timeline!$K$5:$K$305="Task")*ISNUMBER(Timeline!$I$5:$I$305)*ISNUMBER(Timeline!$J$5:$J$305)*(Timeline!$I$5:$I$305&lt;=O$4+3)*(Timeline!$J$5:$J$305&gt;=O$4+3)),SUMPRODUCT((INDEX(Timeline!$P$5:$AN$305,0,MATCH($A16,Timeline!$P$4:$AN$4,0))="x")*(Timeline!$K$5:$K$305="Task")*ISNUMBER(Timeline!$I$5:$I$305)*ISNUMBER(Timeline!$J$5:$J$305)*(Timeline!$I$5:$I$305&lt;=O$4+4)*(Timeline!$J$5:$J$305&gt;=O$4+4)),SUMPRODUCT((INDEX(Timeline!$P$5:$AN$305,0,MATCH($A16,Timeline!$P$4:$AN$4,0))="x")*(Timeline!$K$5:$K$305="Task")*ISNUMBER(Timeline!$I$5:$I$305)*ISNUMBER(Timeline!$J$5:$J$305)*(Timeline!$I$5:$I$305&lt;=O$4+5)*(Timeline!$J$5:$J$305&gt;=O$4+5)),SUMPRODUCT((INDEX(Timeline!$P$5:$AN$305,0,MATCH($A16,Timeline!$P$4:$AN$4,0))="x")*(Timeline!$K$5:$K$305="Task")*ISNUMBER(Timeline!$I$5:$I$305)*ISNUMBER(Timeline!$J$5:$J$305)*(Timeline!$I$5:$I$305&lt;=O$4+6)*(Timeline!$J$5:$J$305&gt;=O$4+6)))</f>
        <v>1</v>
      </c>
      <c r="P16" s="67">
        <f>MAX(SUMPRODUCT((INDEX(Timeline!$P$5:$AN$305,0,MATCH($A16,Timeline!$P$4:$AN$4,0))="x")*(Timeline!$K$5:$K$305="Task")*ISNUMBER(Timeline!$I$5:$I$305)*ISNUMBER(Timeline!$J$5:$J$305)*(Timeline!$I$5:$I$305&lt;=P$4+0)*(Timeline!$J$5:$J$305&gt;=P$4+0)),SUMPRODUCT((INDEX(Timeline!$P$5:$AN$305,0,MATCH($A16,Timeline!$P$4:$AN$4,0))="x")*(Timeline!$K$5:$K$305="Task")*ISNUMBER(Timeline!$I$5:$I$305)*ISNUMBER(Timeline!$J$5:$J$305)*(Timeline!$I$5:$I$305&lt;=P$4+1)*(Timeline!$J$5:$J$305&gt;=P$4+1)),SUMPRODUCT((INDEX(Timeline!$P$5:$AN$305,0,MATCH($A16,Timeline!$P$4:$AN$4,0))="x")*(Timeline!$K$5:$K$305="Task")*ISNUMBER(Timeline!$I$5:$I$305)*ISNUMBER(Timeline!$J$5:$J$305)*(Timeline!$I$5:$I$305&lt;=P$4+2)*(Timeline!$J$5:$J$305&gt;=P$4+2)),SUMPRODUCT((INDEX(Timeline!$P$5:$AN$305,0,MATCH($A16,Timeline!$P$4:$AN$4,0))="x")*(Timeline!$K$5:$K$305="Task")*ISNUMBER(Timeline!$I$5:$I$305)*ISNUMBER(Timeline!$J$5:$J$305)*(Timeline!$I$5:$I$305&lt;=P$4+3)*(Timeline!$J$5:$J$305&gt;=P$4+3)),SUMPRODUCT((INDEX(Timeline!$P$5:$AN$305,0,MATCH($A16,Timeline!$P$4:$AN$4,0))="x")*(Timeline!$K$5:$K$305="Task")*ISNUMBER(Timeline!$I$5:$I$305)*ISNUMBER(Timeline!$J$5:$J$305)*(Timeline!$I$5:$I$305&lt;=P$4+4)*(Timeline!$J$5:$J$305&gt;=P$4+4)),SUMPRODUCT((INDEX(Timeline!$P$5:$AN$305,0,MATCH($A16,Timeline!$P$4:$AN$4,0))="x")*(Timeline!$K$5:$K$305="Task")*ISNUMBER(Timeline!$I$5:$I$305)*ISNUMBER(Timeline!$J$5:$J$305)*(Timeline!$I$5:$I$305&lt;=P$4+5)*(Timeline!$J$5:$J$305&gt;=P$4+5)),SUMPRODUCT((INDEX(Timeline!$P$5:$AN$305,0,MATCH($A16,Timeline!$P$4:$AN$4,0))="x")*(Timeline!$K$5:$K$305="Task")*ISNUMBER(Timeline!$I$5:$I$305)*ISNUMBER(Timeline!$J$5:$J$305)*(Timeline!$I$5:$I$305&lt;=P$4+6)*(Timeline!$J$5:$J$305&gt;=P$4+6)))</f>
        <v>1</v>
      </c>
      <c r="Q16" s="67">
        <f>MAX(SUMPRODUCT((INDEX(Timeline!$P$5:$AN$305,0,MATCH($A16,Timeline!$P$4:$AN$4,0))="x")*(Timeline!$K$5:$K$305="Task")*ISNUMBER(Timeline!$I$5:$I$305)*ISNUMBER(Timeline!$J$5:$J$305)*(Timeline!$I$5:$I$305&lt;=Q$4+0)*(Timeline!$J$5:$J$305&gt;=Q$4+0)),SUMPRODUCT((INDEX(Timeline!$P$5:$AN$305,0,MATCH($A16,Timeline!$P$4:$AN$4,0))="x")*(Timeline!$K$5:$K$305="Task")*ISNUMBER(Timeline!$I$5:$I$305)*ISNUMBER(Timeline!$J$5:$J$305)*(Timeline!$I$5:$I$305&lt;=Q$4+1)*(Timeline!$J$5:$J$305&gt;=Q$4+1)),SUMPRODUCT((INDEX(Timeline!$P$5:$AN$305,0,MATCH($A16,Timeline!$P$4:$AN$4,0))="x")*(Timeline!$K$5:$K$305="Task")*ISNUMBER(Timeline!$I$5:$I$305)*ISNUMBER(Timeline!$J$5:$J$305)*(Timeline!$I$5:$I$305&lt;=Q$4+2)*(Timeline!$J$5:$J$305&gt;=Q$4+2)),SUMPRODUCT((INDEX(Timeline!$P$5:$AN$305,0,MATCH($A16,Timeline!$P$4:$AN$4,0))="x")*(Timeline!$K$5:$K$305="Task")*ISNUMBER(Timeline!$I$5:$I$305)*ISNUMBER(Timeline!$J$5:$J$305)*(Timeline!$I$5:$I$305&lt;=Q$4+3)*(Timeline!$J$5:$J$305&gt;=Q$4+3)),SUMPRODUCT((INDEX(Timeline!$P$5:$AN$305,0,MATCH($A16,Timeline!$P$4:$AN$4,0))="x")*(Timeline!$K$5:$K$305="Task")*ISNUMBER(Timeline!$I$5:$I$305)*ISNUMBER(Timeline!$J$5:$J$305)*(Timeline!$I$5:$I$305&lt;=Q$4+4)*(Timeline!$J$5:$J$305&gt;=Q$4+4)),SUMPRODUCT((INDEX(Timeline!$P$5:$AN$305,0,MATCH($A16,Timeline!$P$4:$AN$4,0))="x")*(Timeline!$K$5:$K$305="Task")*ISNUMBER(Timeline!$I$5:$I$305)*ISNUMBER(Timeline!$J$5:$J$305)*(Timeline!$I$5:$I$305&lt;=Q$4+5)*(Timeline!$J$5:$J$305&gt;=Q$4+5)),SUMPRODUCT((INDEX(Timeline!$P$5:$AN$305,0,MATCH($A16,Timeline!$P$4:$AN$4,0))="x")*(Timeline!$K$5:$K$305="Task")*ISNUMBER(Timeline!$I$5:$I$305)*ISNUMBER(Timeline!$J$5:$J$305)*(Timeline!$I$5:$I$305&lt;=Q$4+6)*(Timeline!$J$5:$J$305&gt;=Q$4+6)))</f>
        <v>1</v>
      </c>
      <c r="R16" s="67">
        <f>MAX(SUMPRODUCT((INDEX(Timeline!$P$5:$AN$305,0,MATCH($A16,Timeline!$P$4:$AN$4,0))="x")*(Timeline!$K$5:$K$305="Task")*ISNUMBER(Timeline!$I$5:$I$305)*ISNUMBER(Timeline!$J$5:$J$305)*(Timeline!$I$5:$I$305&lt;=R$4+0)*(Timeline!$J$5:$J$305&gt;=R$4+0)),SUMPRODUCT((INDEX(Timeline!$P$5:$AN$305,0,MATCH($A16,Timeline!$P$4:$AN$4,0))="x")*(Timeline!$K$5:$K$305="Task")*ISNUMBER(Timeline!$I$5:$I$305)*ISNUMBER(Timeline!$J$5:$J$305)*(Timeline!$I$5:$I$305&lt;=R$4+1)*(Timeline!$J$5:$J$305&gt;=R$4+1)),SUMPRODUCT((INDEX(Timeline!$P$5:$AN$305,0,MATCH($A16,Timeline!$P$4:$AN$4,0))="x")*(Timeline!$K$5:$K$305="Task")*ISNUMBER(Timeline!$I$5:$I$305)*ISNUMBER(Timeline!$J$5:$J$305)*(Timeline!$I$5:$I$305&lt;=R$4+2)*(Timeline!$J$5:$J$305&gt;=R$4+2)),SUMPRODUCT((INDEX(Timeline!$P$5:$AN$305,0,MATCH($A16,Timeline!$P$4:$AN$4,0))="x")*(Timeline!$K$5:$K$305="Task")*ISNUMBER(Timeline!$I$5:$I$305)*ISNUMBER(Timeline!$J$5:$J$305)*(Timeline!$I$5:$I$305&lt;=R$4+3)*(Timeline!$J$5:$J$305&gt;=R$4+3)),SUMPRODUCT((INDEX(Timeline!$P$5:$AN$305,0,MATCH($A16,Timeline!$P$4:$AN$4,0))="x")*(Timeline!$K$5:$K$305="Task")*ISNUMBER(Timeline!$I$5:$I$305)*ISNUMBER(Timeline!$J$5:$J$305)*(Timeline!$I$5:$I$305&lt;=R$4+4)*(Timeline!$J$5:$J$305&gt;=R$4+4)),SUMPRODUCT((INDEX(Timeline!$P$5:$AN$305,0,MATCH($A16,Timeline!$P$4:$AN$4,0))="x")*(Timeline!$K$5:$K$305="Task")*ISNUMBER(Timeline!$I$5:$I$305)*ISNUMBER(Timeline!$J$5:$J$305)*(Timeline!$I$5:$I$305&lt;=R$4+5)*(Timeline!$J$5:$J$305&gt;=R$4+5)),SUMPRODUCT((INDEX(Timeline!$P$5:$AN$305,0,MATCH($A16,Timeline!$P$4:$AN$4,0))="x")*(Timeline!$K$5:$K$305="Task")*ISNUMBER(Timeline!$I$5:$I$305)*ISNUMBER(Timeline!$J$5:$J$305)*(Timeline!$I$5:$I$305&lt;=R$4+6)*(Timeline!$J$5:$J$305&gt;=R$4+6)))</f>
        <v>1</v>
      </c>
      <c r="S16" s="67">
        <f>MAX(SUMPRODUCT((INDEX(Timeline!$P$5:$AN$305,0,MATCH($A16,Timeline!$P$4:$AN$4,0))="x")*(Timeline!$K$5:$K$305="Task")*ISNUMBER(Timeline!$I$5:$I$305)*ISNUMBER(Timeline!$J$5:$J$305)*(Timeline!$I$5:$I$305&lt;=S$4+0)*(Timeline!$J$5:$J$305&gt;=S$4+0)),SUMPRODUCT((INDEX(Timeline!$P$5:$AN$305,0,MATCH($A16,Timeline!$P$4:$AN$4,0))="x")*(Timeline!$K$5:$K$305="Task")*ISNUMBER(Timeline!$I$5:$I$305)*ISNUMBER(Timeline!$J$5:$J$305)*(Timeline!$I$5:$I$305&lt;=S$4+1)*(Timeline!$J$5:$J$305&gt;=S$4+1)),SUMPRODUCT((INDEX(Timeline!$P$5:$AN$305,0,MATCH($A16,Timeline!$P$4:$AN$4,0))="x")*(Timeline!$K$5:$K$305="Task")*ISNUMBER(Timeline!$I$5:$I$305)*ISNUMBER(Timeline!$J$5:$J$305)*(Timeline!$I$5:$I$305&lt;=S$4+2)*(Timeline!$J$5:$J$305&gt;=S$4+2)),SUMPRODUCT((INDEX(Timeline!$P$5:$AN$305,0,MATCH($A16,Timeline!$P$4:$AN$4,0))="x")*(Timeline!$K$5:$K$305="Task")*ISNUMBER(Timeline!$I$5:$I$305)*ISNUMBER(Timeline!$J$5:$J$305)*(Timeline!$I$5:$I$305&lt;=S$4+3)*(Timeline!$J$5:$J$305&gt;=S$4+3)),SUMPRODUCT((INDEX(Timeline!$P$5:$AN$305,0,MATCH($A16,Timeline!$P$4:$AN$4,0))="x")*(Timeline!$K$5:$K$305="Task")*ISNUMBER(Timeline!$I$5:$I$305)*ISNUMBER(Timeline!$J$5:$J$305)*(Timeline!$I$5:$I$305&lt;=S$4+4)*(Timeline!$J$5:$J$305&gt;=S$4+4)),SUMPRODUCT((INDEX(Timeline!$P$5:$AN$305,0,MATCH($A16,Timeline!$P$4:$AN$4,0))="x")*(Timeline!$K$5:$K$305="Task")*ISNUMBER(Timeline!$I$5:$I$305)*ISNUMBER(Timeline!$J$5:$J$305)*(Timeline!$I$5:$I$305&lt;=S$4+5)*(Timeline!$J$5:$J$305&gt;=S$4+5)),SUMPRODUCT((INDEX(Timeline!$P$5:$AN$305,0,MATCH($A16,Timeline!$P$4:$AN$4,0))="x")*(Timeline!$K$5:$K$305="Task")*ISNUMBER(Timeline!$I$5:$I$305)*ISNUMBER(Timeline!$J$5:$J$305)*(Timeline!$I$5:$I$305&lt;=S$4+6)*(Timeline!$J$5:$J$305&gt;=S$4+6)))</f>
        <v>1</v>
      </c>
      <c r="T16" s="67">
        <f>MAX(SUMPRODUCT((INDEX(Timeline!$P$5:$AN$305,0,MATCH($A16,Timeline!$P$4:$AN$4,0))="x")*(Timeline!$K$5:$K$305="Task")*ISNUMBER(Timeline!$I$5:$I$305)*ISNUMBER(Timeline!$J$5:$J$305)*(Timeline!$I$5:$I$305&lt;=T$4+0)*(Timeline!$J$5:$J$305&gt;=T$4+0)),SUMPRODUCT((INDEX(Timeline!$P$5:$AN$305,0,MATCH($A16,Timeline!$P$4:$AN$4,0))="x")*(Timeline!$K$5:$K$305="Task")*ISNUMBER(Timeline!$I$5:$I$305)*ISNUMBER(Timeline!$J$5:$J$305)*(Timeline!$I$5:$I$305&lt;=T$4+1)*(Timeline!$J$5:$J$305&gt;=T$4+1)),SUMPRODUCT((INDEX(Timeline!$P$5:$AN$305,0,MATCH($A16,Timeline!$P$4:$AN$4,0))="x")*(Timeline!$K$5:$K$305="Task")*ISNUMBER(Timeline!$I$5:$I$305)*ISNUMBER(Timeline!$J$5:$J$305)*(Timeline!$I$5:$I$305&lt;=T$4+2)*(Timeline!$J$5:$J$305&gt;=T$4+2)),SUMPRODUCT((INDEX(Timeline!$P$5:$AN$305,0,MATCH($A16,Timeline!$P$4:$AN$4,0))="x")*(Timeline!$K$5:$K$305="Task")*ISNUMBER(Timeline!$I$5:$I$305)*ISNUMBER(Timeline!$J$5:$J$305)*(Timeline!$I$5:$I$305&lt;=T$4+3)*(Timeline!$J$5:$J$305&gt;=T$4+3)),SUMPRODUCT((INDEX(Timeline!$P$5:$AN$305,0,MATCH($A16,Timeline!$P$4:$AN$4,0))="x")*(Timeline!$K$5:$K$305="Task")*ISNUMBER(Timeline!$I$5:$I$305)*ISNUMBER(Timeline!$J$5:$J$305)*(Timeline!$I$5:$I$305&lt;=T$4+4)*(Timeline!$J$5:$J$305&gt;=T$4+4)),SUMPRODUCT((INDEX(Timeline!$P$5:$AN$305,0,MATCH($A16,Timeline!$P$4:$AN$4,0))="x")*(Timeline!$K$5:$K$305="Task")*ISNUMBER(Timeline!$I$5:$I$305)*ISNUMBER(Timeline!$J$5:$J$305)*(Timeline!$I$5:$I$305&lt;=T$4+5)*(Timeline!$J$5:$J$305&gt;=T$4+5)),SUMPRODUCT((INDEX(Timeline!$P$5:$AN$305,0,MATCH($A16,Timeline!$P$4:$AN$4,0))="x")*(Timeline!$K$5:$K$305="Task")*ISNUMBER(Timeline!$I$5:$I$305)*ISNUMBER(Timeline!$J$5:$J$305)*(Timeline!$I$5:$I$305&lt;=T$4+6)*(Timeline!$J$5:$J$305&gt;=T$4+6)))</f>
        <v>1</v>
      </c>
      <c r="U16" s="67">
        <f>MAX(SUMPRODUCT((INDEX(Timeline!$P$5:$AN$305,0,MATCH($A16,Timeline!$P$4:$AN$4,0))="x")*(Timeline!$K$5:$K$305="Task")*ISNUMBER(Timeline!$I$5:$I$305)*ISNUMBER(Timeline!$J$5:$J$305)*(Timeline!$I$5:$I$305&lt;=U$4+0)*(Timeline!$J$5:$J$305&gt;=U$4+0)),SUMPRODUCT((INDEX(Timeline!$P$5:$AN$305,0,MATCH($A16,Timeline!$P$4:$AN$4,0))="x")*(Timeline!$K$5:$K$305="Task")*ISNUMBER(Timeline!$I$5:$I$305)*ISNUMBER(Timeline!$J$5:$J$305)*(Timeline!$I$5:$I$305&lt;=U$4+1)*(Timeline!$J$5:$J$305&gt;=U$4+1)),SUMPRODUCT((INDEX(Timeline!$P$5:$AN$305,0,MATCH($A16,Timeline!$P$4:$AN$4,0))="x")*(Timeline!$K$5:$K$305="Task")*ISNUMBER(Timeline!$I$5:$I$305)*ISNUMBER(Timeline!$J$5:$J$305)*(Timeline!$I$5:$I$305&lt;=U$4+2)*(Timeline!$J$5:$J$305&gt;=U$4+2)),SUMPRODUCT((INDEX(Timeline!$P$5:$AN$305,0,MATCH($A16,Timeline!$P$4:$AN$4,0))="x")*(Timeline!$K$5:$K$305="Task")*ISNUMBER(Timeline!$I$5:$I$305)*ISNUMBER(Timeline!$J$5:$J$305)*(Timeline!$I$5:$I$305&lt;=U$4+3)*(Timeline!$J$5:$J$305&gt;=U$4+3)),SUMPRODUCT((INDEX(Timeline!$P$5:$AN$305,0,MATCH($A16,Timeline!$P$4:$AN$4,0))="x")*(Timeline!$K$5:$K$305="Task")*ISNUMBER(Timeline!$I$5:$I$305)*ISNUMBER(Timeline!$J$5:$J$305)*(Timeline!$I$5:$I$305&lt;=U$4+4)*(Timeline!$J$5:$J$305&gt;=U$4+4)),SUMPRODUCT((INDEX(Timeline!$P$5:$AN$305,0,MATCH($A16,Timeline!$P$4:$AN$4,0))="x")*(Timeline!$K$5:$K$305="Task")*ISNUMBER(Timeline!$I$5:$I$305)*ISNUMBER(Timeline!$J$5:$J$305)*(Timeline!$I$5:$I$305&lt;=U$4+5)*(Timeline!$J$5:$J$305&gt;=U$4+5)),SUMPRODUCT((INDEX(Timeline!$P$5:$AN$305,0,MATCH($A16,Timeline!$P$4:$AN$4,0))="x")*(Timeline!$K$5:$K$305="Task")*ISNUMBER(Timeline!$I$5:$I$305)*ISNUMBER(Timeline!$J$5:$J$305)*(Timeline!$I$5:$I$305&lt;=U$4+6)*(Timeline!$J$5:$J$305&gt;=U$4+6)))</f>
        <v>1</v>
      </c>
      <c r="V16" s="67">
        <f>MAX(SUMPRODUCT((INDEX(Timeline!$P$5:$AN$305,0,MATCH($A16,Timeline!$P$4:$AN$4,0))="x")*(Timeline!$K$5:$K$305="Task")*ISNUMBER(Timeline!$I$5:$I$305)*ISNUMBER(Timeline!$J$5:$J$305)*(Timeline!$I$5:$I$305&lt;=V$4+0)*(Timeline!$J$5:$J$305&gt;=V$4+0)),SUMPRODUCT((INDEX(Timeline!$P$5:$AN$305,0,MATCH($A16,Timeline!$P$4:$AN$4,0))="x")*(Timeline!$K$5:$K$305="Task")*ISNUMBER(Timeline!$I$5:$I$305)*ISNUMBER(Timeline!$J$5:$J$305)*(Timeline!$I$5:$I$305&lt;=V$4+1)*(Timeline!$J$5:$J$305&gt;=V$4+1)),SUMPRODUCT((INDEX(Timeline!$P$5:$AN$305,0,MATCH($A16,Timeline!$P$4:$AN$4,0))="x")*(Timeline!$K$5:$K$305="Task")*ISNUMBER(Timeline!$I$5:$I$305)*ISNUMBER(Timeline!$J$5:$J$305)*(Timeline!$I$5:$I$305&lt;=V$4+2)*(Timeline!$J$5:$J$305&gt;=V$4+2)),SUMPRODUCT((INDEX(Timeline!$P$5:$AN$305,0,MATCH($A16,Timeline!$P$4:$AN$4,0))="x")*(Timeline!$K$5:$K$305="Task")*ISNUMBER(Timeline!$I$5:$I$305)*ISNUMBER(Timeline!$J$5:$J$305)*(Timeline!$I$5:$I$305&lt;=V$4+3)*(Timeline!$J$5:$J$305&gt;=V$4+3)),SUMPRODUCT((INDEX(Timeline!$P$5:$AN$305,0,MATCH($A16,Timeline!$P$4:$AN$4,0))="x")*(Timeline!$K$5:$K$305="Task")*ISNUMBER(Timeline!$I$5:$I$305)*ISNUMBER(Timeline!$J$5:$J$305)*(Timeline!$I$5:$I$305&lt;=V$4+4)*(Timeline!$J$5:$J$305&gt;=V$4+4)),SUMPRODUCT((INDEX(Timeline!$P$5:$AN$305,0,MATCH($A16,Timeline!$P$4:$AN$4,0))="x")*(Timeline!$K$5:$K$305="Task")*ISNUMBER(Timeline!$I$5:$I$305)*ISNUMBER(Timeline!$J$5:$J$305)*(Timeline!$I$5:$I$305&lt;=V$4+5)*(Timeline!$J$5:$J$305&gt;=V$4+5)),SUMPRODUCT((INDEX(Timeline!$P$5:$AN$305,0,MATCH($A16,Timeline!$P$4:$AN$4,0))="x")*(Timeline!$K$5:$K$305="Task")*ISNUMBER(Timeline!$I$5:$I$305)*ISNUMBER(Timeline!$J$5:$J$305)*(Timeline!$I$5:$I$305&lt;=V$4+6)*(Timeline!$J$5:$J$305&gt;=V$4+6)))</f>
        <v>0</v>
      </c>
      <c r="W16" s="67">
        <f>MAX(SUMPRODUCT((INDEX(Timeline!$P$5:$AN$305,0,MATCH($A16,Timeline!$P$4:$AN$4,0))="x")*(Timeline!$K$5:$K$305="Task")*ISNUMBER(Timeline!$I$5:$I$305)*ISNUMBER(Timeline!$J$5:$J$305)*(Timeline!$I$5:$I$305&lt;=W$4+0)*(Timeline!$J$5:$J$305&gt;=W$4+0)),SUMPRODUCT((INDEX(Timeline!$P$5:$AN$305,0,MATCH($A16,Timeline!$P$4:$AN$4,0))="x")*(Timeline!$K$5:$K$305="Task")*ISNUMBER(Timeline!$I$5:$I$305)*ISNUMBER(Timeline!$J$5:$J$305)*(Timeline!$I$5:$I$305&lt;=W$4+1)*(Timeline!$J$5:$J$305&gt;=W$4+1)),SUMPRODUCT((INDEX(Timeline!$P$5:$AN$305,0,MATCH($A16,Timeline!$P$4:$AN$4,0))="x")*(Timeline!$K$5:$K$305="Task")*ISNUMBER(Timeline!$I$5:$I$305)*ISNUMBER(Timeline!$J$5:$J$305)*(Timeline!$I$5:$I$305&lt;=W$4+2)*(Timeline!$J$5:$J$305&gt;=W$4+2)),SUMPRODUCT((INDEX(Timeline!$P$5:$AN$305,0,MATCH($A16,Timeline!$P$4:$AN$4,0))="x")*(Timeline!$K$5:$K$305="Task")*ISNUMBER(Timeline!$I$5:$I$305)*ISNUMBER(Timeline!$J$5:$J$305)*(Timeline!$I$5:$I$305&lt;=W$4+3)*(Timeline!$J$5:$J$305&gt;=W$4+3)),SUMPRODUCT((INDEX(Timeline!$P$5:$AN$305,0,MATCH($A16,Timeline!$P$4:$AN$4,0))="x")*(Timeline!$K$5:$K$305="Task")*ISNUMBER(Timeline!$I$5:$I$305)*ISNUMBER(Timeline!$J$5:$J$305)*(Timeline!$I$5:$I$305&lt;=W$4+4)*(Timeline!$J$5:$J$305&gt;=W$4+4)),SUMPRODUCT((INDEX(Timeline!$P$5:$AN$305,0,MATCH($A16,Timeline!$P$4:$AN$4,0))="x")*(Timeline!$K$5:$K$305="Task")*ISNUMBER(Timeline!$I$5:$I$305)*ISNUMBER(Timeline!$J$5:$J$305)*(Timeline!$I$5:$I$305&lt;=W$4+5)*(Timeline!$J$5:$J$305&gt;=W$4+5)),SUMPRODUCT((INDEX(Timeline!$P$5:$AN$305,0,MATCH($A16,Timeline!$P$4:$AN$4,0))="x")*(Timeline!$K$5:$K$305="Task")*ISNUMBER(Timeline!$I$5:$I$305)*ISNUMBER(Timeline!$J$5:$J$305)*(Timeline!$I$5:$I$305&lt;=W$4+6)*(Timeline!$J$5:$J$305&gt;=W$4+6)))</f>
        <v>1</v>
      </c>
      <c r="X16" s="67">
        <f>MAX(SUMPRODUCT((INDEX(Timeline!$P$5:$AN$305,0,MATCH($A16,Timeline!$P$4:$AN$4,0))="x")*(Timeline!$K$5:$K$305="Task")*ISNUMBER(Timeline!$I$5:$I$305)*ISNUMBER(Timeline!$J$5:$J$305)*(Timeline!$I$5:$I$305&lt;=X$4+0)*(Timeline!$J$5:$J$305&gt;=X$4+0)),SUMPRODUCT((INDEX(Timeline!$P$5:$AN$305,0,MATCH($A16,Timeline!$P$4:$AN$4,0))="x")*(Timeline!$K$5:$K$305="Task")*ISNUMBER(Timeline!$I$5:$I$305)*ISNUMBER(Timeline!$J$5:$J$305)*(Timeline!$I$5:$I$305&lt;=X$4+1)*(Timeline!$J$5:$J$305&gt;=X$4+1)),SUMPRODUCT((INDEX(Timeline!$P$5:$AN$305,0,MATCH($A16,Timeline!$P$4:$AN$4,0))="x")*(Timeline!$K$5:$K$305="Task")*ISNUMBER(Timeline!$I$5:$I$305)*ISNUMBER(Timeline!$J$5:$J$305)*(Timeline!$I$5:$I$305&lt;=X$4+2)*(Timeline!$J$5:$J$305&gt;=X$4+2)),SUMPRODUCT((INDEX(Timeline!$P$5:$AN$305,0,MATCH($A16,Timeline!$P$4:$AN$4,0))="x")*(Timeline!$K$5:$K$305="Task")*ISNUMBER(Timeline!$I$5:$I$305)*ISNUMBER(Timeline!$J$5:$J$305)*(Timeline!$I$5:$I$305&lt;=X$4+3)*(Timeline!$J$5:$J$305&gt;=X$4+3)),SUMPRODUCT((INDEX(Timeline!$P$5:$AN$305,0,MATCH($A16,Timeline!$P$4:$AN$4,0))="x")*(Timeline!$K$5:$K$305="Task")*ISNUMBER(Timeline!$I$5:$I$305)*ISNUMBER(Timeline!$J$5:$J$305)*(Timeline!$I$5:$I$305&lt;=X$4+4)*(Timeline!$J$5:$J$305&gt;=X$4+4)),SUMPRODUCT((INDEX(Timeline!$P$5:$AN$305,0,MATCH($A16,Timeline!$P$4:$AN$4,0))="x")*(Timeline!$K$5:$K$305="Task")*ISNUMBER(Timeline!$I$5:$I$305)*ISNUMBER(Timeline!$J$5:$J$305)*(Timeline!$I$5:$I$305&lt;=X$4+5)*(Timeline!$J$5:$J$305&gt;=X$4+5)),SUMPRODUCT((INDEX(Timeline!$P$5:$AN$305,0,MATCH($A16,Timeline!$P$4:$AN$4,0))="x")*(Timeline!$K$5:$K$305="Task")*ISNUMBER(Timeline!$I$5:$I$305)*ISNUMBER(Timeline!$J$5:$J$305)*(Timeline!$I$5:$I$305&lt;=X$4+6)*(Timeline!$J$5:$J$305&gt;=X$4+6)))</f>
        <v>1</v>
      </c>
      <c r="Y16" s="67">
        <f>MAX(SUMPRODUCT((INDEX(Timeline!$P$5:$AN$305,0,MATCH($A16,Timeline!$P$4:$AN$4,0))="x")*(Timeline!$K$5:$K$305="Task")*ISNUMBER(Timeline!$I$5:$I$305)*ISNUMBER(Timeline!$J$5:$J$305)*(Timeline!$I$5:$I$305&lt;=Y$4+0)*(Timeline!$J$5:$J$305&gt;=Y$4+0)),SUMPRODUCT((INDEX(Timeline!$P$5:$AN$305,0,MATCH($A16,Timeline!$P$4:$AN$4,0))="x")*(Timeline!$K$5:$K$305="Task")*ISNUMBER(Timeline!$I$5:$I$305)*ISNUMBER(Timeline!$J$5:$J$305)*(Timeline!$I$5:$I$305&lt;=Y$4+1)*(Timeline!$J$5:$J$305&gt;=Y$4+1)),SUMPRODUCT((INDEX(Timeline!$P$5:$AN$305,0,MATCH($A16,Timeline!$P$4:$AN$4,0))="x")*(Timeline!$K$5:$K$305="Task")*ISNUMBER(Timeline!$I$5:$I$305)*ISNUMBER(Timeline!$J$5:$J$305)*(Timeline!$I$5:$I$305&lt;=Y$4+2)*(Timeline!$J$5:$J$305&gt;=Y$4+2)),SUMPRODUCT((INDEX(Timeline!$P$5:$AN$305,0,MATCH($A16,Timeline!$P$4:$AN$4,0))="x")*(Timeline!$K$5:$K$305="Task")*ISNUMBER(Timeline!$I$5:$I$305)*ISNUMBER(Timeline!$J$5:$J$305)*(Timeline!$I$5:$I$305&lt;=Y$4+3)*(Timeline!$J$5:$J$305&gt;=Y$4+3)),SUMPRODUCT((INDEX(Timeline!$P$5:$AN$305,0,MATCH($A16,Timeline!$P$4:$AN$4,0))="x")*(Timeline!$K$5:$K$305="Task")*ISNUMBER(Timeline!$I$5:$I$305)*ISNUMBER(Timeline!$J$5:$J$305)*(Timeline!$I$5:$I$305&lt;=Y$4+4)*(Timeline!$J$5:$J$305&gt;=Y$4+4)),SUMPRODUCT((INDEX(Timeline!$P$5:$AN$305,0,MATCH($A16,Timeline!$P$4:$AN$4,0))="x")*(Timeline!$K$5:$K$305="Task")*ISNUMBER(Timeline!$I$5:$I$305)*ISNUMBER(Timeline!$J$5:$J$305)*(Timeline!$I$5:$I$305&lt;=Y$4+5)*(Timeline!$J$5:$J$305&gt;=Y$4+5)),SUMPRODUCT((INDEX(Timeline!$P$5:$AN$305,0,MATCH($A16,Timeline!$P$4:$AN$4,0))="x")*(Timeline!$K$5:$K$305="Task")*ISNUMBER(Timeline!$I$5:$I$305)*ISNUMBER(Timeline!$J$5:$J$305)*(Timeline!$I$5:$I$305&lt;=Y$4+6)*(Timeline!$J$5:$J$305&gt;=Y$4+6)))</f>
        <v>1</v>
      </c>
      <c r="Z16" s="67">
        <f>MAX(SUMPRODUCT((INDEX(Timeline!$P$5:$AN$305,0,MATCH($A16,Timeline!$P$4:$AN$4,0))="x")*(Timeline!$K$5:$K$305="Task")*ISNUMBER(Timeline!$I$5:$I$305)*ISNUMBER(Timeline!$J$5:$J$305)*(Timeline!$I$5:$I$305&lt;=Z$4+0)*(Timeline!$J$5:$J$305&gt;=Z$4+0)),SUMPRODUCT((INDEX(Timeline!$P$5:$AN$305,0,MATCH($A16,Timeline!$P$4:$AN$4,0))="x")*(Timeline!$K$5:$K$305="Task")*ISNUMBER(Timeline!$I$5:$I$305)*ISNUMBER(Timeline!$J$5:$J$305)*(Timeline!$I$5:$I$305&lt;=Z$4+1)*(Timeline!$J$5:$J$305&gt;=Z$4+1)),SUMPRODUCT((INDEX(Timeline!$P$5:$AN$305,0,MATCH($A16,Timeline!$P$4:$AN$4,0))="x")*(Timeline!$K$5:$K$305="Task")*ISNUMBER(Timeline!$I$5:$I$305)*ISNUMBER(Timeline!$J$5:$J$305)*(Timeline!$I$5:$I$305&lt;=Z$4+2)*(Timeline!$J$5:$J$305&gt;=Z$4+2)),SUMPRODUCT((INDEX(Timeline!$P$5:$AN$305,0,MATCH($A16,Timeline!$P$4:$AN$4,0))="x")*(Timeline!$K$5:$K$305="Task")*ISNUMBER(Timeline!$I$5:$I$305)*ISNUMBER(Timeline!$J$5:$J$305)*(Timeline!$I$5:$I$305&lt;=Z$4+3)*(Timeline!$J$5:$J$305&gt;=Z$4+3)),SUMPRODUCT((INDEX(Timeline!$P$5:$AN$305,0,MATCH($A16,Timeline!$P$4:$AN$4,0))="x")*(Timeline!$K$5:$K$305="Task")*ISNUMBER(Timeline!$I$5:$I$305)*ISNUMBER(Timeline!$J$5:$J$305)*(Timeline!$I$5:$I$305&lt;=Z$4+4)*(Timeline!$J$5:$J$305&gt;=Z$4+4)),SUMPRODUCT((INDEX(Timeline!$P$5:$AN$305,0,MATCH($A16,Timeline!$P$4:$AN$4,0))="x")*(Timeline!$K$5:$K$305="Task")*ISNUMBER(Timeline!$I$5:$I$305)*ISNUMBER(Timeline!$J$5:$J$305)*(Timeline!$I$5:$I$305&lt;=Z$4+5)*(Timeline!$J$5:$J$305&gt;=Z$4+5)),SUMPRODUCT((INDEX(Timeline!$P$5:$AN$305,0,MATCH($A16,Timeline!$P$4:$AN$4,0))="x")*(Timeline!$K$5:$K$305="Task")*ISNUMBER(Timeline!$I$5:$I$305)*ISNUMBER(Timeline!$J$5:$J$305)*(Timeline!$I$5:$I$305&lt;=Z$4+6)*(Timeline!$J$5:$J$305&gt;=Z$4+6)))</f>
        <v>1</v>
      </c>
      <c r="AA16" s="67">
        <f>MAX(SUMPRODUCT((INDEX(Timeline!$P$5:$AN$305,0,MATCH($A16,Timeline!$P$4:$AN$4,0))="x")*(Timeline!$K$5:$K$305="Task")*ISNUMBER(Timeline!$I$5:$I$305)*ISNUMBER(Timeline!$J$5:$J$305)*(Timeline!$I$5:$I$305&lt;=AA$4+0)*(Timeline!$J$5:$J$305&gt;=AA$4+0)),SUMPRODUCT((INDEX(Timeline!$P$5:$AN$305,0,MATCH($A16,Timeline!$P$4:$AN$4,0))="x")*(Timeline!$K$5:$K$305="Task")*ISNUMBER(Timeline!$I$5:$I$305)*ISNUMBER(Timeline!$J$5:$J$305)*(Timeline!$I$5:$I$305&lt;=AA$4+1)*(Timeline!$J$5:$J$305&gt;=AA$4+1)),SUMPRODUCT((INDEX(Timeline!$P$5:$AN$305,0,MATCH($A16,Timeline!$P$4:$AN$4,0))="x")*(Timeline!$K$5:$K$305="Task")*ISNUMBER(Timeline!$I$5:$I$305)*ISNUMBER(Timeline!$J$5:$J$305)*(Timeline!$I$5:$I$305&lt;=AA$4+2)*(Timeline!$J$5:$J$305&gt;=AA$4+2)),SUMPRODUCT((INDEX(Timeline!$P$5:$AN$305,0,MATCH($A16,Timeline!$P$4:$AN$4,0))="x")*(Timeline!$K$5:$K$305="Task")*ISNUMBER(Timeline!$I$5:$I$305)*ISNUMBER(Timeline!$J$5:$J$305)*(Timeline!$I$5:$I$305&lt;=AA$4+3)*(Timeline!$J$5:$J$305&gt;=AA$4+3)),SUMPRODUCT((INDEX(Timeline!$P$5:$AN$305,0,MATCH($A16,Timeline!$P$4:$AN$4,0))="x")*(Timeline!$K$5:$K$305="Task")*ISNUMBER(Timeline!$I$5:$I$305)*ISNUMBER(Timeline!$J$5:$J$305)*(Timeline!$I$5:$I$305&lt;=AA$4+4)*(Timeline!$J$5:$J$305&gt;=AA$4+4)),SUMPRODUCT((INDEX(Timeline!$P$5:$AN$305,0,MATCH($A16,Timeline!$P$4:$AN$4,0))="x")*(Timeline!$K$5:$K$305="Task")*ISNUMBER(Timeline!$I$5:$I$305)*ISNUMBER(Timeline!$J$5:$J$305)*(Timeline!$I$5:$I$305&lt;=AA$4+5)*(Timeline!$J$5:$J$305&gt;=AA$4+5)),SUMPRODUCT((INDEX(Timeline!$P$5:$AN$305,0,MATCH($A16,Timeline!$P$4:$AN$4,0))="x")*(Timeline!$K$5:$K$305="Task")*ISNUMBER(Timeline!$I$5:$I$305)*ISNUMBER(Timeline!$J$5:$J$305)*(Timeline!$I$5:$I$305&lt;=AA$4+6)*(Timeline!$J$5:$J$305&gt;=AA$4+6)))</f>
        <v>1</v>
      </c>
      <c r="AB16" s="67">
        <f>MAX(SUMPRODUCT((INDEX(Timeline!$P$5:$AN$305,0,MATCH($A16,Timeline!$P$4:$AN$4,0))="x")*(Timeline!$K$5:$K$305="Task")*ISNUMBER(Timeline!$I$5:$I$305)*ISNUMBER(Timeline!$J$5:$J$305)*(Timeline!$I$5:$I$305&lt;=AB$4+0)*(Timeline!$J$5:$J$305&gt;=AB$4+0)),SUMPRODUCT((INDEX(Timeline!$P$5:$AN$305,0,MATCH($A16,Timeline!$P$4:$AN$4,0))="x")*(Timeline!$K$5:$K$305="Task")*ISNUMBER(Timeline!$I$5:$I$305)*ISNUMBER(Timeline!$J$5:$J$305)*(Timeline!$I$5:$I$305&lt;=AB$4+1)*(Timeline!$J$5:$J$305&gt;=AB$4+1)),SUMPRODUCT((INDEX(Timeline!$P$5:$AN$305,0,MATCH($A16,Timeline!$P$4:$AN$4,0))="x")*(Timeline!$K$5:$K$305="Task")*ISNUMBER(Timeline!$I$5:$I$305)*ISNUMBER(Timeline!$J$5:$J$305)*(Timeline!$I$5:$I$305&lt;=AB$4+2)*(Timeline!$J$5:$J$305&gt;=AB$4+2)),SUMPRODUCT((INDEX(Timeline!$P$5:$AN$305,0,MATCH($A16,Timeline!$P$4:$AN$4,0))="x")*(Timeline!$K$5:$K$305="Task")*ISNUMBER(Timeline!$I$5:$I$305)*ISNUMBER(Timeline!$J$5:$J$305)*(Timeline!$I$5:$I$305&lt;=AB$4+3)*(Timeline!$J$5:$J$305&gt;=AB$4+3)),SUMPRODUCT((INDEX(Timeline!$P$5:$AN$305,0,MATCH($A16,Timeline!$P$4:$AN$4,0))="x")*(Timeline!$K$5:$K$305="Task")*ISNUMBER(Timeline!$I$5:$I$305)*ISNUMBER(Timeline!$J$5:$J$305)*(Timeline!$I$5:$I$305&lt;=AB$4+4)*(Timeline!$J$5:$J$305&gt;=AB$4+4)),SUMPRODUCT((INDEX(Timeline!$P$5:$AN$305,0,MATCH($A16,Timeline!$P$4:$AN$4,0))="x")*(Timeline!$K$5:$K$305="Task")*ISNUMBER(Timeline!$I$5:$I$305)*ISNUMBER(Timeline!$J$5:$J$305)*(Timeline!$I$5:$I$305&lt;=AB$4+5)*(Timeline!$J$5:$J$305&gt;=AB$4+5)),SUMPRODUCT((INDEX(Timeline!$P$5:$AN$305,0,MATCH($A16,Timeline!$P$4:$AN$4,0))="x")*(Timeline!$K$5:$K$305="Task")*ISNUMBER(Timeline!$I$5:$I$305)*ISNUMBER(Timeline!$J$5:$J$305)*(Timeline!$I$5:$I$305&lt;=AB$4+6)*(Timeline!$J$5:$J$305&gt;=AB$4+6)))</f>
        <v>1</v>
      </c>
      <c r="AC16" s="67">
        <f>MAX(SUMPRODUCT((INDEX(Timeline!$P$5:$AN$305,0,MATCH($A16,Timeline!$P$4:$AN$4,0))="x")*(Timeline!$K$5:$K$305="Task")*ISNUMBER(Timeline!$I$5:$I$305)*ISNUMBER(Timeline!$J$5:$J$305)*(Timeline!$I$5:$I$305&lt;=AC$4+0)*(Timeline!$J$5:$J$305&gt;=AC$4+0)),SUMPRODUCT((INDEX(Timeline!$P$5:$AN$305,0,MATCH($A16,Timeline!$P$4:$AN$4,0))="x")*(Timeline!$K$5:$K$305="Task")*ISNUMBER(Timeline!$I$5:$I$305)*ISNUMBER(Timeline!$J$5:$J$305)*(Timeline!$I$5:$I$305&lt;=AC$4+1)*(Timeline!$J$5:$J$305&gt;=AC$4+1)),SUMPRODUCT((INDEX(Timeline!$P$5:$AN$305,0,MATCH($A16,Timeline!$P$4:$AN$4,0))="x")*(Timeline!$K$5:$K$305="Task")*ISNUMBER(Timeline!$I$5:$I$305)*ISNUMBER(Timeline!$J$5:$J$305)*(Timeline!$I$5:$I$305&lt;=AC$4+2)*(Timeline!$J$5:$J$305&gt;=AC$4+2)),SUMPRODUCT((INDEX(Timeline!$P$5:$AN$305,0,MATCH($A16,Timeline!$P$4:$AN$4,0))="x")*(Timeline!$K$5:$K$305="Task")*ISNUMBER(Timeline!$I$5:$I$305)*ISNUMBER(Timeline!$J$5:$J$305)*(Timeline!$I$5:$I$305&lt;=AC$4+3)*(Timeline!$J$5:$J$305&gt;=AC$4+3)),SUMPRODUCT((INDEX(Timeline!$P$5:$AN$305,0,MATCH($A16,Timeline!$P$4:$AN$4,0))="x")*(Timeline!$K$5:$K$305="Task")*ISNUMBER(Timeline!$I$5:$I$305)*ISNUMBER(Timeline!$J$5:$J$305)*(Timeline!$I$5:$I$305&lt;=AC$4+4)*(Timeline!$J$5:$J$305&gt;=AC$4+4)),SUMPRODUCT((INDEX(Timeline!$P$5:$AN$305,0,MATCH($A16,Timeline!$P$4:$AN$4,0))="x")*(Timeline!$K$5:$K$305="Task")*ISNUMBER(Timeline!$I$5:$I$305)*ISNUMBER(Timeline!$J$5:$J$305)*(Timeline!$I$5:$I$305&lt;=AC$4+5)*(Timeline!$J$5:$J$305&gt;=AC$4+5)),SUMPRODUCT((INDEX(Timeline!$P$5:$AN$305,0,MATCH($A16,Timeline!$P$4:$AN$4,0))="x")*(Timeline!$K$5:$K$305="Task")*ISNUMBER(Timeline!$I$5:$I$305)*ISNUMBER(Timeline!$J$5:$J$305)*(Timeline!$I$5:$I$305&lt;=AC$4+6)*(Timeline!$J$5:$J$305&gt;=AC$4+6)))</f>
        <v>1</v>
      </c>
      <c r="AD16" s="67">
        <f>MAX(SUMPRODUCT((INDEX(Timeline!$P$5:$AN$305,0,MATCH($A16,Timeline!$P$4:$AN$4,0))="x")*(Timeline!$K$5:$K$305="Task")*ISNUMBER(Timeline!$I$5:$I$305)*ISNUMBER(Timeline!$J$5:$J$305)*(Timeline!$I$5:$I$305&lt;=AD$4+0)*(Timeline!$J$5:$J$305&gt;=AD$4+0)),SUMPRODUCT((INDEX(Timeline!$P$5:$AN$305,0,MATCH($A16,Timeline!$P$4:$AN$4,0))="x")*(Timeline!$K$5:$K$305="Task")*ISNUMBER(Timeline!$I$5:$I$305)*ISNUMBER(Timeline!$J$5:$J$305)*(Timeline!$I$5:$I$305&lt;=AD$4+1)*(Timeline!$J$5:$J$305&gt;=AD$4+1)),SUMPRODUCT((INDEX(Timeline!$P$5:$AN$305,0,MATCH($A16,Timeline!$P$4:$AN$4,0))="x")*(Timeline!$K$5:$K$305="Task")*ISNUMBER(Timeline!$I$5:$I$305)*ISNUMBER(Timeline!$J$5:$J$305)*(Timeline!$I$5:$I$305&lt;=AD$4+2)*(Timeline!$J$5:$J$305&gt;=AD$4+2)),SUMPRODUCT((INDEX(Timeline!$P$5:$AN$305,0,MATCH($A16,Timeline!$P$4:$AN$4,0))="x")*(Timeline!$K$5:$K$305="Task")*ISNUMBER(Timeline!$I$5:$I$305)*ISNUMBER(Timeline!$J$5:$J$305)*(Timeline!$I$5:$I$305&lt;=AD$4+3)*(Timeline!$J$5:$J$305&gt;=AD$4+3)),SUMPRODUCT((INDEX(Timeline!$P$5:$AN$305,0,MATCH($A16,Timeline!$P$4:$AN$4,0))="x")*(Timeline!$K$5:$K$305="Task")*ISNUMBER(Timeline!$I$5:$I$305)*ISNUMBER(Timeline!$J$5:$J$305)*(Timeline!$I$5:$I$305&lt;=AD$4+4)*(Timeline!$J$5:$J$305&gt;=AD$4+4)),SUMPRODUCT((INDEX(Timeline!$P$5:$AN$305,0,MATCH($A16,Timeline!$P$4:$AN$4,0))="x")*(Timeline!$K$5:$K$305="Task")*ISNUMBER(Timeline!$I$5:$I$305)*ISNUMBER(Timeline!$J$5:$J$305)*(Timeline!$I$5:$I$305&lt;=AD$4+5)*(Timeline!$J$5:$J$305&gt;=AD$4+5)),SUMPRODUCT((INDEX(Timeline!$P$5:$AN$305,0,MATCH($A16,Timeline!$P$4:$AN$4,0))="x")*(Timeline!$K$5:$K$305="Task")*ISNUMBER(Timeline!$I$5:$I$305)*ISNUMBER(Timeline!$J$5:$J$305)*(Timeline!$I$5:$I$305&lt;=AD$4+6)*(Timeline!$J$5:$J$305&gt;=AD$4+6)))</f>
        <v>1</v>
      </c>
      <c r="AE16" s="67">
        <f>MAX(SUMPRODUCT((INDEX(Timeline!$P$5:$AN$305,0,MATCH($A16,Timeline!$P$4:$AN$4,0))="x")*(Timeline!$K$5:$K$305="Task")*ISNUMBER(Timeline!$I$5:$I$305)*ISNUMBER(Timeline!$J$5:$J$305)*(Timeline!$I$5:$I$305&lt;=AE$4+0)*(Timeline!$J$5:$J$305&gt;=AE$4+0)),SUMPRODUCT((INDEX(Timeline!$P$5:$AN$305,0,MATCH($A16,Timeline!$P$4:$AN$4,0))="x")*(Timeline!$K$5:$K$305="Task")*ISNUMBER(Timeline!$I$5:$I$305)*ISNUMBER(Timeline!$J$5:$J$305)*(Timeline!$I$5:$I$305&lt;=AE$4+1)*(Timeline!$J$5:$J$305&gt;=AE$4+1)),SUMPRODUCT((INDEX(Timeline!$P$5:$AN$305,0,MATCH($A16,Timeline!$P$4:$AN$4,0))="x")*(Timeline!$K$5:$K$305="Task")*ISNUMBER(Timeline!$I$5:$I$305)*ISNUMBER(Timeline!$J$5:$J$305)*(Timeline!$I$5:$I$305&lt;=AE$4+2)*(Timeline!$J$5:$J$305&gt;=AE$4+2)),SUMPRODUCT((INDEX(Timeline!$P$5:$AN$305,0,MATCH($A16,Timeline!$P$4:$AN$4,0))="x")*(Timeline!$K$5:$K$305="Task")*ISNUMBER(Timeline!$I$5:$I$305)*ISNUMBER(Timeline!$J$5:$J$305)*(Timeline!$I$5:$I$305&lt;=AE$4+3)*(Timeline!$J$5:$J$305&gt;=AE$4+3)),SUMPRODUCT((INDEX(Timeline!$P$5:$AN$305,0,MATCH($A16,Timeline!$P$4:$AN$4,0))="x")*(Timeline!$K$5:$K$305="Task")*ISNUMBER(Timeline!$I$5:$I$305)*ISNUMBER(Timeline!$J$5:$J$305)*(Timeline!$I$5:$I$305&lt;=AE$4+4)*(Timeline!$J$5:$J$305&gt;=AE$4+4)),SUMPRODUCT((INDEX(Timeline!$P$5:$AN$305,0,MATCH($A16,Timeline!$P$4:$AN$4,0))="x")*(Timeline!$K$5:$K$305="Task")*ISNUMBER(Timeline!$I$5:$I$305)*ISNUMBER(Timeline!$J$5:$J$305)*(Timeline!$I$5:$I$305&lt;=AE$4+5)*(Timeline!$J$5:$J$305&gt;=AE$4+5)),SUMPRODUCT((INDEX(Timeline!$P$5:$AN$305,0,MATCH($A16,Timeline!$P$4:$AN$4,0))="x")*(Timeline!$K$5:$K$305="Task")*ISNUMBER(Timeline!$I$5:$I$305)*ISNUMBER(Timeline!$J$5:$J$305)*(Timeline!$I$5:$I$305&lt;=AE$4+6)*(Timeline!$J$5:$J$305&gt;=AE$4+6)))</f>
        <v>1</v>
      </c>
      <c r="AF16" s="67">
        <f>MAX(SUMPRODUCT((INDEX(Timeline!$P$5:$AN$305,0,MATCH($A16,Timeline!$P$4:$AN$4,0))="x")*(Timeline!$K$5:$K$305="Task")*ISNUMBER(Timeline!$I$5:$I$305)*ISNUMBER(Timeline!$J$5:$J$305)*(Timeline!$I$5:$I$305&lt;=AF$4+0)*(Timeline!$J$5:$J$305&gt;=AF$4+0)),SUMPRODUCT((INDEX(Timeline!$P$5:$AN$305,0,MATCH($A16,Timeline!$P$4:$AN$4,0))="x")*(Timeline!$K$5:$K$305="Task")*ISNUMBER(Timeline!$I$5:$I$305)*ISNUMBER(Timeline!$J$5:$J$305)*(Timeline!$I$5:$I$305&lt;=AF$4+1)*(Timeline!$J$5:$J$305&gt;=AF$4+1)),SUMPRODUCT((INDEX(Timeline!$P$5:$AN$305,0,MATCH($A16,Timeline!$P$4:$AN$4,0))="x")*(Timeline!$K$5:$K$305="Task")*ISNUMBER(Timeline!$I$5:$I$305)*ISNUMBER(Timeline!$J$5:$J$305)*(Timeline!$I$5:$I$305&lt;=AF$4+2)*(Timeline!$J$5:$J$305&gt;=AF$4+2)),SUMPRODUCT((INDEX(Timeline!$P$5:$AN$305,0,MATCH($A16,Timeline!$P$4:$AN$4,0))="x")*(Timeline!$K$5:$K$305="Task")*ISNUMBER(Timeline!$I$5:$I$305)*ISNUMBER(Timeline!$J$5:$J$305)*(Timeline!$I$5:$I$305&lt;=AF$4+3)*(Timeline!$J$5:$J$305&gt;=AF$4+3)),SUMPRODUCT((INDEX(Timeline!$P$5:$AN$305,0,MATCH($A16,Timeline!$P$4:$AN$4,0))="x")*(Timeline!$K$5:$K$305="Task")*ISNUMBER(Timeline!$I$5:$I$305)*ISNUMBER(Timeline!$J$5:$J$305)*(Timeline!$I$5:$I$305&lt;=AF$4+4)*(Timeline!$J$5:$J$305&gt;=AF$4+4)),SUMPRODUCT((INDEX(Timeline!$P$5:$AN$305,0,MATCH($A16,Timeline!$P$4:$AN$4,0))="x")*(Timeline!$K$5:$K$305="Task")*ISNUMBER(Timeline!$I$5:$I$305)*ISNUMBER(Timeline!$J$5:$J$305)*(Timeline!$I$5:$I$305&lt;=AF$4+5)*(Timeline!$J$5:$J$305&gt;=AF$4+5)),SUMPRODUCT((INDEX(Timeline!$P$5:$AN$305,0,MATCH($A16,Timeline!$P$4:$AN$4,0))="x")*(Timeline!$K$5:$K$305="Task")*ISNUMBER(Timeline!$I$5:$I$305)*ISNUMBER(Timeline!$J$5:$J$305)*(Timeline!$I$5:$I$305&lt;=AF$4+6)*(Timeline!$J$5:$J$305&gt;=AF$4+6)))</f>
        <v>1</v>
      </c>
      <c r="AG16" s="67">
        <f>MAX(SUMPRODUCT((INDEX(Timeline!$P$5:$AN$305,0,MATCH($A16,Timeline!$P$4:$AN$4,0))="x")*(Timeline!$K$5:$K$305="Task")*ISNUMBER(Timeline!$I$5:$I$305)*ISNUMBER(Timeline!$J$5:$J$305)*(Timeline!$I$5:$I$305&lt;=AG$4+0)*(Timeline!$J$5:$J$305&gt;=AG$4+0)),SUMPRODUCT((INDEX(Timeline!$P$5:$AN$305,0,MATCH($A16,Timeline!$P$4:$AN$4,0))="x")*(Timeline!$K$5:$K$305="Task")*ISNUMBER(Timeline!$I$5:$I$305)*ISNUMBER(Timeline!$J$5:$J$305)*(Timeline!$I$5:$I$305&lt;=AG$4+1)*(Timeline!$J$5:$J$305&gt;=AG$4+1)),SUMPRODUCT((INDEX(Timeline!$P$5:$AN$305,0,MATCH($A16,Timeline!$P$4:$AN$4,0))="x")*(Timeline!$K$5:$K$305="Task")*ISNUMBER(Timeline!$I$5:$I$305)*ISNUMBER(Timeline!$J$5:$J$305)*(Timeline!$I$5:$I$305&lt;=AG$4+2)*(Timeline!$J$5:$J$305&gt;=AG$4+2)),SUMPRODUCT((INDEX(Timeline!$P$5:$AN$305,0,MATCH($A16,Timeline!$P$4:$AN$4,0))="x")*(Timeline!$K$5:$K$305="Task")*ISNUMBER(Timeline!$I$5:$I$305)*ISNUMBER(Timeline!$J$5:$J$305)*(Timeline!$I$5:$I$305&lt;=AG$4+3)*(Timeline!$J$5:$J$305&gt;=AG$4+3)),SUMPRODUCT((INDEX(Timeline!$P$5:$AN$305,0,MATCH($A16,Timeline!$P$4:$AN$4,0))="x")*(Timeline!$K$5:$K$305="Task")*ISNUMBER(Timeline!$I$5:$I$305)*ISNUMBER(Timeline!$J$5:$J$305)*(Timeline!$I$5:$I$305&lt;=AG$4+4)*(Timeline!$J$5:$J$305&gt;=AG$4+4)),SUMPRODUCT((INDEX(Timeline!$P$5:$AN$305,0,MATCH($A16,Timeline!$P$4:$AN$4,0))="x")*(Timeline!$K$5:$K$305="Task")*ISNUMBER(Timeline!$I$5:$I$305)*ISNUMBER(Timeline!$J$5:$J$305)*(Timeline!$I$5:$I$305&lt;=AG$4+5)*(Timeline!$J$5:$J$305&gt;=AG$4+5)),SUMPRODUCT((INDEX(Timeline!$P$5:$AN$305,0,MATCH($A16,Timeline!$P$4:$AN$4,0))="x")*(Timeline!$K$5:$K$305="Task")*ISNUMBER(Timeline!$I$5:$I$305)*ISNUMBER(Timeline!$J$5:$J$305)*(Timeline!$I$5:$I$305&lt;=AG$4+6)*(Timeline!$J$5:$J$305&gt;=AG$4+6)))</f>
        <v>0</v>
      </c>
      <c r="AH16" s="67">
        <f>MAX(SUMPRODUCT((INDEX(Timeline!$P$5:$AN$305,0,MATCH($A16,Timeline!$P$4:$AN$4,0))="x")*(Timeline!$K$5:$K$305="Task")*ISNUMBER(Timeline!$I$5:$I$305)*ISNUMBER(Timeline!$J$5:$J$305)*(Timeline!$I$5:$I$305&lt;=AH$4+0)*(Timeline!$J$5:$J$305&gt;=AH$4+0)),SUMPRODUCT((INDEX(Timeline!$P$5:$AN$305,0,MATCH($A16,Timeline!$P$4:$AN$4,0))="x")*(Timeline!$K$5:$K$305="Task")*ISNUMBER(Timeline!$I$5:$I$305)*ISNUMBER(Timeline!$J$5:$J$305)*(Timeline!$I$5:$I$305&lt;=AH$4+1)*(Timeline!$J$5:$J$305&gt;=AH$4+1)),SUMPRODUCT((INDEX(Timeline!$P$5:$AN$305,0,MATCH($A16,Timeline!$P$4:$AN$4,0))="x")*(Timeline!$K$5:$K$305="Task")*ISNUMBER(Timeline!$I$5:$I$305)*ISNUMBER(Timeline!$J$5:$J$305)*(Timeline!$I$5:$I$305&lt;=AH$4+2)*(Timeline!$J$5:$J$305&gt;=AH$4+2)),SUMPRODUCT((INDEX(Timeline!$P$5:$AN$305,0,MATCH($A16,Timeline!$P$4:$AN$4,0))="x")*(Timeline!$K$5:$K$305="Task")*ISNUMBER(Timeline!$I$5:$I$305)*ISNUMBER(Timeline!$J$5:$J$305)*(Timeline!$I$5:$I$305&lt;=AH$4+3)*(Timeline!$J$5:$J$305&gt;=AH$4+3)),SUMPRODUCT((INDEX(Timeline!$P$5:$AN$305,0,MATCH($A16,Timeline!$P$4:$AN$4,0))="x")*(Timeline!$K$5:$K$305="Task")*ISNUMBER(Timeline!$I$5:$I$305)*ISNUMBER(Timeline!$J$5:$J$305)*(Timeline!$I$5:$I$305&lt;=AH$4+4)*(Timeline!$J$5:$J$305&gt;=AH$4+4)),SUMPRODUCT((INDEX(Timeline!$P$5:$AN$305,0,MATCH($A16,Timeline!$P$4:$AN$4,0))="x")*(Timeline!$K$5:$K$305="Task")*ISNUMBER(Timeline!$I$5:$I$305)*ISNUMBER(Timeline!$J$5:$J$305)*(Timeline!$I$5:$I$305&lt;=AH$4+5)*(Timeline!$J$5:$J$305&gt;=AH$4+5)),SUMPRODUCT((INDEX(Timeline!$P$5:$AN$305,0,MATCH($A16,Timeline!$P$4:$AN$4,0))="x")*(Timeline!$K$5:$K$305="Task")*ISNUMBER(Timeline!$I$5:$I$305)*ISNUMBER(Timeline!$J$5:$J$305)*(Timeline!$I$5:$I$305&lt;=AH$4+6)*(Timeline!$J$5:$J$305&gt;=AH$4+6)))</f>
        <v>0</v>
      </c>
      <c r="AI16" s="67">
        <f>MAX(SUMPRODUCT((INDEX(Timeline!$P$5:$AN$305,0,MATCH($A16,Timeline!$P$4:$AN$4,0))="x")*(Timeline!$K$5:$K$305="Task")*ISNUMBER(Timeline!$I$5:$I$305)*ISNUMBER(Timeline!$J$5:$J$305)*(Timeline!$I$5:$I$305&lt;=AI$4+0)*(Timeline!$J$5:$J$305&gt;=AI$4+0)),SUMPRODUCT((INDEX(Timeline!$P$5:$AN$305,0,MATCH($A16,Timeline!$P$4:$AN$4,0))="x")*(Timeline!$K$5:$K$305="Task")*ISNUMBER(Timeline!$I$5:$I$305)*ISNUMBER(Timeline!$J$5:$J$305)*(Timeline!$I$5:$I$305&lt;=AI$4+1)*(Timeline!$J$5:$J$305&gt;=AI$4+1)),SUMPRODUCT((INDEX(Timeline!$P$5:$AN$305,0,MATCH($A16,Timeline!$P$4:$AN$4,0))="x")*(Timeline!$K$5:$K$305="Task")*ISNUMBER(Timeline!$I$5:$I$305)*ISNUMBER(Timeline!$J$5:$J$305)*(Timeline!$I$5:$I$305&lt;=AI$4+2)*(Timeline!$J$5:$J$305&gt;=AI$4+2)),SUMPRODUCT((INDEX(Timeline!$P$5:$AN$305,0,MATCH($A16,Timeline!$P$4:$AN$4,0))="x")*(Timeline!$K$5:$K$305="Task")*ISNUMBER(Timeline!$I$5:$I$305)*ISNUMBER(Timeline!$J$5:$J$305)*(Timeline!$I$5:$I$305&lt;=AI$4+3)*(Timeline!$J$5:$J$305&gt;=AI$4+3)),SUMPRODUCT((INDEX(Timeline!$P$5:$AN$305,0,MATCH($A16,Timeline!$P$4:$AN$4,0))="x")*(Timeline!$K$5:$K$305="Task")*ISNUMBER(Timeline!$I$5:$I$305)*ISNUMBER(Timeline!$J$5:$J$305)*(Timeline!$I$5:$I$305&lt;=AI$4+4)*(Timeline!$J$5:$J$305&gt;=AI$4+4)),SUMPRODUCT((INDEX(Timeline!$P$5:$AN$305,0,MATCH($A16,Timeline!$P$4:$AN$4,0))="x")*(Timeline!$K$5:$K$305="Task")*ISNUMBER(Timeline!$I$5:$I$305)*ISNUMBER(Timeline!$J$5:$J$305)*(Timeline!$I$5:$I$305&lt;=AI$4+5)*(Timeline!$J$5:$J$305&gt;=AI$4+5)),SUMPRODUCT((INDEX(Timeline!$P$5:$AN$305,0,MATCH($A16,Timeline!$P$4:$AN$4,0))="x")*(Timeline!$K$5:$K$305="Task")*ISNUMBER(Timeline!$I$5:$I$305)*ISNUMBER(Timeline!$J$5:$J$305)*(Timeline!$I$5:$I$305&lt;=AI$4+6)*(Timeline!$J$5:$J$305&gt;=AI$4+6)))</f>
        <v>0</v>
      </c>
      <c r="AJ16" s="67">
        <f>MAX(SUMPRODUCT((INDEX(Timeline!$P$5:$AN$305,0,MATCH($A16,Timeline!$P$4:$AN$4,0))="x")*(Timeline!$K$5:$K$305="Task")*ISNUMBER(Timeline!$I$5:$I$305)*ISNUMBER(Timeline!$J$5:$J$305)*(Timeline!$I$5:$I$305&lt;=AJ$4+0)*(Timeline!$J$5:$J$305&gt;=AJ$4+0)),SUMPRODUCT((INDEX(Timeline!$P$5:$AN$305,0,MATCH($A16,Timeline!$P$4:$AN$4,0))="x")*(Timeline!$K$5:$K$305="Task")*ISNUMBER(Timeline!$I$5:$I$305)*ISNUMBER(Timeline!$J$5:$J$305)*(Timeline!$I$5:$I$305&lt;=AJ$4+1)*(Timeline!$J$5:$J$305&gt;=AJ$4+1)),SUMPRODUCT((INDEX(Timeline!$P$5:$AN$305,0,MATCH($A16,Timeline!$P$4:$AN$4,0))="x")*(Timeline!$K$5:$K$305="Task")*ISNUMBER(Timeline!$I$5:$I$305)*ISNUMBER(Timeline!$J$5:$J$305)*(Timeline!$I$5:$I$305&lt;=AJ$4+2)*(Timeline!$J$5:$J$305&gt;=AJ$4+2)),SUMPRODUCT((INDEX(Timeline!$P$5:$AN$305,0,MATCH($A16,Timeline!$P$4:$AN$4,0))="x")*(Timeline!$K$5:$K$305="Task")*ISNUMBER(Timeline!$I$5:$I$305)*ISNUMBER(Timeline!$J$5:$J$305)*(Timeline!$I$5:$I$305&lt;=AJ$4+3)*(Timeline!$J$5:$J$305&gt;=AJ$4+3)),SUMPRODUCT((INDEX(Timeline!$P$5:$AN$305,0,MATCH($A16,Timeline!$P$4:$AN$4,0))="x")*(Timeline!$K$5:$K$305="Task")*ISNUMBER(Timeline!$I$5:$I$305)*ISNUMBER(Timeline!$J$5:$J$305)*(Timeline!$I$5:$I$305&lt;=AJ$4+4)*(Timeline!$J$5:$J$305&gt;=AJ$4+4)),SUMPRODUCT((INDEX(Timeline!$P$5:$AN$305,0,MATCH($A16,Timeline!$P$4:$AN$4,0))="x")*(Timeline!$K$5:$K$305="Task")*ISNUMBER(Timeline!$I$5:$I$305)*ISNUMBER(Timeline!$J$5:$J$305)*(Timeline!$I$5:$I$305&lt;=AJ$4+5)*(Timeline!$J$5:$J$305&gt;=AJ$4+5)),SUMPRODUCT((INDEX(Timeline!$P$5:$AN$305,0,MATCH($A16,Timeline!$P$4:$AN$4,0))="x")*(Timeline!$K$5:$K$305="Task")*ISNUMBER(Timeline!$I$5:$I$305)*ISNUMBER(Timeline!$J$5:$J$305)*(Timeline!$I$5:$I$305&lt;=AJ$4+6)*(Timeline!$J$5:$J$305&gt;=AJ$4+6)))</f>
        <v>0</v>
      </c>
      <c r="AK16" s="67">
        <f>MAX(SUMPRODUCT((INDEX(Timeline!$P$5:$AN$305,0,MATCH($A16,Timeline!$P$4:$AN$4,0))="x")*(Timeline!$K$5:$K$305="Task")*ISNUMBER(Timeline!$I$5:$I$305)*ISNUMBER(Timeline!$J$5:$J$305)*(Timeline!$I$5:$I$305&lt;=AK$4+0)*(Timeline!$J$5:$J$305&gt;=AK$4+0)),SUMPRODUCT((INDEX(Timeline!$P$5:$AN$305,0,MATCH($A16,Timeline!$P$4:$AN$4,0))="x")*(Timeline!$K$5:$K$305="Task")*ISNUMBER(Timeline!$I$5:$I$305)*ISNUMBER(Timeline!$J$5:$J$305)*(Timeline!$I$5:$I$305&lt;=AK$4+1)*(Timeline!$J$5:$J$305&gt;=AK$4+1)),SUMPRODUCT((INDEX(Timeline!$P$5:$AN$305,0,MATCH($A16,Timeline!$P$4:$AN$4,0))="x")*(Timeline!$K$5:$K$305="Task")*ISNUMBER(Timeline!$I$5:$I$305)*ISNUMBER(Timeline!$J$5:$J$305)*(Timeline!$I$5:$I$305&lt;=AK$4+2)*(Timeline!$J$5:$J$305&gt;=AK$4+2)),SUMPRODUCT((INDEX(Timeline!$P$5:$AN$305,0,MATCH($A16,Timeline!$P$4:$AN$4,0))="x")*(Timeline!$K$5:$K$305="Task")*ISNUMBER(Timeline!$I$5:$I$305)*ISNUMBER(Timeline!$J$5:$J$305)*(Timeline!$I$5:$I$305&lt;=AK$4+3)*(Timeline!$J$5:$J$305&gt;=AK$4+3)),SUMPRODUCT((INDEX(Timeline!$P$5:$AN$305,0,MATCH($A16,Timeline!$P$4:$AN$4,0))="x")*(Timeline!$K$5:$K$305="Task")*ISNUMBER(Timeline!$I$5:$I$305)*ISNUMBER(Timeline!$J$5:$J$305)*(Timeline!$I$5:$I$305&lt;=AK$4+4)*(Timeline!$J$5:$J$305&gt;=AK$4+4)),SUMPRODUCT((INDEX(Timeline!$P$5:$AN$305,0,MATCH($A16,Timeline!$P$4:$AN$4,0))="x")*(Timeline!$K$5:$K$305="Task")*ISNUMBER(Timeline!$I$5:$I$305)*ISNUMBER(Timeline!$J$5:$J$305)*(Timeline!$I$5:$I$305&lt;=AK$4+5)*(Timeline!$J$5:$J$305&gt;=AK$4+5)),SUMPRODUCT((INDEX(Timeline!$P$5:$AN$305,0,MATCH($A16,Timeline!$P$4:$AN$4,0))="x")*(Timeline!$K$5:$K$305="Task")*ISNUMBER(Timeline!$I$5:$I$305)*ISNUMBER(Timeline!$J$5:$J$305)*(Timeline!$I$5:$I$305&lt;=AK$4+6)*(Timeline!$J$5:$J$305&gt;=AK$4+6)))</f>
        <v>0</v>
      </c>
      <c r="AL16" s="67">
        <f>MAX(SUMPRODUCT((INDEX(Timeline!$P$5:$AN$305,0,MATCH($A16,Timeline!$P$4:$AN$4,0))="x")*(Timeline!$K$5:$K$305="Task")*ISNUMBER(Timeline!$I$5:$I$305)*ISNUMBER(Timeline!$J$5:$J$305)*(Timeline!$I$5:$I$305&lt;=AL$4+0)*(Timeline!$J$5:$J$305&gt;=AL$4+0)),SUMPRODUCT((INDEX(Timeline!$P$5:$AN$305,0,MATCH($A16,Timeline!$P$4:$AN$4,0))="x")*(Timeline!$K$5:$K$305="Task")*ISNUMBER(Timeline!$I$5:$I$305)*ISNUMBER(Timeline!$J$5:$J$305)*(Timeline!$I$5:$I$305&lt;=AL$4+1)*(Timeline!$J$5:$J$305&gt;=AL$4+1)),SUMPRODUCT((INDEX(Timeline!$P$5:$AN$305,0,MATCH($A16,Timeline!$P$4:$AN$4,0))="x")*(Timeline!$K$5:$K$305="Task")*ISNUMBER(Timeline!$I$5:$I$305)*ISNUMBER(Timeline!$J$5:$J$305)*(Timeline!$I$5:$I$305&lt;=AL$4+2)*(Timeline!$J$5:$J$305&gt;=AL$4+2)),SUMPRODUCT((INDEX(Timeline!$P$5:$AN$305,0,MATCH($A16,Timeline!$P$4:$AN$4,0))="x")*(Timeline!$K$5:$K$305="Task")*ISNUMBER(Timeline!$I$5:$I$305)*ISNUMBER(Timeline!$J$5:$J$305)*(Timeline!$I$5:$I$305&lt;=AL$4+3)*(Timeline!$J$5:$J$305&gt;=AL$4+3)),SUMPRODUCT((INDEX(Timeline!$P$5:$AN$305,0,MATCH($A16,Timeline!$P$4:$AN$4,0))="x")*(Timeline!$K$5:$K$305="Task")*ISNUMBER(Timeline!$I$5:$I$305)*ISNUMBER(Timeline!$J$5:$J$305)*(Timeline!$I$5:$I$305&lt;=AL$4+4)*(Timeline!$J$5:$J$305&gt;=AL$4+4)),SUMPRODUCT((INDEX(Timeline!$P$5:$AN$305,0,MATCH($A16,Timeline!$P$4:$AN$4,0))="x")*(Timeline!$K$5:$K$305="Task")*ISNUMBER(Timeline!$I$5:$I$305)*ISNUMBER(Timeline!$J$5:$J$305)*(Timeline!$I$5:$I$305&lt;=AL$4+5)*(Timeline!$J$5:$J$305&gt;=AL$4+5)),SUMPRODUCT((INDEX(Timeline!$P$5:$AN$305,0,MATCH($A16,Timeline!$P$4:$AN$4,0))="x")*(Timeline!$K$5:$K$305="Task")*ISNUMBER(Timeline!$I$5:$I$305)*ISNUMBER(Timeline!$J$5:$J$305)*(Timeline!$I$5:$I$305&lt;=AL$4+6)*(Timeline!$J$5:$J$305&gt;=AL$4+6)))</f>
        <v>0</v>
      </c>
      <c r="AM16" s="67">
        <f>MAX(SUMPRODUCT((INDEX(Timeline!$P$5:$AN$305,0,MATCH($A16,Timeline!$P$4:$AN$4,0))="x")*(Timeline!$K$5:$K$305="Task")*ISNUMBER(Timeline!$I$5:$I$305)*ISNUMBER(Timeline!$J$5:$J$305)*(Timeline!$I$5:$I$305&lt;=AM$4+0)*(Timeline!$J$5:$J$305&gt;=AM$4+0)),SUMPRODUCT((INDEX(Timeline!$P$5:$AN$305,0,MATCH($A16,Timeline!$P$4:$AN$4,0))="x")*(Timeline!$K$5:$K$305="Task")*ISNUMBER(Timeline!$I$5:$I$305)*ISNUMBER(Timeline!$J$5:$J$305)*(Timeline!$I$5:$I$305&lt;=AM$4+1)*(Timeline!$J$5:$J$305&gt;=AM$4+1)),SUMPRODUCT((INDEX(Timeline!$P$5:$AN$305,0,MATCH($A16,Timeline!$P$4:$AN$4,0))="x")*(Timeline!$K$5:$K$305="Task")*ISNUMBER(Timeline!$I$5:$I$305)*ISNUMBER(Timeline!$J$5:$J$305)*(Timeline!$I$5:$I$305&lt;=AM$4+2)*(Timeline!$J$5:$J$305&gt;=AM$4+2)),SUMPRODUCT((INDEX(Timeline!$P$5:$AN$305,0,MATCH($A16,Timeline!$P$4:$AN$4,0))="x")*(Timeline!$K$5:$K$305="Task")*ISNUMBER(Timeline!$I$5:$I$305)*ISNUMBER(Timeline!$J$5:$J$305)*(Timeline!$I$5:$I$305&lt;=AM$4+3)*(Timeline!$J$5:$J$305&gt;=AM$4+3)),SUMPRODUCT((INDEX(Timeline!$P$5:$AN$305,0,MATCH($A16,Timeline!$P$4:$AN$4,0))="x")*(Timeline!$K$5:$K$305="Task")*ISNUMBER(Timeline!$I$5:$I$305)*ISNUMBER(Timeline!$J$5:$J$305)*(Timeline!$I$5:$I$305&lt;=AM$4+4)*(Timeline!$J$5:$J$305&gt;=AM$4+4)),SUMPRODUCT((INDEX(Timeline!$P$5:$AN$305,0,MATCH($A16,Timeline!$P$4:$AN$4,0))="x")*(Timeline!$K$5:$K$305="Task")*ISNUMBER(Timeline!$I$5:$I$305)*ISNUMBER(Timeline!$J$5:$J$305)*(Timeline!$I$5:$I$305&lt;=AM$4+5)*(Timeline!$J$5:$J$305&gt;=AM$4+5)),SUMPRODUCT((INDEX(Timeline!$P$5:$AN$305,0,MATCH($A16,Timeline!$P$4:$AN$4,0))="x")*(Timeline!$K$5:$K$305="Task")*ISNUMBER(Timeline!$I$5:$I$305)*ISNUMBER(Timeline!$J$5:$J$305)*(Timeline!$I$5:$I$305&lt;=AM$4+6)*(Timeline!$J$5:$J$305&gt;=AM$4+6)))</f>
        <v>0</v>
      </c>
      <c r="AN16" s="67">
        <f>MAX(SUMPRODUCT((INDEX(Timeline!$P$5:$AN$305,0,MATCH($A16,Timeline!$P$4:$AN$4,0))="x")*(Timeline!$K$5:$K$305="Task")*ISNUMBER(Timeline!$I$5:$I$305)*ISNUMBER(Timeline!$J$5:$J$305)*(Timeline!$I$5:$I$305&lt;=AN$4+0)*(Timeline!$J$5:$J$305&gt;=AN$4+0)),SUMPRODUCT((INDEX(Timeline!$P$5:$AN$305,0,MATCH($A16,Timeline!$P$4:$AN$4,0))="x")*(Timeline!$K$5:$K$305="Task")*ISNUMBER(Timeline!$I$5:$I$305)*ISNUMBER(Timeline!$J$5:$J$305)*(Timeline!$I$5:$I$305&lt;=AN$4+1)*(Timeline!$J$5:$J$305&gt;=AN$4+1)),SUMPRODUCT((INDEX(Timeline!$P$5:$AN$305,0,MATCH($A16,Timeline!$P$4:$AN$4,0))="x")*(Timeline!$K$5:$K$305="Task")*ISNUMBER(Timeline!$I$5:$I$305)*ISNUMBER(Timeline!$J$5:$J$305)*(Timeline!$I$5:$I$305&lt;=AN$4+2)*(Timeline!$J$5:$J$305&gt;=AN$4+2)),SUMPRODUCT((INDEX(Timeline!$P$5:$AN$305,0,MATCH($A16,Timeline!$P$4:$AN$4,0))="x")*(Timeline!$K$5:$K$305="Task")*ISNUMBER(Timeline!$I$5:$I$305)*ISNUMBER(Timeline!$J$5:$J$305)*(Timeline!$I$5:$I$305&lt;=AN$4+3)*(Timeline!$J$5:$J$305&gt;=AN$4+3)),SUMPRODUCT((INDEX(Timeline!$P$5:$AN$305,0,MATCH($A16,Timeline!$P$4:$AN$4,0))="x")*(Timeline!$K$5:$K$305="Task")*ISNUMBER(Timeline!$I$5:$I$305)*ISNUMBER(Timeline!$J$5:$J$305)*(Timeline!$I$5:$I$305&lt;=AN$4+4)*(Timeline!$J$5:$J$305&gt;=AN$4+4)),SUMPRODUCT((INDEX(Timeline!$P$5:$AN$305,0,MATCH($A16,Timeline!$P$4:$AN$4,0))="x")*(Timeline!$K$5:$K$305="Task")*ISNUMBER(Timeline!$I$5:$I$305)*ISNUMBER(Timeline!$J$5:$J$305)*(Timeline!$I$5:$I$305&lt;=AN$4+5)*(Timeline!$J$5:$J$305&gt;=AN$4+5)),SUMPRODUCT((INDEX(Timeline!$P$5:$AN$305,0,MATCH($A16,Timeline!$P$4:$AN$4,0))="x")*(Timeline!$K$5:$K$305="Task")*ISNUMBER(Timeline!$I$5:$I$305)*ISNUMBER(Timeline!$J$5:$J$305)*(Timeline!$I$5:$I$305&lt;=AN$4+6)*(Timeline!$J$5:$J$305&gt;=AN$4+6)))</f>
        <v>0</v>
      </c>
      <c r="AO16" s="67">
        <f>MAX(SUMPRODUCT((INDEX(Timeline!$P$5:$AN$305,0,MATCH($A16,Timeline!$P$4:$AN$4,0))="x")*(Timeline!$K$5:$K$305="Task")*ISNUMBER(Timeline!$I$5:$I$305)*ISNUMBER(Timeline!$J$5:$J$305)*(Timeline!$I$5:$I$305&lt;=AO$4+0)*(Timeline!$J$5:$J$305&gt;=AO$4+0)),SUMPRODUCT((INDEX(Timeline!$P$5:$AN$305,0,MATCH($A16,Timeline!$P$4:$AN$4,0))="x")*(Timeline!$K$5:$K$305="Task")*ISNUMBER(Timeline!$I$5:$I$305)*ISNUMBER(Timeline!$J$5:$J$305)*(Timeline!$I$5:$I$305&lt;=AO$4+1)*(Timeline!$J$5:$J$305&gt;=AO$4+1)),SUMPRODUCT((INDEX(Timeline!$P$5:$AN$305,0,MATCH($A16,Timeline!$P$4:$AN$4,0))="x")*(Timeline!$K$5:$K$305="Task")*ISNUMBER(Timeline!$I$5:$I$305)*ISNUMBER(Timeline!$J$5:$J$305)*(Timeline!$I$5:$I$305&lt;=AO$4+2)*(Timeline!$J$5:$J$305&gt;=AO$4+2)),SUMPRODUCT((INDEX(Timeline!$P$5:$AN$305,0,MATCH($A16,Timeline!$P$4:$AN$4,0))="x")*(Timeline!$K$5:$K$305="Task")*ISNUMBER(Timeline!$I$5:$I$305)*ISNUMBER(Timeline!$J$5:$J$305)*(Timeline!$I$5:$I$305&lt;=AO$4+3)*(Timeline!$J$5:$J$305&gt;=AO$4+3)),SUMPRODUCT((INDEX(Timeline!$P$5:$AN$305,0,MATCH($A16,Timeline!$P$4:$AN$4,0))="x")*(Timeline!$K$5:$K$305="Task")*ISNUMBER(Timeline!$I$5:$I$305)*ISNUMBER(Timeline!$J$5:$J$305)*(Timeline!$I$5:$I$305&lt;=AO$4+4)*(Timeline!$J$5:$J$305&gt;=AO$4+4)),SUMPRODUCT((INDEX(Timeline!$P$5:$AN$305,0,MATCH($A16,Timeline!$P$4:$AN$4,0))="x")*(Timeline!$K$5:$K$305="Task")*ISNUMBER(Timeline!$I$5:$I$305)*ISNUMBER(Timeline!$J$5:$J$305)*(Timeline!$I$5:$I$305&lt;=AO$4+5)*(Timeline!$J$5:$J$305&gt;=AO$4+5)),SUMPRODUCT((INDEX(Timeline!$P$5:$AN$305,0,MATCH($A16,Timeline!$P$4:$AN$4,0))="x")*(Timeline!$K$5:$K$305="Task")*ISNUMBER(Timeline!$I$5:$I$305)*ISNUMBER(Timeline!$J$5:$J$305)*(Timeline!$I$5:$I$305&lt;=AO$4+6)*(Timeline!$J$5:$J$305&gt;=AO$4+6)))</f>
        <v>0</v>
      </c>
      <c r="AP16" s="67">
        <f>MAX(SUMPRODUCT((INDEX(Timeline!$P$5:$AN$305,0,MATCH($A16,Timeline!$P$4:$AN$4,0))="x")*(Timeline!$K$5:$K$305="Task")*ISNUMBER(Timeline!$I$5:$I$305)*ISNUMBER(Timeline!$J$5:$J$305)*(Timeline!$I$5:$I$305&lt;=AP$4+0)*(Timeline!$J$5:$J$305&gt;=AP$4+0)),SUMPRODUCT((INDEX(Timeline!$P$5:$AN$305,0,MATCH($A16,Timeline!$P$4:$AN$4,0))="x")*(Timeline!$K$5:$K$305="Task")*ISNUMBER(Timeline!$I$5:$I$305)*ISNUMBER(Timeline!$J$5:$J$305)*(Timeline!$I$5:$I$305&lt;=AP$4+1)*(Timeline!$J$5:$J$305&gt;=AP$4+1)),SUMPRODUCT((INDEX(Timeline!$P$5:$AN$305,0,MATCH($A16,Timeline!$P$4:$AN$4,0))="x")*(Timeline!$K$5:$K$305="Task")*ISNUMBER(Timeline!$I$5:$I$305)*ISNUMBER(Timeline!$J$5:$J$305)*(Timeline!$I$5:$I$305&lt;=AP$4+2)*(Timeline!$J$5:$J$305&gt;=AP$4+2)),SUMPRODUCT((INDEX(Timeline!$P$5:$AN$305,0,MATCH($A16,Timeline!$P$4:$AN$4,0))="x")*(Timeline!$K$5:$K$305="Task")*ISNUMBER(Timeline!$I$5:$I$305)*ISNUMBER(Timeline!$J$5:$J$305)*(Timeline!$I$5:$I$305&lt;=AP$4+3)*(Timeline!$J$5:$J$305&gt;=AP$4+3)),SUMPRODUCT((INDEX(Timeline!$P$5:$AN$305,0,MATCH($A16,Timeline!$P$4:$AN$4,0))="x")*(Timeline!$K$5:$K$305="Task")*ISNUMBER(Timeline!$I$5:$I$305)*ISNUMBER(Timeline!$J$5:$J$305)*(Timeline!$I$5:$I$305&lt;=AP$4+4)*(Timeline!$J$5:$J$305&gt;=AP$4+4)),SUMPRODUCT((INDEX(Timeline!$P$5:$AN$305,0,MATCH($A16,Timeline!$P$4:$AN$4,0))="x")*(Timeline!$K$5:$K$305="Task")*ISNUMBER(Timeline!$I$5:$I$305)*ISNUMBER(Timeline!$J$5:$J$305)*(Timeline!$I$5:$I$305&lt;=AP$4+5)*(Timeline!$J$5:$J$305&gt;=AP$4+5)),SUMPRODUCT((INDEX(Timeline!$P$5:$AN$305,0,MATCH($A16,Timeline!$P$4:$AN$4,0))="x")*(Timeline!$K$5:$K$305="Task")*ISNUMBER(Timeline!$I$5:$I$305)*ISNUMBER(Timeline!$J$5:$J$305)*(Timeline!$I$5:$I$305&lt;=AP$4+6)*(Timeline!$J$5:$J$305&gt;=AP$4+6)))</f>
        <v>0</v>
      </c>
      <c r="AQ16" s="67">
        <f>MAX(SUMPRODUCT((INDEX(Timeline!$P$5:$AN$305,0,MATCH($A16,Timeline!$P$4:$AN$4,0))="x")*(Timeline!$K$5:$K$305="Task")*ISNUMBER(Timeline!$I$5:$I$305)*ISNUMBER(Timeline!$J$5:$J$305)*(Timeline!$I$5:$I$305&lt;=AQ$4+0)*(Timeline!$J$5:$J$305&gt;=AQ$4+0)),SUMPRODUCT((INDEX(Timeline!$P$5:$AN$305,0,MATCH($A16,Timeline!$P$4:$AN$4,0))="x")*(Timeline!$K$5:$K$305="Task")*ISNUMBER(Timeline!$I$5:$I$305)*ISNUMBER(Timeline!$J$5:$J$305)*(Timeline!$I$5:$I$305&lt;=AQ$4+1)*(Timeline!$J$5:$J$305&gt;=AQ$4+1)),SUMPRODUCT((INDEX(Timeline!$P$5:$AN$305,0,MATCH($A16,Timeline!$P$4:$AN$4,0))="x")*(Timeline!$K$5:$K$305="Task")*ISNUMBER(Timeline!$I$5:$I$305)*ISNUMBER(Timeline!$J$5:$J$305)*(Timeline!$I$5:$I$305&lt;=AQ$4+2)*(Timeline!$J$5:$J$305&gt;=AQ$4+2)),SUMPRODUCT((INDEX(Timeline!$P$5:$AN$305,0,MATCH($A16,Timeline!$P$4:$AN$4,0))="x")*(Timeline!$K$5:$K$305="Task")*ISNUMBER(Timeline!$I$5:$I$305)*ISNUMBER(Timeline!$J$5:$J$305)*(Timeline!$I$5:$I$305&lt;=AQ$4+3)*(Timeline!$J$5:$J$305&gt;=AQ$4+3)),SUMPRODUCT((INDEX(Timeline!$P$5:$AN$305,0,MATCH($A16,Timeline!$P$4:$AN$4,0))="x")*(Timeline!$K$5:$K$305="Task")*ISNUMBER(Timeline!$I$5:$I$305)*ISNUMBER(Timeline!$J$5:$J$305)*(Timeline!$I$5:$I$305&lt;=AQ$4+4)*(Timeline!$J$5:$J$305&gt;=AQ$4+4)),SUMPRODUCT((INDEX(Timeline!$P$5:$AN$305,0,MATCH($A16,Timeline!$P$4:$AN$4,0))="x")*(Timeline!$K$5:$K$305="Task")*ISNUMBER(Timeline!$I$5:$I$305)*ISNUMBER(Timeline!$J$5:$J$305)*(Timeline!$I$5:$I$305&lt;=AQ$4+5)*(Timeline!$J$5:$J$305&gt;=AQ$4+5)),SUMPRODUCT((INDEX(Timeline!$P$5:$AN$305,0,MATCH($A16,Timeline!$P$4:$AN$4,0))="x")*(Timeline!$K$5:$K$305="Task")*ISNUMBER(Timeline!$I$5:$I$305)*ISNUMBER(Timeline!$J$5:$J$305)*(Timeline!$I$5:$I$305&lt;=AQ$4+6)*(Timeline!$J$5:$J$305&gt;=AQ$4+6)))</f>
        <v>0</v>
      </c>
      <c r="AR16" s="67">
        <f>MAX(SUMPRODUCT((INDEX(Timeline!$P$5:$AN$305,0,MATCH($A16,Timeline!$P$4:$AN$4,0))="x")*(Timeline!$K$5:$K$305="Task")*ISNUMBER(Timeline!$I$5:$I$305)*ISNUMBER(Timeline!$J$5:$J$305)*(Timeline!$I$5:$I$305&lt;=AR$4+0)*(Timeline!$J$5:$J$305&gt;=AR$4+0)),SUMPRODUCT((INDEX(Timeline!$P$5:$AN$305,0,MATCH($A16,Timeline!$P$4:$AN$4,0))="x")*(Timeline!$K$5:$K$305="Task")*ISNUMBER(Timeline!$I$5:$I$305)*ISNUMBER(Timeline!$J$5:$J$305)*(Timeline!$I$5:$I$305&lt;=AR$4+1)*(Timeline!$J$5:$J$305&gt;=AR$4+1)),SUMPRODUCT((INDEX(Timeline!$P$5:$AN$305,0,MATCH($A16,Timeline!$P$4:$AN$4,0))="x")*(Timeline!$K$5:$K$305="Task")*ISNUMBER(Timeline!$I$5:$I$305)*ISNUMBER(Timeline!$J$5:$J$305)*(Timeline!$I$5:$I$305&lt;=AR$4+2)*(Timeline!$J$5:$J$305&gt;=AR$4+2)),SUMPRODUCT((INDEX(Timeline!$P$5:$AN$305,0,MATCH($A16,Timeline!$P$4:$AN$4,0))="x")*(Timeline!$K$5:$K$305="Task")*ISNUMBER(Timeline!$I$5:$I$305)*ISNUMBER(Timeline!$J$5:$J$305)*(Timeline!$I$5:$I$305&lt;=AR$4+3)*(Timeline!$J$5:$J$305&gt;=AR$4+3)),SUMPRODUCT((INDEX(Timeline!$P$5:$AN$305,0,MATCH($A16,Timeline!$P$4:$AN$4,0))="x")*(Timeline!$K$5:$K$305="Task")*ISNUMBER(Timeline!$I$5:$I$305)*ISNUMBER(Timeline!$J$5:$J$305)*(Timeline!$I$5:$I$305&lt;=AR$4+4)*(Timeline!$J$5:$J$305&gt;=AR$4+4)),SUMPRODUCT((INDEX(Timeline!$P$5:$AN$305,0,MATCH($A16,Timeline!$P$4:$AN$4,0))="x")*(Timeline!$K$5:$K$305="Task")*ISNUMBER(Timeline!$I$5:$I$305)*ISNUMBER(Timeline!$J$5:$J$305)*(Timeline!$I$5:$I$305&lt;=AR$4+5)*(Timeline!$J$5:$J$305&gt;=AR$4+5)),SUMPRODUCT((INDEX(Timeline!$P$5:$AN$305,0,MATCH($A16,Timeline!$P$4:$AN$4,0))="x")*(Timeline!$K$5:$K$305="Task")*ISNUMBER(Timeline!$I$5:$I$305)*ISNUMBER(Timeline!$J$5:$J$305)*(Timeline!$I$5:$I$305&lt;=AR$4+6)*(Timeline!$J$5:$J$305&gt;=AR$4+6)))</f>
        <v>0</v>
      </c>
      <c r="AS16" s="67">
        <f>MAX(SUMPRODUCT((INDEX(Timeline!$P$5:$AN$305,0,MATCH($A16,Timeline!$P$4:$AN$4,0))="x")*(Timeline!$K$5:$K$305="Task")*ISNUMBER(Timeline!$I$5:$I$305)*ISNUMBER(Timeline!$J$5:$J$305)*(Timeline!$I$5:$I$305&lt;=AS$4+0)*(Timeline!$J$5:$J$305&gt;=AS$4+0)),SUMPRODUCT((INDEX(Timeline!$P$5:$AN$305,0,MATCH($A16,Timeline!$P$4:$AN$4,0))="x")*(Timeline!$K$5:$K$305="Task")*ISNUMBER(Timeline!$I$5:$I$305)*ISNUMBER(Timeline!$J$5:$J$305)*(Timeline!$I$5:$I$305&lt;=AS$4+1)*(Timeline!$J$5:$J$305&gt;=AS$4+1)),SUMPRODUCT((INDEX(Timeline!$P$5:$AN$305,0,MATCH($A16,Timeline!$P$4:$AN$4,0))="x")*(Timeline!$K$5:$K$305="Task")*ISNUMBER(Timeline!$I$5:$I$305)*ISNUMBER(Timeline!$J$5:$J$305)*(Timeline!$I$5:$I$305&lt;=AS$4+2)*(Timeline!$J$5:$J$305&gt;=AS$4+2)),SUMPRODUCT((INDEX(Timeline!$P$5:$AN$305,0,MATCH($A16,Timeline!$P$4:$AN$4,0))="x")*(Timeline!$K$5:$K$305="Task")*ISNUMBER(Timeline!$I$5:$I$305)*ISNUMBER(Timeline!$J$5:$J$305)*(Timeline!$I$5:$I$305&lt;=AS$4+3)*(Timeline!$J$5:$J$305&gt;=AS$4+3)),SUMPRODUCT((INDEX(Timeline!$P$5:$AN$305,0,MATCH($A16,Timeline!$P$4:$AN$4,0))="x")*(Timeline!$K$5:$K$305="Task")*ISNUMBER(Timeline!$I$5:$I$305)*ISNUMBER(Timeline!$J$5:$J$305)*(Timeline!$I$5:$I$305&lt;=AS$4+4)*(Timeline!$J$5:$J$305&gt;=AS$4+4)),SUMPRODUCT((INDEX(Timeline!$P$5:$AN$305,0,MATCH($A16,Timeline!$P$4:$AN$4,0))="x")*(Timeline!$K$5:$K$305="Task")*ISNUMBER(Timeline!$I$5:$I$305)*ISNUMBER(Timeline!$J$5:$J$305)*(Timeline!$I$5:$I$305&lt;=AS$4+5)*(Timeline!$J$5:$J$305&gt;=AS$4+5)),SUMPRODUCT((INDEX(Timeline!$P$5:$AN$305,0,MATCH($A16,Timeline!$P$4:$AN$4,0))="x")*(Timeline!$K$5:$K$305="Task")*ISNUMBER(Timeline!$I$5:$I$305)*ISNUMBER(Timeline!$J$5:$J$305)*(Timeline!$I$5:$I$305&lt;=AS$4+6)*(Timeline!$J$5:$J$305&gt;=AS$4+6)))</f>
        <v>0</v>
      </c>
      <c r="AT16" s="67">
        <f>MAX(SUMPRODUCT((INDEX(Timeline!$P$5:$AN$305,0,MATCH($A16,Timeline!$P$4:$AN$4,0))="x")*(Timeline!$K$5:$K$305="Task")*ISNUMBER(Timeline!$I$5:$I$305)*ISNUMBER(Timeline!$J$5:$J$305)*(Timeline!$I$5:$I$305&lt;=AT$4+0)*(Timeline!$J$5:$J$305&gt;=AT$4+0)),SUMPRODUCT((INDEX(Timeline!$P$5:$AN$305,0,MATCH($A16,Timeline!$P$4:$AN$4,0))="x")*(Timeline!$K$5:$K$305="Task")*ISNUMBER(Timeline!$I$5:$I$305)*ISNUMBER(Timeline!$J$5:$J$305)*(Timeline!$I$5:$I$305&lt;=AT$4+1)*(Timeline!$J$5:$J$305&gt;=AT$4+1)),SUMPRODUCT((INDEX(Timeline!$P$5:$AN$305,0,MATCH($A16,Timeline!$P$4:$AN$4,0))="x")*(Timeline!$K$5:$K$305="Task")*ISNUMBER(Timeline!$I$5:$I$305)*ISNUMBER(Timeline!$J$5:$J$305)*(Timeline!$I$5:$I$305&lt;=AT$4+2)*(Timeline!$J$5:$J$305&gt;=AT$4+2)),SUMPRODUCT((INDEX(Timeline!$P$5:$AN$305,0,MATCH($A16,Timeline!$P$4:$AN$4,0))="x")*(Timeline!$K$5:$K$305="Task")*ISNUMBER(Timeline!$I$5:$I$305)*ISNUMBER(Timeline!$J$5:$J$305)*(Timeline!$I$5:$I$305&lt;=AT$4+3)*(Timeline!$J$5:$J$305&gt;=AT$4+3)),SUMPRODUCT((INDEX(Timeline!$P$5:$AN$305,0,MATCH($A16,Timeline!$P$4:$AN$4,0))="x")*(Timeline!$K$5:$K$305="Task")*ISNUMBER(Timeline!$I$5:$I$305)*ISNUMBER(Timeline!$J$5:$J$305)*(Timeline!$I$5:$I$305&lt;=AT$4+4)*(Timeline!$J$5:$J$305&gt;=AT$4+4)),SUMPRODUCT((INDEX(Timeline!$P$5:$AN$305,0,MATCH($A16,Timeline!$P$4:$AN$4,0))="x")*(Timeline!$K$5:$K$305="Task")*ISNUMBER(Timeline!$I$5:$I$305)*ISNUMBER(Timeline!$J$5:$J$305)*(Timeline!$I$5:$I$305&lt;=AT$4+5)*(Timeline!$J$5:$J$305&gt;=AT$4+5)),SUMPRODUCT((INDEX(Timeline!$P$5:$AN$305,0,MATCH($A16,Timeline!$P$4:$AN$4,0))="x")*(Timeline!$K$5:$K$305="Task")*ISNUMBER(Timeline!$I$5:$I$305)*ISNUMBER(Timeline!$J$5:$J$305)*(Timeline!$I$5:$I$305&lt;=AT$4+6)*(Timeline!$J$5:$J$305&gt;=AT$4+6)))</f>
        <v>0</v>
      </c>
      <c r="AU16" s="67">
        <f>MAX(SUMPRODUCT((INDEX(Timeline!$P$5:$AN$305,0,MATCH($A16,Timeline!$P$4:$AN$4,0))="x")*(Timeline!$K$5:$K$305="Task")*ISNUMBER(Timeline!$I$5:$I$305)*ISNUMBER(Timeline!$J$5:$J$305)*(Timeline!$I$5:$I$305&lt;=AU$4+0)*(Timeline!$J$5:$J$305&gt;=AU$4+0)),SUMPRODUCT((INDEX(Timeline!$P$5:$AN$305,0,MATCH($A16,Timeline!$P$4:$AN$4,0))="x")*(Timeline!$K$5:$K$305="Task")*ISNUMBER(Timeline!$I$5:$I$305)*ISNUMBER(Timeline!$J$5:$J$305)*(Timeline!$I$5:$I$305&lt;=AU$4+1)*(Timeline!$J$5:$J$305&gt;=AU$4+1)),SUMPRODUCT((INDEX(Timeline!$P$5:$AN$305,0,MATCH($A16,Timeline!$P$4:$AN$4,0))="x")*(Timeline!$K$5:$K$305="Task")*ISNUMBER(Timeline!$I$5:$I$305)*ISNUMBER(Timeline!$J$5:$J$305)*(Timeline!$I$5:$I$305&lt;=AU$4+2)*(Timeline!$J$5:$J$305&gt;=AU$4+2)),SUMPRODUCT((INDEX(Timeline!$P$5:$AN$305,0,MATCH($A16,Timeline!$P$4:$AN$4,0))="x")*(Timeline!$K$5:$K$305="Task")*ISNUMBER(Timeline!$I$5:$I$305)*ISNUMBER(Timeline!$J$5:$J$305)*(Timeline!$I$5:$I$305&lt;=AU$4+3)*(Timeline!$J$5:$J$305&gt;=AU$4+3)),SUMPRODUCT((INDEX(Timeline!$P$5:$AN$305,0,MATCH($A16,Timeline!$P$4:$AN$4,0))="x")*(Timeline!$K$5:$K$305="Task")*ISNUMBER(Timeline!$I$5:$I$305)*ISNUMBER(Timeline!$J$5:$J$305)*(Timeline!$I$5:$I$305&lt;=AU$4+4)*(Timeline!$J$5:$J$305&gt;=AU$4+4)),SUMPRODUCT((INDEX(Timeline!$P$5:$AN$305,0,MATCH($A16,Timeline!$P$4:$AN$4,0))="x")*(Timeline!$K$5:$K$305="Task")*ISNUMBER(Timeline!$I$5:$I$305)*ISNUMBER(Timeline!$J$5:$J$305)*(Timeline!$I$5:$I$305&lt;=AU$4+5)*(Timeline!$J$5:$J$305&gt;=AU$4+5)),SUMPRODUCT((INDEX(Timeline!$P$5:$AN$305,0,MATCH($A16,Timeline!$P$4:$AN$4,0))="x")*(Timeline!$K$5:$K$305="Task")*ISNUMBER(Timeline!$I$5:$I$305)*ISNUMBER(Timeline!$J$5:$J$305)*(Timeline!$I$5:$I$305&lt;=AU$4+6)*(Timeline!$J$5:$J$305&gt;=AU$4+6)))</f>
        <v>0</v>
      </c>
      <c r="AV16" s="67">
        <f>MAX(SUMPRODUCT((INDEX(Timeline!$P$5:$AN$305,0,MATCH($A16,Timeline!$P$4:$AN$4,0))="x")*(Timeline!$K$5:$K$305="Task")*ISNUMBER(Timeline!$I$5:$I$305)*ISNUMBER(Timeline!$J$5:$J$305)*(Timeline!$I$5:$I$305&lt;=AV$4+0)*(Timeline!$J$5:$J$305&gt;=AV$4+0)),SUMPRODUCT((INDEX(Timeline!$P$5:$AN$305,0,MATCH($A16,Timeline!$P$4:$AN$4,0))="x")*(Timeline!$K$5:$K$305="Task")*ISNUMBER(Timeline!$I$5:$I$305)*ISNUMBER(Timeline!$J$5:$J$305)*(Timeline!$I$5:$I$305&lt;=AV$4+1)*(Timeline!$J$5:$J$305&gt;=AV$4+1)),SUMPRODUCT((INDEX(Timeline!$P$5:$AN$305,0,MATCH($A16,Timeline!$P$4:$AN$4,0))="x")*(Timeline!$K$5:$K$305="Task")*ISNUMBER(Timeline!$I$5:$I$305)*ISNUMBER(Timeline!$J$5:$J$305)*(Timeline!$I$5:$I$305&lt;=AV$4+2)*(Timeline!$J$5:$J$305&gt;=AV$4+2)),SUMPRODUCT((INDEX(Timeline!$P$5:$AN$305,0,MATCH($A16,Timeline!$P$4:$AN$4,0))="x")*(Timeline!$K$5:$K$305="Task")*ISNUMBER(Timeline!$I$5:$I$305)*ISNUMBER(Timeline!$J$5:$J$305)*(Timeline!$I$5:$I$305&lt;=AV$4+3)*(Timeline!$J$5:$J$305&gt;=AV$4+3)),SUMPRODUCT((INDEX(Timeline!$P$5:$AN$305,0,MATCH($A16,Timeline!$P$4:$AN$4,0))="x")*(Timeline!$K$5:$K$305="Task")*ISNUMBER(Timeline!$I$5:$I$305)*ISNUMBER(Timeline!$J$5:$J$305)*(Timeline!$I$5:$I$305&lt;=AV$4+4)*(Timeline!$J$5:$J$305&gt;=AV$4+4)),SUMPRODUCT((INDEX(Timeline!$P$5:$AN$305,0,MATCH($A16,Timeline!$P$4:$AN$4,0))="x")*(Timeline!$K$5:$K$305="Task")*ISNUMBER(Timeline!$I$5:$I$305)*ISNUMBER(Timeline!$J$5:$J$305)*(Timeline!$I$5:$I$305&lt;=AV$4+5)*(Timeline!$J$5:$J$305&gt;=AV$4+5)),SUMPRODUCT((INDEX(Timeline!$P$5:$AN$305,0,MATCH($A16,Timeline!$P$4:$AN$4,0))="x")*(Timeline!$K$5:$K$305="Task")*ISNUMBER(Timeline!$I$5:$I$305)*ISNUMBER(Timeline!$J$5:$J$305)*(Timeline!$I$5:$I$305&lt;=AV$4+6)*(Timeline!$J$5:$J$305&gt;=AV$4+6)))</f>
        <v>0</v>
      </c>
      <c r="AW16" s="67">
        <f>MAX(SUMPRODUCT((INDEX(Timeline!$P$5:$AN$305,0,MATCH($A16,Timeline!$P$4:$AN$4,0))="x")*(Timeline!$K$5:$K$305="Task")*ISNUMBER(Timeline!$I$5:$I$305)*ISNUMBER(Timeline!$J$5:$J$305)*(Timeline!$I$5:$I$305&lt;=AW$4+0)*(Timeline!$J$5:$J$305&gt;=AW$4+0)),SUMPRODUCT((INDEX(Timeline!$P$5:$AN$305,0,MATCH($A16,Timeline!$P$4:$AN$4,0))="x")*(Timeline!$K$5:$K$305="Task")*ISNUMBER(Timeline!$I$5:$I$305)*ISNUMBER(Timeline!$J$5:$J$305)*(Timeline!$I$5:$I$305&lt;=AW$4+1)*(Timeline!$J$5:$J$305&gt;=AW$4+1)),SUMPRODUCT((INDEX(Timeline!$P$5:$AN$305,0,MATCH($A16,Timeline!$P$4:$AN$4,0))="x")*(Timeline!$K$5:$K$305="Task")*ISNUMBER(Timeline!$I$5:$I$305)*ISNUMBER(Timeline!$J$5:$J$305)*(Timeline!$I$5:$I$305&lt;=AW$4+2)*(Timeline!$J$5:$J$305&gt;=AW$4+2)),SUMPRODUCT((INDEX(Timeline!$P$5:$AN$305,0,MATCH($A16,Timeline!$P$4:$AN$4,0))="x")*(Timeline!$K$5:$K$305="Task")*ISNUMBER(Timeline!$I$5:$I$305)*ISNUMBER(Timeline!$J$5:$J$305)*(Timeline!$I$5:$I$305&lt;=AW$4+3)*(Timeline!$J$5:$J$305&gt;=AW$4+3)),SUMPRODUCT((INDEX(Timeline!$P$5:$AN$305,0,MATCH($A16,Timeline!$P$4:$AN$4,0))="x")*(Timeline!$K$5:$K$305="Task")*ISNUMBER(Timeline!$I$5:$I$305)*ISNUMBER(Timeline!$J$5:$J$305)*(Timeline!$I$5:$I$305&lt;=AW$4+4)*(Timeline!$J$5:$J$305&gt;=AW$4+4)),SUMPRODUCT((INDEX(Timeline!$P$5:$AN$305,0,MATCH($A16,Timeline!$P$4:$AN$4,0))="x")*(Timeline!$K$5:$K$305="Task")*ISNUMBER(Timeline!$I$5:$I$305)*ISNUMBER(Timeline!$J$5:$J$305)*(Timeline!$I$5:$I$305&lt;=AW$4+5)*(Timeline!$J$5:$J$305&gt;=AW$4+5)),SUMPRODUCT((INDEX(Timeline!$P$5:$AN$305,0,MATCH($A16,Timeline!$P$4:$AN$4,0))="x")*(Timeline!$K$5:$K$305="Task")*ISNUMBER(Timeline!$I$5:$I$305)*ISNUMBER(Timeline!$J$5:$J$305)*(Timeline!$I$5:$I$305&lt;=AW$4+6)*(Timeline!$J$5:$J$305&gt;=AW$4+6)))</f>
        <v>0</v>
      </c>
      <c r="AX16" s="67">
        <f>MAX(SUMPRODUCT((INDEX(Timeline!$P$5:$AN$305,0,MATCH($A16,Timeline!$P$4:$AN$4,0))="x")*(Timeline!$K$5:$K$305="Task")*ISNUMBER(Timeline!$I$5:$I$305)*ISNUMBER(Timeline!$J$5:$J$305)*(Timeline!$I$5:$I$305&lt;=AX$4+0)*(Timeline!$J$5:$J$305&gt;=AX$4+0)),SUMPRODUCT((INDEX(Timeline!$P$5:$AN$305,0,MATCH($A16,Timeline!$P$4:$AN$4,0))="x")*(Timeline!$K$5:$K$305="Task")*ISNUMBER(Timeline!$I$5:$I$305)*ISNUMBER(Timeline!$J$5:$J$305)*(Timeline!$I$5:$I$305&lt;=AX$4+1)*(Timeline!$J$5:$J$305&gt;=AX$4+1)),SUMPRODUCT((INDEX(Timeline!$P$5:$AN$305,0,MATCH($A16,Timeline!$P$4:$AN$4,0))="x")*(Timeline!$K$5:$K$305="Task")*ISNUMBER(Timeline!$I$5:$I$305)*ISNUMBER(Timeline!$J$5:$J$305)*(Timeline!$I$5:$I$305&lt;=AX$4+2)*(Timeline!$J$5:$J$305&gt;=AX$4+2)),SUMPRODUCT((INDEX(Timeline!$P$5:$AN$305,0,MATCH($A16,Timeline!$P$4:$AN$4,0))="x")*(Timeline!$K$5:$K$305="Task")*ISNUMBER(Timeline!$I$5:$I$305)*ISNUMBER(Timeline!$J$5:$J$305)*(Timeline!$I$5:$I$305&lt;=AX$4+3)*(Timeline!$J$5:$J$305&gt;=AX$4+3)),SUMPRODUCT((INDEX(Timeline!$P$5:$AN$305,0,MATCH($A16,Timeline!$P$4:$AN$4,0))="x")*(Timeline!$K$5:$K$305="Task")*ISNUMBER(Timeline!$I$5:$I$305)*ISNUMBER(Timeline!$J$5:$J$305)*(Timeline!$I$5:$I$305&lt;=AX$4+4)*(Timeline!$J$5:$J$305&gt;=AX$4+4)),SUMPRODUCT((INDEX(Timeline!$P$5:$AN$305,0,MATCH($A16,Timeline!$P$4:$AN$4,0))="x")*(Timeline!$K$5:$K$305="Task")*ISNUMBER(Timeline!$I$5:$I$305)*ISNUMBER(Timeline!$J$5:$J$305)*(Timeline!$I$5:$I$305&lt;=AX$4+5)*(Timeline!$J$5:$J$305&gt;=AX$4+5)),SUMPRODUCT((INDEX(Timeline!$P$5:$AN$305,0,MATCH($A16,Timeline!$P$4:$AN$4,0))="x")*(Timeline!$K$5:$K$305="Task")*ISNUMBER(Timeline!$I$5:$I$305)*ISNUMBER(Timeline!$J$5:$J$305)*(Timeline!$I$5:$I$305&lt;=AX$4+6)*(Timeline!$J$5:$J$305&gt;=AX$4+6)))</f>
        <v>0</v>
      </c>
      <c r="AY16" s="67">
        <f>MAX(SUMPRODUCT((INDEX(Timeline!$P$5:$AN$305,0,MATCH($A16,Timeline!$P$4:$AN$4,0))="x")*(Timeline!$K$5:$K$305="Task")*ISNUMBER(Timeline!$I$5:$I$305)*ISNUMBER(Timeline!$J$5:$J$305)*(Timeline!$I$5:$I$305&lt;=AY$4+0)*(Timeline!$J$5:$J$305&gt;=AY$4+0)),SUMPRODUCT((INDEX(Timeline!$P$5:$AN$305,0,MATCH($A16,Timeline!$P$4:$AN$4,0))="x")*(Timeline!$K$5:$K$305="Task")*ISNUMBER(Timeline!$I$5:$I$305)*ISNUMBER(Timeline!$J$5:$J$305)*(Timeline!$I$5:$I$305&lt;=AY$4+1)*(Timeline!$J$5:$J$305&gt;=AY$4+1)),SUMPRODUCT((INDEX(Timeline!$P$5:$AN$305,0,MATCH($A16,Timeline!$P$4:$AN$4,0))="x")*(Timeline!$K$5:$K$305="Task")*ISNUMBER(Timeline!$I$5:$I$305)*ISNUMBER(Timeline!$J$5:$J$305)*(Timeline!$I$5:$I$305&lt;=AY$4+2)*(Timeline!$J$5:$J$305&gt;=AY$4+2)),SUMPRODUCT((INDEX(Timeline!$P$5:$AN$305,0,MATCH($A16,Timeline!$P$4:$AN$4,0))="x")*(Timeline!$K$5:$K$305="Task")*ISNUMBER(Timeline!$I$5:$I$305)*ISNUMBER(Timeline!$J$5:$J$305)*(Timeline!$I$5:$I$305&lt;=AY$4+3)*(Timeline!$J$5:$J$305&gt;=AY$4+3)),SUMPRODUCT((INDEX(Timeline!$P$5:$AN$305,0,MATCH($A16,Timeline!$P$4:$AN$4,0))="x")*(Timeline!$K$5:$K$305="Task")*ISNUMBER(Timeline!$I$5:$I$305)*ISNUMBER(Timeline!$J$5:$J$305)*(Timeline!$I$5:$I$305&lt;=AY$4+4)*(Timeline!$J$5:$J$305&gt;=AY$4+4)),SUMPRODUCT((INDEX(Timeline!$P$5:$AN$305,0,MATCH($A16,Timeline!$P$4:$AN$4,0))="x")*(Timeline!$K$5:$K$305="Task")*ISNUMBER(Timeline!$I$5:$I$305)*ISNUMBER(Timeline!$J$5:$J$305)*(Timeline!$I$5:$I$305&lt;=AY$4+5)*(Timeline!$J$5:$J$305&gt;=AY$4+5)),SUMPRODUCT((INDEX(Timeline!$P$5:$AN$305,0,MATCH($A16,Timeline!$P$4:$AN$4,0))="x")*(Timeline!$K$5:$K$305="Task")*ISNUMBER(Timeline!$I$5:$I$305)*ISNUMBER(Timeline!$J$5:$J$305)*(Timeline!$I$5:$I$305&lt;=AY$4+6)*(Timeline!$J$5:$J$305&gt;=AY$4+6)))</f>
        <v>0</v>
      </c>
      <c r="AZ16" s="67">
        <f>MAX(SUMPRODUCT((INDEX(Timeline!$P$5:$AN$305,0,MATCH($A16,Timeline!$P$4:$AN$4,0))="x")*(Timeline!$K$5:$K$305="Task")*ISNUMBER(Timeline!$I$5:$I$305)*ISNUMBER(Timeline!$J$5:$J$305)*(Timeline!$I$5:$I$305&lt;=AZ$4+0)*(Timeline!$J$5:$J$305&gt;=AZ$4+0)),SUMPRODUCT((INDEX(Timeline!$P$5:$AN$305,0,MATCH($A16,Timeline!$P$4:$AN$4,0))="x")*(Timeline!$K$5:$K$305="Task")*ISNUMBER(Timeline!$I$5:$I$305)*ISNUMBER(Timeline!$J$5:$J$305)*(Timeline!$I$5:$I$305&lt;=AZ$4+1)*(Timeline!$J$5:$J$305&gt;=AZ$4+1)),SUMPRODUCT((INDEX(Timeline!$P$5:$AN$305,0,MATCH($A16,Timeline!$P$4:$AN$4,0))="x")*(Timeline!$K$5:$K$305="Task")*ISNUMBER(Timeline!$I$5:$I$305)*ISNUMBER(Timeline!$J$5:$J$305)*(Timeline!$I$5:$I$305&lt;=AZ$4+2)*(Timeline!$J$5:$J$305&gt;=AZ$4+2)),SUMPRODUCT((INDEX(Timeline!$P$5:$AN$305,0,MATCH($A16,Timeline!$P$4:$AN$4,0))="x")*(Timeline!$K$5:$K$305="Task")*ISNUMBER(Timeline!$I$5:$I$305)*ISNUMBER(Timeline!$J$5:$J$305)*(Timeline!$I$5:$I$305&lt;=AZ$4+3)*(Timeline!$J$5:$J$305&gt;=AZ$4+3)),SUMPRODUCT((INDEX(Timeline!$P$5:$AN$305,0,MATCH($A16,Timeline!$P$4:$AN$4,0))="x")*(Timeline!$K$5:$K$305="Task")*ISNUMBER(Timeline!$I$5:$I$305)*ISNUMBER(Timeline!$J$5:$J$305)*(Timeline!$I$5:$I$305&lt;=AZ$4+4)*(Timeline!$J$5:$J$305&gt;=AZ$4+4)),SUMPRODUCT((INDEX(Timeline!$P$5:$AN$305,0,MATCH($A16,Timeline!$P$4:$AN$4,0))="x")*(Timeline!$K$5:$K$305="Task")*ISNUMBER(Timeline!$I$5:$I$305)*ISNUMBER(Timeline!$J$5:$J$305)*(Timeline!$I$5:$I$305&lt;=AZ$4+5)*(Timeline!$J$5:$J$305&gt;=AZ$4+5)),SUMPRODUCT((INDEX(Timeline!$P$5:$AN$305,0,MATCH($A16,Timeline!$P$4:$AN$4,0))="x")*(Timeline!$K$5:$K$305="Task")*ISNUMBER(Timeline!$I$5:$I$305)*ISNUMBER(Timeline!$J$5:$J$305)*(Timeline!$I$5:$I$305&lt;=AZ$4+6)*(Timeline!$J$5:$J$305&gt;=AZ$4+6)))</f>
        <v>0</v>
      </c>
      <c r="BA16" s="67">
        <f>MAX(SUMPRODUCT((INDEX(Timeline!$P$5:$AN$305,0,MATCH($A16,Timeline!$P$4:$AN$4,0))="x")*(Timeline!$K$5:$K$305="Task")*ISNUMBER(Timeline!$I$5:$I$305)*ISNUMBER(Timeline!$J$5:$J$305)*(Timeline!$I$5:$I$305&lt;=BA$4+0)*(Timeline!$J$5:$J$305&gt;=BA$4+0)),SUMPRODUCT((INDEX(Timeline!$P$5:$AN$305,0,MATCH($A16,Timeline!$P$4:$AN$4,0))="x")*(Timeline!$K$5:$K$305="Task")*ISNUMBER(Timeline!$I$5:$I$305)*ISNUMBER(Timeline!$J$5:$J$305)*(Timeline!$I$5:$I$305&lt;=BA$4+1)*(Timeline!$J$5:$J$305&gt;=BA$4+1)),SUMPRODUCT((INDEX(Timeline!$P$5:$AN$305,0,MATCH($A16,Timeline!$P$4:$AN$4,0))="x")*(Timeline!$K$5:$K$305="Task")*ISNUMBER(Timeline!$I$5:$I$305)*ISNUMBER(Timeline!$J$5:$J$305)*(Timeline!$I$5:$I$305&lt;=BA$4+2)*(Timeline!$J$5:$J$305&gt;=BA$4+2)),SUMPRODUCT((INDEX(Timeline!$P$5:$AN$305,0,MATCH($A16,Timeline!$P$4:$AN$4,0))="x")*(Timeline!$K$5:$K$305="Task")*ISNUMBER(Timeline!$I$5:$I$305)*ISNUMBER(Timeline!$J$5:$J$305)*(Timeline!$I$5:$I$305&lt;=BA$4+3)*(Timeline!$J$5:$J$305&gt;=BA$4+3)),SUMPRODUCT((INDEX(Timeline!$P$5:$AN$305,0,MATCH($A16,Timeline!$P$4:$AN$4,0))="x")*(Timeline!$K$5:$K$305="Task")*ISNUMBER(Timeline!$I$5:$I$305)*ISNUMBER(Timeline!$J$5:$J$305)*(Timeline!$I$5:$I$305&lt;=BA$4+4)*(Timeline!$J$5:$J$305&gt;=BA$4+4)),SUMPRODUCT((INDEX(Timeline!$P$5:$AN$305,0,MATCH($A16,Timeline!$P$4:$AN$4,0))="x")*(Timeline!$K$5:$K$305="Task")*ISNUMBER(Timeline!$I$5:$I$305)*ISNUMBER(Timeline!$J$5:$J$305)*(Timeline!$I$5:$I$305&lt;=BA$4+5)*(Timeline!$J$5:$J$305&gt;=BA$4+5)),SUMPRODUCT((INDEX(Timeline!$P$5:$AN$305,0,MATCH($A16,Timeline!$P$4:$AN$4,0))="x")*(Timeline!$K$5:$K$305="Task")*ISNUMBER(Timeline!$I$5:$I$305)*ISNUMBER(Timeline!$J$5:$J$305)*(Timeline!$I$5:$I$305&lt;=BA$4+6)*(Timeline!$J$5:$J$305&gt;=BA$4+6)))</f>
        <v>0</v>
      </c>
    </row>
    <row r="17" spans="1:53" ht="15" customHeight="1">
      <c r="A17" s="66" t="s">
        <v>48</v>
      </c>
      <c r="B17" s="66" t="s">
        <v>14</v>
      </c>
      <c r="C17" s="67">
        <f>MAX(SUMPRODUCT((INDEX(Timeline!$P$5:$AN$305,0,MATCH($A17,Timeline!$P$4:$AN$4,0))="x")*(Timeline!$K$5:$K$305="Task")*ISNUMBER(Timeline!$I$5:$I$305)*ISNUMBER(Timeline!$J$5:$J$305)*(Timeline!$I$5:$I$305&lt;=C$4+0)*(Timeline!$J$5:$J$305&gt;=C$4+0)),SUMPRODUCT((INDEX(Timeline!$P$5:$AN$305,0,MATCH($A17,Timeline!$P$4:$AN$4,0))="x")*(Timeline!$K$5:$K$305="Task")*ISNUMBER(Timeline!$I$5:$I$305)*ISNUMBER(Timeline!$J$5:$J$305)*(Timeline!$I$5:$I$305&lt;=C$4+1)*(Timeline!$J$5:$J$305&gt;=C$4+1)),SUMPRODUCT((INDEX(Timeline!$P$5:$AN$305,0,MATCH($A17,Timeline!$P$4:$AN$4,0))="x")*(Timeline!$K$5:$K$305="Task")*ISNUMBER(Timeline!$I$5:$I$305)*ISNUMBER(Timeline!$J$5:$J$305)*(Timeline!$I$5:$I$305&lt;=C$4+2)*(Timeline!$J$5:$J$305&gt;=C$4+2)),SUMPRODUCT((INDEX(Timeline!$P$5:$AN$305,0,MATCH($A17,Timeline!$P$4:$AN$4,0))="x")*(Timeline!$K$5:$K$305="Task")*ISNUMBER(Timeline!$I$5:$I$305)*ISNUMBER(Timeline!$J$5:$J$305)*(Timeline!$I$5:$I$305&lt;=C$4+3)*(Timeline!$J$5:$J$305&gt;=C$4+3)),SUMPRODUCT((INDEX(Timeline!$P$5:$AN$305,0,MATCH($A17,Timeline!$P$4:$AN$4,0))="x")*(Timeline!$K$5:$K$305="Task")*ISNUMBER(Timeline!$I$5:$I$305)*ISNUMBER(Timeline!$J$5:$J$305)*(Timeline!$I$5:$I$305&lt;=C$4+4)*(Timeline!$J$5:$J$305&gt;=C$4+4)),SUMPRODUCT((INDEX(Timeline!$P$5:$AN$305,0,MATCH($A17,Timeline!$P$4:$AN$4,0))="x")*(Timeline!$K$5:$K$305="Task")*ISNUMBER(Timeline!$I$5:$I$305)*ISNUMBER(Timeline!$J$5:$J$305)*(Timeline!$I$5:$I$305&lt;=C$4+5)*(Timeline!$J$5:$J$305&gt;=C$4+5)),SUMPRODUCT((INDEX(Timeline!$P$5:$AN$305,0,MATCH($A17,Timeline!$P$4:$AN$4,0))="x")*(Timeline!$K$5:$K$305="Task")*ISNUMBER(Timeline!$I$5:$I$305)*ISNUMBER(Timeline!$J$5:$J$305)*(Timeline!$I$5:$I$305&lt;=C$4+6)*(Timeline!$J$5:$J$305&gt;=C$4+6)))</f>
        <v>0</v>
      </c>
      <c r="D17" s="67">
        <f>MAX(SUMPRODUCT((INDEX(Timeline!$P$5:$AN$305,0,MATCH($A17,Timeline!$P$4:$AN$4,0))="x")*(Timeline!$K$5:$K$305="Task")*ISNUMBER(Timeline!$I$5:$I$305)*ISNUMBER(Timeline!$J$5:$J$305)*(Timeline!$I$5:$I$305&lt;=D$4+0)*(Timeline!$J$5:$J$305&gt;=D$4+0)),SUMPRODUCT((INDEX(Timeline!$P$5:$AN$305,0,MATCH($A17,Timeline!$P$4:$AN$4,0))="x")*(Timeline!$K$5:$K$305="Task")*ISNUMBER(Timeline!$I$5:$I$305)*ISNUMBER(Timeline!$J$5:$J$305)*(Timeline!$I$5:$I$305&lt;=D$4+1)*(Timeline!$J$5:$J$305&gt;=D$4+1)),SUMPRODUCT((INDEX(Timeline!$P$5:$AN$305,0,MATCH($A17,Timeline!$P$4:$AN$4,0))="x")*(Timeline!$K$5:$K$305="Task")*ISNUMBER(Timeline!$I$5:$I$305)*ISNUMBER(Timeline!$J$5:$J$305)*(Timeline!$I$5:$I$305&lt;=D$4+2)*(Timeline!$J$5:$J$305&gt;=D$4+2)),SUMPRODUCT((INDEX(Timeline!$P$5:$AN$305,0,MATCH($A17,Timeline!$P$4:$AN$4,0))="x")*(Timeline!$K$5:$K$305="Task")*ISNUMBER(Timeline!$I$5:$I$305)*ISNUMBER(Timeline!$J$5:$J$305)*(Timeline!$I$5:$I$305&lt;=D$4+3)*(Timeline!$J$5:$J$305&gt;=D$4+3)),SUMPRODUCT((INDEX(Timeline!$P$5:$AN$305,0,MATCH($A17,Timeline!$P$4:$AN$4,0))="x")*(Timeline!$K$5:$K$305="Task")*ISNUMBER(Timeline!$I$5:$I$305)*ISNUMBER(Timeline!$J$5:$J$305)*(Timeline!$I$5:$I$305&lt;=D$4+4)*(Timeline!$J$5:$J$305&gt;=D$4+4)),SUMPRODUCT((INDEX(Timeline!$P$5:$AN$305,0,MATCH($A17,Timeline!$P$4:$AN$4,0))="x")*(Timeline!$K$5:$K$305="Task")*ISNUMBER(Timeline!$I$5:$I$305)*ISNUMBER(Timeline!$J$5:$J$305)*(Timeline!$I$5:$I$305&lt;=D$4+5)*(Timeline!$J$5:$J$305&gt;=D$4+5)),SUMPRODUCT((INDEX(Timeline!$P$5:$AN$305,0,MATCH($A17,Timeline!$P$4:$AN$4,0))="x")*(Timeline!$K$5:$K$305="Task")*ISNUMBER(Timeline!$I$5:$I$305)*ISNUMBER(Timeline!$J$5:$J$305)*(Timeline!$I$5:$I$305&lt;=D$4+6)*(Timeline!$J$5:$J$305&gt;=D$4+6)))</f>
        <v>0</v>
      </c>
      <c r="E17" s="67">
        <f>MAX(SUMPRODUCT((INDEX(Timeline!$P$5:$AN$305,0,MATCH($A17,Timeline!$P$4:$AN$4,0))="x")*(Timeline!$K$5:$K$305="Task")*ISNUMBER(Timeline!$I$5:$I$305)*ISNUMBER(Timeline!$J$5:$J$305)*(Timeline!$I$5:$I$305&lt;=E$4+0)*(Timeline!$J$5:$J$305&gt;=E$4+0)),SUMPRODUCT((INDEX(Timeline!$P$5:$AN$305,0,MATCH($A17,Timeline!$P$4:$AN$4,0))="x")*(Timeline!$K$5:$K$305="Task")*ISNUMBER(Timeline!$I$5:$I$305)*ISNUMBER(Timeline!$J$5:$J$305)*(Timeline!$I$5:$I$305&lt;=E$4+1)*(Timeline!$J$5:$J$305&gt;=E$4+1)),SUMPRODUCT((INDEX(Timeline!$P$5:$AN$305,0,MATCH($A17,Timeline!$P$4:$AN$4,0))="x")*(Timeline!$K$5:$K$305="Task")*ISNUMBER(Timeline!$I$5:$I$305)*ISNUMBER(Timeline!$J$5:$J$305)*(Timeline!$I$5:$I$305&lt;=E$4+2)*(Timeline!$J$5:$J$305&gt;=E$4+2)),SUMPRODUCT((INDEX(Timeline!$P$5:$AN$305,0,MATCH($A17,Timeline!$P$4:$AN$4,0))="x")*(Timeline!$K$5:$K$305="Task")*ISNUMBER(Timeline!$I$5:$I$305)*ISNUMBER(Timeline!$J$5:$J$305)*(Timeline!$I$5:$I$305&lt;=E$4+3)*(Timeline!$J$5:$J$305&gt;=E$4+3)),SUMPRODUCT((INDEX(Timeline!$P$5:$AN$305,0,MATCH($A17,Timeline!$P$4:$AN$4,0))="x")*(Timeline!$K$5:$K$305="Task")*ISNUMBER(Timeline!$I$5:$I$305)*ISNUMBER(Timeline!$J$5:$J$305)*(Timeline!$I$5:$I$305&lt;=E$4+4)*(Timeline!$J$5:$J$305&gt;=E$4+4)),SUMPRODUCT((INDEX(Timeline!$P$5:$AN$305,0,MATCH($A17,Timeline!$P$4:$AN$4,0))="x")*(Timeline!$K$5:$K$305="Task")*ISNUMBER(Timeline!$I$5:$I$305)*ISNUMBER(Timeline!$J$5:$J$305)*(Timeline!$I$5:$I$305&lt;=E$4+5)*(Timeline!$J$5:$J$305&gt;=E$4+5)),SUMPRODUCT((INDEX(Timeline!$P$5:$AN$305,0,MATCH($A17,Timeline!$P$4:$AN$4,0))="x")*(Timeline!$K$5:$K$305="Task")*ISNUMBER(Timeline!$I$5:$I$305)*ISNUMBER(Timeline!$J$5:$J$305)*(Timeline!$I$5:$I$305&lt;=E$4+6)*(Timeline!$J$5:$J$305&gt;=E$4+6)))</f>
        <v>0</v>
      </c>
      <c r="F17" s="67">
        <f>MAX(SUMPRODUCT((INDEX(Timeline!$P$5:$AN$305,0,MATCH($A17,Timeline!$P$4:$AN$4,0))="x")*(Timeline!$K$5:$K$305="Task")*ISNUMBER(Timeline!$I$5:$I$305)*ISNUMBER(Timeline!$J$5:$J$305)*(Timeline!$I$5:$I$305&lt;=F$4+0)*(Timeline!$J$5:$J$305&gt;=F$4+0)),SUMPRODUCT((INDEX(Timeline!$P$5:$AN$305,0,MATCH($A17,Timeline!$P$4:$AN$4,0))="x")*(Timeline!$K$5:$K$305="Task")*ISNUMBER(Timeline!$I$5:$I$305)*ISNUMBER(Timeline!$J$5:$J$305)*(Timeline!$I$5:$I$305&lt;=F$4+1)*(Timeline!$J$5:$J$305&gt;=F$4+1)),SUMPRODUCT((INDEX(Timeline!$P$5:$AN$305,0,MATCH($A17,Timeline!$P$4:$AN$4,0))="x")*(Timeline!$K$5:$K$305="Task")*ISNUMBER(Timeline!$I$5:$I$305)*ISNUMBER(Timeline!$J$5:$J$305)*(Timeline!$I$5:$I$305&lt;=F$4+2)*(Timeline!$J$5:$J$305&gt;=F$4+2)),SUMPRODUCT((INDEX(Timeline!$P$5:$AN$305,0,MATCH($A17,Timeline!$P$4:$AN$4,0))="x")*(Timeline!$K$5:$K$305="Task")*ISNUMBER(Timeline!$I$5:$I$305)*ISNUMBER(Timeline!$J$5:$J$305)*(Timeline!$I$5:$I$305&lt;=F$4+3)*(Timeline!$J$5:$J$305&gt;=F$4+3)),SUMPRODUCT((INDEX(Timeline!$P$5:$AN$305,0,MATCH($A17,Timeline!$P$4:$AN$4,0))="x")*(Timeline!$K$5:$K$305="Task")*ISNUMBER(Timeline!$I$5:$I$305)*ISNUMBER(Timeline!$J$5:$J$305)*(Timeline!$I$5:$I$305&lt;=F$4+4)*(Timeline!$J$5:$J$305&gt;=F$4+4)),SUMPRODUCT((INDEX(Timeline!$P$5:$AN$305,0,MATCH($A17,Timeline!$P$4:$AN$4,0))="x")*(Timeline!$K$5:$K$305="Task")*ISNUMBER(Timeline!$I$5:$I$305)*ISNUMBER(Timeline!$J$5:$J$305)*(Timeline!$I$5:$I$305&lt;=F$4+5)*(Timeline!$J$5:$J$305&gt;=F$4+5)),SUMPRODUCT((INDEX(Timeline!$P$5:$AN$305,0,MATCH($A17,Timeline!$P$4:$AN$4,0))="x")*(Timeline!$K$5:$K$305="Task")*ISNUMBER(Timeline!$I$5:$I$305)*ISNUMBER(Timeline!$J$5:$J$305)*(Timeline!$I$5:$I$305&lt;=F$4+6)*(Timeline!$J$5:$J$305&gt;=F$4+6)))</f>
        <v>0</v>
      </c>
      <c r="G17" s="67">
        <f>MAX(SUMPRODUCT((INDEX(Timeline!$P$5:$AN$305,0,MATCH($A17,Timeline!$P$4:$AN$4,0))="x")*(Timeline!$K$5:$K$305="Task")*ISNUMBER(Timeline!$I$5:$I$305)*ISNUMBER(Timeline!$J$5:$J$305)*(Timeline!$I$5:$I$305&lt;=G$4+0)*(Timeline!$J$5:$J$305&gt;=G$4+0)),SUMPRODUCT((INDEX(Timeline!$P$5:$AN$305,0,MATCH($A17,Timeline!$P$4:$AN$4,0))="x")*(Timeline!$K$5:$K$305="Task")*ISNUMBER(Timeline!$I$5:$I$305)*ISNUMBER(Timeline!$J$5:$J$305)*(Timeline!$I$5:$I$305&lt;=G$4+1)*(Timeline!$J$5:$J$305&gt;=G$4+1)),SUMPRODUCT((INDEX(Timeline!$P$5:$AN$305,0,MATCH($A17,Timeline!$P$4:$AN$4,0))="x")*(Timeline!$K$5:$K$305="Task")*ISNUMBER(Timeline!$I$5:$I$305)*ISNUMBER(Timeline!$J$5:$J$305)*(Timeline!$I$5:$I$305&lt;=G$4+2)*(Timeline!$J$5:$J$305&gt;=G$4+2)),SUMPRODUCT((INDEX(Timeline!$P$5:$AN$305,0,MATCH($A17,Timeline!$P$4:$AN$4,0))="x")*(Timeline!$K$5:$K$305="Task")*ISNUMBER(Timeline!$I$5:$I$305)*ISNUMBER(Timeline!$J$5:$J$305)*(Timeline!$I$5:$I$305&lt;=G$4+3)*(Timeline!$J$5:$J$305&gt;=G$4+3)),SUMPRODUCT((INDEX(Timeline!$P$5:$AN$305,0,MATCH($A17,Timeline!$P$4:$AN$4,0))="x")*(Timeline!$K$5:$K$305="Task")*ISNUMBER(Timeline!$I$5:$I$305)*ISNUMBER(Timeline!$J$5:$J$305)*(Timeline!$I$5:$I$305&lt;=G$4+4)*(Timeline!$J$5:$J$305&gt;=G$4+4)),SUMPRODUCT((INDEX(Timeline!$P$5:$AN$305,0,MATCH($A17,Timeline!$P$4:$AN$4,0))="x")*(Timeline!$K$5:$K$305="Task")*ISNUMBER(Timeline!$I$5:$I$305)*ISNUMBER(Timeline!$J$5:$J$305)*(Timeline!$I$5:$I$305&lt;=G$4+5)*(Timeline!$J$5:$J$305&gt;=G$4+5)),SUMPRODUCT((INDEX(Timeline!$P$5:$AN$305,0,MATCH($A17,Timeline!$P$4:$AN$4,0))="x")*(Timeline!$K$5:$K$305="Task")*ISNUMBER(Timeline!$I$5:$I$305)*ISNUMBER(Timeline!$J$5:$J$305)*(Timeline!$I$5:$I$305&lt;=G$4+6)*(Timeline!$J$5:$J$305&gt;=G$4+6)))</f>
        <v>0</v>
      </c>
      <c r="H17" s="67">
        <f>MAX(SUMPRODUCT((INDEX(Timeline!$P$5:$AN$305,0,MATCH($A17,Timeline!$P$4:$AN$4,0))="x")*(Timeline!$K$5:$K$305="Task")*ISNUMBER(Timeline!$I$5:$I$305)*ISNUMBER(Timeline!$J$5:$J$305)*(Timeline!$I$5:$I$305&lt;=H$4+0)*(Timeline!$J$5:$J$305&gt;=H$4+0)),SUMPRODUCT((INDEX(Timeline!$P$5:$AN$305,0,MATCH($A17,Timeline!$P$4:$AN$4,0))="x")*(Timeline!$K$5:$K$305="Task")*ISNUMBER(Timeline!$I$5:$I$305)*ISNUMBER(Timeline!$J$5:$J$305)*(Timeline!$I$5:$I$305&lt;=H$4+1)*(Timeline!$J$5:$J$305&gt;=H$4+1)),SUMPRODUCT((INDEX(Timeline!$P$5:$AN$305,0,MATCH($A17,Timeline!$P$4:$AN$4,0))="x")*(Timeline!$K$5:$K$305="Task")*ISNUMBER(Timeline!$I$5:$I$305)*ISNUMBER(Timeline!$J$5:$J$305)*(Timeline!$I$5:$I$305&lt;=H$4+2)*(Timeline!$J$5:$J$305&gt;=H$4+2)),SUMPRODUCT((INDEX(Timeline!$P$5:$AN$305,0,MATCH($A17,Timeline!$P$4:$AN$4,0))="x")*(Timeline!$K$5:$K$305="Task")*ISNUMBER(Timeline!$I$5:$I$305)*ISNUMBER(Timeline!$J$5:$J$305)*(Timeline!$I$5:$I$305&lt;=H$4+3)*(Timeline!$J$5:$J$305&gt;=H$4+3)),SUMPRODUCT((INDEX(Timeline!$P$5:$AN$305,0,MATCH($A17,Timeline!$P$4:$AN$4,0))="x")*(Timeline!$K$5:$K$305="Task")*ISNUMBER(Timeline!$I$5:$I$305)*ISNUMBER(Timeline!$J$5:$J$305)*(Timeline!$I$5:$I$305&lt;=H$4+4)*(Timeline!$J$5:$J$305&gt;=H$4+4)),SUMPRODUCT((INDEX(Timeline!$P$5:$AN$305,0,MATCH($A17,Timeline!$P$4:$AN$4,0))="x")*(Timeline!$K$5:$K$305="Task")*ISNUMBER(Timeline!$I$5:$I$305)*ISNUMBER(Timeline!$J$5:$J$305)*(Timeline!$I$5:$I$305&lt;=H$4+5)*(Timeline!$J$5:$J$305&gt;=H$4+5)),SUMPRODUCT((INDEX(Timeline!$P$5:$AN$305,0,MATCH($A17,Timeline!$P$4:$AN$4,0))="x")*(Timeline!$K$5:$K$305="Task")*ISNUMBER(Timeline!$I$5:$I$305)*ISNUMBER(Timeline!$J$5:$J$305)*(Timeline!$I$5:$I$305&lt;=H$4+6)*(Timeline!$J$5:$J$305&gt;=H$4+6)))</f>
        <v>1</v>
      </c>
      <c r="I17" s="67">
        <f>MAX(SUMPRODUCT((INDEX(Timeline!$P$5:$AN$305,0,MATCH($A17,Timeline!$P$4:$AN$4,0))="x")*(Timeline!$K$5:$K$305="Task")*ISNUMBER(Timeline!$I$5:$I$305)*ISNUMBER(Timeline!$J$5:$J$305)*(Timeline!$I$5:$I$305&lt;=I$4+0)*(Timeline!$J$5:$J$305&gt;=I$4+0)),SUMPRODUCT((INDEX(Timeline!$P$5:$AN$305,0,MATCH($A17,Timeline!$P$4:$AN$4,0))="x")*(Timeline!$K$5:$K$305="Task")*ISNUMBER(Timeline!$I$5:$I$305)*ISNUMBER(Timeline!$J$5:$J$305)*(Timeline!$I$5:$I$305&lt;=I$4+1)*(Timeline!$J$5:$J$305&gt;=I$4+1)),SUMPRODUCT((INDEX(Timeline!$P$5:$AN$305,0,MATCH($A17,Timeline!$P$4:$AN$4,0))="x")*(Timeline!$K$5:$K$305="Task")*ISNUMBER(Timeline!$I$5:$I$305)*ISNUMBER(Timeline!$J$5:$J$305)*(Timeline!$I$5:$I$305&lt;=I$4+2)*(Timeline!$J$5:$J$305&gt;=I$4+2)),SUMPRODUCT((INDEX(Timeline!$P$5:$AN$305,0,MATCH($A17,Timeline!$P$4:$AN$4,0))="x")*(Timeline!$K$5:$K$305="Task")*ISNUMBER(Timeline!$I$5:$I$305)*ISNUMBER(Timeline!$J$5:$J$305)*(Timeline!$I$5:$I$305&lt;=I$4+3)*(Timeline!$J$5:$J$305&gt;=I$4+3)),SUMPRODUCT((INDEX(Timeline!$P$5:$AN$305,0,MATCH($A17,Timeline!$P$4:$AN$4,0))="x")*(Timeline!$K$5:$K$305="Task")*ISNUMBER(Timeline!$I$5:$I$305)*ISNUMBER(Timeline!$J$5:$J$305)*(Timeline!$I$5:$I$305&lt;=I$4+4)*(Timeline!$J$5:$J$305&gt;=I$4+4)),SUMPRODUCT((INDEX(Timeline!$P$5:$AN$305,0,MATCH($A17,Timeline!$P$4:$AN$4,0))="x")*(Timeline!$K$5:$K$305="Task")*ISNUMBER(Timeline!$I$5:$I$305)*ISNUMBER(Timeline!$J$5:$J$305)*(Timeline!$I$5:$I$305&lt;=I$4+5)*(Timeline!$J$5:$J$305&gt;=I$4+5)),SUMPRODUCT((INDEX(Timeline!$P$5:$AN$305,0,MATCH($A17,Timeline!$P$4:$AN$4,0))="x")*(Timeline!$K$5:$K$305="Task")*ISNUMBER(Timeline!$I$5:$I$305)*ISNUMBER(Timeline!$J$5:$J$305)*(Timeline!$I$5:$I$305&lt;=I$4+6)*(Timeline!$J$5:$J$305&gt;=I$4+6)))</f>
        <v>1</v>
      </c>
      <c r="J17" s="67">
        <f>MAX(SUMPRODUCT((INDEX(Timeline!$P$5:$AN$305,0,MATCH($A17,Timeline!$P$4:$AN$4,0))="x")*(Timeline!$K$5:$K$305="Task")*ISNUMBER(Timeline!$I$5:$I$305)*ISNUMBER(Timeline!$J$5:$J$305)*(Timeline!$I$5:$I$305&lt;=J$4+0)*(Timeline!$J$5:$J$305&gt;=J$4+0)),SUMPRODUCT((INDEX(Timeline!$P$5:$AN$305,0,MATCH($A17,Timeline!$P$4:$AN$4,0))="x")*(Timeline!$K$5:$K$305="Task")*ISNUMBER(Timeline!$I$5:$I$305)*ISNUMBER(Timeline!$J$5:$J$305)*(Timeline!$I$5:$I$305&lt;=J$4+1)*(Timeline!$J$5:$J$305&gt;=J$4+1)),SUMPRODUCT((INDEX(Timeline!$P$5:$AN$305,0,MATCH($A17,Timeline!$P$4:$AN$4,0))="x")*(Timeline!$K$5:$K$305="Task")*ISNUMBER(Timeline!$I$5:$I$305)*ISNUMBER(Timeline!$J$5:$J$305)*(Timeline!$I$5:$I$305&lt;=J$4+2)*(Timeline!$J$5:$J$305&gt;=J$4+2)),SUMPRODUCT((INDEX(Timeline!$P$5:$AN$305,0,MATCH($A17,Timeline!$P$4:$AN$4,0))="x")*(Timeline!$K$5:$K$305="Task")*ISNUMBER(Timeline!$I$5:$I$305)*ISNUMBER(Timeline!$J$5:$J$305)*(Timeline!$I$5:$I$305&lt;=J$4+3)*(Timeline!$J$5:$J$305&gt;=J$4+3)),SUMPRODUCT((INDEX(Timeline!$P$5:$AN$305,0,MATCH($A17,Timeline!$P$4:$AN$4,0))="x")*(Timeline!$K$5:$K$305="Task")*ISNUMBER(Timeline!$I$5:$I$305)*ISNUMBER(Timeline!$J$5:$J$305)*(Timeline!$I$5:$I$305&lt;=J$4+4)*(Timeline!$J$5:$J$305&gt;=J$4+4)),SUMPRODUCT((INDEX(Timeline!$P$5:$AN$305,0,MATCH($A17,Timeline!$P$4:$AN$4,0))="x")*(Timeline!$K$5:$K$305="Task")*ISNUMBER(Timeline!$I$5:$I$305)*ISNUMBER(Timeline!$J$5:$J$305)*(Timeline!$I$5:$I$305&lt;=J$4+5)*(Timeline!$J$5:$J$305&gt;=J$4+5)),SUMPRODUCT((INDEX(Timeline!$P$5:$AN$305,0,MATCH($A17,Timeline!$P$4:$AN$4,0))="x")*(Timeline!$K$5:$K$305="Task")*ISNUMBER(Timeline!$I$5:$I$305)*ISNUMBER(Timeline!$J$5:$J$305)*(Timeline!$I$5:$I$305&lt;=J$4+6)*(Timeline!$J$5:$J$305&gt;=J$4+6)))</f>
        <v>1</v>
      </c>
      <c r="K17" s="67">
        <f>MAX(SUMPRODUCT((INDEX(Timeline!$P$5:$AN$305,0,MATCH($A17,Timeline!$P$4:$AN$4,0))="x")*(Timeline!$K$5:$K$305="Task")*ISNUMBER(Timeline!$I$5:$I$305)*ISNUMBER(Timeline!$J$5:$J$305)*(Timeline!$I$5:$I$305&lt;=K$4+0)*(Timeline!$J$5:$J$305&gt;=K$4+0)),SUMPRODUCT((INDEX(Timeline!$P$5:$AN$305,0,MATCH($A17,Timeline!$P$4:$AN$4,0))="x")*(Timeline!$K$5:$K$305="Task")*ISNUMBER(Timeline!$I$5:$I$305)*ISNUMBER(Timeline!$J$5:$J$305)*(Timeline!$I$5:$I$305&lt;=K$4+1)*(Timeline!$J$5:$J$305&gt;=K$4+1)),SUMPRODUCT((INDEX(Timeline!$P$5:$AN$305,0,MATCH($A17,Timeline!$P$4:$AN$4,0))="x")*(Timeline!$K$5:$K$305="Task")*ISNUMBER(Timeline!$I$5:$I$305)*ISNUMBER(Timeline!$J$5:$J$305)*(Timeline!$I$5:$I$305&lt;=K$4+2)*(Timeline!$J$5:$J$305&gt;=K$4+2)),SUMPRODUCT((INDEX(Timeline!$P$5:$AN$305,0,MATCH($A17,Timeline!$P$4:$AN$4,0))="x")*(Timeline!$K$5:$K$305="Task")*ISNUMBER(Timeline!$I$5:$I$305)*ISNUMBER(Timeline!$J$5:$J$305)*(Timeline!$I$5:$I$305&lt;=K$4+3)*(Timeline!$J$5:$J$305&gt;=K$4+3)),SUMPRODUCT((INDEX(Timeline!$P$5:$AN$305,0,MATCH($A17,Timeline!$P$4:$AN$4,0))="x")*(Timeline!$K$5:$K$305="Task")*ISNUMBER(Timeline!$I$5:$I$305)*ISNUMBER(Timeline!$J$5:$J$305)*(Timeline!$I$5:$I$305&lt;=K$4+4)*(Timeline!$J$5:$J$305&gt;=K$4+4)),SUMPRODUCT((INDEX(Timeline!$P$5:$AN$305,0,MATCH($A17,Timeline!$P$4:$AN$4,0))="x")*(Timeline!$K$5:$K$305="Task")*ISNUMBER(Timeline!$I$5:$I$305)*ISNUMBER(Timeline!$J$5:$J$305)*(Timeline!$I$5:$I$305&lt;=K$4+5)*(Timeline!$J$5:$J$305&gt;=K$4+5)),SUMPRODUCT((INDEX(Timeline!$P$5:$AN$305,0,MATCH($A17,Timeline!$P$4:$AN$4,0))="x")*(Timeline!$K$5:$K$305="Task")*ISNUMBER(Timeline!$I$5:$I$305)*ISNUMBER(Timeline!$J$5:$J$305)*(Timeline!$I$5:$I$305&lt;=K$4+6)*(Timeline!$J$5:$J$305&gt;=K$4+6)))</f>
        <v>1</v>
      </c>
      <c r="L17" s="67">
        <f>MAX(SUMPRODUCT((INDEX(Timeline!$P$5:$AN$305,0,MATCH($A17,Timeline!$P$4:$AN$4,0))="x")*(Timeline!$K$5:$K$305="Task")*ISNUMBER(Timeline!$I$5:$I$305)*ISNUMBER(Timeline!$J$5:$J$305)*(Timeline!$I$5:$I$305&lt;=L$4+0)*(Timeline!$J$5:$J$305&gt;=L$4+0)),SUMPRODUCT((INDEX(Timeline!$P$5:$AN$305,0,MATCH($A17,Timeline!$P$4:$AN$4,0))="x")*(Timeline!$K$5:$K$305="Task")*ISNUMBER(Timeline!$I$5:$I$305)*ISNUMBER(Timeline!$J$5:$J$305)*(Timeline!$I$5:$I$305&lt;=L$4+1)*(Timeline!$J$5:$J$305&gt;=L$4+1)),SUMPRODUCT((INDEX(Timeline!$P$5:$AN$305,0,MATCH($A17,Timeline!$P$4:$AN$4,0))="x")*(Timeline!$K$5:$K$305="Task")*ISNUMBER(Timeline!$I$5:$I$305)*ISNUMBER(Timeline!$J$5:$J$305)*(Timeline!$I$5:$I$305&lt;=L$4+2)*(Timeline!$J$5:$J$305&gt;=L$4+2)),SUMPRODUCT((INDEX(Timeline!$P$5:$AN$305,0,MATCH($A17,Timeline!$P$4:$AN$4,0))="x")*(Timeline!$K$5:$K$305="Task")*ISNUMBER(Timeline!$I$5:$I$305)*ISNUMBER(Timeline!$J$5:$J$305)*(Timeline!$I$5:$I$305&lt;=L$4+3)*(Timeline!$J$5:$J$305&gt;=L$4+3)),SUMPRODUCT((INDEX(Timeline!$P$5:$AN$305,0,MATCH($A17,Timeline!$P$4:$AN$4,0))="x")*(Timeline!$K$5:$K$305="Task")*ISNUMBER(Timeline!$I$5:$I$305)*ISNUMBER(Timeline!$J$5:$J$305)*(Timeline!$I$5:$I$305&lt;=L$4+4)*(Timeline!$J$5:$J$305&gt;=L$4+4)),SUMPRODUCT((INDEX(Timeline!$P$5:$AN$305,0,MATCH($A17,Timeline!$P$4:$AN$4,0))="x")*(Timeline!$K$5:$K$305="Task")*ISNUMBER(Timeline!$I$5:$I$305)*ISNUMBER(Timeline!$J$5:$J$305)*(Timeline!$I$5:$I$305&lt;=L$4+5)*(Timeline!$J$5:$J$305&gt;=L$4+5)),SUMPRODUCT((INDEX(Timeline!$P$5:$AN$305,0,MATCH($A17,Timeline!$P$4:$AN$4,0))="x")*(Timeline!$K$5:$K$305="Task")*ISNUMBER(Timeline!$I$5:$I$305)*ISNUMBER(Timeline!$J$5:$J$305)*(Timeline!$I$5:$I$305&lt;=L$4+6)*(Timeline!$J$5:$J$305&gt;=L$4+6)))</f>
        <v>1</v>
      </c>
      <c r="M17" s="67">
        <f>MAX(SUMPRODUCT((INDEX(Timeline!$P$5:$AN$305,0,MATCH($A17,Timeline!$P$4:$AN$4,0))="x")*(Timeline!$K$5:$K$305="Task")*ISNUMBER(Timeline!$I$5:$I$305)*ISNUMBER(Timeline!$J$5:$J$305)*(Timeline!$I$5:$I$305&lt;=M$4+0)*(Timeline!$J$5:$J$305&gt;=M$4+0)),SUMPRODUCT((INDEX(Timeline!$P$5:$AN$305,0,MATCH($A17,Timeline!$P$4:$AN$4,0))="x")*(Timeline!$K$5:$K$305="Task")*ISNUMBER(Timeline!$I$5:$I$305)*ISNUMBER(Timeline!$J$5:$J$305)*(Timeline!$I$5:$I$305&lt;=M$4+1)*(Timeline!$J$5:$J$305&gt;=M$4+1)),SUMPRODUCT((INDEX(Timeline!$P$5:$AN$305,0,MATCH($A17,Timeline!$P$4:$AN$4,0))="x")*(Timeline!$K$5:$K$305="Task")*ISNUMBER(Timeline!$I$5:$I$305)*ISNUMBER(Timeline!$J$5:$J$305)*(Timeline!$I$5:$I$305&lt;=M$4+2)*(Timeline!$J$5:$J$305&gt;=M$4+2)),SUMPRODUCT((INDEX(Timeline!$P$5:$AN$305,0,MATCH($A17,Timeline!$P$4:$AN$4,0))="x")*(Timeline!$K$5:$K$305="Task")*ISNUMBER(Timeline!$I$5:$I$305)*ISNUMBER(Timeline!$J$5:$J$305)*(Timeline!$I$5:$I$305&lt;=M$4+3)*(Timeline!$J$5:$J$305&gt;=M$4+3)),SUMPRODUCT((INDEX(Timeline!$P$5:$AN$305,0,MATCH($A17,Timeline!$P$4:$AN$4,0))="x")*(Timeline!$K$5:$K$305="Task")*ISNUMBER(Timeline!$I$5:$I$305)*ISNUMBER(Timeline!$J$5:$J$305)*(Timeline!$I$5:$I$305&lt;=M$4+4)*(Timeline!$J$5:$J$305&gt;=M$4+4)),SUMPRODUCT((INDEX(Timeline!$P$5:$AN$305,0,MATCH($A17,Timeline!$P$4:$AN$4,0))="x")*(Timeline!$K$5:$K$305="Task")*ISNUMBER(Timeline!$I$5:$I$305)*ISNUMBER(Timeline!$J$5:$J$305)*(Timeline!$I$5:$I$305&lt;=M$4+5)*(Timeline!$J$5:$J$305&gt;=M$4+5)),SUMPRODUCT((INDEX(Timeline!$P$5:$AN$305,0,MATCH($A17,Timeline!$P$4:$AN$4,0))="x")*(Timeline!$K$5:$K$305="Task")*ISNUMBER(Timeline!$I$5:$I$305)*ISNUMBER(Timeline!$J$5:$J$305)*(Timeline!$I$5:$I$305&lt;=M$4+6)*(Timeline!$J$5:$J$305&gt;=M$4+6)))</f>
        <v>1</v>
      </c>
      <c r="N17" s="67">
        <f>MAX(SUMPRODUCT((INDEX(Timeline!$P$5:$AN$305,0,MATCH($A17,Timeline!$P$4:$AN$4,0))="x")*(Timeline!$K$5:$K$305="Task")*ISNUMBER(Timeline!$I$5:$I$305)*ISNUMBER(Timeline!$J$5:$J$305)*(Timeline!$I$5:$I$305&lt;=N$4+0)*(Timeline!$J$5:$J$305&gt;=N$4+0)),SUMPRODUCT((INDEX(Timeline!$P$5:$AN$305,0,MATCH($A17,Timeline!$P$4:$AN$4,0))="x")*(Timeline!$K$5:$K$305="Task")*ISNUMBER(Timeline!$I$5:$I$305)*ISNUMBER(Timeline!$J$5:$J$305)*(Timeline!$I$5:$I$305&lt;=N$4+1)*(Timeline!$J$5:$J$305&gt;=N$4+1)),SUMPRODUCT((INDEX(Timeline!$P$5:$AN$305,0,MATCH($A17,Timeline!$P$4:$AN$4,0))="x")*(Timeline!$K$5:$K$305="Task")*ISNUMBER(Timeline!$I$5:$I$305)*ISNUMBER(Timeline!$J$5:$J$305)*(Timeline!$I$5:$I$305&lt;=N$4+2)*(Timeline!$J$5:$J$305&gt;=N$4+2)),SUMPRODUCT((INDEX(Timeline!$P$5:$AN$305,0,MATCH($A17,Timeline!$P$4:$AN$4,0))="x")*(Timeline!$K$5:$K$305="Task")*ISNUMBER(Timeline!$I$5:$I$305)*ISNUMBER(Timeline!$J$5:$J$305)*(Timeline!$I$5:$I$305&lt;=N$4+3)*(Timeline!$J$5:$J$305&gt;=N$4+3)),SUMPRODUCT((INDEX(Timeline!$P$5:$AN$305,0,MATCH($A17,Timeline!$P$4:$AN$4,0))="x")*(Timeline!$K$5:$K$305="Task")*ISNUMBER(Timeline!$I$5:$I$305)*ISNUMBER(Timeline!$J$5:$J$305)*(Timeline!$I$5:$I$305&lt;=N$4+4)*(Timeline!$J$5:$J$305&gt;=N$4+4)),SUMPRODUCT((INDEX(Timeline!$P$5:$AN$305,0,MATCH($A17,Timeline!$P$4:$AN$4,0))="x")*(Timeline!$K$5:$K$305="Task")*ISNUMBER(Timeline!$I$5:$I$305)*ISNUMBER(Timeline!$J$5:$J$305)*(Timeline!$I$5:$I$305&lt;=N$4+5)*(Timeline!$J$5:$J$305&gt;=N$4+5)),SUMPRODUCT((INDEX(Timeline!$P$5:$AN$305,0,MATCH($A17,Timeline!$P$4:$AN$4,0))="x")*(Timeline!$K$5:$K$305="Task")*ISNUMBER(Timeline!$I$5:$I$305)*ISNUMBER(Timeline!$J$5:$J$305)*(Timeline!$I$5:$I$305&lt;=N$4+6)*(Timeline!$J$5:$J$305&gt;=N$4+6)))</f>
        <v>1</v>
      </c>
      <c r="O17" s="67">
        <f>MAX(SUMPRODUCT((INDEX(Timeline!$P$5:$AN$305,0,MATCH($A17,Timeline!$P$4:$AN$4,0))="x")*(Timeline!$K$5:$K$305="Task")*ISNUMBER(Timeline!$I$5:$I$305)*ISNUMBER(Timeline!$J$5:$J$305)*(Timeline!$I$5:$I$305&lt;=O$4+0)*(Timeline!$J$5:$J$305&gt;=O$4+0)),SUMPRODUCT((INDEX(Timeline!$P$5:$AN$305,0,MATCH($A17,Timeline!$P$4:$AN$4,0))="x")*(Timeline!$K$5:$K$305="Task")*ISNUMBER(Timeline!$I$5:$I$305)*ISNUMBER(Timeline!$J$5:$J$305)*(Timeline!$I$5:$I$305&lt;=O$4+1)*(Timeline!$J$5:$J$305&gt;=O$4+1)),SUMPRODUCT((INDEX(Timeline!$P$5:$AN$305,0,MATCH($A17,Timeline!$P$4:$AN$4,0))="x")*(Timeline!$K$5:$K$305="Task")*ISNUMBER(Timeline!$I$5:$I$305)*ISNUMBER(Timeline!$J$5:$J$305)*(Timeline!$I$5:$I$305&lt;=O$4+2)*(Timeline!$J$5:$J$305&gt;=O$4+2)),SUMPRODUCT((INDEX(Timeline!$P$5:$AN$305,0,MATCH($A17,Timeline!$P$4:$AN$4,0))="x")*(Timeline!$K$5:$K$305="Task")*ISNUMBER(Timeline!$I$5:$I$305)*ISNUMBER(Timeline!$J$5:$J$305)*(Timeline!$I$5:$I$305&lt;=O$4+3)*(Timeline!$J$5:$J$305&gt;=O$4+3)),SUMPRODUCT((INDEX(Timeline!$P$5:$AN$305,0,MATCH($A17,Timeline!$P$4:$AN$4,0))="x")*(Timeline!$K$5:$K$305="Task")*ISNUMBER(Timeline!$I$5:$I$305)*ISNUMBER(Timeline!$J$5:$J$305)*(Timeline!$I$5:$I$305&lt;=O$4+4)*(Timeline!$J$5:$J$305&gt;=O$4+4)),SUMPRODUCT((INDEX(Timeline!$P$5:$AN$305,0,MATCH($A17,Timeline!$P$4:$AN$4,0))="x")*(Timeline!$K$5:$K$305="Task")*ISNUMBER(Timeline!$I$5:$I$305)*ISNUMBER(Timeline!$J$5:$J$305)*(Timeline!$I$5:$I$305&lt;=O$4+5)*(Timeline!$J$5:$J$305&gt;=O$4+5)),SUMPRODUCT((INDEX(Timeline!$P$5:$AN$305,0,MATCH($A17,Timeline!$P$4:$AN$4,0))="x")*(Timeline!$K$5:$K$305="Task")*ISNUMBER(Timeline!$I$5:$I$305)*ISNUMBER(Timeline!$J$5:$J$305)*(Timeline!$I$5:$I$305&lt;=O$4+6)*(Timeline!$J$5:$J$305&gt;=O$4+6)))</f>
        <v>1</v>
      </c>
      <c r="P17" s="67">
        <f>MAX(SUMPRODUCT((INDEX(Timeline!$P$5:$AN$305,0,MATCH($A17,Timeline!$P$4:$AN$4,0))="x")*(Timeline!$K$5:$K$305="Task")*ISNUMBER(Timeline!$I$5:$I$305)*ISNUMBER(Timeline!$J$5:$J$305)*(Timeline!$I$5:$I$305&lt;=P$4+0)*(Timeline!$J$5:$J$305&gt;=P$4+0)),SUMPRODUCT((INDEX(Timeline!$P$5:$AN$305,0,MATCH($A17,Timeline!$P$4:$AN$4,0))="x")*(Timeline!$K$5:$K$305="Task")*ISNUMBER(Timeline!$I$5:$I$305)*ISNUMBER(Timeline!$J$5:$J$305)*(Timeline!$I$5:$I$305&lt;=P$4+1)*(Timeline!$J$5:$J$305&gt;=P$4+1)),SUMPRODUCT((INDEX(Timeline!$P$5:$AN$305,0,MATCH($A17,Timeline!$P$4:$AN$4,0))="x")*(Timeline!$K$5:$K$305="Task")*ISNUMBER(Timeline!$I$5:$I$305)*ISNUMBER(Timeline!$J$5:$J$305)*(Timeline!$I$5:$I$305&lt;=P$4+2)*(Timeline!$J$5:$J$305&gt;=P$4+2)),SUMPRODUCT((INDEX(Timeline!$P$5:$AN$305,0,MATCH($A17,Timeline!$P$4:$AN$4,0))="x")*(Timeline!$K$5:$K$305="Task")*ISNUMBER(Timeline!$I$5:$I$305)*ISNUMBER(Timeline!$J$5:$J$305)*(Timeline!$I$5:$I$305&lt;=P$4+3)*(Timeline!$J$5:$J$305&gt;=P$4+3)),SUMPRODUCT((INDEX(Timeline!$P$5:$AN$305,0,MATCH($A17,Timeline!$P$4:$AN$4,0))="x")*(Timeline!$K$5:$K$305="Task")*ISNUMBER(Timeline!$I$5:$I$305)*ISNUMBER(Timeline!$J$5:$J$305)*(Timeline!$I$5:$I$305&lt;=P$4+4)*(Timeline!$J$5:$J$305&gt;=P$4+4)),SUMPRODUCT((INDEX(Timeline!$P$5:$AN$305,0,MATCH($A17,Timeline!$P$4:$AN$4,0))="x")*(Timeline!$K$5:$K$305="Task")*ISNUMBER(Timeline!$I$5:$I$305)*ISNUMBER(Timeline!$J$5:$J$305)*(Timeline!$I$5:$I$305&lt;=P$4+5)*(Timeline!$J$5:$J$305&gt;=P$4+5)),SUMPRODUCT((INDEX(Timeline!$P$5:$AN$305,0,MATCH($A17,Timeline!$P$4:$AN$4,0))="x")*(Timeline!$K$5:$K$305="Task")*ISNUMBER(Timeline!$I$5:$I$305)*ISNUMBER(Timeline!$J$5:$J$305)*(Timeline!$I$5:$I$305&lt;=P$4+6)*(Timeline!$J$5:$J$305&gt;=P$4+6)))</f>
        <v>1</v>
      </c>
      <c r="Q17" s="67">
        <f>MAX(SUMPRODUCT((INDEX(Timeline!$P$5:$AN$305,0,MATCH($A17,Timeline!$P$4:$AN$4,0))="x")*(Timeline!$K$5:$K$305="Task")*ISNUMBER(Timeline!$I$5:$I$305)*ISNUMBER(Timeline!$J$5:$J$305)*(Timeline!$I$5:$I$305&lt;=Q$4+0)*(Timeline!$J$5:$J$305&gt;=Q$4+0)),SUMPRODUCT((INDEX(Timeline!$P$5:$AN$305,0,MATCH($A17,Timeline!$P$4:$AN$4,0))="x")*(Timeline!$K$5:$K$305="Task")*ISNUMBER(Timeline!$I$5:$I$305)*ISNUMBER(Timeline!$J$5:$J$305)*(Timeline!$I$5:$I$305&lt;=Q$4+1)*(Timeline!$J$5:$J$305&gt;=Q$4+1)),SUMPRODUCT((INDEX(Timeline!$P$5:$AN$305,0,MATCH($A17,Timeline!$P$4:$AN$4,0))="x")*(Timeline!$K$5:$K$305="Task")*ISNUMBER(Timeline!$I$5:$I$305)*ISNUMBER(Timeline!$J$5:$J$305)*(Timeline!$I$5:$I$305&lt;=Q$4+2)*(Timeline!$J$5:$J$305&gt;=Q$4+2)),SUMPRODUCT((INDEX(Timeline!$P$5:$AN$305,0,MATCH($A17,Timeline!$P$4:$AN$4,0))="x")*(Timeline!$K$5:$K$305="Task")*ISNUMBER(Timeline!$I$5:$I$305)*ISNUMBER(Timeline!$J$5:$J$305)*(Timeline!$I$5:$I$305&lt;=Q$4+3)*(Timeline!$J$5:$J$305&gt;=Q$4+3)),SUMPRODUCT((INDEX(Timeline!$P$5:$AN$305,0,MATCH($A17,Timeline!$P$4:$AN$4,0))="x")*(Timeline!$K$5:$K$305="Task")*ISNUMBER(Timeline!$I$5:$I$305)*ISNUMBER(Timeline!$J$5:$J$305)*(Timeline!$I$5:$I$305&lt;=Q$4+4)*(Timeline!$J$5:$J$305&gt;=Q$4+4)),SUMPRODUCT((INDEX(Timeline!$P$5:$AN$305,0,MATCH($A17,Timeline!$P$4:$AN$4,0))="x")*(Timeline!$K$5:$K$305="Task")*ISNUMBER(Timeline!$I$5:$I$305)*ISNUMBER(Timeline!$J$5:$J$305)*(Timeline!$I$5:$I$305&lt;=Q$4+5)*(Timeline!$J$5:$J$305&gt;=Q$4+5)),SUMPRODUCT((INDEX(Timeline!$P$5:$AN$305,0,MATCH($A17,Timeline!$P$4:$AN$4,0))="x")*(Timeline!$K$5:$K$305="Task")*ISNUMBER(Timeline!$I$5:$I$305)*ISNUMBER(Timeline!$J$5:$J$305)*(Timeline!$I$5:$I$305&lt;=Q$4+6)*(Timeline!$J$5:$J$305&gt;=Q$4+6)))</f>
        <v>1</v>
      </c>
      <c r="R17" s="67">
        <f>MAX(SUMPRODUCT((INDEX(Timeline!$P$5:$AN$305,0,MATCH($A17,Timeline!$P$4:$AN$4,0))="x")*(Timeline!$K$5:$K$305="Task")*ISNUMBER(Timeline!$I$5:$I$305)*ISNUMBER(Timeline!$J$5:$J$305)*(Timeline!$I$5:$I$305&lt;=R$4+0)*(Timeline!$J$5:$J$305&gt;=R$4+0)),SUMPRODUCT((INDEX(Timeline!$P$5:$AN$305,0,MATCH($A17,Timeline!$P$4:$AN$4,0))="x")*(Timeline!$K$5:$K$305="Task")*ISNUMBER(Timeline!$I$5:$I$305)*ISNUMBER(Timeline!$J$5:$J$305)*(Timeline!$I$5:$I$305&lt;=R$4+1)*(Timeline!$J$5:$J$305&gt;=R$4+1)),SUMPRODUCT((INDEX(Timeline!$P$5:$AN$305,0,MATCH($A17,Timeline!$P$4:$AN$4,0))="x")*(Timeline!$K$5:$K$305="Task")*ISNUMBER(Timeline!$I$5:$I$305)*ISNUMBER(Timeline!$J$5:$J$305)*(Timeline!$I$5:$I$305&lt;=R$4+2)*(Timeline!$J$5:$J$305&gt;=R$4+2)),SUMPRODUCT((INDEX(Timeline!$P$5:$AN$305,0,MATCH($A17,Timeline!$P$4:$AN$4,0))="x")*(Timeline!$K$5:$K$305="Task")*ISNUMBER(Timeline!$I$5:$I$305)*ISNUMBER(Timeline!$J$5:$J$305)*(Timeline!$I$5:$I$305&lt;=R$4+3)*(Timeline!$J$5:$J$305&gt;=R$4+3)),SUMPRODUCT((INDEX(Timeline!$P$5:$AN$305,0,MATCH($A17,Timeline!$P$4:$AN$4,0))="x")*(Timeline!$K$5:$K$305="Task")*ISNUMBER(Timeline!$I$5:$I$305)*ISNUMBER(Timeline!$J$5:$J$305)*(Timeline!$I$5:$I$305&lt;=R$4+4)*(Timeline!$J$5:$J$305&gt;=R$4+4)),SUMPRODUCT((INDEX(Timeline!$P$5:$AN$305,0,MATCH($A17,Timeline!$P$4:$AN$4,0))="x")*(Timeline!$K$5:$K$305="Task")*ISNUMBER(Timeline!$I$5:$I$305)*ISNUMBER(Timeline!$J$5:$J$305)*(Timeline!$I$5:$I$305&lt;=R$4+5)*(Timeline!$J$5:$J$305&gt;=R$4+5)),SUMPRODUCT((INDEX(Timeline!$P$5:$AN$305,0,MATCH($A17,Timeline!$P$4:$AN$4,0))="x")*(Timeline!$K$5:$K$305="Task")*ISNUMBER(Timeline!$I$5:$I$305)*ISNUMBER(Timeline!$J$5:$J$305)*(Timeline!$I$5:$I$305&lt;=R$4+6)*(Timeline!$J$5:$J$305&gt;=R$4+6)))</f>
        <v>1</v>
      </c>
      <c r="S17" s="67">
        <f>MAX(SUMPRODUCT((INDEX(Timeline!$P$5:$AN$305,0,MATCH($A17,Timeline!$P$4:$AN$4,0))="x")*(Timeline!$K$5:$K$305="Task")*ISNUMBER(Timeline!$I$5:$I$305)*ISNUMBER(Timeline!$J$5:$J$305)*(Timeline!$I$5:$I$305&lt;=S$4+0)*(Timeline!$J$5:$J$305&gt;=S$4+0)),SUMPRODUCT((INDEX(Timeline!$P$5:$AN$305,0,MATCH($A17,Timeline!$P$4:$AN$4,0))="x")*(Timeline!$K$5:$K$305="Task")*ISNUMBER(Timeline!$I$5:$I$305)*ISNUMBER(Timeline!$J$5:$J$305)*(Timeline!$I$5:$I$305&lt;=S$4+1)*(Timeline!$J$5:$J$305&gt;=S$4+1)),SUMPRODUCT((INDEX(Timeline!$P$5:$AN$305,0,MATCH($A17,Timeline!$P$4:$AN$4,0))="x")*(Timeline!$K$5:$K$305="Task")*ISNUMBER(Timeline!$I$5:$I$305)*ISNUMBER(Timeline!$J$5:$J$305)*(Timeline!$I$5:$I$305&lt;=S$4+2)*(Timeline!$J$5:$J$305&gt;=S$4+2)),SUMPRODUCT((INDEX(Timeline!$P$5:$AN$305,0,MATCH($A17,Timeline!$P$4:$AN$4,0))="x")*(Timeline!$K$5:$K$305="Task")*ISNUMBER(Timeline!$I$5:$I$305)*ISNUMBER(Timeline!$J$5:$J$305)*(Timeline!$I$5:$I$305&lt;=S$4+3)*(Timeline!$J$5:$J$305&gt;=S$4+3)),SUMPRODUCT((INDEX(Timeline!$P$5:$AN$305,0,MATCH($A17,Timeline!$P$4:$AN$4,0))="x")*(Timeline!$K$5:$K$305="Task")*ISNUMBER(Timeline!$I$5:$I$305)*ISNUMBER(Timeline!$J$5:$J$305)*(Timeline!$I$5:$I$305&lt;=S$4+4)*(Timeline!$J$5:$J$305&gt;=S$4+4)),SUMPRODUCT((INDEX(Timeline!$P$5:$AN$305,0,MATCH($A17,Timeline!$P$4:$AN$4,0))="x")*(Timeline!$K$5:$K$305="Task")*ISNUMBER(Timeline!$I$5:$I$305)*ISNUMBER(Timeline!$J$5:$J$305)*(Timeline!$I$5:$I$305&lt;=S$4+5)*(Timeline!$J$5:$J$305&gt;=S$4+5)),SUMPRODUCT((INDEX(Timeline!$P$5:$AN$305,0,MATCH($A17,Timeline!$P$4:$AN$4,0))="x")*(Timeline!$K$5:$K$305="Task")*ISNUMBER(Timeline!$I$5:$I$305)*ISNUMBER(Timeline!$J$5:$J$305)*(Timeline!$I$5:$I$305&lt;=S$4+6)*(Timeline!$J$5:$J$305&gt;=S$4+6)))</f>
        <v>1</v>
      </c>
      <c r="T17" s="67">
        <f>MAX(SUMPRODUCT((INDEX(Timeline!$P$5:$AN$305,0,MATCH($A17,Timeline!$P$4:$AN$4,0))="x")*(Timeline!$K$5:$K$305="Task")*ISNUMBER(Timeline!$I$5:$I$305)*ISNUMBER(Timeline!$J$5:$J$305)*(Timeline!$I$5:$I$305&lt;=T$4+0)*(Timeline!$J$5:$J$305&gt;=T$4+0)),SUMPRODUCT((INDEX(Timeline!$P$5:$AN$305,0,MATCH($A17,Timeline!$P$4:$AN$4,0))="x")*(Timeline!$K$5:$K$305="Task")*ISNUMBER(Timeline!$I$5:$I$305)*ISNUMBER(Timeline!$J$5:$J$305)*(Timeline!$I$5:$I$305&lt;=T$4+1)*(Timeline!$J$5:$J$305&gt;=T$4+1)),SUMPRODUCT((INDEX(Timeline!$P$5:$AN$305,0,MATCH($A17,Timeline!$P$4:$AN$4,0))="x")*(Timeline!$K$5:$K$305="Task")*ISNUMBER(Timeline!$I$5:$I$305)*ISNUMBER(Timeline!$J$5:$J$305)*(Timeline!$I$5:$I$305&lt;=T$4+2)*(Timeline!$J$5:$J$305&gt;=T$4+2)),SUMPRODUCT((INDEX(Timeline!$P$5:$AN$305,0,MATCH($A17,Timeline!$P$4:$AN$4,0))="x")*(Timeline!$K$5:$K$305="Task")*ISNUMBER(Timeline!$I$5:$I$305)*ISNUMBER(Timeline!$J$5:$J$305)*(Timeline!$I$5:$I$305&lt;=T$4+3)*(Timeline!$J$5:$J$305&gt;=T$4+3)),SUMPRODUCT((INDEX(Timeline!$P$5:$AN$305,0,MATCH($A17,Timeline!$P$4:$AN$4,0))="x")*(Timeline!$K$5:$K$305="Task")*ISNUMBER(Timeline!$I$5:$I$305)*ISNUMBER(Timeline!$J$5:$J$305)*(Timeline!$I$5:$I$305&lt;=T$4+4)*(Timeline!$J$5:$J$305&gt;=T$4+4)),SUMPRODUCT((INDEX(Timeline!$P$5:$AN$305,0,MATCH($A17,Timeline!$P$4:$AN$4,0))="x")*(Timeline!$K$5:$K$305="Task")*ISNUMBER(Timeline!$I$5:$I$305)*ISNUMBER(Timeline!$J$5:$J$305)*(Timeline!$I$5:$I$305&lt;=T$4+5)*(Timeline!$J$5:$J$305&gt;=T$4+5)),SUMPRODUCT((INDEX(Timeline!$P$5:$AN$305,0,MATCH($A17,Timeline!$P$4:$AN$4,0))="x")*(Timeline!$K$5:$K$305="Task")*ISNUMBER(Timeline!$I$5:$I$305)*ISNUMBER(Timeline!$J$5:$J$305)*(Timeline!$I$5:$I$305&lt;=T$4+6)*(Timeline!$J$5:$J$305&gt;=T$4+6)))</f>
        <v>1</v>
      </c>
      <c r="U17" s="67">
        <f>MAX(SUMPRODUCT((INDEX(Timeline!$P$5:$AN$305,0,MATCH($A17,Timeline!$P$4:$AN$4,0))="x")*(Timeline!$K$5:$K$305="Task")*ISNUMBER(Timeline!$I$5:$I$305)*ISNUMBER(Timeline!$J$5:$J$305)*(Timeline!$I$5:$I$305&lt;=U$4+0)*(Timeline!$J$5:$J$305&gt;=U$4+0)),SUMPRODUCT((INDEX(Timeline!$P$5:$AN$305,0,MATCH($A17,Timeline!$P$4:$AN$4,0))="x")*(Timeline!$K$5:$K$305="Task")*ISNUMBER(Timeline!$I$5:$I$305)*ISNUMBER(Timeline!$J$5:$J$305)*(Timeline!$I$5:$I$305&lt;=U$4+1)*(Timeline!$J$5:$J$305&gt;=U$4+1)),SUMPRODUCT((INDEX(Timeline!$P$5:$AN$305,0,MATCH($A17,Timeline!$P$4:$AN$4,0))="x")*(Timeline!$K$5:$K$305="Task")*ISNUMBER(Timeline!$I$5:$I$305)*ISNUMBER(Timeline!$J$5:$J$305)*(Timeline!$I$5:$I$305&lt;=U$4+2)*(Timeline!$J$5:$J$305&gt;=U$4+2)),SUMPRODUCT((INDEX(Timeline!$P$5:$AN$305,0,MATCH($A17,Timeline!$P$4:$AN$4,0))="x")*(Timeline!$K$5:$K$305="Task")*ISNUMBER(Timeline!$I$5:$I$305)*ISNUMBER(Timeline!$J$5:$J$305)*(Timeline!$I$5:$I$305&lt;=U$4+3)*(Timeline!$J$5:$J$305&gt;=U$4+3)),SUMPRODUCT((INDEX(Timeline!$P$5:$AN$305,0,MATCH($A17,Timeline!$P$4:$AN$4,0))="x")*(Timeline!$K$5:$K$305="Task")*ISNUMBER(Timeline!$I$5:$I$305)*ISNUMBER(Timeline!$J$5:$J$305)*(Timeline!$I$5:$I$305&lt;=U$4+4)*(Timeline!$J$5:$J$305&gt;=U$4+4)),SUMPRODUCT((INDEX(Timeline!$P$5:$AN$305,0,MATCH($A17,Timeline!$P$4:$AN$4,0))="x")*(Timeline!$K$5:$K$305="Task")*ISNUMBER(Timeline!$I$5:$I$305)*ISNUMBER(Timeline!$J$5:$J$305)*(Timeline!$I$5:$I$305&lt;=U$4+5)*(Timeline!$J$5:$J$305&gt;=U$4+5)),SUMPRODUCT((INDEX(Timeline!$P$5:$AN$305,0,MATCH($A17,Timeline!$P$4:$AN$4,0))="x")*(Timeline!$K$5:$K$305="Task")*ISNUMBER(Timeline!$I$5:$I$305)*ISNUMBER(Timeline!$J$5:$J$305)*(Timeline!$I$5:$I$305&lt;=U$4+6)*(Timeline!$J$5:$J$305&gt;=U$4+6)))</f>
        <v>1</v>
      </c>
      <c r="V17" s="67">
        <f>MAX(SUMPRODUCT((INDEX(Timeline!$P$5:$AN$305,0,MATCH($A17,Timeline!$P$4:$AN$4,0))="x")*(Timeline!$K$5:$K$305="Task")*ISNUMBER(Timeline!$I$5:$I$305)*ISNUMBER(Timeline!$J$5:$J$305)*(Timeline!$I$5:$I$305&lt;=V$4+0)*(Timeline!$J$5:$J$305&gt;=V$4+0)),SUMPRODUCT((INDEX(Timeline!$P$5:$AN$305,0,MATCH($A17,Timeline!$P$4:$AN$4,0))="x")*(Timeline!$K$5:$K$305="Task")*ISNUMBER(Timeline!$I$5:$I$305)*ISNUMBER(Timeline!$J$5:$J$305)*(Timeline!$I$5:$I$305&lt;=V$4+1)*(Timeline!$J$5:$J$305&gt;=V$4+1)),SUMPRODUCT((INDEX(Timeline!$P$5:$AN$305,0,MATCH($A17,Timeline!$P$4:$AN$4,0))="x")*(Timeline!$K$5:$K$305="Task")*ISNUMBER(Timeline!$I$5:$I$305)*ISNUMBER(Timeline!$J$5:$J$305)*(Timeline!$I$5:$I$305&lt;=V$4+2)*(Timeline!$J$5:$J$305&gt;=V$4+2)),SUMPRODUCT((INDEX(Timeline!$P$5:$AN$305,0,MATCH($A17,Timeline!$P$4:$AN$4,0))="x")*(Timeline!$K$5:$K$305="Task")*ISNUMBER(Timeline!$I$5:$I$305)*ISNUMBER(Timeline!$J$5:$J$305)*(Timeline!$I$5:$I$305&lt;=V$4+3)*(Timeline!$J$5:$J$305&gt;=V$4+3)),SUMPRODUCT((INDEX(Timeline!$P$5:$AN$305,0,MATCH($A17,Timeline!$P$4:$AN$4,0))="x")*(Timeline!$K$5:$K$305="Task")*ISNUMBER(Timeline!$I$5:$I$305)*ISNUMBER(Timeline!$J$5:$J$305)*(Timeline!$I$5:$I$305&lt;=V$4+4)*(Timeline!$J$5:$J$305&gt;=V$4+4)),SUMPRODUCT((INDEX(Timeline!$P$5:$AN$305,0,MATCH($A17,Timeline!$P$4:$AN$4,0))="x")*(Timeline!$K$5:$K$305="Task")*ISNUMBER(Timeline!$I$5:$I$305)*ISNUMBER(Timeline!$J$5:$J$305)*(Timeline!$I$5:$I$305&lt;=V$4+5)*(Timeline!$J$5:$J$305&gt;=V$4+5)),SUMPRODUCT((INDEX(Timeline!$P$5:$AN$305,0,MATCH($A17,Timeline!$P$4:$AN$4,0))="x")*(Timeline!$K$5:$K$305="Task")*ISNUMBER(Timeline!$I$5:$I$305)*ISNUMBER(Timeline!$J$5:$J$305)*(Timeline!$I$5:$I$305&lt;=V$4+6)*(Timeline!$J$5:$J$305&gt;=V$4+6)))</f>
        <v>1</v>
      </c>
      <c r="W17" s="67">
        <f>MAX(SUMPRODUCT((INDEX(Timeline!$P$5:$AN$305,0,MATCH($A17,Timeline!$P$4:$AN$4,0))="x")*(Timeline!$K$5:$K$305="Task")*ISNUMBER(Timeline!$I$5:$I$305)*ISNUMBER(Timeline!$J$5:$J$305)*(Timeline!$I$5:$I$305&lt;=W$4+0)*(Timeline!$J$5:$J$305&gt;=W$4+0)),SUMPRODUCT((INDEX(Timeline!$P$5:$AN$305,0,MATCH($A17,Timeline!$P$4:$AN$4,0))="x")*(Timeline!$K$5:$K$305="Task")*ISNUMBER(Timeline!$I$5:$I$305)*ISNUMBER(Timeline!$J$5:$J$305)*(Timeline!$I$5:$I$305&lt;=W$4+1)*(Timeline!$J$5:$J$305&gt;=W$4+1)),SUMPRODUCT((INDEX(Timeline!$P$5:$AN$305,0,MATCH($A17,Timeline!$P$4:$AN$4,0))="x")*(Timeline!$K$5:$K$305="Task")*ISNUMBER(Timeline!$I$5:$I$305)*ISNUMBER(Timeline!$J$5:$J$305)*(Timeline!$I$5:$I$305&lt;=W$4+2)*(Timeline!$J$5:$J$305&gt;=W$4+2)),SUMPRODUCT((INDEX(Timeline!$P$5:$AN$305,0,MATCH($A17,Timeline!$P$4:$AN$4,0))="x")*(Timeline!$K$5:$K$305="Task")*ISNUMBER(Timeline!$I$5:$I$305)*ISNUMBER(Timeline!$J$5:$J$305)*(Timeline!$I$5:$I$305&lt;=W$4+3)*(Timeline!$J$5:$J$305&gt;=W$4+3)),SUMPRODUCT((INDEX(Timeline!$P$5:$AN$305,0,MATCH($A17,Timeline!$P$4:$AN$4,0))="x")*(Timeline!$K$5:$K$305="Task")*ISNUMBER(Timeline!$I$5:$I$305)*ISNUMBER(Timeline!$J$5:$J$305)*(Timeline!$I$5:$I$305&lt;=W$4+4)*(Timeline!$J$5:$J$305&gt;=W$4+4)),SUMPRODUCT((INDEX(Timeline!$P$5:$AN$305,0,MATCH($A17,Timeline!$P$4:$AN$4,0))="x")*(Timeline!$K$5:$K$305="Task")*ISNUMBER(Timeline!$I$5:$I$305)*ISNUMBER(Timeline!$J$5:$J$305)*(Timeline!$I$5:$I$305&lt;=W$4+5)*(Timeline!$J$5:$J$305&gt;=W$4+5)),SUMPRODUCT((INDEX(Timeline!$P$5:$AN$305,0,MATCH($A17,Timeline!$P$4:$AN$4,0))="x")*(Timeline!$K$5:$K$305="Task")*ISNUMBER(Timeline!$I$5:$I$305)*ISNUMBER(Timeline!$J$5:$J$305)*(Timeline!$I$5:$I$305&lt;=W$4+6)*(Timeline!$J$5:$J$305&gt;=W$4+6)))</f>
        <v>1</v>
      </c>
      <c r="X17" s="67">
        <f>MAX(SUMPRODUCT((INDEX(Timeline!$P$5:$AN$305,0,MATCH($A17,Timeline!$P$4:$AN$4,0))="x")*(Timeline!$K$5:$K$305="Task")*ISNUMBER(Timeline!$I$5:$I$305)*ISNUMBER(Timeline!$J$5:$J$305)*(Timeline!$I$5:$I$305&lt;=X$4+0)*(Timeline!$J$5:$J$305&gt;=X$4+0)),SUMPRODUCT((INDEX(Timeline!$P$5:$AN$305,0,MATCH($A17,Timeline!$P$4:$AN$4,0))="x")*(Timeline!$K$5:$K$305="Task")*ISNUMBER(Timeline!$I$5:$I$305)*ISNUMBER(Timeline!$J$5:$J$305)*(Timeline!$I$5:$I$305&lt;=X$4+1)*(Timeline!$J$5:$J$305&gt;=X$4+1)),SUMPRODUCT((INDEX(Timeline!$P$5:$AN$305,0,MATCH($A17,Timeline!$P$4:$AN$4,0))="x")*(Timeline!$K$5:$K$305="Task")*ISNUMBER(Timeline!$I$5:$I$305)*ISNUMBER(Timeline!$J$5:$J$305)*(Timeline!$I$5:$I$305&lt;=X$4+2)*(Timeline!$J$5:$J$305&gt;=X$4+2)),SUMPRODUCT((INDEX(Timeline!$P$5:$AN$305,0,MATCH($A17,Timeline!$P$4:$AN$4,0))="x")*(Timeline!$K$5:$K$305="Task")*ISNUMBER(Timeline!$I$5:$I$305)*ISNUMBER(Timeline!$J$5:$J$305)*(Timeline!$I$5:$I$305&lt;=X$4+3)*(Timeline!$J$5:$J$305&gt;=X$4+3)),SUMPRODUCT((INDEX(Timeline!$P$5:$AN$305,0,MATCH($A17,Timeline!$P$4:$AN$4,0))="x")*(Timeline!$K$5:$K$305="Task")*ISNUMBER(Timeline!$I$5:$I$305)*ISNUMBER(Timeline!$J$5:$J$305)*(Timeline!$I$5:$I$305&lt;=X$4+4)*(Timeline!$J$5:$J$305&gt;=X$4+4)),SUMPRODUCT((INDEX(Timeline!$P$5:$AN$305,0,MATCH($A17,Timeline!$P$4:$AN$4,0))="x")*(Timeline!$K$5:$K$305="Task")*ISNUMBER(Timeline!$I$5:$I$305)*ISNUMBER(Timeline!$J$5:$J$305)*(Timeline!$I$5:$I$305&lt;=X$4+5)*(Timeline!$J$5:$J$305&gt;=X$4+5)),SUMPRODUCT((INDEX(Timeline!$P$5:$AN$305,0,MATCH($A17,Timeline!$P$4:$AN$4,0))="x")*(Timeline!$K$5:$K$305="Task")*ISNUMBER(Timeline!$I$5:$I$305)*ISNUMBER(Timeline!$J$5:$J$305)*(Timeline!$I$5:$I$305&lt;=X$4+6)*(Timeline!$J$5:$J$305&gt;=X$4+6)))</f>
        <v>1</v>
      </c>
      <c r="Y17" s="67">
        <f>MAX(SUMPRODUCT((INDEX(Timeline!$P$5:$AN$305,0,MATCH($A17,Timeline!$P$4:$AN$4,0))="x")*(Timeline!$K$5:$K$305="Task")*ISNUMBER(Timeline!$I$5:$I$305)*ISNUMBER(Timeline!$J$5:$J$305)*(Timeline!$I$5:$I$305&lt;=Y$4+0)*(Timeline!$J$5:$J$305&gt;=Y$4+0)),SUMPRODUCT((INDEX(Timeline!$P$5:$AN$305,0,MATCH($A17,Timeline!$P$4:$AN$4,0))="x")*(Timeline!$K$5:$K$305="Task")*ISNUMBER(Timeline!$I$5:$I$305)*ISNUMBER(Timeline!$J$5:$J$305)*(Timeline!$I$5:$I$305&lt;=Y$4+1)*(Timeline!$J$5:$J$305&gt;=Y$4+1)),SUMPRODUCT((INDEX(Timeline!$P$5:$AN$305,0,MATCH($A17,Timeline!$P$4:$AN$4,0))="x")*(Timeline!$K$5:$K$305="Task")*ISNUMBER(Timeline!$I$5:$I$305)*ISNUMBER(Timeline!$J$5:$J$305)*(Timeline!$I$5:$I$305&lt;=Y$4+2)*(Timeline!$J$5:$J$305&gt;=Y$4+2)),SUMPRODUCT((INDEX(Timeline!$P$5:$AN$305,0,MATCH($A17,Timeline!$P$4:$AN$4,0))="x")*(Timeline!$K$5:$K$305="Task")*ISNUMBER(Timeline!$I$5:$I$305)*ISNUMBER(Timeline!$J$5:$J$305)*(Timeline!$I$5:$I$305&lt;=Y$4+3)*(Timeline!$J$5:$J$305&gt;=Y$4+3)),SUMPRODUCT((INDEX(Timeline!$P$5:$AN$305,0,MATCH($A17,Timeline!$P$4:$AN$4,0))="x")*(Timeline!$K$5:$K$305="Task")*ISNUMBER(Timeline!$I$5:$I$305)*ISNUMBER(Timeline!$J$5:$J$305)*(Timeline!$I$5:$I$305&lt;=Y$4+4)*(Timeline!$J$5:$J$305&gt;=Y$4+4)),SUMPRODUCT((INDEX(Timeline!$P$5:$AN$305,0,MATCH($A17,Timeline!$P$4:$AN$4,0))="x")*(Timeline!$K$5:$K$305="Task")*ISNUMBER(Timeline!$I$5:$I$305)*ISNUMBER(Timeline!$J$5:$J$305)*(Timeline!$I$5:$I$305&lt;=Y$4+5)*(Timeline!$J$5:$J$305&gt;=Y$4+5)),SUMPRODUCT((INDEX(Timeline!$P$5:$AN$305,0,MATCH($A17,Timeline!$P$4:$AN$4,0))="x")*(Timeline!$K$5:$K$305="Task")*ISNUMBER(Timeline!$I$5:$I$305)*ISNUMBER(Timeline!$J$5:$J$305)*(Timeline!$I$5:$I$305&lt;=Y$4+6)*(Timeline!$J$5:$J$305&gt;=Y$4+6)))</f>
        <v>1</v>
      </c>
      <c r="Z17" s="67">
        <f>MAX(SUMPRODUCT((INDEX(Timeline!$P$5:$AN$305,0,MATCH($A17,Timeline!$P$4:$AN$4,0))="x")*(Timeline!$K$5:$K$305="Task")*ISNUMBER(Timeline!$I$5:$I$305)*ISNUMBER(Timeline!$J$5:$J$305)*(Timeline!$I$5:$I$305&lt;=Z$4+0)*(Timeline!$J$5:$J$305&gt;=Z$4+0)),SUMPRODUCT((INDEX(Timeline!$P$5:$AN$305,0,MATCH($A17,Timeline!$P$4:$AN$4,0))="x")*(Timeline!$K$5:$K$305="Task")*ISNUMBER(Timeline!$I$5:$I$305)*ISNUMBER(Timeline!$J$5:$J$305)*(Timeline!$I$5:$I$305&lt;=Z$4+1)*(Timeline!$J$5:$J$305&gt;=Z$4+1)),SUMPRODUCT((INDEX(Timeline!$P$5:$AN$305,0,MATCH($A17,Timeline!$P$4:$AN$4,0))="x")*(Timeline!$K$5:$K$305="Task")*ISNUMBER(Timeline!$I$5:$I$305)*ISNUMBER(Timeline!$J$5:$J$305)*(Timeline!$I$5:$I$305&lt;=Z$4+2)*(Timeline!$J$5:$J$305&gt;=Z$4+2)),SUMPRODUCT((INDEX(Timeline!$P$5:$AN$305,0,MATCH($A17,Timeline!$P$4:$AN$4,0))="x")*(Timeline!$K$5:$K$305="Task")*ISNUMBER(Timeline!$I$5:$I$305)*ISNUMBER(Timeline!$J$5:$J$305)*(Timeline!$I$5:$I$305&lt;=Z$4+3)*(Timeline!$J$5:$J$305&gt;=Z$4+3)),SUMPRODUCT((INDEX(Timeline!$P$5:$AN$305,0,MATCH($A17,Timeline!$P$4:$AN$4,0))="x")*(Timeline!$K$5:$K$305="Task")*ISNUMBER(Timeline!$I$5:$I$305)*ISNUMBER(Timeline!$J$5:$J$305)*(Timeline!$I$5:$I$305&lt;=Z$4+4)*(Timeline!$J$5:$J$305&gt;=Z$4+4)),SUMPRODUCT((INDEX(Timeline!$P$5:$AN$305,0,MATCH($A17,Timeline!$P$4:$AN$4,0))="x")*(Timeline!$K$5:$K$305="Task")*ISNUMBER(Timeline!$I$5:$I$305)*ISNUMBER(Timeline!$J$5:$J$305)*(Timeline!$I$5:$I$305&lt;=Z$4+5)*(Timeline!$J$5:$J$305&gt;=Z$4+5)),SUMPRODUCT((INDEX(Timeline!$P$5:$AN$305,0,MATCH($A17,Timeline!$P$4:$AN$4,0))="x")*(Timeline!$K$5:$K$305="Task")*ISNUMBER(Timeline!$I$5:$I$305)*ISNUMBER(Timeline!$J$5:$J$305)*(Timeline!$I$5:$I$305&lt;=Z$4+6)*(Timeline!$J$5:$J$305&gt;=Z$4+6)))</f>
        <v>1</v>
      </c>
      <c r="AA17" s="67">
        <f>MAX(SUMPRODUCT((INDEX(Timeline!$P$5:$AN$305,0,MATCH($A17,Timeline!$P$4:$AN$4,0))="x")*(Timeline!$K$5:$K$305="Task")*ISNUMBER(Timeline!$I$5:$I$305)*ISNUMBER(Timeline!$J$5:$J$305)*(Timeline!$I$5:$I$305&lt;=AA$4+0)*(Timeline!$J$5:$J$305&gt;=AA$4+0)),SUMPRODUCT((INDEX(Timeline!$P$5:$AN$305,0,MATCH($A17,Timeline!$P$4:$AN$4,0))="x")*(Timeline!$K$5:$K$305="Task")*ISNUMBER(Timeline!$I$5:$I$305)*ISNUMBER(Timeline!$J$5:$J$305)*(Timeline!$I$5:$I$305&lt;=AA$4+1)*(Timeline!$J$5:$J$305&gt;=AA$4+1)),SUMPRODUCT((INDEX(Timeline!$P$5:$AN$305,0,MATCH($A17,Timeline!$P$4:$AN$4,0))="x")*(Timeline!$K$5:$K$305="Task")*ISNUMBER(Timeline!$I$5:$I$305)*ISNUMBER(Timeline!$J$5:$J$305)*(Timeline!$I$5:$I$305&lt;=AA$4+2)*(Timeline!$J$5:$J$305&gt;=AA$4+2)),SUMPRODUCT((INDEX(Timeline!$P$5:$AN$305,0,MATCH($A17,Timeline!$P$4:$AN$4,0))="x")*(Timeline!$K$5:$K$305="Task")*ISNUMBER(Timeline!$I$5:$I$305)*ISNUMBER(Timeline!$J$5:$J$305)*(Timeline!$I$5:$I$305&lt;=AA$4+3)*(Timeline!$J$5:$J$305&gt;=AA$4+3)),SUMPRODUCT((INDEX(Timeline!$P$5:$AN$305,0,MATCH($A17,Timeline!$P$4:$AN$4,0))="x")*(Timeline!$K$5:$K$305="Task")*ISNUMBER(Timeline!$I$5:$I$305)*ISNUMBER(Timeline!$J$5:$J$305)*(Timeline!$I$5:$I$305&lt;=AA$4+4)*(Timeline!$J$5:$J$305&gt;=AA$4+4)),SUMPRODUCT((INDEX(Timeline!$P$5:$AN$305,0,MATCH($A17,Timeline!$P$4:$AN$4,0))="x")*(Timeline!$K$5:$K$305="Task")*ISNUMBER(Timeline!$I$5:$I$305)*ISNUMBER(Timeline!$J$5:$J$305)*(Timeline!$I$5:$I$305&lt;=AA$4+5)*(Timeline!$J$5:$J$305&gt;=AA$4+5)),SUMPRODUCT((INDEX(Timeline!$P$5:$AN$305,0,MATCH($A17,Timeline!$P$4:$AN$4,0))="x")*(Timeline!$K$5:$K$305="Task")*ISNUMBER(Timeline!$I$5:$I$305)*ISNUMBER(Timeline!$J$5:$J$305)*(Timeline!$I$5:$I$305&lt;=AA$4+6)*(Timeline!$J$5:$J$305&gt;=AA$4+6)))</f>
        <v>1</v>
      </c>
      <c r="AB17" s="67">
        <f>MAX(SUMPRODUCT((INDEX(Timeline!$P$5:$AN$305,0,MATCH($A17,Timeline!$P$4:$AN$4,0))="x")*(Timeline!$K$5:$K$305="Task")*ISNUMBER(Timeline!$I$5:$I$305)*ISNUMBER(Timeline!$J$5:$J$305)*(Timeline!$I$5:$I$305&lt;=AB$4+0)*(Timeline!$J$5:$J$305&gt;=AB$4+0)),SUMPRODUCT((INDEX(Timeline!$P$5:$AN$305,0,MATCH($A17,Timeline!$P$4:$AN$4,0))="x")*(Timeline!$K$5:$K$305="Task")*ISNUMBER(Timeline!$I$5:$I$305)*ISNUMBER(Timeline!$J$5:$J$305)*(Timeline!$I$5:$I$305&lt;=AB$4+1)*(Timeline!$J$5:$J$305&gt;=AB$4+1)),SUMPRODUCT((INDEX(Timeline!$P$5:$AN$305,0,MATCH($A17,Timeline!$P$4:$AN$4,0))="x")*(Timeline!$K$5:$K$305="Task")*ISNUMBER(Timeline!$I$5:$I$305)*ISNUMBER(Timeline!$J$5:$J$305)*(Timeline!$I$5:$I$305&lt;=AB$4+2)*(Timeline!$J$5:$J$305&gt;=AB$4+2)),SUMPRODUCT((INDEX(Timeline!$P$5:$AN$305,0,MATCH($A17,Timeline!$P$4:$AN$4,0))="x")*(Timeline!$K$5:$K$305="Task")*ISNUMBER(Timeline!$I$5:$I$305)*ISNUMBER(Timeline!$J$5:$J$305)*(Timeline!$I$5:$I$305&lt;=AB$4+3)*(Timeline!$J$5:$J$305&gt;=AB$4+3)),SUMPRODUCT((INDEX(Timeline!$P$5:$AN$305,0,MATCH($A17,Timeline!$P$4:$AN$4,0))="x")*(Timeline!$K$5:$K$305="Task")*ISNUMBER(Timeline!$I$5:$I$305)*ISNUMBER(Timeline!$J$5:$J$305)*(Timeline!$I$5:$I$305&lt;=AB$4+4)*(Timeline!$J$5:$J$305&gt;=AB$4+4)),SUMPRODUCT((INDEX(Timeline!$P$5:$AN$305,0,MATCH($A17,Timeline!$P$4:$AN$4,0))="x")*(Timeline!$K$5:$K$305="Task")*ISNUMBER(Timeline!$I$5:$I$305)*ISNUMBER(Timeline!$J$5:$J$305)*(Timeline!$I$5:$I$305&lt;=AB$4+5)*(Timeline!$J$5:$J$305&gt;=AB$4+5)),SUMPRODUCT((INDEX(Timeline!$P$5:$AN$305,0,MATCH($A17,Timeline!$P$4:$AN$4,0))="x")*(Timeline!$K$5:$K$305="Task")*ISNUMBER(Timeline!$I$5:$I$305)*ISNUMBER(Timeline!$J$5:$J$305)*(Timeline!$I$5:$I$305&lt;=AB$4+6)*(Timeline!$J$5:$J$305&gt;=AB$4+6)))</f>
        <v>0</v>
      </c>
      <c r="AC17" s="67">
        <f>MAX(SUMPRODUCT((INDEX(Timeline!$P$5:$AN$305,0,MATCH($A17,Timeline!$P$4:$AN$4,0))="x")*(Timeline!$K$5:$K$305="Task")*ISNUMBER(Timeline!$I$5:$I$305)*ISNUMBER(Timeline!$J$5:$J$305)*(Timeline!$I$5:$I$305&lt;=AC$4+0)*(Timeline!$J$5:$J$305&gt;=AC$4+0)),SUMPRODUCT((INDEX(Timeline!$P$5:$AN$305,0,MATCH($A17,Timeline!$P$4:$AN$4,0))="x")*(Timeline!$K$5:$K$305="Task")*ISNUMBER(Timeline!$I$5:$I$305)*ISNUMBER(Timeline!$J$5:$J$305)*(Timeline!$I$5:$I$305&lt;=AC$4+1)*(Timeline!$J$5:$J$305&gt;=AC$4+1)),SUMPRODUCT((INDEX(Timeline!$P$5:$AN$305,0,MATCH($A17,Timeline!$P$4:$AN$4,0))="x")*(Timeline!$K$5:$K$305="Task")*ISNUMBER(Timeline!$I$5:$I$305)*ISNUMBER(Timeline!$J$5:$J$305)*(Timeline!$I$5:$I$305&lt;=AC$4+2)*(Timeline!$J$5:$J$305&gt;=AC$4+2)),SUMPRODUCT((INDEX(Timeline!$P$5:$AN$305,0,MATCH($A17,Timeline!$P$4:$AN$4,0))="x")*(Timeline!$K$5:$K$305="Task")*ISNUMBER(Timeline!$I$5:$I$305)*ISNUMBER(Timeline!$J$5:$J$305)*(Timeline!$I$5:$I$305&lt;=AC$4+3)*(Timeline!$J$5:$J$305&gt;=AC$4+3)),SUMPRODUCT((INDEX(Timeline!$P$5:$AN$305,0,MATCH($A17,Timeline!$P$4:$AN$4,0))="x")*(Timeline!$K$5:$K$305="Task")*ISNUMBER(Timeline!$I$5:$I$305)*ISNUMBER(Timeline!$J$5:$J$305)*(Timeline!$I$5:$I$305&lt;=AC$4+4)*(Timeline!$J$5:$J$305&gt;=AC$4+4)),SUMPRODUCT((INDEX(Timeline!$P$5:$AN$305,0,MATCH($A17,Timeline!$P$4:$AN$4,0))="x")*(Timeline!$K$5:$K$305="Task")*ISNUMBER(Timeline!$I$5:$I$305)*ISNUMBER(Timeline!$J$5:$J$305)*(Timeline!$I$5:$I$305&lt;=AC$4+5)*(Timeline!$J$5:$J$305&gt;=AC$4+5)),SUMPRODUCT((INDEX(Timeline!$P$5:$AN$305,0,MATCH($A17,Timeline!$P$4:$AN$4,0))="x")*(Timeline!$K$5:$K$305="Task")*ISNUMBER(Timeline!$I$5:$I$305)*ISNUMBER(Timeline!$J$5:$J$305)*(Timeline!$I$5:$I$305&lt;=AC$4+6)*(Timeline!$J$5:$J$305&gt;=AC$4+6)))</f>
        <v>0</v>
      </c>
      <c r="AD17" s="67">
        <f>MAX(SUMPRODUCT((INDEX(Timeline!$P$5:$AN$305,0,MATCH($A17,Timeline!$P$4:$AN$4,0))="x")*(Timeline!$K$5:$K$305="Task")*ISNUMBER(Timeline!$I$5:$I$305)*ISNUMBER(Timeline!$J$5:$J$305)*(Timeline!$I$5:$I$305&lt;=AD$4+0)*(Timeline!$J$5:$J$305&gt;=AD$4+0)),SUMPRODUCT((INDEX(Timeline!$P$5:$AN$305,0,MATCH($A17,Timeline!$P$4:$AN$4,0))="x")*(Timeline!$K$5:$K$305="Task")*ISNUMBER(Timeline!$I$5:$I$305)*ISNUMBER(Timeline!$J$5:$J$305)*(Timeline!$I$5:$I$305&lt;=AD$4+1)*(Timeline!$J$5:$J$305&gt;=AD$4+1)),SUMPRODUCT((INDEX(Timeline!$P$5:$AN$305,0,MATCH($A17,Timeline!$P$4:$AN$4,0))="x")*(Timeline!$K$5:$K$305="Task")*ISNUMBER(Timeline!$I$5:$I$305)*ISNUMBER(Timeline!$J$5:$J$305)*(Timeline!$I$5:$I$305&lt;=AD$4+2)*(Timeline!$J$5:$J$305&gt;=AD$4+2)),SUMPRODUCT((INDEX(Timeline!$P$5:$AN$305,0,MATCH($A17,Timeline!$P$4:$AN$4,0))="x")*(Timeline!$K$5:$K$305="Task")*ISNUMBER(Timeline!$I$5:$I$305)*ISNUMBER(Timeline!$J$5:$J$305)*(Timeline!$I$5:$I$305&lt;=AD$4+3)*(Timeline!$J$5:$J$305&gt;=AD$4+3)),SUMPRODUCT((INDEX(Timeline!$P$5:$AN$305,0,MATCH($A17,Timeline!$P$4:$AN$4,0))="x")*(Timeline!$K$5:$K$305="Task")*ISNUMBER(Timeline!$I$5:$I$305)*ISNUMBER(Timeline!$J$5:$J$305)*(Timeline!$I$5:$I$305&lt;=AD$4+4)*(Timeline!$J$5:$J$305&gt;=AD$4+4)),SUMPRODUCT((INDEX(Timeline!$P$5:$AN$305,0,MATCH($A17,Timeline!$P$4:$AN$4,0))="x")*(Timeline!$K$5:$K$305="Task")*ISNUMBER(Timeline!$I$5:$I$305)*ISNUMBER(Timeline!$J$5:$J$305)*(Timeline!$I$5:$I$305&lt;=AD$4+5)*(Timeline!$J$5:$J$305&gt;=AD$4+5)),SUMPRODUCT((INDEX(Timeline!$P$5:$AN$305,0,MATCH($A17,Timeline!$P$4:$AN$4,0))="x")*(Timeline!$K$5:$K$305="Task")*ISNUMBER(Timeline!$I$5:$I$305)*ISNUMBER(Timeline!$J$5:$J$305)*(Timeline!$I$5:$I$305&lt;=AD$4+6)*(Timeline!$J$5:$J$305&gt;=AD$4+6)))</f>
        <v>0</v>
      </c>
      <c r="AE17" s="67">
        <f>MAX(SUMPRODUCT((INDEX(Timeline!$P$5:$AN$305,0,MATCH($A17,Timeline!$P$4:$AN$4,0))="x")*(Timeline!$K$5:$K$305="Task")*ISNUMBER(Timeline!$I$5:$I$305)*ISNUMBER(Timeline!$J$5:$J$305)*(Timeline!$I$5:$I$305&lt;=AE$4+0)*(Timeline!$J$5:$J$305&gt;=AE$4+0)),SUMPRODUCT((INDEX(Timeline!$P$5:$AN$305,0,MATCH($A17,Timeline!$P$4:$AN$4,0))="x")*(Timeline!$K$5:$K$305="Task")*ISNUMBER(Timeline!$I$5:$I$305)*ISNUMBER(Timeline!$J$5:$J$305)*(Timeline!$I$5:$I$305&lt;=AE$4+1)*(Timeline!$J$5:$J$305&gt;=AE$4+1)),SUMPRODUCT((INDEX(Timeline!$P$5:$AN$305,0,MATCH($A17,Timeline!$P$4:$AN$4,0))="x")*(Timeline!$K$5:$K$305="Task")*ISNUMBER(Timeline!$I$5:$I$305)*ISNUMBER(Timeline!$J$5:$J$305)*(Timeline!$I$5:$I$305&lt;=AE$4+2)*(Timeline!$J$5:$J$305&gt;=AE$4+2)),SUMPRODUCT((INDEX(Timeline!$P$5:$AN$305,0,MATCH($A17,Timeline!$P$4:$AN$4,0))="x")*(Timeline!$K$5:$K$305="Task")*ISNUMBER(Timeline!$I$5:$I$305)*ISNUMBER(Timeline!$J$5:$J$305)*(Timeline!$I$5:$I$305&lt;=AE$4+3)*(Timeline!$J$5:$J$305&gt;=AE$4+3)),SUMPRODUCT((INDEX(Timeline!$P$5:$AN$305,0,MATCH($A17,Timeline!$P$4:$AN$4,0))="x")*(Timeline!$K$5:$K$305="Task")*ISNUMBER(Timeline!$I$5:$I$305)*ISNUMBER(Timeline!$J$5:$J$305)*(Timeline!$I$5:$I$305&lt;=AE$4+4)*(Timeline!$J$5:$J$305&gt;=AE$4+4)),SUMPRODUCT((INDEX(Timeline!$P$5:$AN$305,0,MATCH($A17,Timeline!$P$4:$AN$4,0))="x")*(Timeline!$K$5:$K$305="Task")*ISNUMBER(Timeline!$I$5:$I$305)*ISNUMBER(Timeline!$J$5:$J$305)*(Timeline!$I$5:$I$305&lt;=AE$4+5)*(Timeline!$J$5:$J$305&gt;=AE$4+5)),SUMPRODUCT((INDEX(Timeline!$P$5:$AN$305,0,MATCH($A17,Timeline!$P$4:$AN$4,0))="x")*(Timeline!$K$5:$K$305="Task")*ISNUMBER(Timeline!$I$5:$I$305)*ISNUMBER(Timeline!$J$5:$J$305)*(Timeline!$I$5:$I$305&lt;=AE$4+6)*(Timeline!$J$5:$J$305&gt;=AE$4+6)))</f>
        <v>0</v>
      </c>
      <c r="AF17" s="67">
        <f>MAX(SUMPRODUCT((INDEX(Timeline!$P$5:$AN$305,0,MATCH($A17,Timeline!$P$4:$AN$4,0))="x")*(Timeline!$K$5:$K$305="Task")*ISNUMBER(Timeline!$I$5:$I$305)*ISNUMBER(Timeline!$J$5:$J$305)*(Timeline!$I$5:$I$305&lt;=AF$4+0)*(Timeline!$J$5:$J$305&gt;=AF$4+0)),SUMPRODUCT((INDEX(Timeline!$P$5:$AN$305,0,MATCH($A17,Timeline!$P$4:$AN$4,0))="x")*(Timeline!$K$5:$K$305="Task")*ISNUMBER(Timeline!$I$5:$I$305)*ISNUMBER(Timeline!$J$5:$J$305)*(Timeline!$I$5:$I$305&lt;=AF$4+1)*(Timeline!$J$5:$J$305&gt;=AF$4+1)),SUMPRODUCT((INDEX(Timeline!$P$5:$AN$305,0,MATCH($A17,Timeline!$P$4:$AN$4,0))="x")*(Timeline!$K$5:$K$305="Task")*ISNUMBER(Timeline!$I$5:$I$305)*ISNUMBER(Timeline!$J$5:$J$305)*(Timeline!$I$5:$I$305&lt;=AF$4+2)*(Timeline!$J$5:$J$305&gt;=AF$4+2)),SUMPRODUCT((INDEX(Timeline!$P$5:$AN$305,0,MATCH($A17,Timeline!$P$4:$AN$4,0))="x")*(Timeline!$K$5:$K$305="Task")*ISNUMBER(Timeline!$I$5:$I$305)*ISNUMBER(Timeline!$J$5:$J$305)*(Timeline!$I$5:$I$305&lt;=AF$4+3)*(Timeline!$J$5:$J$305&gt;=AF$4+3)),SUMPRODUCT((INDEX(Timeline!$P$5:$AN$305,0,MATCH($A17,Timeline!$P$4:$AN$4,0))="x")*(Timeline!$K$5:$K$305="Task")*ISNUMBER(Timeline!$I$5:$I$305)*ISNUMBER(Timeline!$J$5:$J$305)*(Timeline!$I$5:$I$305&lt;=AF$4+4)*(Timeline!$J$5:$J$305&gt;=AF$4+4)),SUMPRODUCT((INDEX(Timeline!$P$5:$AN$305,0,MATCH($A17,Timeline!$P$4:$AN$4,0))="x")*(Timeline!$K$5:$K$305="Task")*ISNUMBER(Timeline!$I$5:$I$305)*ISNUMBER(Timeline!$J$5:$J$305)*(Timeline!$I$5:$I$305&lt;=AF$4+5)*(Timeline!$J$5:$J$305&gt;=AF$4+5)),SUMPRODUCT((INDEX(Timeline!$P$5:$AN$305,0,MATCH($A17,Timeline!$P$4:$AN$4,0))="x")*(Timeline!$K$5:$K$305="Task")*ISNUMBER(Timeline!$I$5:$I$305)*ISNUMBER(Timeline!$J$5:$J$305)*(Timeline!$I$5:$I$305&lt;=AF$4+6)*(Timeline!$J$5:$J$305&gt;=AF$4+6)))</f>
        <v>1</v>
      </c>
      <c r="AG17" s="67">
        <f>MAX(SUMPRODUCT((INDEX(Timeline!$P$5:$AN$305,0,MATCH($A17,Timeline!$P$4:$AN$4,0))="x")*(Timeline!$K$5:$K$305="Task")*ISNUMBER(Timeline!$I$5:$I$305)*ISNUMBER(Timeline!$J$5:$J$305)*(Timeline!$I$5:$I$305&lt;=AG$4+0)*(Timeline!$J$5:$J$305&gt;=AG$4+0)),SUMPRODUCT((INDEX(Timeline!$P$5:$AN$305,0,MATCH($A17,Timeline!$P$4:$AN$4,0))="x")*(Timeline!$K$5:$K$305="Task")*ISNUMBER(Timeline!$I$5:$I$305)*ISNUMBER(Timeline!$J$5:$J$305)*(Timeline!$I$5:$I$305&lt;=AG$4+1)*(Timeline!$J$5:$J$305&gt;=AG$4+1)),SUMPRODUCT((INDEX(Timeline!$P$5:$AN$305,0,MATCH($A17,Timeline!$P$4:$AN$4,0))="x")*(Timeline!$K$5:$K$305="Task")*ISNUMBER(Timeline!$I$5:$I$305)*ISNUMBER(Timeline!$J$5:$J$305)*(Timeline!$I$5:$I$305&lt;=AG$4+2)*(Timeline!$J$5:$J$305&gt;=AG$4+2)),SUMPRODUCT((INDEX(Timeline!$P$5:$AN$305,0,MATCH($A17,Timeline!$P$4:$AN$4,0))="x")*(Timeline!$K$5:$K$305="Task")*ISNUMBER(Timeline!$I$5:$I$305)*ISNUMBER(Timeline!$J$5:$J$305)*(Timeline!$I$5:$I$305&lt;=AG$4+3)*(Timeline!$J$5:$J$305&gt;=AG$4+3)),SUMPRODUCT((INDEX(Timeline!$P$5:$AN$305,0,MATCH($A17,Timeline!$P$4:$AN$4,0))="x")*(Timeline!$K$5:$K$305="Task")*ISNUMBER(Timeline!$I$5:$I$305)*ISNUMBER(Timeline!$J$5:$J$305)*(Timeline!$I$5:$I$305&lt;=AG$4+4)*(Timeline!$J$5:$J$305&gt;=AG$4+4)),SUMPRODUCT((INDEX(Timeline!$P$5:$AN$305,0,MATCH($A17,Timeline!$P$4:$AN$4,0))="x")*(Timeline!$K$5:$K$305="Task")*ISNUMBER(Timeline!$I$5:$I$305)*ISNUMBER(Timeline!$J$5:$J$305)*(Timeline!$I$5:$I$305&lt;=AG$4+5)*(Timeline!$J$5:$J$305&gt;=AG$4+5)),SUMPRODUCT((INDEX(Timeline!$P$5:$AN$305,0,MATCH($A17,Timeline!$P$4:$AN$4,0))="x")*(Timeline!$K$5:$K$305="Task")*ISNUMBER(Timeline!$I$5:$I$305)*ISNUMBER(Timeline!$J$5:$J$305)*(Timeline!$I$5:$I$305&lt;=AG$4+6)*(Timeline!$J$5:$J$305&gt;=AG$4+6)))</f>
        <v>0</v>
      </c>
      <c r="AH17" s="67">
        <f>MAX(SUMPRODUCT((INDEX(Timeline!$P$5:$AN$305,0,MATCH($A17,Timeline!$P$4:$AN$4,0))="x")*(Timeline!$K$5:$K$305="Task")*ISNUMBER(Timeline!$I$5:$I$305)*ISNUMBER(Timeline!$J$5:$J$305)*(Timeline!$I$5:$I$305&lt;=AH$4+0)*(Timeline!$J$5:$J$305&gt;=AH$4+0)),SUMPRODUCT((INDEX(Timeline!$P$5:$AN$305,0,MATCH($A17,Timeline!$P$4:$AN$4,0))="x")*(Timeline!$K$5:$K$305="Task")*ISNUMBER(Timeline!$I$5:$I$305)*ISNUMBER(Timeline!$J$5:$J$305)*(Timeline!$I$5:$I$305&lt;=AH$4+1)*(Timeline!$J$5:$J$305&gt;=AH$4+1)),SUMPRODUCT((INDEX(Timeline!$P$5:$AN$305,0,MATCH($A17,Timeline!$P$4:$AN$4,0))="x")*(Timeline!$K$5:$K$305="Task")*ISNUMBER(Timeline!$I$5:$I$305)*ISNUMBER(Timeline!$J$5:$J$305)*(Timeline!$I$5:$I$305&lt;=AH$4+2)*(Timeline!$J$5:$J$305&gt;=AH$4+2)),SUMPRODUCT((INDEX(Timeline!$P$5:$AN$305,0,MATCH($A17,Timeline!$P$4:$AN$4,0))="x")*(Timeline!$K$5:$K$305="Task")*ISNUMBER(Timeline!$I$5:$I$305)*ISNUMBER(Timeline!$J$5:$J$305)*(Timeline!$I$5:$I$305&lt;=AH$4+3)*(Timeline!$J$5:$J$305&gt;=AH$4+3)),SUMPRODUCT((INDEX(Timeline!$P$5:$AN$305,0,MATCH($A17,Timeline!$P$4:$AN$4,0))="x")*(Timeline!$K$5:$K$305="Task")*ISNUMBER(Timeline!$I$5:$I$305)*ISNUMBER(Timeline!$J$5:$J$305)*(Timeline!$I$5:$I$305&lt;=AH$4+4)*(Timeline!$J$5:$J$305&gt;=AH$4+4)),SUMPRODUCT((INDEX(Timeline!$P$5:$AN$305,0,MATCH($A17,Timeline!$P$4:$AN$4,0))="x")*(Timeline!$K$5:$K$305="Task")*ISNUMBER(Timeline!$I$5:$I$305)*ISNUMBER(Timeline!$J$5:$J$305)*(Timeline!$I$5:$I$305&lt;=AH$4+5)*(Timeline!$J$5:$J$305&gt;=AH$4+5)),SUMPRODUCT((INDEX(Timeline!$P$5:$AN$305,0,MATCH($A17,Timeline!$P$4:$AN$4,0))="x")*(Timeline!$K$5:$K$305="Task")*ISNUMBER(Timeline!$I$5:$I$305)*ISNUMBER(Timeline!$J$5:$J$305)*(Timeline!$I$5:$I$305&lt;=AH$4+6)*(Timeline!$J$5:$J$305&gt;=AH$4+6)))</f>
        <v>0</v>
      </c>
      <c r="AI17" s="67">
        <f>MAX(SUMPRODUCT((INDEX(Timeline!$P$5:$AN$305,0,MATCH($A17,Timeline!$P$4:$AN$4,0))="x")*(Timeline!$K$5:$K$305="Task")*ISNUMBER(Timeline!$I$5:$I$305)*ISNUMBER(Timeline!$J$5:$J$305)*(Timeline!$I$5:$I$305&lt;=AI$4+0)*(Timeline!$J$5:$J$305&gt;=AI$4+0)),SUMPRODUCT((INDEX(Timeline!$P$5:$AN$305,0,MATCH($A17,Timeline!$P$4:$AN$4,0))="x")*(Timeline!$K$5:$K$305="Task")*ISNUMBER(Timeline!$I$5:$I$305)*ISNUMBER(Timeline!$J$5:$J$305)*(Timeline!$I$5:$I$305&lt;=AI$4+1)*(Timeline!$J$5:$J$305&gt;=AI$4+1)),SUMPRODUCT((INDEX(Timeline!$P$5:$AN$305,0,MATCH($A17,Timeline!$P$4:$AN$4,0))="x")*(Timeline!$K$5:$K$305="Task")*ISNUMBER(Timeline!$I$5:$I$305)*ISNUMBER(Timeline!$J$5:$J$305)*(Timeline!$I$5:$I$305&lt;=AI$4+2)*(Timeline!$J$5:$J$305&gt;=AI$4+2)),SUMPRODUCT((INDEX(Timeline!$P$5:$AN$305,0,MATCH($A17,Timeline!$P$4:$AN$4,0))="x")*(Timeline!$K$5:$K$305="Task")*ISNUMBER(Timeline!$I$5:$I$305)*ISNUMBER(Timeline!$J$5:$J$305)*(Timeline!$I$5:$I$305&lt;=AI$4+3)*(Timeline!$J$5:$J$305&gt;=AI$4+3)),SUMPRODUCT((INDEX(Timeline!$P$5:$AN$305,0,MATCH($A17,Timeline!$P$4:$AN$4,0))="x")*(Timeline!$K$5:$K$305="Task")*ISNUMBER(Timeline!$I$5:$I$305)*ISNUMBER(Timeline!$J$5:$J$305)*(Timeline!$I$5:$I$305&lt;=AI$4+4)*(Timeline!$J$5:$J$305&gt;=AI$4+4)),SUMPRODUCT((INDEX(Timeline!$P$5:$AN$305,0,MATCH($A17,Timeline!$P$4:$AN$4,0))="x")*(Timeline!$K$5:$K$305="Task")*ISNUMBER(Timeline!$I$5:$I$305)*ISNUMBER(Timeline!$J$5:$J$305)*(Timeline!$I$5:$I$305&lt;=AI$4+5)*(Timeline!$J$5:$J$305&gt;=AI$4+5)),SUMPRODUCT((INDEX(Timeline!$P$5:$AN$305,0,MATCH($A17,Timeline!$P$4:$AN$4,0))="x")*(Timeline!$K$5:$K$305="Task")*ISNUMBER(Timeline!$I$5:$I$305)*ISNUMBER(Timeline!$J$5:$J$305)*(Timeline!$I$5:$I$305&lt;=AI$4+6)*(Timeline!$J$5:$J$305&gt;=AI$4+6)))</f>
        <v>1</v>
      </c>
      <c r="AJ17" s="67">
        <f>MAX(SUMPRODUCT((INDEX(Timeline!$P$5:$AN$305,0,MATCH($A17,Timeline!$P$4:$AN$4,0))="x")*(Timeline!$K$5:$K$305="Task")*ISNUMBER(Timeline!$I$5:$I$305)*ISNUMBER(Timeline!$J$5:$J$305)*(Timeline!$I$5:$I$305&lt;=AJ$4+0)*(Timeline!$J$5:$J$305&gt;=AJ$4+0)),SUMPRODUCT((INDEX(Timeline!$P$5:$AN$305,0,MATCH($A17,Timeline!$P$4:$AN$4,0))="x")*(Timeline!$K$5:$K$305="Task")*ISNUMBER(Timeline!$I$5:$I$305)*ISNUMBER(Timeline!$J$5:$J$305)*(Timeline!$I$5:$I$305&lt;=AJ$4+1)*(Timeline!$J$5:$J$305&gt;=AJ$4+1)),SUMPRODUCT((INDEX(Timeline!$P$5:$AN$305,0,MATCH($A17,Timeline!$P$4:$AN$4,0))="x")*(Timeline!$K$5:$K$305="Task")*ISNUMBER(Timeline!$I$5:$I$305)*ISNUMBER(Timeline!$J$5:$J$305)*(Timeline!$I$5:$I$305&lt;=AJ$4+2)*(Timeline!$J$5:$J$305&gt;=AJ$4+2)),SUMPRODUCT((INDEX(Timeline!$P$5:$AN$305,0,MATCH($A17,Timeline!$P$4:$AN$4,0))="x")*(Timeline!$K$5:$K$305="Task")*ISNUMBER(Timeline!$I$5:$I$305)*ISNUMBER(Timeline!$J$5:$J$305)*(Timeline!$I$5:$I$305&lt;=AJ$4+3)*(Timeline!$J$5:$J$305&gt;=AJ$4+3)),SUMPRODUCT((INDEX(Timeline!$P$5:$AN$305,0,MATCH($A17,Timeline!$P$4:$AN$4,0))="x")*(Timeline!$K$5:$K$305="Task")*ISNUMBER(Timeline!$I$5:$I$305)*ISNUMBER(Timeline!$J$5:$J$305)*(Timeline!$I$5:$I$305&lt;=AJ$4+4)*(Timeline!$J$5:$J$305&gt;=AJ$4+4)),SUMPRODUCT((INDEX(Timeline!$P$5:$AN$305,0,MATCH($A17,Timeline!$P$4:$AN$4,0))="x")*(Timeline!$K$5:$K$305="Task")*ISNUMBER(Timeline!$I$5:$I$305)*ISNUMBER(Timeline!$J$5:$J$305)*(Timeline!$I$5:$I$305&lt;=AJ$4+5)*(Timeline!$J$5:$J$305&gt;=AJ$4+5)),SUMPRODUCT((INDEX(Timeline!$P$5:$AN$305,0,MATCH($A17,Timeline!$P$4:$AN$4,0))="x")*(Timeline!$K$5:$K$305="Task")*ISNUMBER(Timeline!$I$5:$I$305)*ISNUMBER(Timeline!$J$5:$J$305)*(Timeline!$I$5:$I$305&lt;=AJ$4+6)*(Timeline!$J$5:$J$305&gt;=AJ$4+6)))</f>
        <v>0</v>
      </c>
      <c r="AK17" s="67">
        <f>MAX(SUMPRODUCT((INDEX(Timeline!$P$5:$AN$305,0,MATCH($A17,Timeline!$P$4:$AN$4,0))="x")*(Timeline!$K$5:$K$305="Task")*ISNUMBER(Timeline!$I$5:$I$305)*ISNUMBER(Timeline!$J$5:$J$305)*(Timeline!$I$5:$I$305&lt;=AK$4+0)*(Timeline!$J$5:$J$305&gt;=AK$4+0)),SUMPRODUCT((INDEX(Timeline!$P$5:$AN$305,0,MATCH($A17,Timeline!$P$4:$AN$4,0))="x")*(Timeline!$K$5:$K$305="Task")*ISNUMBER(Timeline!$I$5:$I$305)*ISNUMBER(Timeline!$J$5:$J$305)*(Timeline!$I$5:$I$305&lt;=AK$4+1)*(Timeline!$J$5:$J$305&gt;=AK$4+1)),SUMPRODUCT((INDEX(Timeline!$P$5:$AN$305,0,MATCH($A17,Timeline!$P$4:$AN$4,0))="x")*(Timeline!$K$5:$K$305="Task")*ISNUMBER(Timeline!$I$5:$I$305)*ISNUMBER(Timeline!$J$5:$J$305)*(Timeline!$I$5:$I$305&lt;=AK$4+2)*(Timeline!$J$5:$J$305&gt;=AK$4+2)),SUMPRODUCT((INDEX(Timeline!$P$5:$AN$305,0,MATCH($A17,Timeline!$P$4:$AN$4,0))="x")*(Timeline!$K$5:$K$305="Task")*ISNUMBER(Timeline!$I$5:$I$305)*ISNUMBER(Timeline!$J$5:$J$305)*(Timeline!$I$5:$I$305&lt;=AK$4+3)*(Timeline!$J$5:$J$305&gt;=AK$4+3)),SUMPRODUCT((INDEX(Timeline!$P$5:$AN$305,0,MATCH($A17,Timeline!$P$4:$AN$4,0))="x")*(Timeline!$K$5:$K$305="Task")*ISNUMBER(Timeline!$I$5:$I$305)*ISNUMBER(Timeline!$J$5:$J$305)*(Timeline!$I$5:$I$305&lt;=AK$4+4)*(Timeline!$J$5:$J$305&gt;=AK$4+4)),SUMPRODUCT((INDEX(Timeline!$P$5:$AN$305,0,MATCH($A17,Timeline!$P$4:$AN$4,0))="x")*(Timeline!$K$5:$K$305="Task")*ISNUMBER(Timeline!$I$5:$I$305)*ISNUMBER(Timeline!$J$5:$J$305)*(Timeline!$I$5:$I$305&lt;=AK$4+5)*(Timeline!$J$5:$J$305&gt;=AK$4+5)),SUMPRODUCT((INDEX(Timeline!$P$5:$AN$305,0,MATCH($A17,Timeline!$P$4:$AN$4,0))="x")*(Timeline!$K$5:$K$305="Task")*ISNUMBER(Timeline!$I$5:$I$305)*ISNUMBER(Timeline!$J$5:$J$305)*(Timeline!$I$5:$I$305&lt;=AK$4+6)*(Timeline!$J$5:$J$305&gt;=AK$4+6)))</f>
        <v>0</v>
      </c>
      <c r="AL17" s="67">
        <f>MAX(SUMPRODUCT((INDEX(Timeline!$P$5:$AN$305,0,MATCH($A17,Timeline!$P$4:$AN$4,0))="x")*(Timeline!$K$5:$K$305="Task")*ISNUMBER(Timeline!$I$5:$I$305)*ISNUMBER(Timeline!$J$5:$J$305)*(Timeline!$I$5:$I$305&lt;=AL$4+0)*(Timeline!$J$5:$J$305&gt;=AL$4+0)),SUMPRODUCT((INDEX(Timeline!$P$5:$AN$305,0,MATCH($A17,Timeline!$P$4:$AN$4,0))="x")*(Timeline!$K$5:$K$305="Task")*ISNUMBER(Timeline!$I$5:$I$305)*ISNUMBER(Timeline!$J$5:$J$305)*(Timeline!$I$5:$I$305&lt;=AL$4+1)*(Timeline!$J$5:$J$305&gt;=AL$4+1)),SUMPRODUCT((INDEX(Timeline!$P$5:$AN$305,0,MATCH($A17,Timeline!$P$4:$AN$4,0))="x")*(Timeline!$K$5:$K$305="Task")*ISNUMBER(Timeline!$I$5:$I$305)*ISNUMBER(Timeline!$J$5:$J$305)*(Timeline!$I$5:$I$305&lt;=AL$4+2)*(Timeline!$J$5:$J$305&gt;=AL$4+2)),SUMPRODUCT((INDEX(Timeline!$P$5:$AN$305,0,MATCH($A17,Timeline!$P$4:$AN$4,0))="x")*(Timeline!$K$5:$K$305="Task")*ISNUMBER(Timeline!$I$5:$I$305)*ISNUMBER(Timeline!$J$5:$J$305)*(Timeline!$I$5:$I$305&lt;=AL$4+3)*(Timeline!$J$5:$J$305&gt;=AL$4+3)),SUMPRODUCT((INDEX(Timeline!$P$5:$AN$305,0,MATCH($A17,Timeline!$P$4:$AN$4,0))="x")*(Timeline!$K$5:$K$305="Task")*ISNUMBER(Timeline!$I$5:$I$305)*ISNUMBER(Timeline!$J$5:$J$305)*(Timeline!$I$5:$I$305&lt;=AL$4+4)*(Timeline!$J$5:$J$305&gt;=AL$4+4)),SUMPRODUCT((INDEX(Timeline!$P$5:$AN$305,0,MATCH($A17,Timeline!$P$4:$AN$4,0))="x")*(Timeline!$K$5:$K$305="Task")*ISNUMBER(Timeline!$I$5:$I$305)*ISNUMBER(Timeline!$J$5:$J$305)*(Timeline!$I$5:$I$305&lt;=AL$4+5)*(Timeline!$J$5:$J$305&gt;=AL$4+5)),SUMPRODUCT((INDEX(Timeline!$P$5:$AN$305,0,MATCH($A17,Timeline!$P$4:$AN$4,0))="x")*(Timeline!$K$5:$K$305="Task")*ISNUMBER(Timeline!$I$5:$I$305)*ISNUMBER(Timeline!$J$5:$J$305)*(Timeline!$I$5:$I$305&lt;=AL$4+6)*(Timeline!$J$5:$J$305&gt;=AL$4+6)))</f>
        <v>0</v>
      </c>
      <c r="AM17" s="67">
        <f>MAX(SUMPRODUCT((INDEX(Timeline!$P$5:$AN$305,0,MATCH($A17,Timeline!$P$4:$AN$4,0))="x")*(Timeline!$K$5:$K$305="Task")*ISNUMBER(Timeline!$I$5:$I$305)*ISNUMBER(Timeline!$J$5:$J$305)*(Timeline!$I$5:$I$305&lt;=AM$4+0)*(Timeline!$J$5:$J$305&gt;=AM$4+0)),SUMPRODUCT((INDEX(Timeline!$P$5:$AN$305,0,MATCH($A17,Timeline!$P$4:$AN$4,0))="x")*(Timeline!$K$5:$K$305="Task")*ISNUMBER(Timeline!$I$5:$I$305)*ISNUMBER(Timeline!$J$5:$J$305)*(Timeline!$I$5:$I$305&lt;=AM$4+1)*(Timeline!$J$5:$J$305&gt;=AM$4+1)),SUMPRODUCT((INDEX(Timeline!$P$5:$AN$305,0,MATCH($A17,Timeline!$P$4:$AN$4,0))="x")*(Timeline!$K$5:$K$305="Task")*ISNUMBER(Timeline!$I$5:$I$305)*ISNUMBER(Timeline!$J$5:$J$305)*(Timeline!$I$5:$I$305&lt;=AM$4+2)*(Timeline!$J$5:$J$305&gt;=AM$4+2)),SUMPRODUCT((INDEX(Timeline!$P$5:$AN$305,0,MATCH($A17,Timeline!$P$4:$AN$4,0))="x")*(Timeline!$K$5:$K$305="Task")*ISNUMBER(Timeline!$I$5:$I$305)*ISNUMBER(Timeline!$J$5:$J$305)*(Timeline!$I$5:$I$305&lt;=AM$4+3)*(Timeline!$J$5:$J$305&gt;=AM$4+3)),SUMPRODUCT((INDEX(Timeline!$P$5:$AN$305,0,MATCH($A17,Timeline!$P$4:$AN$4,0))="x")*(Timeline!$K$5:$K$305="Task")*ISNUMBER(Timeline!$I$5:$I$305)*ISNUMBER(Timeline!$J$5:$J$305)*(Timeline!$I$5:$I$305&lt;=AM$4+4)*(Timeline!$J$5:$J$305&gt;=AM$4+4)),SUMPRODUCT((INDEX(Timeline!$P$5:$AN$305,0,MATCH($A17,Timeline!$P$4:$AN$4,0))="x")*(Timeline!$K$5:$K$305="Task")*ISNUMBER(Timeline!$I$5:$I$305)*ISNUMBER(Timeline!$J$5:$J$305)*(Timeline!$I$5:$I$305&lt;=AM$4+5)*(Timeline!$J$5:$J$305&gt;=AM$4+5)),SUMPRODUCT((INDEX(Timeline!$P$5:$AN$305,0,MATCH($A17,Timeline!$P$4:$AN$4,0))="x")*(Timeline!$K$5:$K$305="Task")*ISNUMBER(Timeline!$I$5:$I$305)*ISNUMBER(Timeline!$J$5:$J$305)*(Timeline!$I$5:$I$305&lt;=AM$4+6)*(Timeline!$J$5:$J$305&gt;=AM$4+6)))</f>
        <v>0</v>
      </c>
      <c r="AN17" s="67">
        <f>MAX(SUMPRODUCT((INDEX(Timeline!$P$5:$AN$305,0,MATCH($A17,Timeline!$P$4:$AN$4,0))="x")*(Timeline!$K$5:$K$305="Task")*ISNUMBER(Timeline!$I$5:$I$305)*ISNUMBER(Timeline!$J$5:$J$305)*(Timeline!$I$5:$I$305&lt;=AN$4+0)*(Timeline!$J$5:$J$305&gt;=AN$4+0)),SUMPRODUCT((INDEX(Timeline!$P$5:$AN$305,0,MATCH($A17,Timeline!$P$4:$AN$4,0))="x")*(Timeline!$K$5:$K$305="Task")*ISNUMBER(Timeline!$I$5:$I$305)*ISNUMBER(Timeline!$J$5:$J$305)*(Timeline!$I$5:$I$305&lt;=AN$4+1)*(Timeline!$J$5:$J$305&gt;=AN$4+1)),SUMPRODUCT((INDEX(Timeline!$P$5:$AN$305,0,MATCH($A17,Timeline!$P$4:$AN$4,0))="x")*(Timeline!$K$5:$K$305="Task")*ISNUMBER(Timeline!$I$5:$I$305)*ISNUMBER(Timeline!$J$5:$J$305)*(Timeline!$I$5:$I$305&lt;=AN$4+2)*(Timeline!$J$5:$J$305&gt;=AN$4+2)),SUMPRODUCT((INDEX(Timeline!$P$5:$AN$305,0,MATCH($A17,Timeline!$P$4:$AN$4,0))="x")*(Timeline!$K$5:$K$305="Task")*ISNUMBER(Timeline!$I$5:$I$305)*ISNUMBER(Timeline!$J$5:$J$305)*(Timeline!$I$5:$I$305&lt;=AN$4+3)*(Timeline!$J$5:$J$305&gt;=AN$4+3)),SUMPRODUCT((INDEX(Timeline!$P$5:$AN$305,0,MATCH($A17,Timeline!$P$4:$AN$4,0))="x")*(Timeline!$K$5:$K$305="Task")*ISNUMBER(Timeline!$I$5:$I$305)*ISNUMBER(Timeline!$J$5:$J$305)*(Timeline!$I$5:$I$305&lt;=AN$4+4)*(Timeline!$J$5:$J$305&gt;=AN$4+4)),SUMPRODUCT((INDEX(Timeline!$P$5:$AN$305,0,MATCH($A17,Timeline!$P$4:$AN$4,0))="x")*(Timeline!$K$5:$K$305="Task")*ISNUMBER(Timeline!$I$5:$I$305)*ISNUMBER(Timeline!$J$5:$J$305)*(Timeline!$I$5:$I$305&lt;=AN$4+5)*(Timeline!$J$5:$J$305&gt;=AN$4+5)),SUMPRODUCT((INDEX(Timeline!$P$5:$AN$305,0,MATCH($A17,Timeline!$P$4:$AN$4,0))="x")*(Timeline!$K$5:$K$305="Task")*ISNUMBER(Timeline!$I$5:$I$305)*ISNUMBER(Timeline!$J$5:$J$305)*(Timeline!$I$5:$I$305&lt;=AN$4+6)*(Timeline!$J$5:$J$305&gt;=AN$4+6)))</f>
        <v>0</v>
      </c>
      <c r="AO17" s="67">
        <f>MAX(SUMPRODUCT((INDEX(Timeline!$P$5:$AN$305,0,MATCH($A17,Timeline!$P$4:$AN$4,0))="x")*(Timeline!$K$5:$K$305="Task")*ISNUMBER(Timeline!$I$5:$I$305)*ISNUMBER(Timeline!$J$5:$J$305)*(Timeline!$I$5:$I$305&lt;=AO$4+0)*(Timeline!$J$5:$J$305&gt;=AO$4+0)),SUMPRODUCT((INDEX(Timeline!$P$5:$AN$305,0,MATCH($A17,Timeline!$P$4:$AN$4,0))="x")*(Timeline!$K$5:$K$305="Task")*ISNUMBER(Timeline!$I$5:$I$305)*ISNUMBER(Timeline!$J$5:$J$305)*(Timeline!$I$5:$I$305&lt;=AO$4+1)*(Timeline!$J$5:$J$305&gt;=AO$4+1)),SUMPRODUCT((INDEX(Timeline!$P$5:$AN$305,0,MATCH($A17,Timeline!$P$4:$AN$4,0))="x")*(Timeline!$K$5:$K$305="Task")*ISNUMBER(Timeline!$I$5:$I$305)*ISNUMBER(Timeline!$J$5:$J$305)*(Timeline!$I$5:$I$305&lt;=AO$4+2)*(Timeline!$J$5:$J$305&gt;=AO$4+2)),SUMPRODUCT((INDEX(Timeline!$P$5:$AN$305,0,MATCH($A17,Timeline!$P$4:$AN$4,0))="x")*(Timeline!$K$5:$K$305="Task")*ISNUMBER(Timeline!$I$5:$I$305)*ISNUMBER(Timeline!$J$5:$J$305)*(Timeline!$I$5:$I$305&lt;=AO$4+3)*(Timeline!$J$5:$J$305&gt;=AO$4+3)),SUMPRODUCT((INDEX(Timeline!$P$5:$AN$305,0,MATCH($A17,Timeline!$P$4:$AN$4,0))="x")*(Timeline!$K$5:$K$305="Task")*ISNUMBER(Timeline!$I$5:$I$305)*ISNUMBER(Timeline!$J$5:$J$305)*(Timeline!$I$5:$I$305&lt;=AO$4+4)*(Timeline!$J$5:$J$305&gt;=AO$4+4)),SUMPRODUCT((INDEX(Timeline!$P$5:$AN$305,0,MATCH($A17,Timeline!$P$4:$AN$4,0))="x")*(Timeline!$K$5:$K$305="Task")*ISNUMBER(Timeline!$I$5:$I$305)*ISNUMBER(Timeline!$J$5:$J$305)*(Timeline!$I$5:$I$305&lt;=AO$4+5)*(Timeline!$J$5:$J$305&gt;=AO$4+5)),SUMPRODUCT((INDEX(Timeline!$P$5:$AN$305,0,MATCH($A17,Timeline!$P$4:$AN$4,0))="x")*(Timeline!$K$5:$K$305="Task")*ISNUMBER(Timeline!$I$5:$I$305)*ISNUMBER(Timeline!$J$5:$J$305)*(Timeline!$I$5:$I$305&lt;=AO$4+6)*(Timeline!$J$5:$J$305&gt;=AO$4+6)))</f>
        <v>0</v>
      </c>
      <c r="AP17" s="67">
        <f>MAX(SUMPRODUCT((INDEX(Timeline!$P$5:$AN$305,0,MATCH($A17,Timeline!$P$4:$AN$4,0))="x")*(Timeline!$K$5:$K$305="Task")*ISNUMBER(Timeline!$I$5:$I$305)*ISNUMBER(Timeline!$J$5:$J$305)*(Timeline!$I$5:$I$305&lt;=AP$4+0)*(Timeline!$J$5:$J$305&gt;=AP$4+0)),SUMPRODUCT((INDEX(Timeline!$P$5:$AN$305,0,MATCH($A17,Timeline!$P$4:$AN$4,0))="x")*(Timeline!$K$5:$K$305="Task")*ISNUMBER(Timeline!$I$5:$I$305)*ISNUMBER(Timeline!$J$5:$J$305)*(Timeline!$I$5:$I$305&lt;=AP$4+1)*(Timeline!$J$5:$J$305&gt;=AP$4+1)),SUMPRODUCT((INDEX(Timeline!$P$5:$AN$305,0,MATCH($A17,Timeline!$P$4:$AN$4,0))="x")*(Timeline!$K$5:$K$305="Task")*ISNUMBER(Timeline!$I$5:$I$305)*ISNUMBER(Timeline!$J$5:$J$305)*(Timeline!$I$5:$I$305&lt;=AP$4+2)*(Timeline!$J$5:$J$305&gt;=AP$4+2)),SUMPRODUCT((INDEX(Timeline!$P$5:$AN$305,0,MATCH($A17,Timeline!$P$4:$AN$4,0))="x")*(Timeline!$K$5:$K$305="Task")*ISNUMBER(Timeline!$I$5:$I$305)*ISNUMBER(Timeline!$J$5:$J$305)*(Timeline!$I$5:$I$305&lt;=AP$4+3)*(Timeline!$J$5:$J$305&gt;=AP$4+3)),SUMPRODUCT((INDEX(Timeline!$P$5:$AN$305,0,MATCH($A17,Timeline!$P$4:$AN$4,0))="x")*(Timeline!$K$5:$K$305="Task")*ISNUMBER(Timeline!$I$5:$I$305)*ISNUMBER(Timeline!$J$5:$J$305)*(Timeline!$I$5:$I$305&lt;=AP$4+4)*(Timeline!$J$5:$J$305&gt;=AP$4+4)),SUMPRODUCT((INDEX(Timeline!$P$5:$AN$305,0,MATCH($A17,Timeline!$P$4:$AN$4,0))="x")*(Timeline!$K$5:$K$305="Task")*ISNUMBER(Timeline!$I$5:$I$305)*ISNUMBER(Timeline!$J$5:$J$305)*(Timeline!$I$5:$I$305&lt;=AP$4+5)*(Timeline!$J$5:$J$305&gt;=AP$4+5)),SUMPRODUCT((INDEX(Timeline!$P$5:$AN$305,0,MATCH($A17,Timeline!$P$4:$AN$4,0))="x")*(Timeline!$K$5:$K$305="Task")*ISNUMBER(Timeline!$I$5:$I$305)*ISNUMBER(Timeline!$J$5:$J$305)*(Timeline!$I$5:$I$305&lt;=AP$4+6)*(Timeline!$J$5:$J$305&gt;=AP$4+6)))</f>
        <v>0</v>
      </c>
      <c r="AQ17" s="67">
        <f>MAX(SUMPRODUCT((INDEX(Timeline!$P$5:$AN$305,0,MATCH($A17,Timeline!$P$4:$AN$4,0))="x")*(Timeline!$K$5:$K$305="Task")*ISNUMBER(Timeline!$I$5:$I$305)*ISNUMBER(Timeline!$J$5:$J$305)*(Timeline!$I$5:$I$305&lt;=AQ$4+0)*(Timeline!$J$5:$J$305&gt;=AQ$4+0)),SUMPRODUCT((INDEX(Timeline!$P$5:$AN$305,0,MATCH($A17,Timeline!$P$4:$AN$4,0))="x")*(Timeline!$K$5:$K$305="Task")*ISNUMBER(Timeline!$I$5:$I$305)*ISNUMBER(Timeline!$J$5:$J$305)*(Timeline!$I$5:$I$305&lt;=AQ$4+1)*(Timeline!$J$5:$J$305&gt;=AQ$4+1)),SUMPRODUCT((INDEX(Timeline!$P$5:$AN$305,0,MATCH($A17,Timeline!$P$4:$AN$4,0))="x")*(Timeline!$K$5:$K$305="Task")*ISNUMBER(Timeline!$I$5:$I$305)*ISNUMBER(Timeline!$J$5:$J$305)*(Timeline!$I$5:$I$305&lt;=AQ$4+2)*(Timeline!$J$5:$J$305&gt;=AQ$4+2)),SUMPRODUCT((INDEX(Timeline!$P$5:$AN$305,0,MATCH($A17,Timeline!$P$4:$AN$4,0))="x")*(Timeline!$K$5:$K$305="Task")*ISNUMBER(Timeline!$I$5:$I$305)*ISNUMBER(Timeline!$J$5:$J$305)*(Timeline!$I$5:$I$305&lt;=AQ$4+3)*(Timeline!$J$5:$J$305&gt;=AQ$4+3)),SUMPRODUCT((INDEX(Timeline!$P$5:$AN$305,0,MATCH($A17,Timeline!$P$4:$AN$4,0))="x")*(Timeline!$K$5:$K$305="Task")*ISNUMBER(Timeline!$I$5:$I$305)*ISNUMBER(Timeline!$J$5:$J$305)*(Timeline!$I$5:$I$305&lt;=AQ$4+4)*(Timeline!$J$5:$J$305&gt;=AQ$4+4)),SUMPRODUCT((INDEX(Timeline!$P$5:$AN$305,0,MATCH($A17,Timeline!$P$4:$AN$4,0))="x")*(Timeline!$K$5:$K$305="Task")*ISNUMBER(Timeline!$I$5:$I$305)*ISNUMBER(Timeline!$J$5:$J$305)*(Timeline!$I$5:$I$305&lt;=AQ$4+5)*(Timeline!$J$5:$J$305&gt;=AQ$4+5)),SUMPRODUCT((INDEX(Timeline!$P$5:$AN$305,0,MATCH($A17,Timeline!$P$4:$AN$4,0))="x")*(Timeline!$K$5:$K$305="Task")*ISNUMBER(Timeline!$I$5:$I$305)*ISNUMBER(Timeline!$J$5:$J$305)*(Timeline!$I$5:$I$305&lt;=AQ$4+6)*(Timeline!$J$5:$J$305&gt;=AQ$4+6)))</f>
        <v>0</v>
      </c>
      <c r="AR17" s="67">
        <f>MAX(SUMPRODUCT((INDEX(Timeline!$P$5:$AN$305,0,MATCH($A17,Timeline!$P$4:$AN$4,0))="x")*(Timeline!$K$5:$K$305="Task")*ISNUMBER(Timeline!$I$5:$I$305)*ISNUMBER(Timeline!$J$5:$J$305)*(Timeline!$I$5:$I$305&lt;=AR$4+0)*(Timeline!$J$5:$J$305&gt;=AR$4+0)),SUMPRODUCT((INDEX(Timeline!$P$5:$AN$305,0,MATCH($A17,Timeline!$P$4:$AN$4,0))="x")*(Timeline!$K$5:$K$305="Task")*ISNUMBER(Timeline!$I$5:$I$305)*ISNUMBER(Timeline!$J$5:$J$305)*(Timeline!$I$5:$I$305&lt;=AR$4+1)*(Timeline!$J$5:$J$305&gt;=AR$4+1)),SUMPRODUCT((INDEX(Timeline!$P$5:$AN$305,0,MATCH($A17,Timeline!$P$4:$AN$4,0))="x")*(Timeline!$K$5:$K$305="Task")*ISNUMBER(Timeline!$I$5:$I$305)*ISNUMBER(Timeline!$J$5:$J$305)*(Timeline!$I$5:$I$305&lt;=AR$4+2)*(Timeline!$J$5:$J$305&gt;=AR$4+2)),SUMPRODUCT((INDEX(Timeline!$P$5:$AN$305,0,MATCH($A17,Timeline!$P$4:$AN$4,0))="x")*(Timeline!$K$5:$K$305="Task")*ISNUMBER(Timeline!$I$5:$I$305)*ISNUMBER(Timeline!$J$5:$J$305)*(Timeline!$I$5:$I$305&lt;=AR$4+3)*(Timeline!$J$5:$J$305&gt;=AR$4+3)),SUMPRODUCT((INDEX(Timeline!$P$5:$AN$305,0,MATCH($A17,Timeline!$P$4:$AN$4,0))="x")*(Timeline!$K$5:$K$305="Task")*ISNUMBER(Timeline!$I$5:$I$305)*ISNUMBER(Timeline!$J$5:$J$305)*(Timeline!$I$5:$I$305&lt;=AR$4+4)*(Timeline!$J$5:$J$305&gt;=AR$4+4)),SUMPRODUCT((INDEX(Timeline!$P$5:$AN$305,0,MATCH($A17,Timeline!$P$4:$AN$4,0))="x")*(Timeline!$K$5:$K$305="Task")*ISNUMBER(Timeline!$I$5:$I$305)*ISNUMBER(Timeline!$J$5:$J$305)*(Timeline!$I$5:$I$305&lt;=AR$4+5)*(Timeline!$J$5:$J$305&gt;=AR$4+5)),SUMPRODUCT((INDEX(Timeline!$P$5:$AN$305,0,MATCH($A17,Timeline!$P$4:$AN$4,0))="x")*(Timeline!$K$5:$K$305="Task")*ISNUMBER(Timeline!$I$5:$I$305)*ISNUMBER(Timeline!$J$5:$J$305)*(Timeline!$I$5:$I$305&lt;=AR$4+6)*(Timeline!$J$5:$J$305&gt;=AR$4+6)))</f>
        <v>0</v>
      </c>
      <c r="AS17" s="67">
        <f>MAX(SUMPRODUCT((INDEX(Timeline!$P$5:$AN$305,0,MATCH($A17,Timeline!$P$4:$AN$4,0))="x")*(Timeline!$K$5:$K$305="Task")*ISNUMBER(Timeline!$I$5:$I$305)*ISNUMBER(Timeline!$J$5:$J$305)*(Timeline!$I$5:$I$305&lt;=AS$4+0)*(Timeline!$J$5:$J$305&gt;=AS$4+0)),SUMPRODUCT((INDEX(Timeline!$P$5:$AN$305,0,MATCH($A17,Timeline!$P$4:$AN$4,0))="x")*(Timeline!$K$5:$K$305="Task")*ISNUMBER(Timeline!$I$5:$I$305)*ISNUMBER(Timeline!$J$5:$J$305)*(Timeline!$I$5:$I$305&lt;=AS$4+1)*(Timeline!$J$5:$J$305&gt;=AS$4+1)),SUMPRODUCT((INDEX(Timeline!$P$5:$AN$305,0,MATCH($A17,Timeline!$P$4:$AN$4,0))="x")*(Timeline!$K$5:$K$305="Task")*ISNUMBER(Timeline!$I$5:$I$305)*ISNUMBER(Timeline!$J$5:$J$305)*(Timeline!$I$5:$I$305&lt;=AS$4+2)*(Timeline!$J$5:$J$305&gt;=AS$4+2)),SUMPRODUCT((INDEX(Timeline!$P$5:$AN$305,0,MATCH($A17,Timeline!$P$4:$AN$4,0))="x")*(Timeline!$K$5:$K$305="Task")*ISNUMBER(Timeline!$I$5:$I$305)*ISNUMBER(Timeline!$J$5:$J$305)*(Timeline!$I$5:$I$305&lt;=AS$4+3)*(Timeline!$J$5:$J$305&gt;=AS$4+3)),SUMPRODUCT((INDEX(Timeline!$P$5:$AN$305,0,MATCH($A17,Timeline!$P$4:$AN$4,0))="x")*(Timeline!$K$5:$K$305="Task")*ISNUMBER(Timeline!$I$5:$I$305)*ISNUMBER(Timeline!$J$5:$J$305)*(Timeline!$I$5:$I$305&lt;=AS$4+4)*(Timeline!$J$5:$J$305&gt;=AS$4+4)),SUMPRODUCT((INDEX(Timeline!$P$5:$AN$305,0,MATCH($A17,Timeline!$P$4:$AN$4,0))="x")*(Timeline!$K$5:$K$305="Task")*ISNUMBER(Timeline!$I$5:$I$305)*ISNUMBER(Timeline!$J$5:$J$305)*(Timeline!$I$5:$I$305&lt;=AS$4+5)*(Timeline!$J$5:$J$305&gt;=AS$4+5)),SUMPRODUCT((INDEX(Timeline!$P$5:$AN$305,0,MATCH($A17,Timeline!$P$4:$AN$4,0))="x")*(Timeline!$K$5:$K$305="Task")*ISNUMBER(Timeline!$I$5:$I$305)*ISNUMBER(Timeline!$J$5:$J$305)*(Timeline!$I$5:$I$305&lt;=AS$4+6)*(Timeline!$J$5:$J$305&gt;=AS$4+6)))</f>
        <v>0</v>
      </c>
      <c r="AT17" s="67">
        <f>MAX(SUMPRODUCT((INDEX(Timeline!$P$5:$AN$305,0,MATCH($A17,Timeline!$P$4:$AN$4,0))="x")*(Timeline!$K$5:$K$305="Task")*ISNUMBER(Timeline!$I$5:$I$305)*ISNUMBER(Timeline!$J$5:$J$305)*(Timeline!$I$5:$I$305&lt;=AT$4+0)*(Timeline!$J$5:$J$305&gt;=AT$4+0)),SUMPRODUCT((INDEX(Timeline!$P$5:$AN$305,0,MATCH($A17,Timeline!$P$4:$AN$4,0))="x")*(Timeline!$K$5:$K$305="Task")*ISNUMBER(Timeline!$I$5:$I$305)*ISNUMBER(Timeline!$J$5:$J$305)*(Timeline!$I$5:$I$305&lt;=AT$4+1)*(Timeline!$J$5:$J$305&gt;=AT$4+1)),SUMPRODUCT((INDEX(Timeline!$P$5:$AN$305,0,MATCH($A17,Timeline!$P$4:$AN$4,0))="x")*(Timeline!$K$5:$K$305="Task")*ISNUMBER(Timeline!$I$5:$I$305)*ISNUMBER(Timeline!$J$5:$J$305)*(Timeline!$I$5:$I$305&lt;=AT$4+2)*(Timeline!$J$5:$J$305&gt;=AT$4+2)),SUMPRODUCT((INDEX(Timeline!$P$5:$AN$305,0,MATCH($A17,Timeline!$P$4:$AN$4,0))="x")*(Timeline!$K$5:$K$305="Task")*ISNUMBER(Timeline!$I$5:$I$305)*ISNUMBER(Timeline!$J$5:$J$305)*(Timeline!$I$5:$I$305&lt;=AT$4+3)*(Timeline!$J$5:$J$305&gt;=AT$4+3)),SUMPRODUCT((INDEX(Timeline!$P$5:$AN$305,0,MATCH($A17,Timeline!$P$4:$AN$4,0))="x")*(Timeline!$K$5:$K$305="Task")*ISNUMBER(Timeline!$I$5:$I$305)*ISNUMBER(Timeline!$J$5:$J$305)*(Timeline!$I$5:$I$305&lt;=AT$4+4)*(Timeline!$J$5:$J$305&gt;=AT$4+4)),SUMPRODUCT((INDEX(Timeline!$P$5:$AN$305,0,MATCH($A17,Timeline!$P$4:$AN$4,0))="x")*(Timeline!$K$5:$K$305="Task")*ISNUMBER(Timeline!$I$5:$I$305)*ISNUMBER(Timeline!$J$5:$J$305)*(Timeline!$I$5:$I$305&lt;=AT$4+5)*(Timeline!$J$5:$J$305&gt;=AT$4+5)),SUMPRODUCT((INDEX(Timeline!$P$5:$AN$305,0,MATCH($A17,Timeline!$P$4:$AN$4,0))="x")*(Timeline!$K$5:$K$305="Task")*ISNUMBER(Timeline!$I$5:$I$305)*ISNUMBER(Timeline!$J$5:$J$305)*(Timeline!$I$5:$I$305&lt;=AT$4+6)*(Timeline!$J$5:$J$305&gt;=AT$4+6)))</f>
        <v>0</v>
      </c>
      <c r="AU17" s="67">
        <f>MAX(SUMPRODUCT((INDEX(Timeline!$P$5:$AN$305,0,MATCH($A17,Timeline!$P$4:$AN$4,0))="x")*(Timeline!$K$5:$K$305="Task")*ISNUMBER(Timeline!$I$5:$I$305)*ISNUMBER(Timeline!$J$5:$J$305)*(Timeline!$I$5:$I$305&lt;=AU$4+0)*(Timeline!$J$5:$J$305&gt;=AU$4+0)),SUMPRODUCT((INDEX(Timeline!$P$5:$AN$305,0,MATCH($A17,Timeline!$P$4:$AN$4,0))="x")*(Timeline!$K$5:$K$305="Task")*ISNUMBER(Timeline!$I$5:$I$305)*ISNUMBER(Timeline!$J$5:$J$305)*(Timeline!$I$5:$I$305&lt;=AU$4+1)*(Timeline!$J$5:$J$305&gt;=AU$4+1)),SUMPRODUCT((INDEX(Timeline!$P$5:$AN$305,0,MATCH($A17,Timeline!$P$4:$AN$4,0))="x")*(Timeline!$K$5:$K$305="Task")*ISNUMBER(Timeline!$I$5:$I$305)*ISNUMBER(Timeline!$J$5:$J$305)*(Timeline!$I$5:$I$305&lt;=AU$4+2)*(Timeline!$J$5:$J$305&gt;=AU$4+2)),SUMPRODUCT((INDEX(Timeline!$P$5:$AN$305,0,MATCH($A17,Timeline!$P$4:$AN$4,0))="x")*(Timeline!$K$5:$K$305="Task")*ISNUMBER(Timeline!$I$5:$I$305)*ISNUMBER(Timeline!$J$5:$J$305)*(Timeline!$I$5:$I$305&lt;=AU$4+3)*(Timeline!$J$5:$J$305&gt;=AU$4+3)),SUMPRODUCT((INDEX(Timeline!$P$5:$AN$305,0,MATCH($A17,Timeline!$P$4:$AN$4,0))="x")*(Timeline!$K$5:$K$305="Task")*ISNUMBER(Timeline!$I$5:$I$305)*ISNUMBER(Timeline!$J$5:$J$305)*(Timeline!$I$5:$I$305&lt;=AU$4+4)*(Timeline!$J$5:$J$305&gt;=AU$4+4)),SUMPRODUCT((INDEX(Timeline!$P$5:$AN$305,0,MATCH($A17,Timeline!$P$4:$AN$4,0))="x")*(Timeline!$K$5:$K$305="Task")*ISNUMBER(Timeline!$I$5:$I$305)*ISNUMBER(Timeline!$J$5:$J$305)*(Timeline!$I$5:$I$305&lt;=AU$4+5)*(Timeline!$J$5:$J$305&gt;=AU$4+5)),SUMPRODUCT((INDEX(Timeline!$P$5:$AN$305,0,MATCH($A17,Timeline!$P$4:$AN$4,0))="x")*(Timeline!$K$5:$K$305="Task")*ISNUMBER(Timeline!$I$5:$I$305)*ISNUMBER(Timeline!$J$5:$J$305)*(Timeline!$I$5:$I$305&lt;=AU$4+6)*(Timeline!$J$5:$J$305&gt;=AU$4+6)))</f>
        <v>0</v>
      </c>
      <c r="AV17" s="67">
        <f>MAX(SUMPRODUCT((INDEX(Timeline!$P$5:$AN$305,0,MATCH($A17,Timeline!$P$4:$AN$4,0))="x")*(Timeline!$K$5:$K$305="Task")*ISNUMBER(Timeline!$I$5:$I$305)*ISNUMBER(Timeline!$J$5:$J$305)*(Timeline!$I$5:$I$305&lt;=AV$4+0)*(Timeline!$J$5:$J$305&gt;=AV$4+0)),SUMPRODUCT((INDEX(Timeline!$P$5:$AN$305,0,MATCH($A17,Timeline!$P$4:$AN$4,0))="x")*(Timeline!$K$5:$K$305="Task")*ISNUMBER(Timeline!$I$5:$I$305)*ISNUMBER(Timeline!$J$5:$J$305)*(Timeline!$I$5:$I$305&lt;=AV$4+1)*(Timeline!$J$5:$J$305&gt;=AV$4+1)),SUMPRODUCT((INDEX(Timeline!$P$5:$AN$305,0,MATCH($A17,Timeline!$P$4:$AN$4,0))="x")*(Timeline!$K$5:$K$305="Task")*ISNUMBER(Timeline!$I$5:$I$305)*ISNUMBER(Timeline!$J$5:$J$305)*(Timeline!$I$5:$I$305&lt;=AV$4+2)*(Timeline!$J$5:$J$305&gt;=AV$4+2)),SUMPRODUCT((INDEX(Timeline!$P$5:$AN$305,0,MATCH($A17,Timeline!$P$4:$AN$4,0))="x")*(Timeline!$K$5:$K$305="Task")*ISNUMBER(Timeline!$I$5:$I$305)*ISNUMBER(Timeline!$J$5:$J$305)*(Timeline!$I$5:$I$305&lt;=AV$4+3)*(Timeline!$J$5:$J$305&gt;=AV$4+3)),SUMPRODUCT((INDEX(Timeline!$P$5:$AN$305,0,MATCH($A17,Timeline!$P$4:$AN$4,0))="x")*(Timeline!$K$5:$K$305="Task")*ISNUMBER(Timeline!$I$5:$I$305)*ISNUMBER(Timeline!$J$5:$J$305)*(Timeline!$I$5:$I$305&lt;=AV$4+4)*(Timeline!$J$5:$J$305&gt;=AV$4+4)),SUMPRODUCT((INDEX(Timeline!$P$5:$AN$305,0,MATCH($A17,Timeline!$P$4:$AN$4,0))="x")*(Timeline!$K$5:$K$305="Task")*ISNUMBER(Timeline!$I$5:$I$305)*ISNUMBER(Timeline!$J$5:$J$305)*(Timeline!$I$5:$I$305&lt;=AV$4+5)*(Timeline!$J$5:$J$305&gt;=AV$4+5)),SUMPRODUCT((INDEX(Timeline!$P$5:$AN$305,0,MATCH($A17,Timeline!$P$4:$AN$4,0))="x")*(Timeline!$K$5:$K$305="Task")*ISNUMBER(Timeline!$I$5:$I$305)*ISNUMBER(Timeline!$J$5:$J$305)*(Timeline!$I$5:$I$305&lt;=AV$4+6)*(Timeline!$J$5:$J$305&gt;=AV$4+6)))</f>
        <v>0</v>
      </c>
      <c r="AW17" s="67">
        <f>MAX(SUMPRODUCT((INDEX(Timeline!$P$5:$AN$305,0,MATCH($A17,Timeline!$P$4:$AN$4,0))="x")*(Timeline!$K$5:$K$305="Task")*ISNUMBER(Timeline!$I$5:$I$305)*ISNUMBER(Timeline!$J$5:$J$305)*(Timeline!$I$5:$I$305&lt;=AW$4+0)*(Timeline!$J$5:$J$305&gt;=AW$4+0)),SUMPRODUCT((INDEX(Timeline!$P$5:$AN$305,0,MATCH($A17,Timeline!$P$4:$AN$4,0))="x")*(Timeline!$K$5:$K$305="Task")*ISNUMBER(Timeline!$I$5:$I$305)*ISNUMBER(Timeline!$J$5:$J$305)*(Timeline!$I$5:$I$305&lt;=AW$4+1)*(Timeline!$J$5:$J$305&gt;=AW$4+1)),SUMPRODUCT((INDEX(Timeline!$P$5:$AN$305,0,MATCH($A17,Timeline!$P$4:$AN$4,0))="x")*(Timeline!$K$5:$K$305="Task")*ISNUMBER(Timeline!$I$5:$I$305)*ISNUMBER(Timeline!$J$5:$J$305)*(Timeline!$I$5:$I$305&lt;=AW$4+2)*(Timeline!$J$5:$J$305&gt;=AW$4+2)),SUMPRODUCT((INDEX(Timeline!$P$5:$AN$305,0,MATCH($A17,Timeline!$P$4:$AN$4,0))="x")*(Timeline!$K$5:$K$305="Task")*ISNUMBER(Timeline!$I$5:$I$305)*ISNUMBER(Timeline!$J$5:$J$305)*(Timeline!$I$5:$I$305&lt;=AW$4+3)*(Timeline!$J$5:$J$305&gt;=AW$4+3)),SUMPRODUCT((INDEX(Timeline!$P$5:$AN$305,0,MATCH($A17,Timeline!$P$4:$AN$4,0))="x")*(Timeline!$K$5:$K$305="Task")*ISNUMBER(Timeline!$I$5:$I$305)*ISNUMBER(Timeline!$J$5:$J$305)*(Timeline!$I$5:$I$305&lt;=AW$4+4)*(Timeline!$J$5:$J$305&gt;=AW$4+4)),SUMPRODUCT((INDEX(Timeline!$P$5:$AN$305,0,MATCH($A17,Timeline!$P$4:$AN$4,0))="x")*(Timeline!$K$5:$K$305="Task")*ISNUMBER(Timeline!$I$5:$I$305)*ISNUMBER(Timeline!$J$5:$J$305)*(Timeline!$I$5:$I$305&lt;=AW$4+5)*(Timeline!$J$5:$J$305&gt;=AW$4+5)),SUMPRODUCT((INDEX(Timeline!$P$5:$AN$305,0,MATCH($A17,Timeline!$P$4:$AN$4,0))="x")*(Timeline!$K$5:$K$305="Task")*ISNUMBER(Timeline!$I$5:$I$305)*ISNUMBER(Timeline!$J$5:$J$305)*(Timeline!$I$5:$I$305&lt;=AW$4+6)*(Timeline!$J$5:$J$305&gt;=AW$4+6)))</f>
        <v>0</v>
      </c>
      <c r="AX17" s="67">
        <f>MAX(SUMPRODUCT((INDEX(Timeline!$P$5:$AN$305,0,MATCH($A17,Timeline!$P$4:$AN$4,0))="x")*(Timeline!$K$5:$K$305="Task")*ISNUMBER(Timeline!$I$5:$I$305)*ISNUMBER(Timeline!$J$5:$J$305)*(Timeline!$I$5:$I$305&lt;=AX$4+0)*(Timeline!$J$5:$J$305&gt;=AX$4+0)),SUMPRODUCT((INDEX(Timeline!$P$5:$AN$305,0,MATCH($A17,Timeline!$P$4:$AN$4,0))="x")*(Timeline!$K$5:$K$305="Task")*ISNUMBER(Timeline!$I$5:$I$305)*ISNUMBER(Timeline!$J$5:$J$305)*(Timeline!$I$5:$I$305&lt;=AX$4+1)*(Timeline!$J$5:$J$305&gt;=AX$4+1)),SUMPRODUCT((INDEX(Timeline!$P$5:$AN$305,0,MATCH($A17,Timeline!$P$4:$AN$4,0))="x")*(Timeline!$K$5:$K$305="Task")*ISNUMBER(Timeline!$I$5:$I$305)*ISNUMBER(Timeline!$J$5:$J$305)*(Timeline!$I$5:$I$305&lt;=AX$4+2)*(Timeline!$J$5:$J$305&gt;=AX$4+2)),SUMPRODUCT((INDEX(Timeline!$P$5:$AN$305,0,MATCH($A17,Timeline!$P$4:$AN$4,0))="x")*(Timeline!$K$5:$K$305="Task")*ISNUMBER(Timeline!$I$5:$I$305)*ISNUMBER(Timeline!$J$5:$J$305)*(Timeline!$I$5:$I$305&lt;=AX$4+3)*(Timeline!$J$5:$J$305&gt;=AX$4+3)),SUMPRODUCT((INDEX(Timeline!$P$5:$AN$305,0,MATCH($A17,Timeline!$P$4:$AN$4,0))="x")*(Timeline!$K$5:$K$305="Task")*ISNUMBER(Timeline!$I$5:$I$305)*ISNUMBER(Timeline!$J$5:$J$305)*(Timeline!$I$5:$I$305&lt;=AX$4+4)*(Timeline!$J$5:$J$305&gt;=AX$4+4)),SUMPRODUCT((INDEX(Timeline!$P$5:$AN$305,0,MATCH($A17,Timeline!$P$4:$AN$4,0))="x")*(Timeline!$K$5:$K$305="Task")*ISNUMBER(Timeline!$I$5:$I$305)*ISNUMBER(Timeline!$J$5:$J$305)*(Timeline!$I$5:$I$305&lt;=AX$4+5)*(Timeline!$J$5:$J$305&gt;=AX$4+5)),SUMPRODUCT((INDEX(Timeline!$P$5:$AN$305,0,MATCH($A17,Timeline!$P$4:$AN$4,0))="x")*(Timeline!$K$5:$K$305="Task")*ISNUMBER(Timeline!$I$5:$I$305)*ISNUMBER(Timeline!$J$5:$J$305)*(Timeline!$I$5:$I$305&lt;=AX$4+6)*(Timeline!$J$5:$J$305&gt;=AX$4+6)))</f>
        <v>0</v>
      </c>
      <c r="AY17" s="67">
        <f>MAX(SUMPRODUCT((INDEX(Timeline!$P$5:$AN$305,0,MATCH($A17,Timeline!$P$4:$AN$4,0))="x")*(Timeline!$K$5:$K$305="Task")*ISNUMBER(Timeline!$I$5:$I$305)*ISNUMBER(Timeline!$J$5:$J$305)*(Timeline!$I$5:$I$305&lt;=AY$4+0)*(Timeline!$J$5:$J$305&gt;=AY$4+0)),SUMPRODUCT((INDEX(Timeline!$P$5:$AN$305,0,MATCH($A17,Timeline!$P$4:$AN$4,0))="x")*(Timeline!$K$5:$K$305="Task")*ISNUMBER(Timeline!$I$5:$I$305)*ISNUMBER(Timeline!$J$5:$J$305)*(Timeline!$I$5:$I$305&lt;=AY$4+1)*(Timeline!$J$5:$J$305&gt;=AY$4+1)),SUMPRODUCT((INDEX(Timeline!$P$5:$AN$305,0,MATCH($A17,Timeline!$P$4:$AN$4,0))="x")*(Timeline!$K$5:$K$305="Task")*ISNUMBER(Timeline!$I$5:$I$305)*ISNUMBER(Timeline!$J$5:$J$305)*(Timeline!$I$5:$I$305&lt;=AY$4+2)*(Timeline!$J$5:$J$305&gt;=AY$4+2)),SUMPRODUCT((INDEX(Timeline!$P$5:$AN$305,0,MATCH($A17,Timeline!$P$4:$AN$4,0))="x")*(Timeline!$K$5:$K$305="Task")*ISNUMBER(Timeline!$I$5:$I$305)*ISNUMBER(Timeline!$J$5:$J$305)*(Timeline!$I$5:$I$305&lt;=AY$4+3)*(Timeline!$J$5:$J$305&gt;=AY$4+3)),SUMPRODUCT((INDEX(Timeline!$P$5:$AN$305,0,MATCH($A17,Timeline!$P$4:$AN$4,0))="x")*(Timeline!$K$5:$K$305="Task")*ISNUMBER(Timeline!$I$5:$I$305)*ISNUMBER(Timeline!$J$5:$J$305)*(Timeline!$I$5:$I$305&lt;=AY$4+4)*(Timeline!$J$5:$J$305&gt;=AY$4+4)),SUMPRODUCT((INDEX(Timeline!$P$5:$AN$305,0,MATCH($A17,Timeline!$P$4:$AN$4,0))="x")*(Timeline!$K$5:$K$305="Task")*ISNUMBER(Timeline!$I$5:$I$305)*ISNUMBER(Timeline!$J$5:$J$305)*(Timeline!$I$5:$I$305&lt;=AY$4+5)*(Timeline!$J$5:$J$305&gt;=AY$4+5)),SUMPRODUCT((INDEX(Timeline!$P$5:$AN$305,0,MATCH($A17,Timeline!$P$4:$AN$4,0))="x")*(Timeline!$K$5:$K$305="Task")*ISNUMBER(Timeline!$I$5:$I$305)*ISNUMBER(Timeline!$J$5:$J$305)*(Timeline!$I$5:$I$305&lt;=AY$4+6)*(Timeline!$J$5:$J$305&gt;=AY$4+6)))</f>
        <v>0</v>
      </c>
      <c r="AZ17" s="67">
        <f>MAX(SUMPRODUCT((INDEX(Timeline!$P$5:$AN$305,0,MATCH($A17,Timeline!$P$4:$AN$4,0))="x")*(Timeline!$K$5:$K$305="Task")*ISNUMBER(Timeline!$I$5:$I$305)*ISNUMBER(Timeline!$J$5:$J$305)*(Timeline!$I$5:$I$305&lt;=AZ$4+0)*(Timeline!$J$5:$J$305&gt;=AZ$4+0)),SUMPRODUCT((INDEX(Timeline!$P$5:$AN$305,0,MATCH($A17,Timeline!$P$4:$AN$4,0))="x")*(Timeline!$K$5:$K$305="Task")*ISNUMBER(Timeline!$I$5:$I$305)*ISNUMBER(Timeline!$J$5:$J$305)*(Timeline!$I$5:$I$305&lt;=AZ$4+1)*(Timeline!$J$5:$J$305&gt;=AZ$4+1)),SUMPRODUCT((INDEX(Timeline!$P$5:$AN$305,0,MATCH($A17,Timeline!$P$4:$AN$4,0))="x")*(Timeline!$K$5:$K$305="Task")*ISNUMBER(Timeline!$I$5:$I$305)*ISNUMBER(Timeline!$J$5:$J$305)*(Timeline!$I$5:$I$305&lt;=AZ$4+2)*(Timeline!$J$5:$J$305&gt;=AZ$4+2)),SUMPRODUCT((INDEX(Timeline!$P$5:$AN$305,0,MATCH($A17,Timeline!$P$4:$AN$4,0))="x")*(Timeline!$K$5:$K$305="Task")*ISNUMBER(Timeline!$I$5:$I$305)*ISNUMBER(Timeline!$J$5:$J$305)*(Timeline!$I$5:$I$305&lt;=AZ$4+3)*(Timeline!$J$5:$J$305&gt;=AZ$4+3)),SUMPRODUCT((INDEX(Timeline!$P$5:$AN$305,0,MATCH($A17,Timeline!$P$4:$AN$4,0))="x")*(Timeline!$K$5:$K$305="Task")*ISNUMBER(Timeline!$I$5:$I$305)*ISNUMBER(Timeline!$J$5:$J$305)*(Timeline!$I$5:$I$305&lt;=AZ$4+4)*(Timeline!$J$5:$J$305&gt;=AZ$4+4)),SUMPRODUCT((INDEX(Timeline!$P$5:$AN$305,0,MATCH($A17,Timeline!$P$4:$AN$4,0))="x")*(Timeline!$K$5:$K$305="Task")*ISNUMBER(Timeline!$I$5:$I$305)*ISNUMBER(Timeline!$J$5:$J$305)*(Timeline!$I$5:$I$305&lt;=AZ$4+5)*(Timeline!$J$5:$J$305&gt;=AZ$4+5)),SUMPRODUCT((INDEX(Timeline!$P$5:$AN$305,0,MATCH($A17,Timeline!$P$4:$AN$4,0))="x")*(Timeline!$K$5:$K$305="Task")*ISNUMBER(Timeline!$I$5:$I$305)*ISNUMBER(Timeline!$J$5:$J$305)*(Timeline!$I$5:$I$305&lt;=AZ$4+6)*(Timeline!$J$5:$J$305&gt;=AZ$4+6)))</f>
        <v>0</v>
      </c>
      <c r="BA17" s="67">
        <f>MAX(SUMPRODUCT((INDEX(Timeline!$P$5:$AN$305,0,MATCH($A17,Timeline!$P$4:$AN$4,0))="x")*(Timeline!$K$5:$K$305="Task")*ISNUMBER(Timeline!$I$5:$I$305)*ISNUMBER(Timeline!$J$5:$J$305)*(Timeline!$I$5:$I$305&lt;=BA$4+0)*(Timeline!$J$5:$J$305&gt;=BA$4+0)),SUMPRODUCT((INDEX(Timeline!$P$5:$AN$305,0,MATCH($A17,Timeline!$P$4:$AN$4,0))="x")*(Timeline!$K$5:$K$305="Task")*ISNUMBER(Timeline!$I$5:$I$305)*ISNUMBER(Timeline!$J$5:$J$305)*(Timeline!$I$5:$I$305&lt;=BA$4+1)*(Timeline!$J$5:$J$305&gt;=BA$4+1)),SUMPRODUCT((INDEX(Timeline!$P$5:$AN$305,0,MATCH($A17,Timeline!$P$4:$AN$4,0))="x")*(Timeline!$K$5:$K$305="Task")*ISNUMBER(Timeline!$I$5:$I$305)*ISNUMBER(Timeline!$J$5:$J$305)*(Timeline!$I$5:$I$305&lt;=BA$4+2)*(Timeline!$J$5:$J$305&gt;=BA$4+2)),SUMPRODUCT((INDEX(Timeline!$P$5:$AN$305,0,MATCH($A17,Timeline!$P$4:$AN$4,0))="x")*(Timeline!$K$5:$K$305="Task")*ISNUMBER(Timeline!$I$5:$I$305)*ISNUMBER(Timeline!$J$5:$J$305)*(Timeline!$I$5:$I$305&lt;=BA$4+3)*(Timeline!$J$5:$J$305&gt;=BA$4+3)),SUMPRODUCT((INDEX(Timeline!$P$5:$AN$305,0,MATCH($A17,Timeline!$P$4:$AN$4,0))="x")*(Timeline!$K$5:$K$305="Task")*ISNUMBER(Timeline!$I$5:$I$305)*ISNUMBER(Timeline!$J$5:$J$305)*(Timeline!$I$5:$I$305&lt;=BA$4+4)*(Timeline!$J$5:$J$305&gt;=BA$4+4)),SUMPRODUCT((INDEX(Timeline!$P$5:$AN$305,0,MATCH($A17,Timeline!$P$4:$AN$4,0))="x")*(Timeline!$K$5:$K$305="Task")*ISNUMBER(Timeline!$I$5:$I$305)*ISNUMBER(Timeline!$J$5:$J$305)*(Timeline!$I$5:$I$305&lt;=BA$4+5)*(Timeline!$J$5:$J$305&gt;=BA$4+5)),SUMPRODUCT((INDEX(Timeline!$P$5:$AN$305,0,MATCH($A17,Timeline!$P$4:$AN$4,0))="x")*(Timeline!$K$5:$K$305="Task")*ISNUMBER(Timeline!$I$5:$I$305)*ISNUMBER(Timeline!$J$5:$J$305)*(Timeline!$I$5:$I$305&lt;=BA$4+6)*(Timeline!$J$5:$J$305&gt;=BA$4+6)))</f>
        <v>0</v>
      </c>
    </row>
    <row r="18" spans="1:53" ht="15" customHeight="1">
      <c r="A18" s="66" t="s">
        <v>49</v>
      </c>
      <c r="B18" s="66" t="s">
        <v>15</v>
      </c>
      <c r="C18" s="67">
        <f>MAX(SUMPRODUCT((INDEX(Timeline!$P$5:$AN$305,0,MATCH($A18,Timeline!$P$4:$AN$4,0))="x")*(Timeline!$K$5:$K$305="Task")*ISNUMBER(Timeline!$I$5:$I$305)*ISNUMBER(Timeline!$J$5:$J$305)*(Timeline!$I$5:$I$305&lt;=C$4+0)*(Timeline!$J$5:$J$305&gt;=C$4+0)),SUMPRODUCT((INDEX(Timeline!$P$5:$AN$305,0,MATCH($A18,Timeline!$P$4:$AN$4,0))="x")*(Timeline!$K$5:$K$305="Task")*ISNUMBER(Timeline!$I$5:$I$305)*ISNUMBER(Timeline!$J$5:$J$305)*(Timeline!$I$5:$I$305&lt;=C$4+1)*(Timeline!$J$5:$J$305&gt;=C$4+1)),SUMPRODUCT((INDEX(Timeline!$P$5:$AN$305,0,MATCH($A18,Timeline!$P$4:$AN$4,0))="x")*(Timeline!$K$5:$K$305="Task")*ISNUMBER(Timeline!$I$5:$I$305)*ISNUMBER(Timeline!$J$5:$J$305)*(Timeline!$I$5:$I$305&lt;=C$4+2)*(Timeline!$J$5:$J$305&gt;=C$4+2)),SUMPRODUCT((INDEX(Timeline!$P$5:$AN$305,0,MATCH($A18,Timeline!$P$4:$AN$4,0))="x")*(Timeline!$K$5:$K$305="Task")*ISNUMBER(Timeline!$I$5:$I$305)*ISNUMBER(Timeline!$J$5:$J$305)*(Timeline!$I$5:$I$305&lt;=C$4+3)*(Timeline!$J$5:$J$305&gt;=C$4+3)),SUMPRODUCT((INDEX(Timeline!$P$5:$AN$305,0,MATCH($A18,Timeline!$P$4:$AN$4,0))="x")*(Timeline!$K$5:$K$305="Task")*ISNUMBER(Timeline!$I$5:$I$305)*ISNUMBER(Timeline!$J$5:$J$305)*(Timeline!$I$5:$I$305&lt;=C$4+4)*(Timeline!$J$5:$J$305&gt;=C$4+4)),SUMPRODUCT((INDEX(Timeline!$P$5:$AN$305,0,MATCH($A18,Timeline!$P$4:$AN$4,0))="x")*(Timeline!$K$5:$K$305="Task")*ISNUMBER(Timeline!$I$5:$I$305)*ISNUMBER(Timeline!$J$5:$J$305)*(Timeline!$I$5:$I$305&lt;=C$4+5)*(Timeline!$J$5:$J$305&gt;=C$4+5)),SUMPRODUCT((INDEX(Timeline!$P$5:$AN$305,0,MATCH($A18,Timeline!$P$4:$AN$4,0))="x")*(Timeline!$K$5:$K$305="Task")*ISNUMBER(Timeline!$I$5:$I$305)*ISNUMBER(Timeline!$J$5:$J$305)*(Timeline!$I$5:$I$305&lt;=C$4+6)*(Timeline!$J$5:$J$305&gt;=C$4+6)))</f>
        <v>0</v>
      </c>
      <c r="D18" s="67">
        <f>MAX(SUMPRODUCT((INDEX(Timeline!$P$5:$AN$305,0,MATCH($A18,Timeline!$P$4:$AN$4,0))="x")*(Timeline!$K$5:$K$305="Task")*ISNUMBER(Timeline!$I$5:$I$305)*ISNUMBER(Timeline!$J$5:$J$305)*(Timeline!$I$5:$I$305&lt;=D$4+0)*(Timeline!$J$5:$J$305&gt;=D$4+0)),SUMPRODUCT((INDEX(Timeline!$P$5:$AN$305,0,MATCH($A18,Timeline!$P$4:$AN$4,0))="x")*(Timeline!$K$5:$K$305="Task")*ISNUMBER(Timeline!$I$5:$I$305)*ISNUMBER(Timeline!$J$5:$J$305)*(Timeline!$I$5:$I$305&lt;=D$4+1)*(Timeline!$J$5:$J$305&gt;=D$4+1)),SUMPRODUCT((INDEX(Timeline!$P$5:$AN$305,0,MATCH($A18,Timeline!$P$4:$AN$4,0))="x")*(Timeline!$K$5:$K$305="Task")*ISNUMBER(Timeline!$I$5:$I$305)*ISNUMBER(Timeline!$J$5:$J$305)*(Timeline!$I$5:$I$305&lt;=D$4+2)*(Timeline!$J$5:$J$305&gt;=D$4+2)),SUMPRODUCT((INDEX(Timeline!$P$5:$AN$305,0,MATCH($A18,Timeline!$P$4:$AN$4,0))="x")*(Timeline!$K$5:$K$305="Task")*ISNUMBER(Timeline!$I$5:$I$305)*ISNUMBER(Timeline!$J$5:$J$305)*(Timeline!$I$5:$I$305&lt;=D$4+3)*(Timeline!$J$5:$J$305&gt;=D$4+3)),SUMPRODUCT((INDEX(Timeline!$P$5:$AN$305,0,MATCH($A18,Timeline!$P$4:$AN$4,0))="x")*(Timeline!$K$5:$K$305="Task")*ISNUMBER(Timeline!$I$5:$I$305)*ISNUMBER(Timeline!$J$5:$J$305)*(Timeline!$I$5:$I$305&lt;=D$4+4)*(Timeline!$J$5:$J$305&gt;=D$4+4)),SUMPRODUCT((INDEX(Timeline!$P$5:$AN$305,0,MATCH($A18,Timeline!$P$4:$AN$4,0))="x")*(Timeline!$K$5:$K$305="Task")*ISNUMBER(Timeline!$I$5:$I$305)*ISNUMBER(Timeline!$J$5:$J$305)*(Timeline!$I$5:$I$305&lt;=D$4+5)*(Timeline!$J$5:$J$305&gt;=D$4+5)),SUMPRODUCT((INDEX(Timeline!$P$5:$AN$305,0,MATCH($A18,Timeline!$P$4:$AN$4,0))="x")*(Timeline!$K$5:$K$305="Task")*ISNUMBER(Timeline!$I$5:$I$305)*ISNUMBER(Timeline!$J$5:$J$305)*(Timeline!$I$5:$I$305&lt;=D$4+6)*(Timeline!$J$5:$J$305&gt;=D$4+6)))</f>
        <v>0</v>
      </c>
      <c r="E18" s="67">
        <f>MAX(SUMPRODUCT((INDEX(Timeline!$P$5:$AN$305,0,MATCH($A18,Timeline!$P$4:$AN$4,0))="x")*(Timeline!$K$5:$K$305="Task")*ISNUMBER(Timeline!$I$5:$I$305)*ISNUMBER(Timeline!$J$5:$J$305)*(Timeline!$I$5:$I$305&lt;=E$4+0)*(Timeline!$J$5:$J$305&gt;=E$4+0)),SUMPRODUCT((INDEX(Timeline!$P$5:$AN$305,0,MATCH($A18,Timeline!$P$4:$AN$4,0))="x")*(Timeline!$K$5:$K$305="Task")*ISNUMBER(Timeline!$I$5:$I$305)*ISNUMBER(Timeline!$J$5:$J$305)*(Timeline!$I$5:$I$305&lt;=E$4+1)*(Timeline!$J$5:$J$305&gt;=E$4+1)),SUMPRODUCT((INDEX(Timeline!$P$5:$AN$305,0,MATCH($A18,Timeline!$P$4:$AN$4,0))="x")*(Timeline!$K$5:$K$305="Task")*ISNUMBER(Timeline!$I$5:$I$305)*ISNUMBER(Timeline!$J$5:$J$305)*(Timeline!$I$5:$I$305&lt;=E$4+2)*(Timeline!$J$5:$J$305&gt;=E$4+2)),SUMPRODUCT((INDEX(Timeline!$P$5:$AN$305,0,MATCH($A18,Timeline!$P$4:$AN$4,0))="x")*(Timeline!$K$5:$K$305="Task")*ISNUMBER(Timeline!$I$5:$I$305)*ISNUMBER(Timeline!$J$5:$J$305)*(Timeline!$I$5:$I$305&lt;=E$4+3)*(Timeline!$J$5:$J$305&gt;=E$4+3)),SUMPRODUCT((INDEX(Timeline!$P$5:$AN$305,0,MATCH($A18,Timeline!$P$4:$AN$4,0))="x")*(Timeline!$K$5:$K$305="Task")*ISNUMBER(Timeline!$I$5:$I$305)*ISNUMBER(Timeline!$J$5:$J$305)*(Timeline!$I$5:$I$305&lt;=E$4+4)*(Timeline!$J$5:$J$305&gt;=E$4+4)),SUMPRODUCT((INDEX(Timeline!$P$5:$AN$305,0,MATCH($A18,Timeline!$P$4:$AN$4,0))="x")*(Timeline!$K$5:$K$305="Task")*ISNUMBER(Timeline!$I$5:$I$305)*ISNUMBER(Timeline!$J$5:$J$305)*(Timeline!$I$5:$I$305&lt;=E$4+5)*(Timeline!$J$5:$J$305&gt;=E$4+5)),SUMPRODUCT((INDEX(Timeline!$P$5:$AN$305,0,MATCH($A18,Timeline!$P$4:$AN$4,0))="x")*(Timeline!$K$5:$K$305="Task")*ISNUMBER(Timeline!$I$5:$I$305)*ISNUMBER(Timeline!$J$5:$J$305)*(Timeline!$I$5:$I$305&lt;=E$4+6)*(Timeline!$J$5:$J$305&gt;=E$4+6)))</f>
        <v>0</v>
      </c>
      <c r="F18" s="67">
        <f>MAX(SUMPRODUCT((INDEX(Timeline!$P$5:$AN$305,0,MATCH($A18,Timeline!$P$4:$AN$4,0))="x")*(Timeline!$K$5:$K$305="Task")*ISNUMBER(Timeline!$I$5:$I$305)*ISNUMBER(Timeline!$J$5:$J$305)*(Timeline!$I$5:$I$305&lt;=F$4+0)*(Timeline!$J$5:$J$305&gt;=F$4+0)),SUMPRODUCT((INDEX(Timeline!$P$5:$AN$305,0,MATCH($A18,Timeline!$P$4:$AN$4,0))="x")*(Timeline!$K$5:$K$305="Task")*ISNUMBER(Timeline!$I$5:$I$305)*ISNUMBER(Timeline!$J$5:$J$305)*(Timeline!$I$5:$I$305&lt;=F$4+1)*(Timeline!$J$5:$J$305&gt;=F$4+1)),SUMPRODUCT((INDEX(Timeline!$P$5:$AN$305,0,MATCH($A18,Timeline!$P$4:$AN$4,0))="x")*(Timeline!$K$5:$K$305="Task")*ISNUMBER(Timeline!$I$5:$I$305)*ISNUMBER(Timeline!$J$5:$J$305)*(Timeline!$I$5:$I$305&lt;=F$4+2)*(Timeline!$J$5:$J$305&gt;=F$4+2)),SUMPRODUCT((INDEX(Timeline!$P$5:$AN$305,0,MATCH($A18,Timeline!$P$4:$AN$4,0))="x")*(Timeline!$K$5:$K$305="Task")*ISNUMBER(Timeline!$I$5:$I$305)*ISNUMBER(Timeline!$J$5:$J$305)*(Timeline!$I$5:$I$305&lt;=F$4+3)*(Timeline!$J$5:$J$305&gt;=F$4+3)),SUMPRODUCT((INDEX(Timeline!$P$5:$AN$305,0,MATCH($A18,Timeline!$P$4:$AN$4,0))="x")*(Timeline!$K$5:$K$305="Task")*ISNUMBER(Timeline!$I$5:$I$305)*ISNUMBER(Timeline!$J$5:$J$305)*(Timeline!$I$5:$I$305&lt;=F$4+4)*(Timeline!$J$5:$J$305&gt;=F$4+4)),SUMPRODUCT((INDEX(Timeline!$P$5:$AN$305,0,MATCH($A18,Timeline!$P$4:$AN$4,0))="x")*(Timeline!$K$5:$K$305="Task")*ISNUMBER(Timeline!$I$5:$I$305)*ISNUMBER(Timeline!$J$5:$J$305)*(Timeline!$I$5:$I$305&lt;=F$4+5)*(Timeline!$J$5:$J$305&gt;=F$4+5)),SUMPRODUCT((INDEX(Timeline!$P$5:$AN$305,0,MATCH($A18,Timeline!$P$4:$AN$4,0))="x")*(Timeline!$K$5:$K$305="Task")*ISNUMBER(Timeline!$I$5:$I$305)*ISNUMBER(Timeline!$J$5:$J$305)*(Timeline!$I$5:$I$305&lt;=F$4+6)*(Timeline!$J$5:$J$305&gt;=F$4+6)))</f>
        <v>0</v>
      </c>
      <c r="G18" s="67">
        <f>MAX(SUMPRODUCT((INDEX(Timeline!$P$5:$AN$305,0,MATCH($A18,Timeline!$P$4:$AN$4,0))="x")*(Timeline!$K$5:$K$305="Task")*ISNUMBER(Timeline!$I$5:$I$305)*ISNUMBER(Timeline!$J$5:$J$305)*(Timeline!$I$5:$I$305&lt;=G$4+0)*(Timeline!$J$5:$J$305&gt;=G$4+0)),SUMPRODUCT((INDEX(Timeline!$P$5:$AN$305,0,MATCH($A18,Timeline!$P$4:$AN$4,0))="x")*(Timeline!$K$5:$K$305="Task")*ISNUMBER(Timeline!$I$5:$I$305)*ISNUMBER(Timeline!$J$5:$J$305)*(Timeline!$I$5:$I$305&lt;=G$4+1)*(Timeline!$J$5:$J$305&gt;=G$4+1)),SUMPRODUCT((INDEX(Timeline!$P$5:$AN$305,0,MATCH($A18,Timeline!$P$4:$AN$4,0))="x")*(Timeline!$K$5:$K$305="Task")*ISNUMBER(Timeline!$I$5:$I$305)*ISNUMBER(Timeline!$J$5:$J$305)*(Timeline!$I$5:$I$305&lt;=G$4+2)*(Timeline!$J$5:$J$305&gt;=G$4+2)),SUMPRODUCT((INDEX(Timeline!$P$5:$AN$305,0,MATCH($A18,Timeline!$P$4:$AN$4,0))="x")*(Timeline!$K$5:$K$305="Task")*ISNUMBER(Timeline!$I$5:$I$305)*ISNUMBER(Timeline!$J$5:$J$305)*(Timeline!$I$5:$I$305&lt;=G$4+3)*(Timeline!$J$5:$J$305&gt;=G$4+3)),SUMPRODUCT((INDEX(Timeline!$P$5:$AN$305,0,MATCH($A18,Timeline!$P$4:$AN$4,0))="x")*(Timeline!$K$5:$K$305="Task")*ISNUMBER(Timeline!$I$5:$I$305)*ISNUMBER(Timeline!$J$5:$J$305)*(Timeline!$I$5:$I$305&lt;=G$4+4)*(Timeline!$J$5:$J$305&gt;=G$4+4)),SUMPRODUCT((INDEX(Timeline!$P$5:$AN$305,0,MATCH($A18,Timeline!$P$4:$AN$4,0))="x")*(Timeline!$K$5:$K$305="Task")*ISNUMBER(Timeline!$I$5:$I$305)*ISNUMBER(Timeline!$J$5:$J$305)*(Timeline!$I$5:$I$305&lt;=G$4+5)*(Timeline!$J$5:$J$305&gt;=G$4+5)),SUMPRODUCT((INDEX(Timeline!$P$5:$AN$305,0,MATCH($A18,Timeline!$P$4:$AN$4,0))="x")*(Timeline!$K$5:$K$305="Task")*ISNUMBER(Timeline!$I$5:$I$305)*ISNUMBER(Timeline!$J$5:$J$305)*(Timeline!$I$5:$I$305&lt;=G$4+6)*(Timeline!$J$5:$J$305&gt;=G$4+6)))</f>
        <v>1</v>
      </c>
      <c r="H18" s="67">
        <f>MAX(SUMPRODUCT((INDEX(Timeline!$P$5:$AN$305,0,MATCH($A18,Timeline!$P$4:$AN$4,0))="x")*(Timeline!$K$5:$K$305="Task")*ISNUMBER(Timeline!$I$5:$I$305)*ISNUMBER(Timeline!$J$5:$J$305)*(Timeline!$I$5:$I$305&lt;=H$4+0)*(Timeline!$J$5:$J$305&gt;=H$4+0)),SUMPRODUCT((INDEX(Timeline!$P$5:$AN$305,0,MATCH($A18,Timeline!$P$4:$AN$4,0))="x")*(Timeline!$K$5:$K$305="Task")*ISNUMBER(Timeline!$I$5:$I$305)*ISNUMBER(Timeline!$J$5:$J$305)*(Timeline!$I$5:$I$305&lt;=H$4+1)*(Timeline!$J$5:$J$305&gt;=H$4+1)),SUMPRODUCT((INDEX(Timeline!$P$5:$AN$305,0,MATCH($A18,Timeline!$P$4:$AN$4,0))="x")*(Timeline!$K$5:$K$305="Task")*ISNUMBER(Timeline!$I$5:$I$305)*ISNUMBER(Timeline!$J$5:$J$305)*(Timeline!$I$5:$I$305&lt;=H$4+2)*(Timeline!$J$5:$J$305&gt;=H$4+2)),SUMPRODUCT((INDEX(Timeline!$P$5:$AN$305,0,MATCH($A18,Timeline!$P$4:$AN$4,0))="x")*(Timeline!$K$5:$K$305="Task")*ISNUMBER(Timeline!$I$5:$I$305)*ISNUMBER(Timeline!$J$5:$J$305)*(Timeline!$I$5:$I$305&lt;=H$4+3)*(Timeline!$J$5:$J$305&gt;=H$4+3)),SUMPRODUCT((INDEX(Timeline!$P$5:$AN$305,0,MATCH($A18,Timeline!$P$4:$AN$4,0))="x")*(Timeline!$K$5:$K$305="Task")*ISNUMBER(Timeline!$I$5:$I$305)*ISNUMBER(Timeline!$J$5:$J$305)*(Timeline!$I$5:$I$305&lt;=H$4+4)*(Timeline!$J$5:$J$305&gt;=H$4+4)),SUMPRODUCT((INDEX(Timeline!$P$5:$AN$305,0,MATCH($A18,Timeline!$P$4:$AN$4,0))="x")*(Timeline!$K$5:$K$305="Task")*ISNUMBER(Timeline!$I$5:$I$305)*ISNUMBER(Timeline!$J$5:$J$305)*(Timeline!$I$5:$I$305&lt;=H$4+5)*(Timeline!$J$5:$J$305&gt;=H$4+5)),SUMPRODUCT((INDEX(Timeline!$P$5:$AN$305,0,MATCH($A18,Timeline!$P$4:$AN$4,0))="x")*(Timeline!$K$5:$K$305="Task")*ISNUMBER(Timeline!$I$5:$I$305)*ISNUMBER(Timeline!$J$5:$J$305)*(Timeline!$I$5:$I$305&lt;=H$4+6)*(Timeline!$J$5:$J$305&gt;=H$4+6)))</f>
        <v>1</v>
      </c>
      <c r="I18" s="67">
        <f>MAX(SUMPRODUCT((INDEX(Timeline!$P$5:$AN$305,0,MATCH($A18,Timeline!$P$4:$AN$4,0))="x")*(Timeline!$K$5:$K$305="Task")*ISNUMBER(Timeline!$I$5:$I$305)*ISNUMBER(Timeline!$J$5:$J$305)*(Timeline!$I$5:$I$305&lt;=I$4+0)*(Timeline!$J$5:$J$305&gt;=I$4+0)),SUMPRODUCT((INDEX(Timeline!$P$5:$AN$305,0,MATCH($A18,Timeline!$P$4:$AN$4,0))="x")*(Timeline!$K$5:$K$305="Task")*ISNUMBER(Timeline!$I$5:$I$305)*ISNUMBER(Timeline!$J$5:$J$305)*(Timeline!$I$5:$I$305&lt;=I$4+1)*(Timeline!$J$5:$J$305&gt;=I$4+1)),SUMPRODUCT((INDEX(Timeline!$P$5:$AN$305,0,MATCH($A18,Timeline!$P$4:$AN$4,0))="x")*(Timeline!$K$5:$K$305="Task")*ISNUMBER(Timeline!$I$5:$I$305)*ISNUMBER(Timeline!$J$5:$J$305)*(Timeline!$I$5:$I$305&lt;=I$4+2)*(Timeline!$J$5:$J$305&gt;=I$4+2)),SUMPRODUCT((INDEX(Timeline!$P$5:$AN$305,0,MATCH($A18,Timeline!$P$4:$AN$4,0))="x")*(Timeline!$K$5:$K$305="Task")*ISNUMBER(Timeline!$I$5:$I$305)*ISNUMBER(Timeline!$J$5:$J$305)*(Timeline!$I$5:$I$305&lt;=I$4+3)*(Timeline!$J$5:$J$305&gt;=I$4+3)),SUMPRODUCT((INDEX(Timeline!$P$5:$AN$305,0,MATCH($A18,Timeline!$P$4:$AN$4,0))="x")*(Timeline!$K$5:$K$305="Task")*ISNUMBER(Timeline!$I$5:$I$305)*ISNUMBER(Timeline!$J$5:$J$305)*(Timeline!$I$5:$I$305&lt;=I$4+4)*(Timeline!$J$5:$J$305&gt;=I$4+4)),SUMPRODUCT((INDEX(Timeline!$P$5:$AN$305,0,MATCH($A18,Timeline!$P$4:$AN$4,0))="x")*(Timeline!$K$5:$K$305="Task")*ISNUMBER(Timeline!$I$5:$I$305)*ISNUMBER(Timeline!$J$5:$J$305)*(Timeline!$I$5:$I$305&lt;=I$4+5)*(Timeline!$J$5:$J$305&gt;=I$4+5)),SUMPRODUCT((INDEX(Timeline!$P$5:$AN$305,0,MATCH($A18,Timeline!$P$4:$AN$4,0))="x")*(Timeline!$K$5:$K$305="Task")*ISNUMBER(Timeline!$I$5:$I$305)*ISNUMBER(Timeline!$J$5:$J$305)*(Timeline!$I$5:$I$305&lt;=I$4+6)*(Timeline!$J$5:$J$305&gt;=I$4+6)))</f>
        <v>1</v>
      </c>
      <c r="J18" s="67">
        <f>MAX(SUMPRODUCT((INDEX(Timeline!$P$5:$AN$305,0,MATCH($A18,Timeline!$P$4:$AN$4,0))="x")*(Timeline!$K$5:$K$305="Task")*ISNUMBER(Timeline!$I$5:$I$305)*ISNUMBER(Timeline!$J$5:$J$305)*(Timeline!$I$5:$I$305&lt;=J$4+0)*(Timeline!$J$5:$J$305&gt;=J$4+0)),SUMPRODUCT((INDEX(Timeline!$P$5:$AN$305,0,MATCH($A18,Timeline!$P$4:$AN$4,0))="x")*(Timeline!$K$5:$K$305="Task")*ISNUMBER(Timeline!$I$5:$I$305)*ISNUMBER(Timeline!$J$5:$J$305)*(Timeline!$I$5:$I$305&lt;=J$4+1)*(Timeline!$J$5:$J$305&gt;=J$4+1)),SUMPRODUCT((INDEX(Timeline!$P$5:$AN$305,0,MATCH($A18,Timeline!$P$4:$AN$4,0))="x")*(Timeline!$K$5:$K$305="Task")*ISNUMBER(Timeline!$I$5:$I$305)*ISNUMBER(Timeline!$J$5:$J$305)*(Timeline!$I$5:$I$305&lt;=J$4+2)*(Timeline!$J$5:$J$305&gt;=J$4+2)),SUMPRODUCT((INDEX(Timeline!$P$5:$AN$305,0,MATCH($A18,Timeline!$P$4:$AN$4,0))="x")*(Timeline!$K$5:$K$305="Task")*ISNUMBER(Timeline!$I$5:$I$305)*ISNUMBER(Timeline!$J$5:$J$305)*(Timeline!$I$5:$I$305&lt;=J$4+3)*(Timeline!$J$5:$J$305&gt;=J$4+3)),SUMPRODUCT((INDEX(Timeline!$P$5:$AN$305,0,MATCH($A18,Timeline!$P$4:$AN$4,0))="x")*(Timeline!$K$5:$K$305="Task")*ISNUMBER(Timeline!$I$5:$I$305)*ISNUMBER(Timeline!$J$5:$J$305)*(Timeline!$I$5:$I$305&lt;=J$4+4)*(Timeline!$J$5:$J$305&gt;=J$4+4)),SUMPRODUCT((INDEX(Timeline!$P$5:$AN$305,0,MATCH($A18,Timeline!$P$4:$AN$4,0))="x")*(Timeline!$K$5:$K$305="Task")*ISNUMBER(Timeline!$I$5:$I$305)*ISNUMBER(Timeline!$J$5:$J$305)*(Timeline!$I$5:$I$305&lt;=J$4+5)*(Timeline!$J$5:$J$305&gt;=J$4+5)),SUMPRODUCT((INDEX(Timeline!$P$5:$AN$305,0,MATCH($A18,Timeline!$P$4:$AN$4,0))="x")*(Timeline!$K$5:$K$305="Task")*ISNUMBER(Timeline!$I$5:$I$305)*ISNUMBER(Timeline!$J$5:$J$305)*(Timeline!$I$5:$I$305&lt;=J$4+6)*(Timeline!$J$5:$J$305&gt;=J$4+6)))</f>
        <v>0</v>
      </c>
      <c r="K18" s="67">
        <f>MAX(SUMPRODUCT((INDEX(Timeline!$P$5:$AN$305,0,MATCH($A18,Timeline!$P$4:$AN$4,0))="x")*(Timeline!$K$5:$K$305="Task")*ISNUMBER(Timeline!$I$5:$I$305)*ISNUMBER(Timeline!$J$5:$J$305)*(Timeline!$I$5:$I$305&lt;=K$4+0)*(Timeline!$J$5:$J$305&gt;=K$4+0)),SUMPRODUCT((INDEX(Timeline!$P$5:$AN$305,0,MATCH($A18,Timeline!$P$4:$AN$4,0))="x")*(Timeline!$K$5:$K$305="Task")*ISNUMBER(Timeline!$I$5:$I$305)*ISNUMBER(Timeline!$J$5:$J$305)*(Timeline!$I$5:$I$305&lt;=K$4+1)*(Timeline!$J$5:$J$305&gt;=K$4+1)),SUMPRODUCT((INDEX(Timeline!$P$5:$AN$305,0,MATCH($A18,Timeline!$P$4:$AN$4,0))="x")*(Timeline!$K$5:$K$305="Task")*ISNUMBER(Timeline!$I$5:$I$305)*ISNUMBER(Timeline!$J$5:$J$305)*(Timeline!$I$5:$I$305&lt;=K$4+2)*(Timeline!$J$5:$J$305&gt;=K$4+2)),SUMPRODUCT((INDEX(Timeline!$P$5:$AN$305,0,MATCH($A18,Timeline!$P$4:$AN$4,0))="x")*(Timeline!$K$5:$K$305="Task")*ISNUMBER(Timeline!$I$5:$I$305)*ISNUMBER(Timeline!$J$5:$J$305)*(Timeline!$I$5:$I$305&lt;=K$4+3)*(Timeline!$J$5:$J$305&gt;=K$4+3)),SUMPRODUCT((INDEX(Timeline!$P$5:$AN$305,0,MATCH($A18,Timeline!$P$4:$AN$4,0))="x")*(Timeline!$K$5:$K$305="Task")*ISNUMBER(Timeline!$I$5:$I$305)*ISNUMBER(Timeline!$J$5:$J$305)*(Timeline!$I$5:$I$305&lt;=K$4+4)*(Timeline!$J$5:$J$305&gt;=K$4+4)),SUMPRODUCT((INDEX(Timeline!$P$5:$AN$305,0,MATCH($A18,Timeline!$P$4:$AN$4,0))="x")*(Timeline!$K$5:$K$305="Task")*ISNUMBER(Timeline!$I$5:$I$305)*ISNUMBER(Timeline!$J$5:$J$305)*(Timeline!$I$5:$I$305&lt;=K$4+5)*(Timeline!$J$5:$J$305&gt;=K$4+5)),SUMPRODUCT((INDEX(Timeline!$P$5:$AN$305,0,MATCH($A18,Timeline!$P$4:$AN$4,0))="x")*(Timeline!$K$5:$K$305="Task")*ISNUMBER(Timeline!$I$5:$I$305)*ISNUMBER(Timeline!$J$5:$J$305)*(Timeline!$I$5:$I$305&lt;=K$4+6)*(Timeline!$J$5:$J$305&gt;=K$4+6)))</f>
        <v>0</v>
      </c>
      <c r="L18" s="67">
        <f>MAX(SUMPRODUCT((INDEX(Timeline!$P$5:$AN$305,0,MATCH($A18,Timeline!$P$4:$AN$4,0))="x")*(Timeline!$K$5:$K$305="Task")*ISNUMBER(Timeline!$I$5:$I$305)*ISNUMBER(Timeline!$J$5:$J$305)*(Timeline!$I$5:$I$305&lt;=L$4+0)*(Timeline!$J$5:$J$305&gt;=L$4+0)),SUMPRODUCT((INDEX(Timeline!$P$5:$AN$305,0,MATCH($A18,Timeline!$P$4:$AN$4,0))="x")*(Timeline!$K$5:$K$305="Task")*ISNUMBER(Timeline!$I$5:$I$305)*ISNUMBER(Timeline!$J$5:$J$305)*(Timeline!$I$5:$I$305&lt;=L$4+1)*(Timeline!$J$5:$J$305&gt;=L$4+1)),SUMPRODUCT((INDEX(Timeline!$P$5:$AN$305,0,MATCH($A18,Timeline!$P$4:$AN$4,0))="x")*(Timeline!$K$5:$K$305="Task")*ISNUMBER(Timeline!$I$5:$I$305)*ISNUMBER(Timeline!$J$5:$J$305)*(Timeline!$I$5:$I$305&lt;=L$4+2)*(Timeline!$J$5:$J$305&gt;=L$4+2)),SUMPRODUCT((INDEX(Timeline!$P$5:$AN$305,0,MATCH($A18,Timeline!$P$4:$AN$4,0))="x")*(Timeline!$K$5:$K$305="Task")*ISNUMBER(Timeline!$I$5:$I$305)*ISNUMBER(Timeline!$J$5:$J$305)*(Timeline!$I$5:$I$305&lt;=L$4+3)*(Timeline!$J$5:$J$305&gt;=L$4+3)),SUMPRODUCT((INDEX(Timeline!$P$5:$AN$305,0,MATCH($A18,Timeline!$P$4:$AN$4,0))="x")*(Timeline!$K$5:$K$305="Task")*ISNUMBER(Timeline!$I$5:$I$305)*ISNUMBER(Timeline!$J$5:$J$305)*(Timeline!$I$5:$I$305&lt;=L$4+4)*(Timeline!$J$5:$J$305&gt;=L$4+4)),SUMPRODUCT((INDEX(Timeline!$P$5:$AN$305,0,MATCH($A18,Timeline!$P$4:$AN$4,0))="x")*(Timeline!$K$5:$K$305="Task")*ISNUMBER(Timeline!$I$5:$I$305)*ISNUMBER(Timeline!$J$5:$J$305)*(Timeline!$I$5:$I$305&lt;=L$4+5)*(Timeline!$J$5:$J$305&gt;=L$4+5)),SUMPRODUCT((INDEX(Timeline!$P$5:$AN$305,0,MATCH($A18,Timeline!$P$4:$AN$4,0))="x")*(Timeline!$K$5:$K$305="Task")*ISNUMBER(Timeline!$I$5:$I$305)*ISNUMBER(Timeline!$J$5:$J$305)*(Timeline!$I$5:$I$305&lt;=L$4+6)*(Timeline!$J$5:$J$305&gt;=L$4+6)))</f>
        <v>1</v>
      </c>
      <c r="M18" s="67">
        <f>MAX(SUMPRODUCT((INDEX(Timeline!$P$5:$AN$305,0,MATCH($A18,Timeline!$P$4:$AN$4,0))="x")*(Timeline!$K$5:$K$305="Task")*ISNUMBER(Timeline!$I$5:$I$305)*ISNUMBER(Timeline!$J$5:$J$305)*(Timeline!$I$5:$I$305&lt;=M$4+0)*(Timeline!$J$5:$J$305&gt;=M$4+0)),SUMPRODUCT((INDEX(Timeline!$P$5:$AN$305,0,MATCH($A18,Timeline!$P$4:$AN$4,0))="x")*(Timeline!$K$5:$K$305="Task")*ISNUMBER(Timeline!$I$5:$I$305)*ISNUMBER(Timeline!$J$5:$J$305)*(Timeline!$I$5:$I$305&lt;=M$4+1)*(Timeline!$J$5:$J$305&gt;=M$4+1)),SUMPRODUCT((INDEX(Timeline!$P$5:$AN$305,0,MATCH($A18,Timeline!$P$4:$AN$4,0))="x")*(Timeline!$K$5:$K$305="Task")*ISNUMBER(Timeline!$I$5:$I$305)*ISNUMBER(Timeline!$J$5:$J$305)*(Timeline!$I$5:$I$305&lt;=M$4+2)*(Timeline!$J$5:$J$305&gt;=M$4+2)),SUMPRODUCT((INDEX(Timeline!$P$5:$AN$305,0,MATCH($A18,Timeline!$P$4:$AN$4,0))="x")*(Timeline!$K$5:$K$305="Task")*ISNUMBER(Timeline!$I$5:$I$305)*ISNUMBER(Timeline!$J$5:$J$305)*(Timeline!$I$5:$I$305&lt;=M$4+3)*(Timeline!$J$5:$J$305&gt;=M$4+3)),SUMPRODUCT((INDEX(Timeline!$P$5:$AN$305,0,MATCH($A18,Timeline!$P$4:$AN$4,0))="x")*(Timeline!$K$5:$K$305="Task")*ISNUMBER(Timeline!$I$5:$I$305)*ISNUMBER(Timeline!$J$5:$J$305)*(Timeline!$I$5:$I$305&lt;=M$4+4)*(Timeline!$J$5:$J$305&gt;=M$4+4)),SUMPRODUCT((INDEX(Timeline!$P$5:$AN$305,0,MATCH($A18,Timeline!$P$4:$AN$4,0))="x")*(Timeline!$K$5:$K$305="Task")*ISNUMBER(Timeline!$I$5:$I$305)*ISNUMBER(Timeline!$J$5:$J$305)*(Timeline!$I$5:$I$305&lt;=M$4+5)*(Timeline!$J$5:$J$305&gt;=M$4+5)),SUMPRODUCT((INDEX(Timeline!$P$5:$AN$305,0,MATCH($A18,Timeline!$P$4:$AN$4,0))="x")*(Timeline!$K$5:$K$305="Task")*ISNUMBER(Timeline!$I$5:$I$305)*ISNUMBER(Timeline!$J$5:$J$305)*(Timeline!$I$5:$I$305&lt;=M$4+6)*(Timeline!$J$5:$J$305&gt;=M$4+6)))</f>
        <v>1</v>
      </c>
      <c r="N18" s="67">
        <f>MAX(SUMPRODUCT((INDEX(Timeline!$P$5:$AN$305,0,MATCH($A18,Timeline!$P$4:$AN$4,0))="x")*(Timeline!$K$5:$K$305="Task")*ISNUMBER(Timeline!$I$5:$I$305)*ISNUMBER(Timeline!$J$5:$J$305)*(Timeline!$I$5:$I$305&lt;=N$4+0)*(Timeline!$J$5:$J$305&gt;=N$4+0)),SUMPRODUCT((INDEX(Timeline!$P$5:$AN$305,0,MATCH($A18,Timeline!$P$4:$AN$4,0))="x")*(Timeline!$K$5:$K$305="Task")*ISNUMBER(Timeline!$I$5:$I$305)*ISNUMBER(Timeline!$J$5:$J$305)*(Timeline!$I$5:$I$305&lt;=N$4+1)*(Timeline!$J$5:$J$305&gt;=N$4+1)),SUMPRODUCT((INDEX(Timeline!$P$5:$AN$305,0,MATCH($A18,Timeline!$P$4:$AN$4,0))="x")*(Timeline!$K$5:$K$305="Task")*ISNUMBER(Timeline!$I$5:$I$305)*ISNUMBER(Timeline!$J$5:$J$305)*(Timeline!$I$5:$I$305&lt;=N$4+2)*(Timeline!$J$5:$J$305&gt;=N$4+2)),SUMPRODUCT((INDEX(Timeline!$P$5:$AN$305,0,MATCH($A18,Timeline!$P$4:$AN$4,0))="x")*(Timeline!$K$5:$K$305="Task")*ISNUMBER(Timeline!$I$5:$I$305)*ISNUMBER(Timeline!$J$5:$J$305)*(Timeline!$I$5:$I$305&lt;=N$4+3)*(Timeline!$J$5:$J$305&gt;=N$4+3)),SUMPRODUCT((INDEX(Timeline!$P$5:$AN$305,0,MATCH($A18,Timeline!$P$4:$AN$4,0))="x")*(Timeline!$K$5:$K$305="Task")*ISNUMBER(Timeline!$I$5:$I$305)*ISNUMBER(Timeline!$J$5:$J$305)*(Timeline!$I$5:$I$305&lt;=N$4+4)*(Timeline!$J$5:$J$305&gt;=N$4+4)),SUMPRODUCT((INDEX(Timeline!$P$5:$AN$305,0,MATCH($A18,Timeline!$P$4:$AN$4,0))="x")*(Timeline!$K$5:$K$305="Task")*ISNUMBER(Timeline!$I$5:$I$305)*ISNUMBER(Timeline!$J$5:$J$305)*(Timeline!$I$5:$I$305&lt;=N$4+5)*(Timeline!$J$5:$J$305&gt;=N$4+5)),SUMPRODUCT((INDEX(Timeline!$P$5:$AN$305,0,MATCH($A18,Timeline!$P$4:$AN$4,0))="x")*(Timeline!$K$5:$K$305="Task")*ISNUMBER(Timeline!$I$5:$I$305)*ISNUMBER(Timeline!$J$5:$J$305)*(Timeline!$I$5:$I$305&lt;=N$4+6)*(Timeline!$J$5:$J$305&gt;=N$4+6)))</f>
        <v>1</v>
      </c>
      <c r="O18" s="67">
        <f>MAX(SUMPRODUCT((INDEX(Timeline!$P$5:$AN$305,0,MATCH($A18,Timeline!$P$4:$AN$4,0))="x")*(Timeline!$K$5:$K$305="Task")*ISNUMBER(Timeline!$I$5:$I$305)*ISNUMBER(Timeline!$J$5:$J$305)*(Timeline!$I$5:$I$305&lt;=O$4+0)*(Timeline!$J$5:$J$305&gt;=O$4+0)),SUMPRODUCT((INDEX(Timeline!$P$5:$AN$305,0,MATCH($A18,Timeline!$P$4:$AN$4,0))="x")*(Timeline!$K$5:$K$305="Task")*ISNUMBER(Timeline!$I$5:$I$305)*ISNUMBER(Timeline!$J$5:$J$305)*(Timeline!$I$5:$I$305&lt;=O$4+1)*(Timeline!$J$5:$J$305&gt;=O$4+1)),SUMPRODUCT((INDEX(Timeline!$P$5:$AN$305,0,MATCH($A18,Timeline!$P$4:$AN$4,0))="x")*(Timeline!$K$5:$K$305="Task")*ISNUMBER(Timeline!$I$5:$I$305)*ISNUMBER(Timeline!$J$5:$J$305)*(Timeline!$I$5:$I$305&lt;=O$4+2)*(Timeline!$J$5:$J$305&gt;=O$4+2)),SUMPRODUCT((INDEX(Timeline!$P$5:$AN$305,0,MATCH($A18,Timeline!$P$4:$AN$4,0))="x")*(Timeline!$K$5:$K$305="Task")*ISNUMBER(Timeline!$I$5:$I$305)*ISNUMBER(Timeline!$J$5:$J$305)*(Timeline!$I$5:$I$305&lt;=O$4+3)*(Timeline!$J$5:$J$305&gt;=O$4+3)),SUMPRODUCT((INDEX(Timeline!$P$5:$AN$305,0,MATCH($A18,Timeline!$P$4:$AN$4,0))="x")*(Timeline!$K$5:$K$305="Task")*ISNUMBER(Timeline!$I$5:$I$305)*ISNUMBER(Timeline!$J$5:$J$305)*(Timeline!$I$5:$I$305&lt;=O$4+4)*(Timeline!$J$5:$J$305&gt;=O$4+4)),SUMPRODUCT((INDEX(Timeline!$P$5:$AN$305,0,MATCH($A18,Timeline!$P$4:$AN$4,0))="x")*(Timeline!$K$5:$K$305="Task")*ISNUMBER(Timeline!$I$5:$I$305)*ISNUMBER(Timeline!$J$5:$J$305)*(Timeline!$I$5:$I$305&lt;=O$4+5)*(Timeline!$J$5:$J$305&gt;=O$4+5)),SUMPRODUCT((INDEX(Timeline!$P$5:$AN$305,0,MATCH($A18,Timeline!$P$4:$AN$4,0))="x")*(Timeline!$K$5:$K$305="Task")*ISNUMBER(Timeline!$I$5:$I$305)*ISNUMBER(Timeline!$J$5:$J$305)*(Timeline!$I$5:$I$305&lt;=O$4+6)*(Timeline!$J$5:$J$305&gt;=O$4+6)))</f>
        <v>1</v>
      </c>
      <c r="P18" s="67">
        <f>MAX(SUMPRODUCT((INDEX(Timeline!$P$5:$AN$305,0,MATCH($A18,Timeline!$P$4:$AN$4,0))="x")*(Timeline!$K$5:$K$305="Task")*ISNUMBER(Timeline!$I$5:$I$305)*ISNUMBER(Timeline!$J$5:$J$305)*(Timeline!$I$5:$I$305&lt;=P$4+0)*(Timeline!$J$5:$J$305&gt;=P$4+0)),SUMPRODUCT((INDEX(Timeline!$P$5:$AN$305,0,MATCH($A18,Timeline!$P$4:$AN$4,0))="x")*(Timeline!$K$5:$K$305="Task")*ISNUMBER(Timeline!$I$5:$I$305)*ISNUMBER(Timeline!$J$5:$J$305)*(Timeline!$I$5:$I$305&lt;=P$4+1)*(Timeline!$J$5:$J$305&gt;=P$4+1)),SUMPRODUCT((INDEX(Timeline!$P$5:$AN$305,0,MATCH($A18,Timeline!$P$4:$AN$4,0))="x")*(Timeline!$K$5:$K$305="Task")*ISNUMBER(Timeline!$I$5:$I$305)*ISNUMBER(Timeline!$J$5:$J$305)*(Timeline!$I$5:$I$305&lt;=P$4+2)*(Timeline!$J$5:$J$305&gt;=P$4+2)),SUMPRODUCT((INDEX(Timeline!$P$5:$AN$305,0,MATCH($A18,Timeline!$P$4:$AN$4,0))="x")*(Timeline!$K$5:$K$305="Task")*ISNUMBER(Timeline!$I$5:$I$305)*ISNUMBER(Timeline!$J$5:$J$305)*(Timeline!$I$5:$I$305&lt;=P$4+3)*(Timeline!$J$5:$J$305&gt;=P$4+3)),SUMPRODUCT((INDEX(Timeline!$P$5:$AN$305,0,MATCH($A18,Timeline!$P$4:$AN$4,0))="x")*(Timeline!$K$5:$K$305="Task")*ISNUMBER(Timeline!$I$5:$I$305)*ISNUMBER(Timeline!$J$5:$J$305)*(Timeline!$I$5:$I$305&lt;=P$4+4)*(Timeline!$J$5:$J$305&gt;=P$4+4)),SUMPRODUCT((INDEX(Timeline!$P$5:$AN$305,0,MATCH($A18,Timeline!$P$4:$AN$4,0))="x")*(Timeline!$K$5:$K$305="Task")*ISNUMBER(Timeline!$I$5:$I$305)*ISNUMBER(Timeline!$J$5:$J$305)*(Timeline!$I$5:$I$305&lt;=P$4+5)*(Timeline!$J$5:$J$305&gt;=P$4+5)),SUMPRODUCT((INDEX(Timeline!$P$5:$AN$305,0,MATCH($A18,Timeline!$P$4:$AN$4,0))="x")*(Timeline!$K$5:$K$305="Task")*ISNUMBER(Timeline!$I$5:$I$305)*ISNUMBER(Timeline!$J$5:$J$305)*(Timeline!$I$5:$I$305&lt;=P$4+6)*(Timeline!$J$5:$J$305&gt;=P$4+6)))</f>
        <v>1</v>
      </c>
      <c r="Q18" s="67">
        <f>MAX(SUMPRODUCT((INDEX(Timeline!$P$5:$AN$305,0,MATCH($A18,Timeline!$P$4:$AN$4,0))="x")*(Timeline!$K$5:$K$305="Task")*ISNUMBER(Timeline!$I$5:$I$305)*ISNUMBER(Timeline!$J$5:$J$305)*(Timeline!$I$5:$I$305&lt;=Q$4+0)*(Timeline!$J$5:$J$305&gt;=Q$4+0)),SUMPRODUCT((INDEX(Timeline!$P$5:$AN$305,0,MATCH($A18,Timeline!$P$4:$AN$4,0))="x")*(Timeline!$K$5:$K$305="Task")*ISNUMBER(Timeline!$I$5:$I$305)*ISNUMBER(Timeline!$J$5:$J$305)*(Timeline!$I$5:$I$305&lt;=Q$4+1)*(Timeline!$J$5:$J$305&gt;=Q$4+1)),SUMPRODUCT((INDEX(Timeline!$P$5:$AN$305,0,MATCH($A18,Timeline!$P$4:$AN$4,0))="x")*(Timeline!$K$5:$K$305="Task")*ISNUMBER(Timeline!$I$5:$I$305)*ISNUMBER(Timeline!$J$5:$J$305)*(Timeline!$I$5:$I$305&lt;=Q$4+2)*(Timeline!$J$5:$J$305&gt;=Q$4+2)),SUMPRODUCT((INDEX(Timeline!$P$5:$AN$305,0,MATCH($A18,Timeline!$P$4:$AN$4,0))="x")*(Timeline!$K$5:$K$305="Task")*ISNUMBER(Timeline!$I$5:$I$305)*ISNUMBER(Timeline!$J$5:$J$305)*(Timeline!$I$5:$I$305&lt;=Q$4+3)*(Timeline!$J$5:$J$305&gt;=Q$4+3)),SUMPRODUCT((INDEX(Timeline!$P$5:$AN$305,0,MATCH($A18,Timeline!$P$4:$AN$4,0))="x")*(Timeline!$K$5:$K$305="Task")*ISNUMBER(Timeline!$I$5:$I$305)*ISNUMBER(Timeline!$J$5:$J$305)*(Timeline!$I$5:$I$305&lt;=Q$4+4)*(Timeline!$J$5:$J$305&gt;=Q$4+4)),SUMPRODUCT((INDEX(Timeline!$P$5:$AN$305,0,MATCH($A18,Timeline!$P$4:$AN$4,0))="x")*(Timeline!$K$5:$K$305="Task")*ISNUMBER(Timeline!$I$5:$I$305)*ISNUMBER(Timeline!$J$5:$J$305)*(Timeline!$I$5:$I$305&lt;=Q$4+5)*(Timeline!$J$5:$J$305&gt;=Q$4+5)),SUMPRODUCT((INDEX(Timeline!$P$5:$AN$305,0,MATCH($A18,Timeline!$P$4:$AN$4,0))="x")*(Timeline!$K$5:$K$305="Task")*ISNUMBER(Timeline!$I$5:$I$305)*ISNUMBER(Timeline!$J$5:$J$305)*(Timeline!$I$5:$I$305&lt;=Q$4+6)*(Timeline!$J$5:$J$305&gt;=Q$4+6)))</f>
        <v>1</v>
      </c>
      <c r="R18" s="67">
        <f>MAX(SUMPRODUCT((INDEX(Timeline!$P$5:$AN$305,0,MATCH($A18,Timeline!$P$4:$AN$4,0))="x")*(Timeline!$K$5:$K$305="Task")*ISNUMBER(Timeline!$I$5:$I$305)*ISNUMBER(Timeline!$J$5:$J$305)*(Timeline!$I$5:$I$305&lt;=R$4+0)*(Timeline!$J$5:$J$305&gt;=R$4+0)),SUMPRODUCT((INDEX(Timeline!$P$5:$AN$305,0,MATCH($A18,Timeline!$P$4:$AN$4,0))="x")*(Timeline!$K$5:$K$305="Task")*ISNUMBER(Timeline!$I$5:$I$305)*ISNUMBER(Timeline!$J$5:$J$305)*(Timeline!$I$5:$I$305&lt;=R$4+1)*(Timeline!$J$5:$J$305&gt;=R$4+1)),SUMPRODUCT((INDEX(Timeline!$P$5:$AN$305,0,MATCH($A18,Timeline!$P$4:$AN$4,0))="x")*(Timeline!$K$5:$K$305="Task")*ISNUMBER(Timeline!$I$5:$I$305)*ISNUMBER(Timeline!$J$5:$J$305)*(Timeline!$I$5:$I$305&lt;=R$4+2)*(Timeline!$J$5:$J$305&gt;=R$4+2)),SUMPRODUCT((INDEX(Timeline!$P$5:$AN$305,0,MATCH($A18,Timeline!$P$4:$AN$4,0))="x")*(Timeline!$K$5:$K$305="Task")*ISNUMBER(Timeline!$I$5:$I$305)*ISNUMBER(Timeline!$J$5:$J$305)*(Timeline!$I$5:$I$305&lt;=R$4+3)*(Timeline!$J$5:$J$305&gt;=R$4+3)),SUMPRODUCT((INDEX(Timeline!$P$5:$AN$305,0,MATCH($A18,Timeline!$P$4:$AN$4,0))="x")*(Timeline!$K$5:$K$305="Task")*ISNUMBER(Timeline!$I$5:$I$305)*ISNUMBER(Timeline!$J$5:$J$305)*(Timeline!$I$5:$I$305&lt;=R$4+4)*(Timeline!$J$5:$J$305&gt;=R$4+4)),SUMPRODUCT((INDEX(Timeline!$P$5:$AN$305,0,MATCH($A18,Timeline!$P$4:$AN$4,0))="x")*(Timeline!$K$5:$K$305="Task")*ISNUMBER(Timeline!$I$5:$I$305)*ISNUMBER(Timeline!$J$5:$J$305)*(Timeline!$I$5:$I$305&lt;=R$4+5)*(Timeline!$J$5:$J$305&gt;=R$4+5)),SUMPRODUCT((INDEX(Timeline!$P$5:$AN$305,0,MATCH($A18,Timeline!$P$4:$AN$4,0))="x")*(Timeline!$K$5:$K$305="Task")*ISNUMBER(Timeline!$I$5:$I$305)*ISNUMBER(Timeline!$J$5:$J$305)*(Timeline!$I$5:$I$305&lt;=R$4+6)*(Timeline!$J$5:$J$305&gt;=R$4+6)))</f>
        <v>1</v>
      </c>
      <c r="S18" s="67">
        <f>MAX(SUMPRODUCT((INDEX(Timeline!$P$5:$AN$305,0,MATCH($A18,Timeline!$P$4:$AN$4,0))="x")*(Timeline!$K$5:$K$305="Task")*ISNUMBER(Timeline!$I$5:$I$305)*ISNUMBER(Timeline!$J$5:$J$305)*(Timeline!$I$5:$I$305&lt;=S$4+0)*(Timeline!$J$5:$J$305&gt;=S$4+0)),SUMPRODUCT((INDEX(Timeline!$P$5:$AN$305,0,MATCH($A18,Timeline!$P$4:$AN$4,0))="x")*(Timeline!$K$5:$K$305="Task")*ISNUMBER(Timeline!$I$5:$I$305)*ISNUMBER(Timeline!$J$5:$J$305)*(Timeline!$I$5:$I$305&lt;=S$4+1)*(Timeline!$J$5:$J$305&gt;=S$4+1)),SUMPRODUCT((INDEX(Timeline!$P$5:$AN$305,0,MATCH($A18,Timeline!$P$4:$AN$4,0))="x")*(Timeline!$K$5:$K$305="Task")*ISNUMBER(Timeline!$I$5:$I$305)*ISNUMBER(Timeline!$J$5:$J$305)*(Timeline!$I$5:$I$305&lt;=S$4+2)*(Timeline!$J$5:$J$305&gt;=S$4+2)),SUMPRODUCT((INDEX(Timeline!$P$5:$AN$305,0,MATCH($A18,Timeline!$P$4:$AN$4,0))="x")*(Timeline!$K$5:$K$305="Task")*ISNUMBER(Timeline!$I$5:$I$305)*ISNUMBER(Timeline!$J$5:$J$305)*(Timeline!$I$5:$I$305&lt;=S$4+3)*(Timeline!$J$5:$J$305&gt;=S$4+3)),SUMPRODUCT((INDEX(Timeline!$P$5:$AN$305,0,MATCH($A18,Timeline!$P$4:$AN$4,0))="x")*(Timeline!$K$5:$K$305="Task")*ISNUMBER(Timeline!$I$5:$I$305)*ISNUMBER(Timeline!$J$5:$J$305)*(Timeline!$I$5:$I$305&lt;=S$4+4)*(Timeline!$J$5:$J$305&gt;=S$4+4)),SUMPRODUCT((INDEX(Timeline!$P$5:$AN$305,0,MATCH($A18,Timeline!$P$4:$AN$4,0))="x")*(Timeline!$K$5:$K$305="Task")*ISNUMBER(Timeline!$I$5:$I$305)*ISNUMBER(Timeline!$J$5:$J$305)*(Timeline!$I$5:$I$305&lt;=S$4+5)*(Timeline!$J$5:$J$305&gt;=S$4+5)),SUMPRODUCT((INDEX(Timeline!$P$5:$AN$305,0,MATCH($A18,Timeline!$P$4:$AN$4,0))="x")*(Timeline!$K$5:$K$305="Task")*ISNUMBER(Timeline!$I$5:$I$305)*ISNUMBER(Timeline!$J$5:$J$305)*(Timeline!$I$5:$I$305&lt;=S$4+6)*(Timeline!$J$5:$J$305&gt;=S$4+6)))</f>
        <v>1</v>
      </c>
      <c r="T18" s="67">
        <f>MAX(SUMPRODUCT((INDEX(Timeline!$P$5:$AN$305,0,MATCH($A18,Timeline!$P$4:$AN$4,0))="x")*(Timeline!$K$5:$K$305="Task")*ISNUMBER(Timeline!$I$5:$I$305)*ISNUMBER(Timeline!$J$5:$J$305)*(Timeline!$I$5:$I$305&lt;=T$4+0)*(Timeline!$J$5:$J$305&gt;=T$4+0)),SUMPRODUCT((INDEX(Timeline!$P$5:$AN$305,0,MATCH($A18,Timeline!$P$4:$AN$4,0))="x")*(Timeline!$K$5:$K$305="Task")*ISNUMBER(Timeline!$I$5:$I$305)*ISNUMBER(Timeline!$J$5:$J$305)*(Timeline!$I$5:$I$305&lt;=T$4+1)*(Timeline!$J$5:$J$305&gt;=T$4+1)),SUMPRODUCT((INDEX(Timeline!$P$5:$AN$305,0,MATCH($A18,Timeline!$P$4:$AN$4,0))="x")*(Timeline!$K$5:$K$305="Task")*ISNUMBER(Timeline!$I$5:$I$305)*ISNUMBER(Timeline!$J$5:$J$305)*(Timeline!$I$5:$I$305&lt;=T$4+2)*(Timeline!$J$5:$J$305&gt;=T$4+2)),SUMPRODUCT((INDEX(Timeline!$P$5:$AN$305,0,MATCH($A18,Timeline!$P$4:$AN$4,0))="x")*(Timeline!$K$5:$K$305="Task")*ISNUMBER(Timeline!$I$5:$I$305)*ISNUMBER(Timeline!$J$5:$J$305)*(Timeline!$I$5:$I$305&lt;=T$4+3)*(Timeline!$J$5:$J$305&gt;=T$4+3)),SUMPRODUCT((INDEX(Timeline!$P$5:$AN$305,0,MATCH($A18,Timeline!$P$4:$AN$4,0))="x")*(Timeline!$K$5:$K$305="Task")*ISNUMBER(Timeline!$I$5:$I$305)*ISNUMBER(Timeline!$J$5:$J$305)*(Timeline!$I$5:$I$305&lt;=T$4+4)*(Timeline!$J$5:$J$305&gt;=T$4+4)),SUMPRODUCT((INDEX(Timeline!$P$5:$AN$305,0,MATCH($A18,Timeline!$P$4:$AN$4,0))="x")*(Timeline!$K$5:$K$305="Task")*ISNUMBER(Timeline!$I$5:$I$305)*ISNUMBER(Timeline!$J$5:$J$305)*(Timeline!$I$5:$I$305&lt;=T$4+5)*(Timeline!$J$5:$J$305&gt;=T$4+5)),SUMPRODUCT((INDEX(Timeline!$P$5:$AN$305,0,MATCH($A18,Timeline!$P$4:$AN$4,0))="x")*(Timeline!$K$5:$K$305="Task")*ISNUMBER(Timeline!$I$5:$I$305)*ISNUMBER(Timeline!$J$5:$J$305)*(Timeline!$I$5:$I$305&lt;=T$4+6)*(Timeline!$J$5:$J$305&gt;=T$4+6)))</f>
        <v>1</v>
      </c>
      <c r="U18" s="67">
        <f>MAX(SUMPRODUCT((INDEX(Timeline!$P$5:$AN$305,0,MATCH($A18,Timeline!$P$4:$AN$4,0))="x")*(Timeline!$K$5:$K$305="Task")*ISNUMBER(Timeline!$I$5:$I$305)*ISNUMBER(Timeline!$J$5:$J$305)*(Timeline!$I$5:$I$305&lt;=U$4+0)*(Timeline!$J$5:$J$305&gt;=U$4+0)),SUMPRODUCT((INDEX(Timeline!$P$5:$AN$305,0,MATCH($A18,Timeline!$P$4:$AN$4,0))="x")*(Timeline!$K$5:$K$305="Task")*ISNUMBER(Timeline!$I$5:$I$305)*ISNUMBER(Timeline!$J$5:$J$305)*(Timeline!$I$5:$I$305&lt;=U$4+1)*(Timeline!$J$5:$J$305&gt;=U$4+1)),SUMPRODUCT((INDEX(Timeline!$P$5:$AN$305,0,MATCH($A18,Timeline!$P$4:$AN$4,0))="x")*(Timeline!$K$5:$K$305="Task")*ISNUMBER(Timeline!$I$5:$I$305)*ISNUMBER(Timeline!$J$5:$J$305)*(Timeline!$I$5:$I$305&lt;=U$4+2)*(Timeline!$J$5:$J$305&gt;=U$4+2)),SUMPRODUCT((INDEX(Timeline!$P$5:$AN$305,0,MATCH($A18,Timeline!$P$4:$AN$4,0))="x")*(Timeline!$K$5:$K$305="Task")*ISNUMBER(Timeline!$I$5:$I$305)*ISNUMBER(Timeline!$J$5:$J$305)*(Timeline!$I$5:$I$305&lt;=U$4+3)*(Timeline!$J$5:$J$305&gt;=U$4+3)),SUMPRODUCT((INDEX(Timeline!$P$5:$AN$305,0,MATCH($A18,Timeline!$P$4:$AN$4,0))="x")*(Timeline!$K$5:$K$305="Task")*ISNUMBER(Timeline!$I$5:$I$305)*ISNUMBER(Timeline!$J$5:$J$305)*(Timeline!$I$5:$I$305&lt;=U$4+4)*(Timeline!$J$5:$J$305&gt;=U$4+4)),SUMPRODUCT((INDEX(Timeline!$P$5:$AN$305,0,MATCH($A18,Timeline!$P$4:$AN$4,0))="x")*(Timeline!$K$5:$K$305="Task")*ISNUMBER(Timeline!$I$5:$I$305)*ISNUMBER(Timeline!$J$5:$J$305)*(Timeline!$I$5:$I$305&lt;=U$4+5)*(Timeline!$J$5:$J$305&gt;=U$4+5)),SUMPRODUCT((INDEX(Timeline!$P$5:$AN$305,0,MATCH($A18,Timeline!$P$4:$AN$4,0))="x")*(Timeline!$K$5:$K$305="Task")*ISNUMBER(Timeline!$I$5:$I$305)*ISNUMBER(Timeline!$J$5:$J$305)*(Timeline!$I$5:$I$305&lt;=U$4+6)*(Timeline!$J$5:$J$305&gt;=U$4+6)))</f>
        <v>1</v>
      </c>
      <c r="V18" s="67">
        <f>MAX(SUMPRODUCT((INDEX(Timeline!$P$5:$AN$305,0,MATCH($A18,Timeline!$P$4:$AN$4,0))="x")*(Timeline!$K$5:$K$305="Task")*ISNUMBER(Timeline!$I$5:$I$305)*ISNUMBER(Timeline!$J$5:$J$305)*(Timeline!$I$5:$I$305&lt;=V$4+0)*(Timeline!$J$5:$J$305&gt;=V$4+0)),SUMPRODUCT((INDEX(Timeline!$P$5:$AN$305,0,MATCH($A18,Timeline!$P$4:$AN$4,0))="x")*(Timeline!$K$5:$K$305="Task")*ISNUMBER(Timeline!$I$5:$I$305)*ISNUMBER(Timeline!$J$5:$J$305)*(Timeline!$I$5:$I$305&lt;=V$4+1)*(Timeline!$J$5:$J$305&gt;=V$4+1)),SUMPRODUCT((INDEX(Timeline!$P$5:$AN$305,0,MATCH($A18,Timeline!$P$4:$AN$4,0))="x")*(Timeline!$K$5:$K$305="Task")*ISNUMBER(Timeline!$I$5:$I$305)*ISNUMBER(Timeline!$J$5:$J$305)*(Timeline!$I$5:$I$305&lt;=V$4+2)*(Timeline!$J$5:$J$305&gt;=V$4+2)),SUMPRODUCT((INDEX(Timeline!$P$5:$AN$305,0,MATCH($A18,Timeline!$P$4:$AN$4,0))="x")*(Timeline!$K$5:$K$305="Task")*ISNUMBER(Timeline!$I$5:$I$305)*ISNUMBER(Timeline!$J$5:$J$305)*(Timeline!$I$5:$I$305&lt;=V$4+3)*(Timeline!$J$5:$J$305&gt;=V$4+3)),SUMPRODUCT((INDEX(Timeline!$P$5:$AN$305,0,MATCH($A18,Timeline!$P$4:$AN$4,0))="x")*(Timeline!$K$5:$K$305="Task")*ISNUMBER(Timeline!$I$5:$I$305)*ISNUMBER(Timeline!$J$5:$J$305)*(Timeline!$I$5:$I$305&lt;=V$4+4)*(Timeline!$J$5:$J$305&gt;=V$4+4)),SUMPRODUCT((INDEX(Timeline!$P$5:$AN$305,0,MATCH($A18,Timeline!$P$4:$AN$4,0))="x")*(Timeline!$K$5:$K$305="Task")*ISNUMBER(Timeline!$I$5:$I$305)*ISNUMBER(Timeline!$J$5:$J$305)*(Timeline!$I$5:$I$305&lt;=V$4+5)*(Timeline!$J$5:$J$305&gt;=V$4+5)),SUMPRODUCT((INDEX(Timeline!$P$5:$AN$305,0,MATCH($A18,Timeline!$P$4:$AN$4,0))="x")*(Timeline!$K$5:$K$305="Task")*ISNUMBER(Timeline!$I$5:$I$305)*ISNUMBER(Timeline!$J$5:$J$305)*(Timeline!$I$5:$I$305&lt;=V$4+6)*(Timeline!$J$5:$J$305&gt;=V$4+6)))</f>
        <v>1</v>
      </c>
      <c r="W18" s="67">
        <f>MAX(SUMPRODUCT((INDEX(Timeline!$P$5:$AN$305,0,MATCH($A18,Timeline!$P$4:$AN$4,0))="x")*(Timeline!$K$5:$K$305="Task")*ISNUMBER(Timeline!$I$5:$I$305)*ISNUMBER(Timeline!$J$5:$J$305)*(Timeline!$I$5:$I$305&lt;=W$4+0)*(Timeline!$J$5:$J$305&gt;=W$4+0)),SUMPRODUCT((INDEX(Timeline!$P$5:$AN$305,0,MATCH($A18,Timeline!$P$4:$AN$4,0))="x")*(Timeline!$K$5:$K$305="Task")*ISNUMBER(Timeline!$I$5:$I$305)*ISNUMBER(Timeline!$J$5:$J$305)*(Timeline!$I$5:$I$305&lt;=W$4+1)*(Timeline!$J$5:$J$305&gt;=W$4+1)),SUMPRODUCT((INDEX(Timeline!$P$5:$AN$305,0,MATCH($A18,Timeline!$P$4:$AN$4,0))="x")*(Timeline!$K$5:$K$305="Task")*ISNUMBER(Timeline!$I$5:$I$305)*ISNUMBER(Timeline!$J$5:$J$305)*(Timeline!$I$5:$I$305&lt;=W$4+2)*(Timeline!$J$5:$J$305&gt;=W$4+2)),SUMPRODUCT((INDEX(Timeline!$P$5:$AN$305,0,MATCH($A18,Timeline!$P$4:$AN$4,0))="x")*(Timeline!$K$5:$K$305="Task")*ISNUMBER(Timeline!$I$5:$I$305)*ISNUMBER(Timeline!$J$5:$J$305)*(Timeline!$I$5:$I$305&lt;=W$4+3)*(Timeline!$J$5:$J$305&gt;=W$4+3)),SUMPRODUCT((INDEX(Timeline!$P$5:$AN$305,0,MATCH($A18,Timeline!$P$4:$AN$4,0))="x")*(Timeline!$K$5:$K$305="Task")*ISNUMBER(Timeline!$I$5:$I$305)*ISNUMBER(Timeline!$J$5:$J$305)*(Timeline!$I$5:$I$305&lt;=W$4+4)*(Timeline!$J$5:$J$305&gt;=W$4+4)),SUMPRODUCT((INDEX(Timeline!$P$5:$AN$305,0,MATCH($A18,Timeline!$P$4:$AN$4,0))="x")*(Timeline!$K$5:$K$305="Task")*ISNUMBER(Timeline!$I$5:$I$305)*ISNUMBER(Timeline!$J$5:$J$305)*(Timeline!$I$5:$I$305&lt;=W$4+5)*(Timeline!$J$5:$J$305&gt;=W$4+5)),SUMPRODUCT((INDEX(Timeline!$P$5:$AN$305,0,MATCH($A18,Timeline!$P$4:$AN$4,0))="x")*(Timeline!$K$5:$K$305="Task")*ISNUMBER(Timeline!$I$5:$I$305)*ISNUMBER(Timeline!$J$5:$J$305)*(Timeline!$I$5:$I$305&lt;=W$4+6)*(Timeline!$J$5:$J$305&gt;=W$4+6)))</f>
        <v>1</v>
      </c>
      <c r="X18" s="67">
        <f>MAX(SUMPRODUCT((INDEX(Timeline!$P$5:$AN$305,0,MATCH($A18,Timeline!$P$4:$AN$4,0))="x")*(Timeline!$K$5:$K$305="Task")*ISNUMBER(Timeline!$I$5:$I$305)*ISNUMBER(Timeline!$J$5:$J$305)*(Timeline!$I$5:$I$305&lt;=X$4+0)*(Timeline!$J$5:$J$305&gt;=X$4+0)),SUMPRODUCT((INDEX(Timeline!$P$5:$AN$305,0,MATCH($A18,Timeline!$P$4:$AN$4,0))="x")*(Timeline!$K$5:$K$305="Task")*ISNUMBER(Timeline!$I$5:$I$305)*ISNUMBER(Timeline!$J$5:$J$305)*(Timeline!$I$5:$I$305&lt;=X$4+1)*(Timeline!$J$5:$J$305&gt;=X$4+1)),SUMPRODUCT((INDEX(Timeline!$P$5:$AN$305,0,MATCH($A18,Timeline!$P$4:$AN$4,0))="x")*(Timeline!$K$5:$K$305="Task")*ISNUMBER(Timeline!$I$5:$I$305)*ISNUMBER(Timeline!$J$5:$J$305)*(Timeline!$I$5:$I$305&lt;=X$4+2)*(Timeline!$J$5:$J$305&gt;=X$4+2)),SUMPRODUCT((INDEX(Timeline!$P$5:$AN$305,0,MATCH($A18,Timeline!$P$4:$AN$4,0))="x")*(Timeline!$K$5:$K$305="Task")*ISNUMBER(Timeline!$I$5:$I$305)*ISNUMBER(Timeline!$J$5:$J$305)*(Timeline!$I$5:$I$305&lt;=X$4+3)*(Timeline!$J$5:$J$305&gt;=X$4+3)),SUMPRODUCT((INDEX(Timeline!$P$5:$AN$305,0,MATCH($A18,Timeline!$P$4:$AN$4,0))="x")*(Timeline!$K$5:$K$305="Task")*ISNUMBER(Timeline!$I$5:$I$305)*ISNUMBER(Timeline!$J$5:$J$305)*(Timeline!$I$5:$I$305&lt;=X$4+4)*(Timeline!$J$5:$J$305&gt;=X$4+4)),SUMPRODUCT((INDEX(Timeline!$P$5:$AN$305,0,MATCH($A18,Timeline!$P$4:$AN$4,0))="x")*(Timeline!$K$5:$K$305="Task")*ISNUMBER(Timeline!$I$5:$I$305)*ISNUMBER(Timeline!$J$5:$J$305)*(Timeline!$I$5:$I$305&lt;=X$4+5)*(Timeline!$J$5:$J$305&gt;=X$4+5)),SUMPRODUCT((INDEX(Timeline!$P$5:$AN$305,0,MATCH($A18,Timeline!$P$4:$AN$4,0))="x")*(Timeline!$K$5:$K$305="Task")*ISNUMBER(Timeline!$I$5:$I$305)*ISNUMBER(Timeline!$J$5:$J$305)*(Timeline!$I$5:$I$305&lt;=X$4+6)*(Timeline!$J$5:$J$305&gt;=X$4+6)))</f>
        <v>1</v>
      </c>
      <c r="Y18" s="67">
        <f>MAX(SUMPRODUCT((INDEX(Timeline!$P$5:$AN$305,0,MATCH($A18,Timeline!$P$4:$AN$4,0))="x")*(Timeline!$K$5:$K$305="Task")*ISNUMBER(Timeline!$I$5:$I$305)*ISNUMBER(Timeline!$J$5:$J$305)*(Timeline!$I$5:$I$305&lt;=Y$4+0)*(Timeline!$J$5:$J$305&gt;=Y$4+0)),SUMPRODUCT((INDEX(Timeline!$P$5:$AN$305,0,MATCH($A18,Timeline!$P$4:$AN$4,0))="x")*(Timeline!$K$5:$K$305="Task")*ISNUMBER(Timeline!$I$5:$I$305)*ISNUMBER(Timeline!$J$5:$J$305)*(Timeline!$I$5:$I$305&lt;=Y$4+1)*(Timeline!$J$5:$J$305&gt;=Y$4+1)),SUMPRODUCT((INDEX(Timeline!$P$5:$AN$305,0,MATCH($A18,Timeline!$P$4:$AN$4,0))="x")*(Timeline!$K$5:$K$305="Task")*ISNUMBER(Timeline!$I$5:$I$305)*ISNUMBER(Timeline!$J$5:$J$305)*(Timeline!$I$5:$I$305&lt;=Y$4+2)*(Timeline!$J$5:$J$305&gt;=Y$4+2)),SUMPRODUCT((INDEX(Timeline!$P$5:$AN$305,0,MATCH($A18,Timeline!$P$4:$AN$4,0))="x")*(Timeline!$K$5:$K$305="Task")*ISNUMBER(Timeline!$I$5:$I$305)*ISNUMBER(Timeline!$J$5:$J$305)*(Timeline!$I$5:$I$305&lt;=Y$4+3)*(Timeline!$J$5:$J$305&gt;=Y$4+3)),SUMPRODUCT((INDEX(Timeline!$P$5:$AN$305,0,MATCH($A18,Timeline!$P$4:$AN$4,0))="x")*(Timeline!$K$5:$K$305="Task")*ISNUMBER(Timeline!$I$5:$I$305)*ISNUMBER(Timeline!$J$5:$J$305)*(Timeline!$I$5:$I$305&lt;=Y$4+4)*(Timeline!$J$5:$J$305&gt;=Y$4+4)),SUMPRODUCT((INDEX(Timeline!$P$5:$AN$305,0,MATCH($A18,Timeline!$P$4:$AN$4,0))="x")*(Timeline!$K$5:$K$305="Task")*ISNUMBER(Timeline!$I$5:$I$305)*ISNUMBER(Timeline!$J$5:$J$305)*(Timeline!$I$5:$I$305&lt;=Y$4+5)*(Timeline!$J$5:$J$305&gt;=Y$4+5)),SUMPRODUCT((INDEX(Timeline!$P$5:$AN$305,0,MATCH($A18,Timeline!$P$4:$AN$4,0))="x")*(Timeline!$K$5:$K$305="Task")*ISNUMBER(Timeline!$I$5:$I$305)*ISNUMBER(Timeline!$J$5:$J$305)*(Timeline!$I$5:$I$305&lt;=Y$4+6)*(Timeline!$J$5:$J$305&gt;=Y$4+6)))</f>
        <v>1</v>
      </c>
      <c r="Z18" s="67">
        <f>MAX(SUMPRODUCT((INDEX(Timeline!$P$5:$AN$305,0,MATCH($A18,Timeline!$P$4:$AN$4,0))="x")*(Timeline!$K$5:$K$305="Task")*ISNUMBER(Timeline!$I$5:$I$305)*ISNUMBER(Timeline!$J$5:$J$305)*(Timeline!$I$5:$I$305&lt;=Z$4+0)*(Timeline!$J$5:$J$305&gt;=Z$4+0)),SUMPRODUCT((INDEX(Timeline!$P$5:$AN$305,0,MATCH($A18,Timeline!$P$4:$AN$4,0))="x")*(Timeline!$K$5:$K$305="Task")*ISNUMBER(Timeline!$I$5:$I$305)*ISNUMBER(Timeline!$J$5:$J$305)*(Timeline!$I$5:$I$305&lt;=Z$4+1)*(Timeline!$J$5:$J$305&gt;=Z$4+1)),SUMPRODUCT((INDEX(Timeline!$P$5:$AN$305,0,MATCH($A18,Timeline!$P$4:$AN$4,0))="x")*(Timeline!$K$5:$K$305="Task")*ISNUMBER(Timeline!$I$5:$I$305)*ISNUMBER(Timeline!$J$5:$J$305)*(Timeline!$I$5:$I$305&lt;=Z$4+2)*(Timeline!$J$5:$J$305&gt;=Z$4+2)),SUMPRODUCT((INDEX(Timeline!$P$5:$AN$305,0,MATCH($A18,Timeline!$P$4:$AN$4,0))="x")*(Timeline!$K$5:$K$305="Task")*ISNUMBER(Timeline!$I$5:$I$305)*ISNUMBER(Timeline!$J$5:$J$305)*(Timeline!$I$5:$I$305&lt;=Z$4+3)*(Timeline!$J$5:$J$305&gt;=Z$4+3)),SUMPRODUCT((INDEX(Timeline!$P$5:$AN$305,0,MATCH($A18,Timeline!$P$4:$AN$4,0))="x")*(Timeline!$K$5:$K$305="Task")*ISNUMBER(Timeline!$I$5:$I$305)*ISNUMBER(Timeline!$J$5:$J$305)*(Timeline!$I$5:$I$305&lt;=Z$4+4)*(Timeline!$J$5:$J$305&gt;=Z$4+4)),SUMPRODUCT((INDEX(Timeline!$P$5:$AN$305,0,MATCH($A18,Timeline!$P$4:$AN$4,0))="x")*(Timeline!$K$5:$K$305="Task")*ISNUMBER(Timeline!$I$5:$I$305)*ISNUMBER(Timeline!$J$5:$J$305)*(Timeline!$I$5:$I$305&lt;=Z$4+5)*(Timeline!$J$5:$J$305&gt;=Z$4+5)),SUMPRODUCT((INDEX(Timeline!$P$5:$AN$305,0,MATCH($A18,Timeline!$P$4:$AN$4,0))="x")*(Timeline!$K$5:$K$305="Task")*ISNUMBER(Timeline!$I$5:$I$305)*ISNUMBER(Timeline!$J$5:$J$305)*(Timeline!$I$5:$I$305&lt;=Z$4+6)*(Timeline!$J$5:$J$305&gt;=Z$4+6)))</f>
        <v>1</v>
      </c>
      <c r="AA18" s="67">
        <f>MAX(SUMPRODUCT((INDEX(Timeline!$P$5:$AN$305,0,MATCH($A18,Timeline!$P$4:$AN$4,0))="x")*(Timeline!$K$5:$K$305="Task")*ISNUMBER(Timeline!$I$5:$I$305)*ISNUMBER(Timeline!$J$5:$J$305)*(Timeline!$I$5:$I$305&lt;=AA$4+0)*(Timeline!$J$5:$J$305&gt;=AA$4+0)),SUMPRODUCT((INDEX(Timeline!$P$5:$AN$305,0,MATCH($A18,Timeline!$P$4:$AN$4,0))="x")*(Timeline!$K$5:$K$305="Task")*ISNUMBER(Timeline!$I$5:$I$305)*ISNUMBER(Timeline!$J$5:$J$305)*(Timeline!$I$5:$I$305&lt;=AA$4+1)*(Timeline!$J$5:$J$305&gt;=AA$4+1)),SUMPRODUCT((INDEX(Timeline!$P$5:$AN$305,0,MATCH($A18,Timeline!$P$4:$AN$4,0))="x")*(Timeline!$K$5:$K$305="Task")*ISNUMBER(Timeline!$I$5:$I$305)*ISNUMBER(Timeline!$J$5:$J$305)*(Timeline!$I$5:$I$305&lt;=AA$4+2)*(Timeline!$J$5:$J$305&gt;=AA$4+2)),SUMPRODUCT((INDEX(Timeline!$P$5:$AN$305,0,MATCH($A18,Timeline!$P$4:$AN$4,0))="x")*(Timeline!$K$5:$K$305="Task")*ISNUMBER(Timeline!$I$5:$I$305)*ISNUMBER(Timeline!$J$5:$J$305)*(Timeline!$I$5:$I$305&lt;=AA$4+3)*(Timeline!$J$5:$J$305&gt;=AA$4+3)),SUMPRODUCT((INDEX(Timeline!$P$5:$AN$305,0,MATCH($A18,Timeline!$P$4:$AN$4,0))="x")*(Timeline!$K$5:$K$305="Task")*ISNUMBER(Timeline!$I$5:$I$305)*ISNUMBER(Timeline!$J$5:$J$305)*(Timeline!$I$5:$I$305&lt;=AA$4+4)*(Timeline!$J$5:$J$305&gt;=AA$4+4)),SUMPRODUCT((INDEX(Timeline!$P$5:$AN$305,0,MATCH($A18,Timeline!$P$4:$AN$4,0))="x")*(Timeline!$K$5:$K$305="Task")*ISNUMBER(Timeline!$I$5:$I$305)*ISNUMBER(Timeline!$J$5:$J$305)*(Timeline!$I$5:$I$305&lt;=AA$4+5)*(Timeline!$J$5:$J$305&gt;=AA$4+5)),SUMPRODUCT((INDEX(Timeline!$P$5:$AN$305,0,MATCH($A18,Timeline!$P$4:$AN$4,0))="x")*(Timeline!$K$5:$K$305="Task")*ISNUMBER(Timeline!$I$5:$I$305)*ISNUMBER(Timeline!$J$5:$J$305)*(Timeline!$I$5:$I$305&lt;=AA$4+6)*(Timeline!$J$5:$J$305&gt;=AA$4+6)))</f>
        <v>1</v>
      </c>
      <c r="AB18" s="67">
        <f>MAX(SUMPRODUCT((INDEX(Timeline!$P$5:$AN$305,0,MATCH($A18,Timeline!$P$4:$AN$4,0))="x")*(Timeline!$K$5:$K$305="Task")*ISNUMBER(Timeline!$I$5:$I$305)*ISNUMBER(Timeline!$J$5:$J$305)*(Timeline!$I$5:$I$305&lt;=AB$4+0)*(Timeline!$J$5:$J$305&gt;=AB$4+0)),SUMPRODUCT((INDEX(Timeline!$P$5:$AN$305,0,MATCH($A18,Timeline!$P$4:$AN$4,0))="x")*(Timeline!$K$5:$K$305="Task")*ISNUMBER(Timeline!$I$5:$I$305)*ISNUMBER(Timeline!$J$5:$J$305)*(Timeline!$I$5:$I$305&lt;=AB$4+1)*(Timeline!$J$5:$J$305&gt;=AB$4+1)),SUMPRODUCT((INDEX(Timeline!$P$5:$AN$305,0,MATCH($A18,Timeline!$P$4:$AN$4,0))="x")*(Timeline!$K$5:$K$305="Task")*ISNUMBER(Timeline!$I$5:$I$305)*ISNUMBER(Timeline!$J$5:$J$305)*(Timeline!$I$5:$I$305&lt;=AB$4+2)*(Timeline!$J$5:$J$305&gt;=AB$4+2)),SUMPRODUCT((INDEX(Timeline!$P$5:$AN$305,0,MATCH($A18,Timeline!$P$4:$AN$4,0))="x")*(Timeline!$K$5:$K$305="Task")*ISNUMBER(Timeline!$I$5:$I$305)*ISNUMBER(Timeline!$J$5:$J$305)*(Timeline!$I$5:$I$305&lt;=AB$4+3)*(Timeline!$J$5:$J$305&gt;=AB$4+3)),SUMPRODUCT((INDEX(Timeline!$P$5:$AN$305,0,MATCH($A18,Timeline!$P$4:$AN$4,0))="x")*(Timeline!$K$5:$K$305="Task")*ISNUMBER(Timeline!$I$5:$I$305)*ISNUMBER(Timeline!$J$5:$J$305)*(Timeline!$I$5:$I$305&lt;=AB$4+4)*(Timeline!$J$5:$J$305&gt;=AB$4+4)),SUMPRODUCT((INDEX(Timeline!$P$5:$AN$305,0,MATCH($A18,Timeline!$P$4:$AN$4,0))="x")*(Timeline!$K$5:$K$305="Task")*ISNUMBER(Timeline!$I$5:$I$305)*ISNUMBER(Timeline!$J$5:$J$305)*(Timeline!$I$5:$I$305&lt;=AB$4+5)*(Timeline!$J$5:$J$305&gt;=AB$4+5)),SUMPRODUCT((INDEX(Timeline!$P$5:$AN$305,0,MATCH($A18,Timeline!$P$4:$AN$4,0))="x")*(Timeline!$K$5:$K$305="Task")*ISNUMBER(Timeline!$I$5:$I$305)*ISNUMBER(Timeline!$J$5:$J$305)*(Timeline!$I$5:$I$305&lt;=AB$4+6)*(Timeline!$J$5:$J$305&gt;=AB$4+6)))</f>
        <v>0</v>
      </c>
      <c r="AC18" s="67">
        <f>MAX(SUMPRODUCT((INDEX(Timeline!$P$5:$AN$305,0,MATCH($A18,Timeline!$P$4:$AN$4,0))="x")*(Timeline!$K$5:$K$305="Task")*ISNUMBER(Timeline!$I$5:$I$305)*ISNUMBER(Timeline!$J$5:$J$305)*(Timeline!$I$5:$I$305&lt;=AC$4+0)*(Timeline!$J$5:$J$305&gt;=AC$4+0)),SUMPRODUCT((INDEX(Timeline!$P$5:$AN$305,0,MATCH($A18,Timeline!$P$4:$AN$4,0))="x")*(Timeline!$K$5:$K$305="Task")*ISNUMBER(Timeline!$I$5:$I$305)*ISNUMBER(Timeline!$J$5:$J$305)*(Timeline!$I$5:$I$305&lt;=AC$4+1)*(Timeline!$J$5:$J$305&gt;=AC$4+1)),SUMPRODUCT((INDEX(Timeline!$P$5:$AN$305,0,MATCH($A18,Timeline!$P$4:$AN$4,0))="x")*(Timeline!$K$5:$K$305="Task")*ISNUMBER(Timeline!$I$5:$I$305)*ISNUMBER(Timeline!$J$5:$J$305)*(Timeline!$I$5:$I$305&lt;=AC$4+2)*(Timeline!$J$5:$J$305&gt;=AC$4+2)),SUMPRODUCT((INDEX(Timeline!$P$5:$AN$305,0,MATCH($A18,Timeline!$P$4:$AN$4,0))="x")*(Timeline!$K$5:$K$305="Task")*ISNUMBER(Timeline!$I$5:$I$305)*ISNUMBER(Timeline!$J$5:$J$305)*(Timeline!$I$5:$I$305&lt;=AC$4+3)*(Timeline!$J$5:$J$305&gt;=AC$4+3)),SUMPRODUCT((INDEX(Timeline!$P$5:$AN$305,0,MATCH($A18,Timeline!$P$4:$AN$4,0))="x")*(Timeline!$K$5:$K$305="Task")*ISNUMBER(Timeline!$I$5:$I$305)*ISNUMBER(Timeline!$J$5:$J$305)*(Timeline!$I$5:$I$305&lt;=AC$4+4)*(Timeline!$J$5:$J$305&gt;=AC$4+4)),SUMPRODUCT((INDEX(Timeline!$P$5:$AN$305,0,MATCH($A18,Timeline!$P$4:$AN$4,0))="x")*(Timeline!$K$5:$K$305="Task")*ISNUMBER(Timeline!$I$5:$I$305)*ISNUMBER(Timeline!$J$5:$J$305)*(Timeline!$I$5:$I$305&lt;=AC$4+5)*(Timeline!$J$5:$J$305&gt;=AC$4+5)),SUMPRODUCT((INDEX(Timeline!$P$5:$AN$305,0,MATCH($A18,Timeline!$P$4:$AN$4,0))="x")*(Timeline!$K$5:$K$305="Task")*ISNUMBER(Timeline!$I$5:$I$305)*ISNUMBER(Timeline!$J$5:$J$305)*(Timeline!$I$5:$I$305&lt;=AC$4+6)*(Timeline!$J$5:$J$305&gt;=AC$4+6)))</f>
        <v>0</v>
      </c>
      <c r="AD18" s="67">
        <f>MAX(SUMPRODUCT((INDEX(Timeline!$P$5:$AN$305,0,MATCH($A18,Timeline!$P$4:$AN$4,0))="x")*(Timeline!$K$5:$K$305="Task")*ISNUMBER(Timeline!$I$5:$I$305)*ISNUMBER(Timeline!$J$5:$J$305)*(Timeline!$I$5:$I$305&lt;=AD$4+0)*(Timeline!$J$5:$J$305&gt;=AD$4+0)),SUMPRODUCT((INDEX(Timeline!$P$5:$AN$305,0,MATCH($A18,Timeline!$P$4:$AN$4,0))="x")*(Timeline!$K$5:$K$305="Task")*ISNUMBER(Timeline!$I$5:$I$305)*ISNUMBER(Timeline!$J$5:$J$305)*(Timeline!$I$5:$I$305&lt;=AD$4+1)*(Timeline!$J$5:$J$305&gt;=AD$4+1)),SUMPRODUCT((INDEX(Timeline!$P$5:$AN$305,0,MATCH($A18,Timeline!$P$4:$AN$4,0))="x")*(Timeline!$K$5:$K$305="Task")*ISNUMBER(Timeline!$I$5:$I$305)*ISNUMBER(Timeline!$J$5:$J$305)*(Timeline!$I$5:$I$305&lt;=AD$4+2)*(Timeline!$J$5:$J$305&gt;=AD$4+2)),SUMPRODUCT((INDEX(Timeline!$P$5:$AN$305,0,MATCH($A18,Timeline!$P$4:$AN$4,0))="x")*(Timeline!$K$5:$K$305="Task")*ISNUMBER(Timeline!$I$5:$I$305)*ISNUMBER(Timeline!$J$5:$J$305)*(Timeline!$I$5:$I$305&lt;=AD$4+3)*(Timeline!$J$5:$J$305&gt;=AD$4+3)),SUMPRODUCT((INDEX(Timeline!$P$5:$AN$305,0,MATCH($A18,Timeline!$P$4:$AN$4,0))="x")*(Timeline!$K$5:$K$305="Task")*ISNUMBER(Timeline!$I$5:$I$305)*ISNUMBER(Timeline!$J$5:$J$305)*(Timeline!$I$5:$I$305&lt;=AD$4+4)*(Timeline!$J$5:$J$305&gt;=AD$4+4)),SUMPRODUCT((INDEX(Timeline!$P$5:$AN$305,0,MATCH($A18,Timeline!$P$4:$AN$4,0))="x")*(Timeline!$K$5:$K$305="Task")*ISNUMBER(Timeline!$I$5:$I$305)*ISNUMBER(Timeline!$J$5:$J$305)*(Timeline!$I$5:$I$305&lt;=AD$4+5)*(Timeline!$J$5:$J$305&gt;=AD$4+5)),SUMPRODUCT((INDEX(Timeline!$P$5:$AN$305,0,MATCH($A18,Timeline!$P$4:$AN$4,0))="x")*(Timeline!$K$5:$K$305="Task")*ISNUMBER(Timeline!$I$5:$I$305)*ISNUMBER(Timeline!$J$5:$J$305)*(Timeline!$I$5:$I$305&lt;=AD$4+6)*(Timeline!$J$5:$J$305&gt;=AD$4+6)))</f>
        <v>0</v>
      </c>
      <c r="AE18" s="67">
        <f>MAX(SUMPRODUCT((INDEX(Timeline!$P$5:$AN$305,0,MATCH($A18,Timeline!$P$4:$AN$4,0))="x")*(Timeline!$K$5:$K$305="Task")*ISNUMBER(Timeline!$I$5:$I$305)*ISNUMBER(Timeline!$J$5:$J$305)*(Timeline!$I$5:$I$305&lt;=AE$4+0)*(Timeline!$J$5:$J$305&gt;=AE$4+0)),SUMPRODUCT((INDEX(Timeline!$P$5:$AN$305,0,MATCH($A18,Timeline!$P$4:$AN$4,0))="x")*(Timeline!$K$5:$K$305="Task")*ISNUMBER(Timeline!$I$5:$I$305)*ISNUMBER(Timeline!$J$5:$J$305)*(Timeline!$I$5:$I$305&lt;=AE$4+1)*(Timeline!$J$5:$J$305&gt;=AE$4+1)),SUMPRODUCT((INDEX(Timeline!$P$5:$AN$305,0,MATCH($A18,Timeline!$P$4:$AN$4,0))="x")*(Timeline!$K$5:$K$305="Task")*ISNUMBER(Timeline!$I$5:$I$305)*ISNUMBER(Timeline!$J$5:$J$305)*(Timeline!$I$5:$I$305&lt;=AE$4+2)*(Timeline!$J$5:$J$305&gt;=AE$4+2)),SUMPRODUCT((INDEX(Timeline!$P$5:$AN$305,0,MATCH($A18,Timeline!$P$4:$AN$4,0))="x")*(Timeline!$K$5:$K$305="Task")*ISNUMBER(Timeline!$I$5:$I$305)*ISNUMBER(Timeline!$J$5:$J$305)*(Timeline!$I$5:$I$305&lt;=AE$4+3)*(Timeline!$J$5:$J$305&gt;=AE$4+3)),SUMPRODUCT((INDEX(Timeline!$P$5:$AN$305,0,MATCH($A18,Timeline!$P$4:$AN$4,0))="x")*(Timeline!$K$5:$K$305="Task")*ISNUMBER(Timeline!$I$5:$I$305)*ISNUMBER(Timeline!$J$5:$J$305)*(Timeline!$I$5:$I$305&lt;=AE$4+4)*(Timeline!$J$5:$J$305&gt;=AE$4+4)),SUMPRODUCT((INDEX(Timeline!$P$5:$AN$305,0,MATCH($A18,Timeline!$P$4:$AN$4,0))="x")*(Timeline!$K$5:$K$305="Task")*ISNUMBER(Timeline!$I$5:$I$305)*ISNUMBER(Timeline!$J$5:$J$305)*(Timeline!$I$5:$I$305&lt;=AE$4+5)*(Timeline!$J$5:$J$305&gt;=AE$4+5)),SUMPRODUCT((INDEX(Timeline!$P$5:$AN$305,0,MATCH($A18,Timeline!$P$4:$AN$4,0))="x")*(Timeline!$K$5:$K$305="Task")*ISNUMBER(Timeline!$I$5:$I$305)*ISNUMBER(Timeline!$J$5:$J$305)*(Timeline!$I$5:$I$305&lt;=AE$4+6)*(Timeline!$J$5:$J$305&gt;=AE$4+6)))</f>
        <v>0</v>
      </c>
      <c r="AF18" s="67">
        <f>MAX(SUMPRODUCT((INDEX(Timeline!$P$5:$AN$305,0,MATCH($A18,Timeline!$P$4:$AN$4,0))="x")*(Timeline!$K$5:$K$305="Task")*ISNUMBER(Timeline!$I$5:$I$305)*ISNUMBER(Timeline!$J$5:$J$305)*(Timeline!$I$5:$I$305&lt;=AF$4+0)*(Timeline!$J$5:$J$305&gt;=AF$4+0)),SUMPRODUCT((INDEX(Timeline!$P$5:$AN$305,0,MATCH($A18,Timeline!$P$4:$AN$4,0))="x")*(Timeline!$K$5:$K$305="Task")*ISNUMBER(Timeline!$I$5:$I$305)*ISNUMBER(Timeline!$J$5:$J$305)*(Timeline!$I$5:$I$305&lt;=AF$4+1)*(Timeline!$J$5:$J$305&gt;=AF$4+1)),SUMPRODUCT((INDEX(Timeline!$P$5:$AN$305,0,MATCH($A18,Timeline!$P$4:$AN$4,0))="x")*(Timeline!$K$5:$K$305="Task")*ISNUMBER(Timeline!$I$5:$I$305)*ISNUMBER(Timeline!$J$5:$J$305)*(Timeline!$I$5:$I$305&lt;=AF$4+2)*(Timeline!$J$5:$J$305&gt;=AF$4+2)),SUMPRODUCT((INDEX(Timeline!$P$5:$AN$305,0,MATCH($A18,Timeline!$P$4:$AN$4,0))="x")*(Timeline!$K$5:$K$305="Task")*ISNUMBER(Timeline!$I$5:$I$305)*ISNUMBER(Timeline!$J$5:$J$305)*(Timeline!$I$5:$I$305&lt;=AF$4+3)*(Timeline!$J$5:$J$305&gt;=AF$4+3)),SUMPRODUCT((INDEX(Timeline!$P$5:$AN$305,0,MATCH($A18,Timeline!$P$4:$AN$4,0))="x")*(Timeline!$K$5:$K$305="Task")*ISNUMBER(Timeline!$I$5:$I$305)*ISNUMBER(Timeline!$J$5:$J$305)*(Timeline!$I$5:$I$305&lt;=AF$4+4)*(Timeline!$J$5:$J$305&gt;=AF$4+4)),SUMPRODUCT((INDEX(Timeline!$P$5:$AN$305,0,MATCH($A18,Timeline!$P$4:$AN$4,0))="x")*(Timeline!$K$5:$K$305="Task")*ISNUMBER(Timeline!$I$5:$I$305)*ISNUMBER(Timeline!$J$5:$J$305)*(Timeline!$I$5:$I$305&lt;=AF$4+5)*(Timeline!$J$5:$J$305&gt;=AF$4+5)),SUMPRODUCT((INDEX(Timeline!$P$5:$AN$305,0,MATCH($A18,Timeline!$P$4:$AN$4,0))="x")*(Timeline!$K$5:$K$305="Task")*ISNUMBER(Timeline!$I$5:$I$305)*ISNUMBER(Timeline!$J$5:$J$305)*(Timeline!$I$5:$I$305&lt;=AF$4+6)*(Timeline!$J$5:$J$305&gt;=AF$4+6)))</f>
        <v>0</v>
      </c>
      <c r="AG18" s="67">
        <f>MAX(SUMPRODUCT((INDEX(Timeline!$P$5:$AN$305,0,MATCH($A18,Timeline!$P$4:$AN$4,0))="x")*(Timeline!$K$5:$K$305="Task")*ISNUMBER(Timeline!$I$5:$I$305)*ISNUMBER(Timeline!$J$5:$J$305)*(Timeline!$I$5:$I$305&lt;=AG$4+0)*(Timeline!$J$5:$J$305&gt;=AG$4+0)),SUMPRODUCT((INDEX(Timeline!$P$5:$AN$305,0,MATCH($A18,Timeline!$P$4:$AN$4,0))="x")*(Timeline!$K$5:$K$305="Task")*ISNUMBER(Timeline!$I$5:$I$305)*ISNUMBER(Timeline!$J$5:$J$305)*(Timeline!$I$5:$I$305&lt;=AG$4+1)*(Timeline!$J$5:$J$305&gt;=AG$4+1)),SUMPRODUCT((INDEX(Timeline!$P$5:$AN$305,0,MATCH($A18,Timeline!$P$4:$AN$4,0))="x")*(Timeline!$K$5:$K$305="Task")*ISNUMBER(Timeline!$I$5:$I$305)*ISNUMBER(Timeline!$J$5:$J$305)*(Timeline!$I$5:$I$305&lt;=AG$4+2)*(Timeline!$J$5:$J$305&gt;=AG$4+2)),SUMPRODUCT((INDEX(Timeline!$P$5:$AN$305,0,MATCH($A18,Timeline!$P$4:$AN$4,0))="x")*(Timeline!$K$5:$K$305="Task")*ISNUMBER(Timeline!$I$5:$I$305)*ISNUMBER(Timeline!$J$5:$J$305)*(Timeline!$I$5:$I$305&lt;=AG$4+3)*(Timeline!$J$5:$J$305&gt;=AG$4+3)),SUMPRODUCT((INDEX(Timeline!$P$5:$AN$305,0,MATCH($A18,Timeline!$P$4:$AN$4,0))="x")*(Timeline!$K$5:$K$305="Task")*ISNUMBER(Timeline!$I$5:$I$305)*ISNUMBER(Timeline!$J$5:$J$305)*(Timeline!$I$5:$I$305&lt;=AG$4+4)*(Timeline!$J$5:$J$305&gt;=AG$4+4)),SUMPRODUCT((INDEX(Timeline!$P$5:$AN$305,0,MATCH($A18,Timeline!$P$4:$AN$4,0))="x")*(Timeline!$K$5:$K$305="Task")*ISNUMBER(Timeline!$I$5:$I$305)*ISNUMBER(Timeline!$J$5:$J$305)*(Timeline!$I$5:$I$305&lt;=AG$4+5)*(Timeline!$J$5:$J$305&gt;=AG$4+5)),SUMPRODUCT((INDEX(Timeline!$P$5:$AN$305,0,MATCH($A18,Timeline!$P$4:$AN$4,0))="x")*(Timeline!$K$5:$K$305="Task")*ISNUMBER(Timeline!$I$5:$I$305)*ISNUMBER(Timeline!$J$5:$J$305)*(Timeline!$I$5:$I$305&lt;=AG$4+6)*(Timeline!$J$5:$J$305&gt;=AG$4+6)))</f>
        <v>0</v>
      </c>
      <c r="AH18" s="67">
        <f>MAX(SUMPRODUCT((INDEX(Timeline!$P$5:$AN$305,0,MATCH($A18,Timeline!$P$4:$AN$4,0))="x")*(Timeline!$K$5:$K$305="Task")*ISNUMBER(Timeline!$I$5:$I$305)*ISNUMBER(Timeline!$J$5:$J$305)*(Timeline!$I$5:$I$305&lt;=AH$4+0)*(Timeline!$J$5:$J$305&gt;=AH$4+0)),SUMPRODUCT((INDEX(Timeline!$P$5:$AN$305,0,MATCH($A18,Timeline!$P$4:$AN$4,0))="x")*(Timeline!$K$5:$K$305="Task")*ISNUMBER(Timeline!$I$5:$I$305)*ISNUMBER(Timeline!$J$5:$J$305)*(Timeline!$I$5:$I$305&lt;=AH$4+1)*(Timeline!$J$5:$J$305&gt;=AH$4+1)),SUMPRODUCT((INDEX(Timeline!$P$5:$AN$305,0,MATCH($A18,Timeline!$P$4:$AN$4,0))="x")*(Timeline!$K$5:$K$305="Task")*ISNUMBER(Timeline!$I$5:$I$305)*ISNUMBER(Timeline!$J$5:$J$305)*(Timeline!$I$5:$I$305&lt;=AH$4+2)*(Timeline!$J$5:$J$305&gt;=AH$4+2)),SUMPRODUCT((INDEX(Timeline!$P$5:$AN$305,0,MATCH($A18,Timeline!$P$4:$AN$4,0))="x")*(Timeline!$K$5:$K$305="Task")*ISNUMBER(Timeline!$I$5:$I$305)*ISNUMBER(Timeline!$J$5:$J$305)*(Timeline!$I$5:$I$305&lt;=AH$4+3)*(Timeline!$J$5:$J$305&gt;=AH$4+3)),SUMPRODUCT((INDEX(Timeline!$P$5:$AN$305,0,MATCH($A18,Timeline!$P$4:$AN$4,0))="x")*(Timeline!$K$5:$K$305="Task")*ISNUMBER(Timeline!$I$5:$I$305)*ISNUMBER(Timeline!$J$5:$J$305)*(Timeline!$I$5:$I$305&lt;=AH$4+4)*(Timeline!$J$5:$J$305&gt;=AH$4+4)),SUMPRODUCT((INDEX(Timeline!$P$5:$AN$305,0,MATCH($A18,Timeline!$P$4:$AN$4,0))="x")*(Timeline!$K$5:$K$305="Task")*ISNUMBER(Timeline!$I$5:$I$305)*ISNUMBER(Timeline!$J$5:$J$305)*(Timeline!$I$5:$I$305&lt;=AH$4+5)*(Timeline!$J$5:$J$305&gt;=AH$4+5)),SUMPRODUCT((INDEX(Timeline!$P$5:$AN$305,0,MATCH($A18,Timeline!$P$4:$AN$4,0))="x")*(Timeline!$K$5:$K$305="Task")*ISNUMBER(Timeline!$I$5:$I$305)*ISNUMBER(Timeline!$J$5:$J$305)*(Timeline!$I$5:$I$305&lt;=AH$4+6)*(Timeline!$J$5:$J$305&gt;=AH$4+6)))</f>
        <v>1</v>
      </c>
      <c r="AI18" s="67">
        <f>MAX(SUMPRODUCT((INDEX(Timeline!$P$5:$AN$305,0,MATCH($A18,Timeline!$P$4:$AN$4,0))="x")*(Timeline!$K$5:$K$305="Task")*ISNUMBER(Timeline!$I$5:$I$305)*ISNUMBER(Timeline!$J$5:$J$305)*(Timeline!$I$5:$I$305&lt;=AI$4+0)*(Timeline!$J$5:$J$305&gt;=AI$4+0)),SUMPRODUCT((INDEX(Timeline!$P$5:$AN$305,0,MATCH($A18,Timeline!$P$4:$AN$4,0))="x")*(Timeline!$K$5:$K$305="Task")*ISNUMBER(Timeline!$I$5:$I$305)*ISNUMBER(Timeline!$J$5:$J$305)*(Timeline!$I$5:$I$305&lt;=AI$4+1)*(Timeline!$J$5:$J$305&gt;=AI$4+1)),SUMPRODUCT((INDEX(Timeline!$P$5:$AN$305,0,MATCH($A18,Timeline!$P$4:$AN$4,0))="x")*(Timeline!$K$5:$K$305="Task")*ISNUMBER(Timeline!$I$5:$I$305)*ISNUMBER(Timeline!$J$5:$J$305)*(Timeline!$I$5:$I$305&lt;=AI$4+2)*(Timeline!$J$5:$J$305&gt;=AI$4+2)),SUMPRODUCT((INDEX(Timeline!$P$5:$AN$305,0,MATCH($A18,Timeline!$P$4:$AN$4,0))="x")*(Timeline!$K$5:$K$305="Task")*ISNUMBER(Timeline!$I$5:$I$305)*ISNUMBER(Timeline!$J$5:$J$305)*(Timeline!$I$5:$I$305&lt;=AI$4+3)*(Timeline!$J$5:$J$305&gt;=AI$4+3)),SUMPRODUCT((INDEX(Timeline!$P$5:$AN$305,0,MATCH($A18,Timeline!$P$4:$AN$4,0))="x")*(Timeline!$K$5:$K$305="Task")*ISNUMBER(Timeline!$I$5:$I$305)*ISNUMBER(Timeline!$J$5:$J$305)*(Timeline!$I$5:$I$305&lt;=AI$4+4)*(Timeline!$J$5:$J$305&gt;=AI$4+4)),SUMPRODUCT((INDEX(Timeline!$P$5:$AN$305,0,MATCH($A18,Timeline!$P$4:$AN$4,0))="x")*(Timeline!$K$5:$K$305="Task")*ISNUMBER(Timeline!$I$5:$I$305)*ISNUMBER(Timeline!$J$5:$J$305)*(Timeline!$I$5:$I$305&lt;=AI$4+5)*(Timeline!$J$5:$J$305&gt;=AI$4+5)),SUMPRODUCT((INDEX(Timeline!$P$5:$AN$305,0,MATCH($A18,Timeline!$P$4:$AN$4,0))="x")*(Timeline!$K$5:$K$305="Task")*ISNUMBER(Timeline!$I$5:$I$305)*ISNUMBER(Timeline!$J$5:$J$305)*(Timeline!$I$5:$I$305&lt;=AI$4+6)*(Timeline!$J$5:$J$305&gt;=AI$4+6)))</f>
        <v>1</v>
      </c>
      <c r="AJ18" s="67">
        <f>MAX(SUMPRODUCT((INDEX(Timeline!$P$5:$AN$305,0,MATCH($A18,Timeline!$P$4:$AN$4,0))="x")*(Timeline!$K$5:$K$305="Task")*ISNUMBER(Timeline!$I$5:$I$305)*ISNUMBER(Timeline!$J$5:$J$305)*(Timeline!$I$5:$I$305&lt;=AJ$4+0)*(Timeline!$J$5:$J$305&gt;=AJ$4+0)),SUMPRODUCT((INDEX(Timeline!$P$5:$AN$305,0,MATCH($A18,Timeline!$P$4:$AN$4,0))="x")*(Timeline!$K$5:$K$305="Task")*ISNUMBER(Timeline!$I$5:$I$305)*ISNUMBER(Timeline!$J$5:$J$305)*(Timeline!$I$5:$I$305&lt;=AJ$4+1)*(Timeline!$J$5:$J$305&gt;=AJ$4+1)),SUMPRODUCT((INDEX(Timeline!$P$5:$AN$305,0,MATCH($A18,Timeline!$P$4:$AN$4,0))="x")*(Timeline!$K$5:$K$305="Task")*ISNUMBER(Timeline!$I$5:$I$305)*ISNUMBER(Timeline!$J$5:$J$305)*(Timeline!$I$5:$I$305&lt;=AJ$4+2)*(Timeline!$J$5:$J$305&gt;=AJ$4+2)),SUMPRODUCT((INDEX(Timeline!$P$5:$AN$305,0,MATCH($A18,Timeline!$P$4:$AN$4,0))="x")*(Timeline!$K$5:$K$305="Task")*ISNUMBER(Timeline!$I$5:$I$305)*ISNUMBER(Timeline!$J$5:$J$305)*(Timeline!$I$5:$I$305&lt;=AJ$4+3)*(Timeline!$J$5:$J$305&gt;=AJ$4+3)),SUMPRODUCT((INDEX(Timeline!$P$5:$AN$305,0,MATCH($A18,Timeline!$P$4:$AN$4,0))="x")*(Timeline!$K$5:$K$305="Task")*ISNUMBER(Timeline!$I$5:$I$305)*ISNUMBER(Timeline!$J$5:$J$305)*(Timeline!$I$5:$I$305&lt;=AJ$4+4)*(Timeline!$J$5:$J$305&gt;=AJ$4+4)),SUMPRODUCT((INDEX(Timeline!$P$5:$AN$305,0,MATCH($A18,Timeline!$P$4:$AN$4,0))="x")*(Timeline!$K$5:$K$305="Task")*ISNUMBER(Timeline!$I$5:$I$305)*ISNUMBER(Timeline!$J$5:$J$305)*(Timeline!$I$5:$I$305&lt;=AJ$4+5)*(Timeline!$J$5:$J$305&gt;=AJ$4+5)),SUMPRODUCT((INDEX(Timeline!$P$5:$AN$305,0,MATCH($A18,Timeline!$P$4:$AN$4,0))="x")*(Timeline!$K$5:$K$305="Task")*ISNUMBER(Timeline!$I$5:$I$305)*ISNUMBER(Timeline!$J$5:$J$305)*(Timeline!$I$5:$I$305&lt;=AJ$4+6)*(Timeline!$J$5:$J$305&gt;=AJ$4+6)))</f>
        <v>0</v>
      </c>
      <c r="AK18" s="67">
        <f>MAX(SUMPRODUCT((INDEX(Timeline!$P$5:$AN$305,0,MATCH($A18,Timeline!$P$4:$AN$4,0))="x")*(Timeline!$K$5:$K$305="Task")*ISNUMBER(Timeline!$I$5:$I$305)*ISNUMBER(Timeline!$J$5:$J$305)*(Timeline!$I$5:$I$305&lt;=AK$4+0)*(Timeline!$J$5:$J$305&gt;=AK$4+0)),SUMPRODUCT((INDEX(Timeline!$P$5:$AN$305,0,MATCH($A18,Timeline!$P$4:$AN$4,0))="x")*(Timeline!$K$5:$K$305="Task")*ISNUMBER(Timeline!$I$5:$I$305)*ISNUMBER(Timeline!$J$5:$J$305)*(Timeline!$I$5:$I$305&lt;=AK$4+1)*(Timeline!$J$5:$J$305&gt;=AK$4+1)),SUMPRODUCT((INDEX(Timeline!$P$5:$AN$305,0,MATCH($A18,Timeline!$P$4:$AN$4,0))="x")*(Timeline!$K$5:$K$305="Task")*ISNUMBER(Timeline!$I$5:$I$305)*ISNUMBER(Timeline!$J$5:$J$305)*(Timeline!$I$5:$I$305&lt;=AK$4+2)*(Timeline!$J$5:$J$305&gt;=AK$4+2)),SUMPRODUCT((INDEX(Timeline!$P$5:$AN$305,0,MATCH($A18,Timeline!$P$4:$AN$4,0))="x")*(Timeline!$K$5:$K$305="Task")*ISNUMBER(Timeline!$I$5:$I$305)*ISNUMBER(Timeline!$J$5:$J$305)*(Timeline!$I$5:$I$305&lt;=AK$4+3)*(Timeline!$J$5:$J$305&gt;=AK$4+3)),SUMPRODUCT((INDEX(Timeline!$P$5:$AN$305,0,MATCH($A18,Timeline!$P$4:$AN$4,0))="x")*(Timeline!$K$5:$K$305="Task")*ISNUMBER(Timeline!$I$5:$I$305)*ISNUMBER(Timeline!$J$5:$J$305)*(Timeline!$I$5:$I$305&lt;=AK$4+4)*(Timeline!$J$5:$J$305&gt;=AK$4+4)),SUMPRODUCT((INDEX(Timeline!$P$5:$AN$305,0,MATCH($A18,Timeline!$P$4:$AN$4,0))="x")*(Timeline!$K$5:$K$305="Task")*ISNUMBER(Timeline!$I$5:$I$305)*ISNUMBER(Timeline!$J$5:$J$305)*(Timeline!$I$5:$I$305&lt;=AK$4+5)*(Timeline!$J$5:$J$305&gt;=AK$4+5)),SUMPRODUCT((INDEX(Timeline!$P$5:$AN$305,0,MATCH($A18,Timeline!$P$4:$AN$4,0))="x")*(Timeline!$K$5:$K$305="Task")*ISNUMBER(Timeline!$I$5:$I$305)*ISNUMBER(Timeline!$J$5:$J$305)*(Timeline!$I$5:$I$305&lt;=AK$4+6)*(Timeline!$J$5:$J$305&gt;=AK$4+6)))</f>
        <v>0</v>
      </c>
      <c r="AL18" s="67">
        <f>MAX(SUMPRODUCT((INDEX(Timeline!$P$5:$AN$305,0,MATCH($A18,Timeline!$P$4:$AN$4,0))="x")*(Timeline!$K$5:$K$305="Task")*ISNUMBER(Timeline!$I$5:$I$305)*ISNUMBER(Timeline!$J$5:$J$305)*(Timeline!$I$5:$I$305&lt;=AL$4+0)*(Timeline!$J$5:$J$305&gt;=AL$4+0)),SUMPRODUCT((INDEX(Timeline!$P$5:$AN$305,0,MATCH($A18,Timeline!$P$4:$AN$4,0))="x")*(Timeline!$K$5:$K$305="Task")*ISNUMBER(Timeline!$I$5:$I$305)*ISNUMBER(Timeline!$J$5:$J$305)*(Timeline!$I$5:$I$305&lt;=AL$4+1)*(Timeline!$J$5:$J$305&gt;=AL$4+1)),SUMPRODUCT((INDEX(Timeline!$P$5:$AN$305,0,MATCH($A18,Timeline!$P$4:$AN$4,0))="x")*(Timeline!$K$5:$K$305="Task")*ISNUMBER(Timeline!$I$5:$I$305)*ISNUMBER(Timeline!$J$5:$J$305)*(Timeline!$I$5:$I$305&lt;=AL$4+2)*(Timeline!$J$5:$J$305&gt;=AL$4+2)),SUMPRODUCT((INDEX(Timeline!$P$5:$AN$305,0,MATCH($A18,Timeline!$P$4:$AN$4,0))="x")*(Timeline!$K$5:$K$305="Task")*ISNUMBER(Timeline!$I$5:$I$305)*ISNUMBER(Timeline!$J$5:$J$305)*(Timeline!$I$5:$I$305&lt;=AL$4+3)*(Timeline!$J$5:$J$305&gt;=AL$4+3)),SUMPRODUCT((INDEX(Timeline!$P$5:$AN$305,0,MATCH($A18,Timeline!$P$4:$AN$4,0))="x")*(Timeline!$K$5:$K$305="Task")*ISNUMBER(Timeline!$I$5:$I$305)*ISNUMBER(Timeline!$J$5:$J$305)*(Timeline!$I$5:$I$305&lt;=AL$4+4)*(Timeline!$J$5:$J$305&gt;=AL$4+4)),SUMPRODUCT((INDEX(Timeline!$P$5:$AN$305,0,MATCH($A18,Timeline!$P$4:$AN$4,0))="x")*(Timeline!$K$5:$K$305="Task")*ISNUMBER(Timeline!$I$5:$I$305)*ISNUMBER(Timeline!$J$5:$J$305)*(Timeline!$I$5:$I$305&lt;=AL$4+5)*(Timeline!$J$5:$J$305&gt;=AL$4+5)),SUMPRODUCT((INDEX(Timeline!$P$5:$AN$305,0,MATCH($A18,Timeline!$P$4:$AN$4,0))="x")*(Timeline!$K$5:$K$305="Task")*ISNUMBER(Timeline!$I$5:$I$305)*ISNUMBER(Timeline!$J$5:$J$305)*(Timeline!$I$5:$I$305&lt;=AL$4+6)*(Timeline!$J$5:$J$305&gt;=AL$4+6)))</f>
        <v>0</v>
      </c>
      <c r="AM18" s="67">
        <f>MAX(SUMPRODUCT((INDEX(Timeline!$P$5:$AN$305,0,MATCH($A18,Timeline!$P$4:$AN$4,0))="x")*(Timeline!$K$5:$K$305="Task")*ISNUMBER(Timeline!$I$5:$I$305)*ISNUMBER(Timeline!$J$5:$J$305)*(Timeline!$I$5:$I$305&lt;=AM$4+0)*(Timeline!$J$5:$J$305&gt;=AM$4+0)),SUMPRODUCT((INDEX(Timeline!$P$5:$AN$305,0,MATCH($A18,Timeline!$P$4:$AN$4,0))="x")*(Timeline!$K$5:$K$305="Task")*ISNUMBER(Timeline!$I$5:$I$305)*ISNUMBER(Timeline!$J$5:$J$305)*(Timeline!$I$5:$I$305&lt;=AM$4+1)*(Timeline!$J$5:$J$305&gt;=AM$4+1)),SUMPRODUCT((INDEX(Timeline!$P$5:$AN$305,0,MATCH($A18,Timeline!$P$4:$AN$4,0))="x")*(Timeline!$K$5:$K$305="Task")*ISNUMBER(Timeline!$I$5:$I$305)*ISNUMBER(Timeline!$J$5:$J$305)*(Timeline!$I$5:$I$305&lt;=AM$4+2)*(Timeline!$J$5:$J$305&gt;=AM$4+2)),SUMPRODUCT((INDEX(Timeline!$P$5:$AN$305,0,MATCH($A18,Timeline!$P$4:$AN$4,0))="x")*(Timeline!$K$5:$K$305="Task")*ISNUMBER(Timeline!$I$5:$I$305)*ISNUMBER(Timeline!$J$5:$J$305)*(Timeline!$I$5:$I$305&lt;=AM$4+3)*(Timeline!$J$5:$J$305&gt;=AM$4+3)),SUMPRODUCT((INDEX(Timeline!$P$5:$AN$305,0,MATCH($A18,Timeline!$P$4:$AN$4,0))="x")*(Timeline!$K$5:$K$305="Task")*ISNUMBER(Timeline!$I$5:$I$305)*ISNUMBER(Timeline!$J$5:$J$305)*(Timeline!$I$5:$I$305&lt;=AM$4+4)*(Timeline!$J$5:$J$305&gt;=AM$4+4)),SUMPRODUCT((INDEX(Timeline!$P$5:$AN$305,0,MATCH($A18,Timeline!$P$4:$AN$4,0))="x")*(Timeline!$K$5:$K$305="Task")*ISNUMBER(Timeline!$I$5:$I$305)*ISNUMBER(Timeline!$J$5:$J$305)*(Timeline!$I$5:$I$305&lt;=AM$4+5)*(Timeline!$J$5:$J$305&gt;=AM$4+5)),SUMPRODUCT((INDEX(Timeline!$P$5:$AN$305,0,MATCH($A18,Timeline!$P$4:$AN$4,0))="x")*(Timeline!$K$5:$K$305="Task")*ISNUMBER(Timeline!$I$5:$I$305)*ISNUMBER(Timeline!$J$5:$J$305)*(Timeline!$I$5:$I$305&lt;=AM$4+6)*(Timeline!$J$5:$J$305&gt;=AM$4+6)))</f>
        <v>0</v>
      </c>
      <c r="AN18" s="67">
        <f>MAX(SUMPRODUCT((INDEX(Timeline!$P$5:$AN$305,0,MATCH($A18,Timeline!$P$4:$AN$4,0))="x")*(Timeline!$K$5:$K$305="Task")*ISNUMBER(Timeline!$I$5:$I$305)*ISNUMBER(Timeline!$J$5:$J$305)*(Timeline!$I$5:$I$305&lt;=AN$4+0)*(Timeline!$J$5:$J$305&gt;=AN$4+0)),SUMPRODUCT((INDEX(Timeline!$P$5:$AN$305,0,MATCH($A18,Timeline!$P$4:$AN$4,0))="x")*(Timeline!$K$5:$K$305="Task")*ISNUMBER(Timeline!$I$5:$I$305)*ISNUMBER(Timeline!$J$5:$J$305)*(Timeline!$I$5:$I$305&lt;=AN$4+1)*(Timeline!$J$5:$J$305&gt;=AN$4+1)),SUMPRODUCT((INDEX(Timeline!$P$5:$AN$305,0,MATCH($A18,Timeline!$P$4:$AN$4,0))="x")*(Timeline!$K$5:$K$305="Task")*ISNUMBER(Timeline!$I$5:$I$305)*ISNUMBER(Timeline!$J$5:$J$305)*(Timeline!$I$5:$I$305&lt;=AN$4+2)*(Timeline!$J$5:$J$305&gt;=AN$4+2)),SUMPRODUCT((INDEX(Timeline!$P$5:$AN$305,0,MATCH($A18,Timeline!$P$4:$AN$4,0))="x")*(Timeline!$K$5:$K$305="Task")*ISNUMBER(Timeline!$I$5:$I$305)*ISNUMBER(Timeline!$J$5:$J$305)*(Timeline!$I$5:$I$305&lt;=AN$4+3)*(Timeline!$J$5:$J$305&gt;=AN$4+3)),SUMPRODUCT((INDEX(Timeline!$P$5:$AN$305,0,MATCH($A18,Timeline!$P$4:$AN$4,0))="x")*(Timeline!$K$5:$K$305="Task")*ISNUMBER(Timeline!$I$5:$I$305)*ISNUMBER(Timeline!$J$5:$J$305)*(Timeline!$I$5:$I$305&lt;=AN$4+4)*(Timeline!$J$5:$J$305&gt;=AN$4+4)),SUMPRODUCT((INDEX(Timeline!$P$5:$AN$305,0,MATCH($A18,Timeline!$P$4:$AN$4,0))="x")*(Timeline!$K$5:$K$305="Task")*ISNUMBER(Timeline!$I$5:$I$305)*ISNUMBER(Timeline!$J$5:$J$305)*(Timeline!$I$5:$I$305&lt;=AN$4+5)*(Timeline!$J$5:$J$305&gt;=AN$4+5)),SUMPRODUCT((INDEX(Timeline!$P$5:$AN$305,0,MATCH($A18,Timeline!$P$4:$AN$4,0))="x")*(Timeline!$K$5:$K$305="Task")*ISNUMBER(Timeline!$I$5:$I$305)*ISNUMBER(Timeline!$J$5:$J$305)*(Timeline!$I$5:$I$305&lt;=AN$4+6)*(Timeline!$J$5:$J$305&gt;=AN$4+6)))</f>
        <v>0</v>
      </c>
      <c r="AO18" s="67">
        <f>MAX(SUMPRODUCT((INDEX(Timeline!$P$5:$AN$305,0,MATCH($A18,Timeline!$P$4:$AN$4,0))="x")*(Timeline!$K$5:$K$305="Task")*ISNUMBER(Timeline!$I$5:$I$305)*ISNUMBER(Timeline!$J$5:$J$305)*(Timeline!$I$5:$I$305&lt;=AO$4+0)*(Timeline!$J$5:$J$305&gt;=AO$4+0)),SUMPRODUCT((INDEX(Timeline!$P$5:$AN$305,0,MATCH($A18,Timeline!$P$4:$AN$4,0))="x")*(Timeline!$K$5:$K$305="Task")*ISNUMBER(Timeline!$I$5:$I$305)*ISNUMBER(Timeline!$J$5:$J$305)*(Timeline!$I$5:$I$305&lt;=AO$4+1)*(Timeline!$J$5:$J$305&gt;=AO$4+1)),SUMPRODUCT((INDEX(Timeline!$P$5:$AN$305,0,MATCH($A18,Timeline!$P$4:$AN$4,0))="x")*(Timeline!$K$5:$K$305="Task")*ISNUMBER(Timeline!$I$5:$I$305)*ISNUMBER(Timeline!$J$5:$J$305)*(Timeline!$I$5:$I$305&lt;=AO$4+2)*(Timeline!$J$5:$J$305&gt;=AO$4+2)),SUMPRODUCT((INDEX(Timeline!$P$5:$AN$305,0,MATCH($A18,Timeline!$P$4:$AN$4,0))="x")*(Timeline!$K$5:$K$305="Task")*ISNUMBER(Timeline!$I$5:$I$305)*ISNUMBER(Timeline!$J$5:$J$305)*(Timeline!$I$5:$I$305&lt;=AO$4+3)*(Timeline!$J$5:$J$305&gt;=AO$4+3)),SUMPRODUCT((INDEX(Timeline!$P$5:$AN$305,0,MATCH($A18,Timeline!$P$4:$AN$4,0))="x")*(Timeline!$K$5:$K$305="Task")*ISNUMBER(Timeline!$I$5:$I$305)*ISNUMBER(Timeline!$J$5:$J$305)*(Timeline!$I$5:$I$305&lt;=AO$4+4)*(Timeline!$J$5:$J$305&gt;=AO$4+4)),SUMPRODUCT((INDEX(Timeline!$P$5:$AN$305,0,MATCH($A18,Timeline!$P$4:$AN$4,0))="x")*(Timeline!$K$5:$K$305="Task")*ISNUMBER(Timeline!$I$5:$I$305)*ISNUMBER(Timeline!$J$5:$J$305)*(Timeline!$I$5:$I$305&lt;=AO$4+5)*(Timeline!$J$5:$J$305&gt;=AO$4+5)),SUMPRODUCT((INDEX(Timeline!$P$5:$AN$305,0,MATCH($A18,Timeline!$P$4:$AN$4,0))="x")*(Timeline!$K$5:$K$305="Task")*ISNUMBER(Timeline!$I$5:$I$305)*ISNUMBER(Timeline!$J$5:$J$305)*(Timeline!$I$5:$I$305&lt;=AO$4+6)*(Timeline!$J$5:$J$305&gt;=AO$4+6)))</f>
        <v>0</v>
      </c>
      <c r="AP18" s="67">
        <f>MAX(SUMPRODUCT((INDEX(Timeline!$P$5:$AN$305,0,MATCH($A18,Timeline!$P$4:$AN$4,0))="x")*(Timeline!$K$5:$K$305="Task")*ISNUMBER(Timeline!$I$5:$I$305)*ISNUMBER(Timeline!$J$5:$J$305)*(Timeline!$I$5:$I$305&lt;=AP$4+0)*(Timeline!$J$5:$J$305&gt;=AP$4+0)),SUMPRODUCT((INDEX(Timeline!$P$5:$AN$305,0,MATCH($A18,Timeline!$P$4:$AN$4,0))="x")*(Timeline!$K$5:$K$305="Task")*ISNUMBER(Timeline!$I$5:$I$305)*ISNUMBER(Timeline!$J$5:$J$305)*(Timeline!$I$5:$I$305&lt;=AP$4+1)*(Timeline!$J$5:$J$305&gt;=AP$4+1)),SUMPRODUCT((INDEX(Timeline!$P$5:$AN$305,0,MATCH($A18,Timeline!$P$4:$AN$4,0))="x")*(Timeline!$K$5:$K$305="Task")*ISNUMBER(Timeline!$I$5:$I$305)*ISNUMBER(Timeline!$J$5:$J$305)*(Timeline!$I$5:$I$305&lt;=AP$4+2)*(Timeline!$J$5:$J$305&gt;=AP$4+2)),SUMPRODUCT((INDEX(Timeline!$P$5:$AN$305,0,MATCH($A18,Timeline!$P$4:$AN$4,0))="x")*(Timeline!$K$5:$K$305="Task")*ISNUMBER(Timeline!$I$5:$I$305)*ISNUMBER(Timeline!$J$5:$J$305)*(Timeline!$I$5:$I$305&lt;=AP$4+3)*(Timeline!$J$5:$J$305&gt;=AP$4+3)),SUMPRODUCT((INDEX(Timeline!$P$5:$AN$305,0,MATCH($A18,Timeline!$P$4:$AN$4,0))="x")*(Timeline!$K$5:$K$305="Task")*ISNUMBER(Timeline!$I$5:$I$305)*ISNUMBER(Timeline!$J$5:$J$305)*(Timeline!$I$5:$I$305&lt;=AP$4+4)*(Timeline!$J$5:$J$305&gt;=AP$4+4)),SUMPRODUCT((INDEX(Timeline!$P$5:$AN$305,0,MATCH($A18,Timeline!$P$4:$AN$4,0))="x")*(Timeline!$K$5:$K$305="Task")*ISNUMBER(Timeline!$I$5:$I$305)*ISNUMBER(Timeline!$J$5:$J$305)*(Timeline!$I$5:$I$305&lt;=AP$4+5)*(Timeline!$J$5:$J$305&gt;=AP$4+5)),SUMPRODUCT((INDEX(Timeline!$P$5:$AN$305,0,MATCH($A18,Timeline!$P$4:$AN$4,0))="x")*(Timeline!$K$5:$K$305="Task")*ISNUMBER(Timeline!$I$5:$I$305)*ISNUMBER(Timeline!$J$5:$J$305)*(Timeline!$I$5:$I$305&lt;=AP$4+6)*(Timeline!$J$5:$J$305&gt;=AP$4+6)))</f>
        <v>0</v>
      </c>
      <c r="AQ18" s="67">
        <f>MAX(SUMPRODUCT((INDEX(Timeline!$P$5:$AN$305,0,MATCH($A18,Timeline!$P$4:$AN$4,0))="x")*(Timeline!$K$5:$K$305="Task")*ISNUMBER(Timeline!$I$5:$I$305)*ISNUMBER(Timeline!$J$5:$J$305)*(Timeline!$I$5:$I$305&lt;=AQ$4+0)*(Timeline!$J$5:$J$305&gt;=AQ$4+0)),SUMPRODUCT((INDEX(Timeline!$P$5:$AN$305,0,MATCH($A18,Timeline!$P$4:$AN$4,0))="x")*(Timeline!$K$5:$K$305="Task")*ISNUMBER(Timeline!$I$5:$I$305)*ISNUMBER(Timeline!$J$5:$J$305)*(Timeline!$I$5:$I$305&lt;=AQ$4+1)*(Timeline!$J$5:$J$305&gt;=AQ$4+1)),SUMPRODUCT((INDEX(Timeline!$P$5:$AN$305,0,MATCH($A18,Timeline!$P$4:$AN$4,0))="x")*(Timeline!$K$5:$K$305="Task")*ISNUMBER(Timeline!$I$5:$I$305)*ISNUMBER(Timeline!$J$5:$J$305)*(Timeline!$I$5:$I$305&lt;=AQ$4+2)*(Timeline!$J$5:$J$305&gt;=AQ$4+2)),SUMPRODUCT((INDEX(Timeline!$P$5:$AN$305,0,MATCH($A18,Timeline!$P$4:$AN$4,0))="x")*(Timeline!$K$5:$K$305="Task")*ISNUMBER(Timeline!$I$5:$I$305)*ISNUMBER(Timeline!$J$5:$J$305)*(Timeline!$I$5:$I$305&lt;=AQ$4+3)*(Timeline!$J$5:$J$305&gt;=AQ$4+3)),SUMPRODUCT((INDEX(Timeline!$P$5:$AN$305,0,MATCH($A18,Timeline!$P$4:$AN$4,0))="x")*(Timeline!$K$5:$K$305="Task")*ISNUMBER(Timeline!$I$5:$I$305)*ISNUMBER(Timeline!$J$5:$J$305)*(Timeline!$I$5:$I$305&lt;=AQ$4+4)*(Timeline!$J$5:$J$305&gt;=AQ$4+4)),SUMPRODUCT((INDEX(Timeline!$P$5:$AN$305,0,MATCH($A18,Timeline!$P$4:$AN$4,0))="x")*(Timeline!$K$5:$K$305="Task")*ISNUMBER(Timeline!$I$5:$I$305)*ISNUMBER(Timeline!$J$5:$J$305)*(Timeline!$I$5:$I$305&lt;=AQ$4+5)*(Timeline!$J$5:$J$305&gt;=AQ$4+5)),SUMPRODUCT((INDEX(Timeline!$P$5:$AN$305,0,MATCH($A18,Timeline!$P$4:$AN$4,0))="x")*(Timeline!$K$5:$K$305="Task")*ISNUMBER(Timeline!$I$5:$I$305)*ISNUMBER(Timeline!$J$5:$J$305)*(Timeline!$I$5:$I$305&lt;=AQ$4+6)*(Timeline!$J$5:$J$305&gt;=AQ$4+6)))</f>
        <v>0</v>
      </c>
      <c r="AR18" s="67">
        <f>MAX(SUMPRODUCT((INDEX(Timeline!$P$5:$AN$305,0,MATCH($A18,Timeline!$P$4:$AN$4,0))="x")*(Timeline!$K$5:$K$305="Task")*ISNUMBER(Timeline!$I$5:$I$305)*ISNUMBER(Timeline!$J$5:$J$305)*(Timeline!$I$5:$I$305&lt;=AR$4+0)*(Timeline!$J$5:$J$305&gt;=AR$4+0)),SUMPRODUCT((INDEX(Timeline!$P$5:$AN$305,0,MATCH($A18,Timeline!$P$4:$AN$4,0))="x")*(Timeline!$K$5:$K$305="Task")*ISNUMBER(Timeline!$I$5:$I$305)*ISNUMBER(Timeline!$J$5:$J$305)*(Timeline!$I$5:$I$305&lt;=AR$4+1)*(Timeline!$J$5:$J$305&gt;=AR$4+1)),SUMPRODUCT((INDEX(Timeline!$P$5:$AN$305,0,MATCH($A18,Timeline!$P$4:$AN$4,0))="x")*(Timeline!$K$5:$K$305="Task")*ISNUMBER(Timeline!$I$5:$I$305)*ISNUMBER(Timeline!$J$5:$J$305)*(Timeline!$I$5:$I$305&lt;=AR$4+2)*(Timeline!$J$5:$J$305&gt;=AR$4+2)),SUMPRODUCT((INDEX(Timeline!$P$5:$AN$305,0,MATCH($A18,Timeline!$P$4:$AN$4,0))="x")*(Timeline!$K$5:$K$305="Task")*ISNUMBER(Timeline!$I$5:$I$305)*ISNUMBER(Timeline!$J$5:$J$305)*(Timeline!$I$5:$I$305&lt;=AR$4+3)*(Timeline!$J$5:$J$305&gt;=AR$4+3)),SUMPRODUCT((INDEX(Timeline!$P$5:$AN$305,0,MATCH($A18,Timeline!$P$4:$AN$4,0))="x")*(Timeline!$K$5:$K$305="Task")*ISNUMBER(Timeline!$I$5:$I$305)*ISNUMBER(Timeline!$J$5:$J$305)*(Timeline!$I$5:$I$305&lt;=AR$4+4)*(Timeline!$J$5:$J$305&gt;=AR$4+4)),SUMPRODUCT((INDEX(Timeline!$P$5:$AN$305,0,MATCH($A18,Timeline!$P$4:$AN$4,0))="x")*(Timeline!$K$5:$K$305="Task")*ISNUMBER(Timeline!$I$5:$I$305)*ISNUMBER(Timeline!$J$5:$J$305)*(Timeline!$I$5:$I$305&lt;=AR$4+5)*(Timeline!$J$5:$J$305&gt;=AR$4+5)),SUMPRODUCT((INDEX(Timeline!$P$5:$AN$305,0,MATCH($A18,Timeline!$P$4:$AN$4,0))="x")*(Timeline!$K$5:$K$305="Task")*ISNUMBER(Timeline!$I$5:$I$305)*ISNUMBER(Timeline!$J$5:$J$305)*(Timeline!$I$5:$I$305&lt;=AR$4+6)*(Timeline!$J$5:$J$305&gt;=AR$4+6)))</f>
        <v>0</v>
      </c>
      <c r="AS18" s="67">
        <f>MAX(SUMPRODUCT((INDEX(Timeline!$P$5:$AN$305,0,MATCH($A18,Timeline!$P$4:$AN$4,0))="x")*(Timeline!$K$5:$K$305="Task")*ISNUMBER(Timeline!$I$5:$I$305)*ISNUMBER(Timeline!$J$5:$J$305)*(Timeline!$I$5:$I$305&lt;=AS$4+0)*(Timeline!$J$5:$J$305&gt;=AS$4+0)),SUMPRODUCT((INDEX(Timeline!$P$5:$AN$305,0,MATCH($A18,Timeline!$P$4:$AN$4,0))="x")*(Timeline!$K$5:$K$305="Task")*ISNUMBER(Timeline!$I$5:$I$305)*ISNUMBER(Timeline!$J$5:$J$305)*(Timeline!$I$5:$I$305&lt;=AS$4+1)*(Timeline!$J$5:$J$305&gt;=AS$4+1)),SUMPRODUCT((INDEX(Timeline!$P$5:$AN$305,0,MATCH($A18,Timeline!$P$4:$AN$4,0))="x")*(Timeline!$K$5:$K$305="Task")*ISNUMBER(Timeline!$I$5:$I$305)*ISNUMBER(Timeline!$J$5:$J$305)*(Timeline!$I$5:$I$305&lt;=AS$4+2)*(Timeline!$J$5:$J$305&gt;=AS$4+2)),SUMPRODUCT((INDEX(Timeline!$P$5:$AN$305,0,MATCH($A18,Timeline!$P$4:$AN$4,0))="x")*(Timeline!$K$5:$K$305="Task")*ISNUMBER(Timeline!$I$5:$I$305)*ISNUMBER(Timeline!$J$5:$J$305)*(Timeline!$I$5:$I$305&lt;=AS$4+3)*(Timeline!$J$5:$J$305&gt;=AS$4+3)),SUMPRODUCT((INDEX(Timeline!$P$5:$AN$305,0,MATCH($A18,Timeline!$P$4:$AN$4,0))="x")*(Timeline!$K$5:$K$305="Task")*ISNUMBER(Timeline!$I$5:$I$305)*ISNUMBER(Timeline!$J$5:$J$305)*(Timeline!$I$5:$I$305&lt;=AS$4+4)*(Timeline!$J$5:$J$305&gt;=AS$4+4)),SUMPRODUCT((INDEX(Timeline!$P$5:$AN$305,0,MATCH($A18,Timeline!$P$4:$AN$4,0))="x")*(Timeline!$K$5:$K$305="Task")*ISNUMBER(Timeline!$I$5:$I$305)*ISNUMBER(Timeline!$J$5:$J$305)*(Timeline!$I$5:$I$305&lt;=AS$4+5)*(Timeline!$J$5:$J$305&gt;=AS$4+5)),SUMPRODUCT((INDEX(Timeline!$P$5:$AN$305,0,MATCH($A18,Timeline!$P$4:$AN$4,0))="x")*(Timeline!$K$5:$K$305="Task")*ISNUMBER(Timeline!$I$5:$I$305)*ISNUMBER(Timeline!$J$5:$J$305)*(Timeline!$I$5:$I$305&lt;=AS$4+6)*(Timeline!$J$5:$J$305&gt;=AS$4+6)))</f>
        <v>0</v>
      </c>
      <c r="AT18" s="67">
        <f>MAX(SUMPRODUCT((INDEX(Timeline!$P$5:$AN$305,0,MATCH($A18,Timeline!$P$4:$AN$4,0))="x")*(Timeline!$K$5:$K$305="Task")*ISNUMBER(Timeline!$I$5:$I$305)*ISNUMBER(Timeline!$J$5:$J$305)*(Timeline!$I$5:$I$305&lt;=AT$4+0)*(Timeline!$J$5:$J$305&gt;=AT$4+0)),SUMPRODUCT((INDEX(Timeline!$P$5:$AN$305,0,MATCH($A18,Timeline!$P$4:$AN$4,0))="x")*(Timeline!$K$5:$K$305="Task")*ISNUMBER(Timeline!$I$5:$I$305)*ISNUMBER(Timeline!$J$5:$J$305)*(Timeline!$I$5:$I$305&lt;=AT$4+1)*(Timeline!$J$5:$J$305&gt;=AT$4+1)),SUMPRODUCT((INDEX(Timeline!$P$5:$AN$305,0,MATCH($A18,Timeline!$P$4:$AN$4,0))="x")*(Timeline!$K$5:$K$305="Task")*ISNUMBER(Timeline!$I$5:$I$305)*ISNUMBER(Timeline!$J$5:$J$305)*(Timeline!$I$5:$I$305&lt;=AT$4+2)*(Timeline!$J$5:$J$305&gt;=AT$4+2)),SUMPRODUCT((INDEX(Timeline!$P$5:$AN$305,0,MATCH($A18,Timeline!$P$4:$AN$4,0))="x")*(Timeline!$K$5:$K$305="Task")*ISNUMBER(Timeline!$I$5:$I$305)*ISNUMBER(Timeline!$J$5:$J$305)*(Timeline!$I$5:$I$305&lt;=AT$4+3)*(Timeline!$J$5:$J$305&gt;=AT$4+3)),SUMPRODUCT((INDEX(Timeline!$P$5:$AN$305,0,MATCH($A18,Timeline!$P$4:$AN$4,0))="x")*(Timeline!$K$5:$K$305="Task")*ISNUMBER(Timeline!$I$5:$I$305)*ISNUMBER(Timeline!$J$5:$J$305)*(Timeline!$I$5:$I$305&lt;=AT$4+4)*(Timeline!$J$5:$J$305&gt;=AT$4+4)),SUMPRODUCT((INDEX(Timeline!$P$5:$AN$305,0,MATCH($A18,Timeline!$P$4:$AN$4,0))="x")*(Timeline!$K$5:$K$305="Task")*ISNUMBER(Timeline!$I$5:$I$305)*ISNUMBER(Timeline!$J$5:$J$305)*(Timeline!$I$5:$I$305&lt;=AT$4+5)*(Timeline!$J$5:$J$305&gt;=AT$4+5)),SUMPRODUCT((INDEX(Timeline!$P$5:$AN$305,0,MATCH($A18,Timeline!$P$4:$AN$4,0))="x")*(Timeline!$K$5:$K$305="Task")*ISNUMBER(Timeline!$I$5:$I$305)*ISNUMBER(Timeline!$J$5:$J$305)*(Timeline!$I$5:$I$305&lt;=AT$4+6)*(Timeline!$J$5:$J$305&gt;=AT$4+6)))</f>
        <v>0</v>
      </c>
      <c r="AU18" s="67">
        <f>MAX(SUMPRODUCT((INDEX(Timeline!$P$5:$AN$305,0,MATCH($A18,Timeline!$P$4:$AN$4,0))="x")*(Timeline!$K$5:$K$305="Task")*ISNUMBER(Timeline!$I$5:$I$305)*ISNUMBER(Timeline!$J$5:$J$305)*(Timeline!$I$5:$I$305&lt;=AU$4+0)*(Timeline!$J$5:$J$305&gt;=AU$4+0)),SUMPRODUCT((INDEX(Timeline!$P$5:$AN$305,0,MATCH($A18,Timeline!$P$4:$AN$4,0))="x")*(Timeline!$K$5:$K$305="Task")*ISNUMBER(Timeline!$I$5:$I$305)*ISNUMBER(Timeline!$J$5:$J$305)*(Timeline!$I$5:$I$305&lt;=AU$4+1)*(Timeline!$J$5:$J$305&gt;=AU$4+1)),SUMPRODUCT((INDEX(Timeline!$P$5:$AN$305,0,MATCH($A18,Timeline!$P$4:$AN$4,0))="x")*(Timeline!$K$5:$K$305="Task")*ISNUMBER(Timeline!$I$5:$I$305)*ISNUMBER(Timeline!$J$5:$J$305)*(Timeline!$I$5:$I$305&lt;=AU$4+2)*(Timeline!$J$5:$J$305&gt;=AU$4+2)),SUMPRODUCT((INDEX(Timeline!$P$5:$AN$305,0,MATCH($A18,Timeline!$P$4:$AN$4,0))="x")*(Timeline!$K$5:$K$305="Task")*ISNUMBER(Timeline!$I$5:$I$305)*ISNUMBER(Timeline!$J$5:$J$305)*(Timeline!$I$5:$I$305&lt;=AU$4+3)*(Timeline!$J$5:$J$305&gt;=AU$4+3)),SUMPRODUCT((INDEX(Timeline!$P$5:$AN$305,0,MATCH($A18,Timeline!$P$4:$AN$4,0))="x")*(Timeline!$K$5:$K$305="Task")*ISNUMBER(Timeline!$I$5:$I$305)*ISNUMBER(Timeline!$J$5:$J$305)*(Timeline!$I$5:$I$305&lt;=AU$4+4)*(Timeline!$J$5:$J$305&gt;=AU$4+4)),SUMPRODUCT((INDEX(Timeline!$P$5:$AN$305,0,MATCH($A18,Timeline!$P$4:$AN$4,0))="x")*(Timeline!$K$5:$K$305="Task")*ISNUMBER(Timeline!$I$5:$I$305)*ISNUMBER(Timeline!$J$5:$J$305)*(Timeline!$I$5:$I$305&lt;=AU$4+5)*(Timeline!$J$5:$J$305&gt;=AU$4+5)),SUMPRODUCT((INDEX(Timeline!$P$5:$AN$305,0,MATCH($A18,Timeline!$P$4:$AN$4,0))="x")*(Timeline!$K$5:$K$305="Task")*ISNUMBER(Timeline!$I$5:$I$305)*ISNUMBER(Timeline!$J$5:$J$305)*(Timeline!$I$5:$I$305&lt;=AU$4+6)*(Timeline!$J$5:$J$305&gt;=AU$4+6)))</f>
        <v>0</v>
      </c>
      <c r="AV18" s="67">
        <f>MAX(SUMPRODUCT((INDEX(Timeline!$P$5:$AN$305,0,MATCH($A18,Timeline!$P$4:$AN$4,0))="x")*(Timeline!$K$5:$K$305="Task")*ISNUMBER(Timeline!$I$5:$I$305)*ISNUMBER(Timeline!$J$5:$J$305)*(Timeline!$I$5:$I$305&lt;=AV$4+0)*(Timeline!$J$5:$J$305&gt;=AV$4+0)),SUMPRODUCT((INDEX(Timeline!$P$5:$AN$305,0,MATCH($A18,Timeline!$P$4:$AN$4,0))="x")*(Timeline!$K$5:$K$305="Task")*ISNUMBER(Timeline!$I$5:$I$305)*ISNUMBER(Timeline!$J$5:$J$305)*(Timeline!$I$5:$I$305&lt;=AV$4+1)*(Timeline!$J$5:$J$305&gt;=AV$4+1)),SUMPRODUCT((INDEX(Timeline!$P$5:$AN$305,0,MATCH($A18,Timeline!$P$4:$AN$4,0))="x")*(Timeline!$K$5:$K$305="Task")*ISNUMBER(Timeline!$I$5:$I$305)*ISNUMBER(Timeline!$J$5:$J$305)*(Timeline!$I$5:$I$305&lt;=AV$4+2)*(Timeline!$J$5:$J$305&gt;=AV$4+2)),SUMPRODUCT((INDEX(Timeline!$P$5:$AN$305,0,MATCH($A18,Timeline!$P$4:$AN$4,0))="x")*(Timeline!$K$5:$K$305="Task")*ISNUMBER(Timeline!$I$5:$I$305)*ISNUMBER(Timeline!$J$5:$J$305)*(Timeline!$I$5:$I$305&lt;=AV$4+3)*(Timeline!$J$5:$J$305&gt;=AV$4+3)),SUMPRODUCT((INDEX(Timeline!$P$5:$AN$305,0,MATCH($A18,Timeline!$P$4:$AN$4,0))="x")*(Timeline!$K$5:$K$305="Task")*ISNUMBER(Timeline!$I$5:$I$305)*ISNUMBER(Timeline!$J$5:$J$305)*(Timeline!$I$5:$I$305&lt;=AV$4+4)*(Timeline!$J$5:$J$305&gt;=AV$4+4)),SUMPRODUCT((INDEX(Timeline!$P$5:$AN$305,0,MATCH($A18,Timeline!$P$4:$AN$4,0))="x")*(Timeline!$K$5:$K$305="Task")*ISNUMBER(Timeline!$I$5:$I$305)*ISNUMBER(Timeline!$J$5:$J$305)*(Timeline!$I$5:$I$305&lt;=AV$4+5)*(Timeline!$J$5:$J$305&gt;=AV$4+5)),SUMPRODUCT((INDEX(Timeline!$P$5:$AN$305,0,MATCH($A18,Timeline!$P$4:$AN$4,0))="x")*(Timeline!$K$5:$K$305="Task")*ISNUMBER(Timeline!$I$5:$I$305)*ISNUMBER(Timeline!$J$5:$J$305)*(Timeline!$I$5:$I$305&lt;=AV$4+6)*(Timeline!$J$5:$J$305&gt;=AV$4+6)))</f>
        <v>0</v>
      </c>
      <c r="AW18" s="67">
        <f>MAX(SUMPRODUCT((INDEX(Timeline!$P$5:$AN$305,0,MATCH($A18,Timeline!$P$4:$AN$4,0))="x")*(Timeline!$K$5:$K$305="Task")*ISNUMBER(Timeline!$I$5:$I$305)*ISNUMBER(Timeline!$J$5:$J$305)*(Timeline!$I$5:$I$305&lt;=AW$4+0)*(Timeline!$J$5:$J$305&gt;=AW$4+0)),SUMPRODUCT((INDEX(Timeline!$P$5:$AN$305,0,MATCH($A18,Timeline!$P$4:$AN$4,0))="x")*(Timeline!$K$5:$K$305="Task")*ISNUMBER(Timeline!$I$5:$I$305)*ISNUMBER(Timeline!$J$5:$J$305)*(Timeline!$I$5:$I$305&lt;=AW$4+1)*(Timeline!$J$5:$J$305&gt;=AW$4+1)),SUMPRODUCT((INDEX(Timeline!$P$5:$AN$305,0,MATCH($A18,Timeline!$P$4:$AN$4,0))="x")*(Timeline!$K$5:$K$305="Task")*ISNUMBER(Timeline!$I$5:$I$305)*ISNUMBER(Timeline!$J$5:$J$305)*(Timeline!$I$5:$I$305&lt;=AW$4+2)*(Timeline!$J$5:$J$305&gt;=AW$4+2)),SUMPRODUCT((INDEX(Timeline!$P$5:$AN$305,0,MATCH($A18,Timeline!$P$4:$AN$4,0))="x")*(Timeline!$K$5:$K$305="Task")*ISNUMBER(Timeline!$I$5:$I$305)*ISNUMBER(Timeline!$J$5:$J$305)*(Timeline!$I$5:$I$305&lt;=AW$4+3)*(Timeline!$J$5:$J$305&gt;=AW$4+3)),SUMPRODUCT((INDEX(Timeline!$P$5:$AN$305,0,MATCH($A18,Timeline!$P$4:$AN$4,0))="x")*(Timeline!$K$5:$K$305="Task")*ISNUMBER(Timeline!$I$5:$I$305)*ISNUMBER(Timeline!$J$5:$J$305)*(Timeline!$I$5:$I$305&lt;=AW$4+4)*(Timeline!$J$5:$J$305&gt;=AW$4+4)),SUMPRODUCT((INDEX(Timeline!$P$5:$AN$305,0,MATCH($A18,Timeline!$P$4:$AN$4,0))="x")*(Timeline!$K$5:$K$305="Task")*ISNUMBER(Timeline!$I$5:$I$305)*ISNUMBER(Timeline!$J$5:$J$305)*(Timeline!$I$5:$I$305&lt;=AW$4+5)*(Timeline!$J$5:$J$305&gt;=AW$4+5)),SUMPRODUCT((INDEX(Timeline!$P$5:$AN$305,0,MATCH($A18,Timeline!$P$4:$AN$4,0))="x")*(Timeline!$K$5:$K$305="Task")*ISNUMBER(Timeline!$I$5:$I$305)*ISNUMBER(Timeline!$J$5:$J$305)*(Timeline!$I$5:$I$305&lt;=AW$4+6)*(Timeline!$J$5:$J$305&gt;=AW$4+6)))</f>
        <v>0</v>
      </c>
      <c r="AX18" s="67">
        <f>MAX(SUMPRODUCT((INDEX(Timeline!$P$5:$AN$305,0,MATCH($A18,Timeline!$P$4:$AN$4,0))="x")*(Timeline!$K$5:$K$305="Task")*ISNUMBER(Timeline!$I$5:$I$305)*ISNUMBER(Timeline!$J$5:$J$305)*(Timeline!$I$5:$I$305&lt;=AX$4+0)*(Timeline!$J$5:$J$305&gt;=AX$4+0)),SUMPRODUCT((INDEX(Timeline!$P$5:$AN$305,0,MATCH($A18,Timeline!$P$4:$AN$4,0))="x")*(Timeline!$K$5:$K$305="Task")*ISNUMBER(Timeline!$I$5:$I$305)*ISNUMBER(Timeline!$J$5:$J$305)*(Timeline!$I$5:$I$305&lt;=AX$4+1)*(Timeline!$J$5:$J$305&gt;=AX$4+1)),SUMPRODUCT((INDEX(Timeline!$P$5:$AN$305,0,MATCH($A18,Timeline!$P$4:$AN$4,0))="x")*(Timeline!$K$5:$K$305="Task")*ISNUMBER(Timeline!$I$5:$I$305)*ISNUMBER(Timeline!$J$5:$J$305)*(Timeline!$I$5:$I$305&lt;=AX$4+2)*(Timeline!$J$5:$J$305&gt;=AX$4+2)),SUMPRODUCT((INDEX(Timeline!$P$5:$AN$305,0,MATCH($A18,Timeline!$P$4:$AN$4,0))="x")*(Timeline!$K$5:$K$305="Task")*ISNUMBER(Timeline!$I$5:$I$305)*ISNUMBER(Timeline!$J$5:$J$305)*(Timeline!$I$5:$I$305&lt;=AX$4+3)*(Timeline!$J$5:$J$305&gt;=AX$4+3)),SUMPRODUCT((INDEX(Timeline!$P$5:$AN$305,0,MATCH($A18,Timeline!$P$4:$AN$4,0))="x")*(Timeline!$K$5:$K$305="Task")*ISNUMBER(Timeline!$I$5:$I$305)*ISNUMBER(Timeline!$J$5:$J$305)*(Timeline!$I$5:$I$305&lt;=AX$4+4)*(Timeline!$J$5:$J$305&gt;=AX$4+4)),SUMPRODUCT((INDEX(Timeline!$P$5:$AN$305,0,MATCH($A18,Timeline!$P$4:$AN$4,0))="x")*(Timeline!$K$5:$K$305="Task")*ISNUMBER(Timeline!$I$5:$I$305)*ISNUMBER(Timeline!$J$5:$J$305)*(Timeline!$I$5:$I$305&lt;=AX$4+5)*(Timeline!$J$5:$J$305&gt;=AX$4+5)),SUMPRODUCT((INDEX(Timeline!$P$5:$AN$305,0,MATCH($A18,Timeline!$P$4:$AN$4,0))="x")*(Timeline!$K$5:$K$305="Task")*ISNUMBER(Timeline!$I$5:$I$305)*ISNUMBER(Timeline!$J$5:$J$305)*(Timeline!$I$5:$I$305&lt;=AX$4+6)*(Timeline!$J$5:$J$305&gt;=AX$4+6)))</f>
        <v>0</v>
      </c>
      <c r="AY18" s="67">
        <f>MAX(SUMPRODUCT((INDEX(Timeline!$P$5:$AN$305,0,MATCH($A18,Timeline!$P$4:$AN$4,0))="x")*(Timeline!$K$5:$K$305="Task")*ISNUMBER(Timeline!$I$5:$I$305)*ISNUMBER(Timeline!$J$5:$J$305)*(Timeline!$I$5:$I$305&lt;=AY$4+0)*(Timeline!$J$5:$J$305&gt;=AY$4+0)),SUMPRODUCT((INDEX(Timeline!$P$5:$AN$305,0,MATCH($A18,Timeline!$P$4:$AN$4,0))="x")*(Timeline!$K$5:$K$305="Task")*ISNUMBER(Timeline!$I$5:$I$305)*ISNUMBER(Timeline!$J$5:$J$305)*(Timeline!$I$5:$I$305&lt;=AY$4+1)*(Timeline!$J$5:$J$305&gt;=AY$4+1)),SUMPRODUCT((INDEX(Timeline!$P$5:$AN$305,0,MATCH($A18,Timeline!$P$4:$AN$4,0))="x")*(Timeline!$K$5:$K$305="Task")*ISNUMBER(Timeline!$I$5:$I$305)*ISNUMBER(Timeline!$J$5:$J$305)*(Timeline!$I$5:$I$305&lt;=AY$4+2)*(Timeline!$J$5:$J$305&gt;=AY$4+2)),SUMPRODUCT((INDEX(Timeline!$P$5:$AN$305,0,MATCH($A18,Timeline!$P$4:$AN$4,0))="x")*(Timeline!$K$5:$K$305="Task")*ISNUMBER(Timeline!$I$5:$I$305)*ISNUMBER(Timeline!$J$5:$J$305)*(Timeline!$I$5:$I$305&lt;=AY$4+3)*(Timeline!$J$5:$J$305&gt;=AY$4+3)),SUMPRODUCT((INDEX(Timeline!$P$5:$AN$305,0,MATCH($A18,Timeline!$P$4:$AN$4,0))="x")*(Timeline!$K$5:$K$305="Task")*ISNUMBER(Timeline!$I$5:$I$305)*ISNUMBER(Timeline!$J$5:$J$305)*(Timeline!$I$5:$I$305&lt;=AY$4+4)*(Timeline!$J$5:$J$305&gt;=AY$4+4)),SUMPRODUCT((INDEX(Timeline!$P$5:$AN$305,0,MATCH($A18,Timeline!$P$4:$AN$4,0))="x")*(Timeline!$K$5:$K$305="Task")*ISNUMBER(Timeline!$I$5:$I$305)*ISNUMBER(Timeline!$J$5:$J$305)*(Timeline!$I$5:$I$305&lt;=AY$4+5)*(Timeline!$J$5:$J$305&gt;=AY$4+5)),SUMPRODUCT((INDEX(Timeline!$P$5:$AN$305,0,MATCH($A18,Timeline!$P$4:$AN$4,0))="x")*(Timeline!$K$5:$K$305="Task")*ISNUMBER(Timeline!$I$5:$I$305)*ISNUMBER(Timeline!$J$5:$J$305)*(Timeline!$I$5:$I$305&lt;=AY$4+6)*(Timeline!$J$5:$J$305&gt;=AY$4+6)))</f>
        <v>0</v>
      </c>
      <c r="AZ18" s="67">
        <f>MAX(SUMPRODUCT((INDEX(Timeline!$P$5:$AN$305,0,MATCH($A18,Timeline!$P$4:$AN$4,0))="x")*(Timeline!$K$5:$K$305="Task")*ISNUMBER(Timeline!$I$5:$I$305)*ISNUMBER(Timeline!$J$5:$J$305)*(Timeline!$I$5:$I$305&lt;=AZ$4+0)*(Timeline!$J$5:$J$305&gt;=AZ$4+0)),SUMPRODUCT((INDEX(Timeline!$P$5:$AN$305,0,MATCH($A18,Timeline!$P$4:$AN$4,0))="x")*(Timeline!$K$5:$K$305="Task")*ISNUMBER(Timeline!$I$5:$I$305)*ISNUMBER(Timeline!$J$5:$J$305)*(Timeline!$I$5:$I$305&lt;=AZ$4+1)*(Timeline!$J$5:$J$305&gt;=AZ$4+1)),SUMPRODUCT((INDEX(Timeline!$P$5:$AN$305,0,MATCH($A18,Timeline!$P$4:$AN$4,0))="x")*(Timeline!$K$5:$K$305="Task")*ISNUMBER(Timeline!$I$5:$I$305)*ISNUMBER(Timeline!$J$5:$J$305)*(Timeline!$I$5:$I$305&lt;=AZ$4+2)*(Timeline!$J$5:$J$305&gt;=AZ$4+2)),SUMPRODUCT((INDEX(Timeline!$P$5:$AN$305,0,MATCH($A18,Timeline!$P$4:$AN$4,0))="x")*(Timeline!$K$5:$K$305="Task")*ISNUMBER(Timeline!$I$5:$I$305)*ISNUMBER(Timeline!$J$5:$J$305)*(Timeline!$I$5:$I$305&lt;=AZ$4+3)*(Timeline!$J$5:$J$305&gt;=AZ$4+3)),SUMPRODUCT((INDEX(Timeline!$P$5:$AN$305,0,MATCH($A18,Timeline!$P$4:$AN$4,0))="x")*(Timeline!$K$5:$K$305="Task")*ISNUMBER(Timeline!$I$5:$I$305)*ISNUMBER(Timeline!$J$5:$J$305)*(Timeline!$I$5:$I$305&lt;=AZ$4+4)*(Timeline!$J$5:$J$305&gt;=AZ$4+4)),SUMPRODUCT((INDEX(Timeline!$P$5:$AN$305,0,MATCH($A18,Timeline!$P$4:$AN$4,0))="x")*(Timeline!$K$5:$K$305="Task")*ISNUMBER(Timeline!$I$5:$I$305)*ISNUMBER(Timeline!$J$5:$J$305)*(Timeline!$I$5:$I$305&lt;=AZ$4+5)*(Timeline!$J$5:$J$305&gt;=AZ$4+5)),SUMPRODUCT((INDEX(Timeline!$P$5:$AN$305,0,MATCH($A18,Timeline!$P$4:$AN$4,0))="x")*(Timeline!$K$5:$K$305="Task")*ISNUMBER(Timeline!$I$5:$I$305)*ISNUMBER(Timeline!$J$5:$J$305)*(Timeline!$I$5:$I$305&lt;=AZ$4+6)*(Timeline!$J$5:$J$305&gt;=AZ$4+6)))</f>
        <v>0</v>
      </c>
      <c r="BA18" s="67">
        <f>MAX(SUMPRODUCT((INDEX(Timeline!$P$5:$AN$305,0,MATCH($A18,Timeline!$P$4:$AN$4,0))="x")*(Timeline!$K$5:$K$305="Task")*ISNUMBER(Timeline!$I$5:$I$305)*ISNUMBER(Timeline!$J$5:$J$305)*(Timeline!$I$5:$I$305&lt;=BA$4+0)*(Timeline!$J$5:$J$305&gt;=BA$4+0)),SUMPRODUCT((INDEX(Timeline!$P$5:$AN$305,0,MATCH($A18,Timeline!$P$4:$AN$4,0))="x")*(Timeline!$K$5:$K$305="Task")*ISNUMBER(Timeline!$I$5:$I$305)*ISNUMBER(Timeline!$J$5:$J$305)*(Timeline!$I$5:$I$305&lt;=BA$4+1)*(Timeline!$J$5:$J$305&gt;=BA$4+1)),SUMPRODUCT((INDEX(Timeline!$P$5:$AN$305,0,MATCH($A18,Timeline!$P$4:$AN$4,0))="x")*(Timeline!$K$5:$K$305="Task")*ISNUMBER(Timeline!$I$5:$I$305)*ISNUMBER(Timeline!$J$5:$J$305)*(Timeline!$I$5:$I$305&lt;=BA$4+2)*(Timeline!$J$5:$J$305&gt;=BA$4+2)),SUMPRODUCT((INDEX(Timeline!$P$5:$AN$305,0,MATCH($A18,Timeline!$P$4:$AN$4,0))="x")*(Timeline!$K$5:$K$305="Task")*ISNUMBER(Timeline!$I$5:$I$305)*ISNUMBER(Timeline!$J$5:$J$305)*(Timeline!$I$5:$I$305&lt;=BA$4+3)*(Timeline!$J$5:$J$305&gt;=BA$4+3)),SUMPRODUCT((INDEX(Timeline!$P$5:$AN$305,0,MATCH($A18,Timeline!$P$4:$AN$4,0))="x")*(Timeline!$K$5:$K$305="Task")*ISNUMBER(Timeline!$I$5:$I$305)*ISNUMBER(Timeline!$J$5:$J$305)*(Timeline!$I$5:$I$305&lt;=BA$4+4)*(Timeline!$J$5:$J$305&gt;=BA$4+4)),SUMPRODUCT((INDEX(Timeline!$P$5:$AN$305,0,MATCH($A18,Timeline!$P$4:$AN$4,0))="x")*(Timeline!$K$5:$K$305="Task")*ISNUMBER(Timeline!$I$5:$I$305)*ISNUMBER(Timeline!$J$5:$J$305)*(Timeline!$I$5:$I$305&lt;=BA$4+5)*(Timeline!$J$5:$J$305&gt;=BA$4+5)),SUMPRODUCT((INDEX(Timeline!$P$5:$AN$305,0,MATCH($A18,Timeline!$P$4:$AN$4,0))="x")*(Timeline!$K$5:$K$305="Task")*ISNUMBER(Timeline!$I$5:$I$305)*ISNUMBER(Timeline!$J$5:$J$305)*(Timeline!$I$5:$I$305&lt;=BA$4+6)*(Timeline!$J$5:$J$305&gt;=BA$4+6)))</f>
        <v>0</v>
      </c>
    </row>
    <row r="19" spans="1:53" ht="15" customHeight="1">
      <c r="A19" s="66" t="s">
        <v>50</v>
      </c>
      <c r="B19" s="66" t="s">
        <v>15</v>
      </c>
      <c r="C19" s="67">
        <f>MAX(SUMPRODUCT((INDEX(Timeline!$P$5:$AN$305,0,MATCH($A19,Timeline!$P$4:$AN$4,0))="x")*(Timeline!$K$5:$K$305="Task")*ISNUMBER(Timeline!$I$5:$I$305)*ISNUMBER(Timeline!$J$5:$J$305)*(Timeline!$I$5:$I$305&lt;=C$4+0)*(Timeline!$J$5:$J$305&gt;=C$4+0)),SUMPRODUCT((INDEX(Timeline!$P$5:$AN$305,0,MATCH($A19,Timeline!$P$4:$AN$4,0))="x")*(Timeline!$K$5:$K$305="Task")*ISNUMBER(Timeline!$I$5:$I$305)*ISNUMBER(Timeline!$J$5:$J$305)*(Timeline!$I$5:$I$305&lt;=C$4+1)*(Timeline!$J$5:$J$305&gt;=C$4+1)),SUMPRODUCT((INDEX(Timeline!$P$5:$AN$305,0,MATCH($A19,Timeline!$P$4:$AN$4,0))="x")*(Timeline!$K$5:$K$305="Task")*ISNUMBER(Timeline!$I$5:$I$305)*ISNUMBER(Timeline!$J$5:$J$305)*(Timeline!$I$5:$I$305&lt;=C$4+2)*(Timeline!$J$5:$J$305&gt;=C$4+2)),SUMPRODUCT((INDEX(Timeline!$P$5:$AN$305,0,MATCH($A19,Timeline!$P$4:$AN$4,0))="x")*(Timeline!$K$5:$K$305="Task")*ISNUMBER(Timeline!$I$5:$I$305)*ISNUMBER(Timeline!$J$5:$J$305)*(Timeline!$I$5:$I$305&lt;=C$4+3)*(Timeline!$J$5:$J$305&gt;=C$4+3)),SUMPRODUCT((INDEX(Timeline!$P$5:$AN$305,0,MATCH($A19,Timeline!$P$4:$AN$4,0))="x")*(Timeline!$K$5:$K$305="Task")*ISNUMBER(Timeline!$I$5:$I$305)*ISNUMBER(Timeline!$J$5:$J$305)*(Timeline!$I$5:$I$305&lt;=C$4+4)*(Timeline!$J$5:$J$305&gt;=C$4+4)),SUMPRODUCT((INDEX(Timeline!$P$5:$AN$305,0,MATCH($A19,Timeline!$P$4:$AN$4,0))="x")*(Timeline!$K$5:$K$305="Task")*ISNUMBER(Timeline!$I$5:$I$305)*ISNUMBER(Timeline!$J$5:$J$305)*(Timeline!$I$5:$I$305&lt;=C$4+5)*(Timeline!$J$5:$J$305&gt;=C$4+5)),SUMPRODUCT((INDEX(Timeline!$P$5:$AN$305,0,MATCH($A19,Timeline!$P$4:$AN$4,0))="x")*(Timeline!$K$5:$K$305="Task")*ISNUMBER(Timeline!$I$5:$I$305)*ISNUMBER(Timeline!$J$5:$J$305)*(Timeline!$I$5:$I$305&lt;=C$4+6)*(Timeline!$J$5:$J$305&gt;=C$4+6)))</f>
        <v>0</v>
      </c>
      <c r="D19" s="67">
        <f>MAX(SUMPRODUCT((INDEX(Timeline!$P$5:$AN$305,0,MATCH($A19,Timeline!$P$4:$AN$4,0))="x")*(Timeline!$K$5:$K$305="Task")*ISNUMBER(Timeline!$I$5:$I$305)*ISNUMBER(Timeline!$J$5:$J$305)*(Timeline!$I$5:$I$305&lt;=D$4+0)*(Timeline!$J$5:$J$305&gt;=D$4+0)),SUMPRODUCT((INDEX(Timeline!$P$5:$AN$305,0,MATCH($A19,Timeline!$P$4:$AN$4,0))="x")*(Timeline!$K$5:$K$305="Task")*ISNUMBER(Timeline!$I$5:$I$305)*ISNUMBER(Timeline!$J$5:$J$305)*(Timeline!$I$5:$I$305&lt;=D$4+1)*(Timeline!$J$5:$J$305&gt;=D$4+1)),SUMPRODUCT((INDEX(Timeline!$P$5:$AN$305,0,MATCH($A19,Timeline!$P$4:$AN$4,0))="x")*(Timeline!$K$5:$K$305="Task")*ISNUMBER(Timeline!$I$5:$I$305)*ISNUMBER(Timeline!$J$5:$J$305)*(Timeline!$I$5:$I$305&lt;=D$4+2)*(Timeline!$J$5:$J$305&gt;=D$4+2)),SUMPRODUCT((INDEX(Timeline!$P$5:$AN$305,0,MATCH($A19,Timeline!$P$4:$AN$4,0))="x")*(Timeline!$K$5:$K$305="Task")*ISNUMBER(Timeline!$I$5:$I$305)*ISNUMBER(Timeline!$J$5:$J$305)*(Timeline!$I$5:$I$305&lt;=D$4+3)*(Timeline!$J$5:$J$305&gt;=D$4+3)),SUMPRODUCT((INDEX(Timeline!$P$5:$AN$305,0,MATCH($A19,Timeline!$P$4:$AN$4,0))="x")*(Timeline!$K$5:$K$305="Task")*ISNUMBER(Timeline!$I$5:$I$305)*ISNUMBER(Timeline!$J$5:$J$305)*(Timeline!$I$5:$I$305&lt;=D$4+4)*(Timeline!$J$5:$J$305&gt;=D$4+4)),SUMPRODUCT((INDEX(Timeline!$P$5:$AN$305,0,MATCH($A19,Timeline!$P$4:$AN$4,0))="x")*(Timeline!$K$5:$K$305="Task")*ISNUMBER(Timeline!$I$5:$I$305)*ISNUMBER(Timeline!$J$5:$J$305)*(Timeline!$I$5:$I$305&lt;=D$4+5)*(Timeline!$J$5:$J$305&gt;=D$4+5)),SUMPRODUCT((INDEX(Timeline!$P$5:$AN$305,0,MATCH($A19,Timeline!$P$4:$AN$4,0))="x")*(Timeline!$K$5:$K$305="Task")*ISNUMBER(Timeline!$I$5:$I$305)*ISNUMBER(Timeline!$J$5:$J$305)*(Timeline!$I$5:$I$305&lt;=D$4+6)*(Timeline!$J$5:$J$305&gt;=D$4+6)))</f>
        <v>0</v>
      </c>
      <c r="E19" s="67">
        <f>MAX(SUMPRODUCT((INDEX(Timeline!$P$5:$AN$305,0,MATCH($A19,Timeline!$P$4:$AN$4,0))="x")*(Timeline!$K$5:$K$305="Task")*ISNUMBER(Timeline!$I$5:$I$305)*ISNUMBER(Timeline!$J$5:$J$305)*(Timeline!$I$5:$I$305&lt;=E$4+0)*(Timeline!$J$5:$J$305&gt;=E$4+0)),SUMPRODUCT((INDEX(Timeline!$P$5:$AN$305,0,MATCH($A19,Timeline!$P$4:$AN$4,0))="x")*(Timeline!$K$5:$K$305="Task")*ISNUMBER(Timeline!$I$5:$I$305)*ISNUMBER(Timeline!$J$5:$J$305)*(Timeline!$I$5:$I$305&lt;=E$4+1)*(Timeline!$J$5:$J$305&gt;=E$4+1)),SUMPRODUCT((INDEX(Timeline!$P$5:$AN$305,0,MATCH($A19,Timeline!$P$4:$AN$4,0))="x")*(Timeline!$K$5:$K$305="Task")*ISNUMBER(Timeline!$I$5:$I$305)*ISNUMBER(Timeline!$J$5:$J$305)*(Timeline!$I$5:$I$305&lt;=E$4+2)*(Timeline!$J$5:$J$305&gt;=E$4+2)),SUMPRODUCT((INDEX(Timeline!$P$5:$AN$305,0,MATCH($A19,Timeline!$P$4:$AN$4,0))="x")*(Timeline!$K$5:$K$305="Task")*ISNUMBER(Timeline!$I$5:$I$305)*ISNUMBER(Timeline!$J$5:$J$305)*(Timeline!$I$5:$I$305&lt;=E$4+3)*(Timeline!$J$5:$J$305&gt;=E$4+3)),SUMPRODUCT((INDEX(Timeline!$P$5:$AN$305,0,MATCH($A19,Timeline!$P$4:$AN$4,0))="x")*(Timeline!$K$5:$K$305="Task")*ISNUMBER(Timeline!$I$5:$I$305)*ISNUMBER(Timeline!$J$5:$J$305)*(Timeline!$I$5:$I$305&lt;=E$4+4)*(Timeline!$J$5:$J$305&gt;=E$4+4)),SUMPRODUCT((INDEX(Timeline!$P$5:$AN$305,0,MATCH($A19,Timeline!$P$4:$AN$4,0))="x")*(Timeline!$K$5:$K$305="Task")*ISNUMBER(Timeline!$I$5:$I$305)*ISNUMBER(Timeline!$J$5:$J$305)*(Timeline!$I$5:$I$305&lt;=E$4+5)*(Timeline!$J$5:$J$305&gt;=E$4+5)),SUMPRODUCT((INDEX(Timeline!$P$5:$AN$305,0,MATCH($A19,Timeline!$P$4:$AN$4,0))="x")*(Timeline!$K$5:$K$305="Task")*ISNUMBER(Timeline!$I$5:$I$305)*ISNUMBER(Timeline!$J$5:$J$305)*(Timeline!$I$5:$I$305&lt;=E$4+6)*(Timeline!$J$5:$J$305&gt;=E$4+6)))</f>
        <v>0</v>
      </c>
      <c r="F19" s="67">
        <f>MAX(SUMPRODUCT((INDEX(Timeline!$P$5:$AN$305,0,MATCH($A19,Timeline!$P$4:$AN$4,0))="x")*(Timeline!$K$5:$K$305="Task")*ISNUMBER(Timeline!$I$5:$I$305)*ISNUMBER(Timeline!$J$5:$J$305)*(Timeline!$I$5:$I$305&lt;=F$4+0)*(Timeline!$J$5:$J$305&gt;=F$4+0)),SUMPRODUCT((INDEX(Timeline!$P$5:$AN$305,0,MATCH($A19,Timeline!$P$4:$AN$4,0))="x")*(Timeline!$K$5:$K$305="Task")*ISNUMBER(Timeline!$I$5:$I$305)*ISNUMBER(Timeline!$J$5:$J$305)*(Timeline!$I$5:$I$305&lt;=F$4+1)*(Timeline!$J$5:$J$305&gt;=F$4+1)),SUMPRODUCT((INDEX(Timeline!$P$5:$AN$305,0,MATCH($A19,Timeline!$P$4:$AN$4,0))="x")*(Timeline!$K$5:$K$305="Task")*ISNUMBER(Timeline!$I$5:$I$305)*ISNUMBER(Timeline!$J$5:$J$305)*(Timeline!$I$5:$I$305&lt;=F$4+2)*(Timeline!$J$5:$J$305&gt;=F$4+2)),SUMPRODUCT((INDEX(Timeline!$P$5:$AN$305,0,MATCH($A19,Timeline!$P$4:$AN$4,0))="x")*(Timeline!$K$5:$K$305="Task")*ISNUMBER(Timeline!$I$5:$I$305)*ISNUMBER(Timeline!$J$5:$J$305)*(Timeline!$I$5:$I$305&lt;=F$4+3)*(Timeline!$J$5:$J$305&gt;=F$4+3)),SUMPRODUCT((INDEX(Timeline!$P$5:$AN$305,0,MATCH($A19,Timeline!$P$4:$AN$4,0))="x")*(Timeline!$K$5:$K$305="Task")*ISNUMBER(Timeline!$I$5:$I$305)*ISNUMBER(Timeline!$J$5:$J$305)*(Timeline!$I$5:$I$305&lt;=F$4+4)*(Timeline!$J$5:$J$305&gt;=F$4+4)),SUMPRODUCT((INDEX(Timeline!$P$5:$AN$305,0,MATCH($A19,Timeline!$P$4:$AN$4,0))="x")*(Timeline!$K$5:$K$305="Task")*ISNUMBER(Timeline!$I$5:$I$305)*ISNUMBER(Timeline!$J$5:$J$305)*(Timeline!$I$5:$I$305&lt;=F$4+5)*(Timeline!$J$5:$J$305&gt;=F$4+5)),SUMPRODUCT((INDEX(Timeline!$P$5:$AN$305,0,MATCH($A19,Timeline!$P$4:$AN$4,0))="x")*(Timeline!$K$5:$K$305="Task")*ISNUMBER(Timeline!$I$5:$I$305)*ISNUMBER(Timeline!$J$5:$J$305)*(Timeline!$I$5:$I$305&lt;=F$4+6)*(Timeline!$J$5:$J$305&gt;=F$4+6)))</f>
        <v>1</v>
      </c>
      <c r="G19" s="67">
        <f>MAX(SUMPRODUCT((INDEX(Timeline!$P$5:$AN$305,0,MATCH($A19,Timeline!$P$4:$AN$4,0))="x")*(Timeline!$K$5:$K$305="Task")*ISNUMBER(Timeline!$I$5:$I$305)*ISNUMBER(Timeline!$J$5:$J$305)*(Timeline!$I$5:$I$305&lt;=G$4+0)*(Timeline!$J$5:$J$305&gt;=G$4+0)),SUMPRODUCT((INDEX(Timeline!$P$5:$AN$305,0,MATCH($A19,Timeline!$P$4:$AN$4,0))="x")*(Timeline!$K$5:$K$305="Task")*ISNUMBER(Timeline!$I$5:$I$305)*ISNUMBER(Timeline!$J$5:$J$305)*(Timeline!$I$5:$I$305&lt;=G$4+1)*(Timeline!$J$5:$J$305&gt;=G$4+1)),SUMPRODUCT((INDEX(Timeline!$P$5:$AN$305,0,MATCH($A19,Timeline!$P$4:$AN$4,0))="x")*(Timeline!$K$5:$K$305="Task")*ISNUMBER(Timeline!$I$5:$I$305)*ISNUMBER(Timeline!$J$5:$J$305)*(Timeline!$I$5:$I$305&lt;=G$4+2)*(Timeline!$J$5:$J$305&gt;=G$4+2)),SUMPRODUCT((INDEX(Timeline!$P$5:$AN$305,0,MATCH($A19,Timeline!$P$4:$AN$4,0))="x")*(Timeline!$K$5:$K$305="Task")*ISNUMBER(Timeline!$I$5:$I$305)*ISNUMBER(Timeline!$J$5:$J$305)*(Timeline!$I$5:$I$305&lt;=G$4+3)*(Timeline!$J$5:$J$305&gt;=G$4+3)),SUMPRODUCT((INDEX(Timeline!$P$5:$AN$305,0,MATCH($A19,Timeline!$P$4:$AN$4,0))="x")*(Timeline!$K$5:$K$305="Task")*ISNUMBER(Timeline!$I$5:$I$305)*ISNUMBER(Timeline!$J$5:$J$305)*(Timeline!$I$5:$I$305&lt;=G$4+4)*(Timeline!$J$5:$J$305&gt;=G$4+4)),SUMPRODUCT((INDEX(Timeline!$P$5:$AN$305,0,MATCH($A19,Timeline!$P$4:$AN$4,0))="x")*(Timeline!$K$5:$K$305="Task")*ISNUMBER(Timeline!$I$5:$I$305)*ISNUMBER(Timeline!$J$5:$J$305)*(Timeline!$I$5:$I$305&lt;=G$4+5)*(Timeline!$J$5:$J$305&gt;=G$4+5)),SUMPRODUCT((INDEX(Timeline!$P$5:$AN$305,0,MATCH($A19,Timeline!$P$4:$AN$4,0))="x")*(Timeline!$K$5:$K$305="Task")*ISNUMBER(Timeline!$I$5:$I$305)*ISNUMBER(Timeline!$J$5:$J$305)*(Timeline!$I$5:$I$305&lt;=G$4+6)*(Timeline!$J$5:$J$305&gt;=G$4+6)))</f>
        <v>1</v>
      </c>
      <c r="H19" s="67">
        <f>MAX(SUMPRODUCT((INDEX(Timeline!$P$5:$AN$305,0,MATCH($A19,Timeline!$P$4:$AN$4,0))="x")*(Timeline!$K$5:$K$305="Task")*ISNUMBER(Timeline!$I$5:$I$305)*ISNUMBER(Timeline!$J$5:$J$305)*(Timeline!$I$5:$I$305&lt;=H$4+0)*(Timeline!$J$5:$J$305&gt;=H$4+0)),SUMPRODUCT((INDEX(Timeline!$P$5:$AN$305,0,MATCH($A19,Timeline!$P$4:$AN$4,0))="x")*(Timeline!$K$5:$K$305="Task")*ISNUMBER(Timeline!$I$5:$I$305)*ISNUMBER(Timeline!$J$5:$J$305)*(Timeline!$I$5:$I$305&lt;=H$4+1)*(Timeline!$J$5:$J$305&gt;=H$4+1)),SUMPRODUCT((INDEX(Timeline!$P$5:$AN$305,0,MATCH($A19,Timeline!$P$4:$AN$4,0))="x")*(Timeline!$K$5:$K$305="Task")*ISNUMBER(Timeline!$I$5:$I$305)*ISNUMBER(Timeline!$J$5:$J$305)*(Timeline!$I$5:$I$305&lt;=H$4+2)*(Timeline!$J$5:$J$305&gt;=H$4+2)),SUMPRODUCT((INDEX(Timeline!$P$5:$AN$305,0,MATCH($A19,Timeline!$P$4:$AN$4,0))="x")*(Timeline!$K$5:$K$305="Task")*ISNUMBER(Timeline!$I$5:$I$305)*ISNUMBER(Timeline!$J$5:$J$305)*(Timeline!$I$5:$I$305&lt;=H$4+3)*(Timeline!$J$5:$J$305&gt;=H$4+3)),SUMPRODUCT((INDEX(Timeline!$P$5:$AN$305,0,MATCH($A19,Timeline!$P$4:$AN$4,0))="x")*(Timeline!$K$5:$K$305="Task")*ISNUMBER(Timeline!$I$5:$I$305)*ISNUMBER(Timeline!$J$5:$J$305)*(Timeline!$I$5:$I$305&lt;=H$4+4)*(Timeline!$J$5:$J$305&gt;=H$4+4)),SUMPRODUCT((INDEX(Timeline!$P$5:$AN$305,0,MATCH($A19,Timeline!$P$4:$AN$4,0))="x")*(Timeline!$K$5:$K$305="Task")*ISNUMBER(Timeline!$I$5:$I$305)*ISNUMBER(Timeline!$J$5:$J$305)*(Timeline!$I$5:$I$305&lt;=H$4+5)*(Timeline!$J$5:$J$305&gt;=H$4+5)),SUMPRODUCT((INDEX(Timeline!$P$5:$AN$305,0,MATCH($A19,Timeline!$P$4:$AN$4,0))="x")*(Timeline!$K$5:$K$305="Task")*ISNUMBER(Timeline!$I$5:$I$305)*ISNUMBER(Timeline!$J$5:$J$305)*(Timeline!$I$5:$I$305&lt;=H$4+6)*(Timeline!$J$5:$J$305&gt;=H$4+6)))</f>
        <v>1</v>
      </c>
      <c r="I19" s="67">
        <f>MAX(SUMPRODUCT((INDEX(Timeline!$P$5:$AN$305,0,MATCH($A19,Timeline!$P$4:$AN$4,0))="x")*(Timeline!$K$5:$K$305="Task")*ISNUMBER(Timeline!$I$5:$I$305)*ISNUMBER(Timeline!$J$5:$J$305)*(Timeline!$I$5:$I$305&lt;=I$4+0)*(Timeline!$J$5:$J$305&gt;=I$4+0)),SUMPRODUCT((INDEX(Timeline!$P$5:$AN$305,0,MATCH($A19,Timeline!$P$4:$AN$4,0))="x")*(Timeline!$K$5:$K$305="Task")*ISNUMBER(Timeline!$I$5:$I$305)*ISNUMBER(Timeline!$J$5:$J$305)*(Timeline!$I$5:$I$305&lt;=I$4+1)*(Timeline!$J$5:$J$305&gt;=I$4+1)),SUMPRODUCT((INDEX(Timeline!$P$5:$AN$305,0,MATCH($A19,Timeline!$P$4:$AN$4,0))="x")*(Timeline!$K$5:$K$305="Task")*ISNUMBER(Timeline!$I$5:$I$305)*ISNUMBER(Timeline!$J$5:$J$305)*(Timeline!$I$5:$I$305&lt;=I$4+2)*(Timeline!$J$5:$J$305&gt;=I$4+2)),SUMPRODUCT((INDEX(Timeline!$P$5:$AN$305,0,MATCH($A19,Timeline!$P$4:$AN$4,0))="x")*(Timeline!$K$5:$K$305="Task")*ISNUMBER(Timeline!$I$5:$I$305)*ISNUMBER(Timeline!$J$5:$J$305)*(Timeline!$I$5:$I$305&lt;=I$4+3)*(Timeline!$J$5:$J$305&gt;=I$4+3)),SUMPRODUCT((INDEX(Timeline!$P$5:$AN$305,0,MATCH($A19,Timeline!$P$4:$AN$4,0))="x")*(Timeline!$K$5:$K$305="Task")*ISNUMBER(Timeline!$I$5:$I$305)*ISNUMBER(Timeline!$J$5:$J$305)*(Timeline!$I$5:$I$305&lt;=I$4+4)*(Timeline!$J$5:$J$305&gt;=I$4+4)),SUMPRODUCT((INDEX(Timeline!$P$5:$AN$305,0,MATCH($A19,Timeline!$P$4:$AN$4,0))="x")*(Timeline!$K$5:$K$305="Task")*ISNUMBER(Timeline!$I$5:$I$305)*ISNUMBER(Timeline!$J$5:$J$305)*(Timeline!$I$5:$I$305&lt;=I$4+5)*(Timeline!$J$5:$J$305&gt;=I$4+5)),SUMPRODUCT((INDEX(Timeline!$P$5:$AN$305,0,MATCH($A19,Timeline!$P$4:$AN$4,0))="x")*(Timeline!$K$5:$K$305="Task")*ISNUMBER(Timeline!$I$5:$I$305)*ISNUMBER(Timeline!$J$5:$J$305)*(Timeline!$I$5:$I$305&lt;=I$4+6)*(Timeline!$J$5:$J$305&gt;=I$4+6)))</f>
        <v>1</v>
      </c>
      <c r="J19" s="67">
        <f>MAX(SUMPRODUCT((INDEX(Timeline!$P$5:$AN$305,0,MATCH($A19,Timeline!$P$4:$AN$4,0))="x")*(Timeline!$K$5:$K$305="Task")*ISNUMBER(Timeline!$I$5:$I$305)*ISNUMBER(Timeline!$J$5:$J$305)*(Timeline!$I$5:$I$305&lt;=J$4+0)*(Timeline!$J$5:$J$305&gt;=J$4+0)),SUMPRODUCT((INDEX(Timeline!$P$5:$AN$305,0,MATCH($A19,Timeline!$P$4:$AN$4,0))="x")*(Timeline!$K$5:$K$305="Task")*ISNUMBER(Timeline!$I$5:$I$305)*ISNUMBER(Timeline!$J$5:$J$305)*(Timeline!$I$5:$I$305&lt;=J$4+1)*(Timeline!$J$5:$J$305&gt;=J$4+1)),SUMPRODUCT((INDEX(Timeline!$P$5:$AN$305,0,MATCH($A19,Timeline!$P$4:$AN$4,0))="x")*(Timeline!$K$5:$K$305="Task")*ISNUMBER(Timeline!$I$5:$I$305)*ISNUMBER(Timeline!$J$5:$J$305)*(Timeline!$I$5:$I$305&lt;=J$4+2)*(Timeline!$J$5:$J$305&gt;=J$4+2)),SUMPRODUCT((INDEX(Timeline!$P$5:$AN$305,0,MATCH($A19,Timeline!$P$4:$AN$4,0))="x")*(Timeline!$K$5:$K$305="Task")*ISNUMBER(Timeline!$I$5:$I$305)*ISNUMBER(Timeline!$J$5:$J$305)*(Timeline!$I$5:$I$305&lt;=J$4+3)*(Timeline!$J$5:$J$305&gt;=J$4+3)),SUMPRODUCT((INDEX(Timeline!$P$5:$AN$305,0,MATCH($A19,Timeline!$P$4:$AN$4,0))="x")*(Timeline!$K$5:$K$305="Task")*ISNUMBER(Timeline!$I$5:$I$305)*ISNUMBER(Timeline!$J$5:$J$305)*(Timeline!$I$5:$I$305&lt;=J$4+4)*(Timeline!$J$5:$J$305&gt;=J$4+4)),SUMPRODUCT((INDEX(Timeline!$P$5:$AN$305,0,MATCH($A19,Timeline!$P$4:$AN$4,0))="x")*(Timeline!$K$5:$K$305="Task")*ISNUMBER(Timeline!$I$5:$I$305)*ISNUMBER(Timeline!$J$5:$J$305)*(Timeline!$I$5:$I$305&lt;=J$4+5)*(Timeline!$J$5:$J$305&gt;=J$4+5)),SUMPRODUCT((INDEX(Timeline!$P$5:$AN$305,0,MATCH($A19,Timeline!$P$4:$AN$4,0))="x")*(Timeline!$K$5:$K$305="Task")*ISNUMBER(Timeline!$I$5:$I$305)*ISNUMBER(Timeline!$J$5:$J$305)*(Timeline!$I$5:$I$305&lt;=J$4+6)*(Timeline!$J$5:$J$305&gt;=J$4+6)))</f>
        <v>1</v>
      </c>
      <c r="K19" s="67">
        <f>MAX(SUMPRODUCT((INDEX(Timeline!$P$5:$AN$305,0,MATCH($A19,Timeline!$P$4:$AN$4,0))="x")*(Timeline!$K$5:$K$305="Task")*ISNUMBER(Timeline!$I$5:$I$305)*ISNUMBER(Timeline!$J$5:$J$305)*(Timeline!$I$5:$I$305&lt;=K$4+0)*(Timeline!$J$5:$J$305&gt;=K$4+0)),SUMPRODUCT((INDEX(Timeline!$P$5:$AN$305,0,MATCH($A19,Timeline!$P$4:$AN$4,0))="x")*(Timeline!$K$5:$K$305="Task")*ISNUMBER(Timeline!$I$5:$I$305)*ISNUMBER(Timeline!$J$5:$J$305)*(Timeline!$I$5:$I$305&lt;=K$4+1)*(Timeline!$J$5:$J$305&gt;=K$4+1)),SUMPRODUCT((INDEX(Timeline!$P$5:$AN$305,0,MATCH($A19,Timeline!$P$4:$AN$4,0))="x")*(Timeline!$K$5:$K$305="Task")*ISNUMBER(Timeline!$I$5:$I$305)*ISNUMBER(Timeline!$J$5:$J$305)*(Timeline!$I$5:$I$305&lt;=K$4+2)*(Timeline!$J$5:$J$305&gt;=K$4+2)),SUMPRODUCT((INDEX(Timeline!$P$5:$AN$305,0,MATCH($A19,Timeline!$P$4:$AN$4,0))="x")*(Timeline!$K$5:$K$305="Task")*ISNUMBER(Timeline!$I$5:$I$305)*ISNUMBER(Timeline!$J$5:$J$305)*(Timeline!$I$5:$I$305&lt;=K$4+3)*(Timeline!$J$5:$J$305&gt;=K$4+3)),SUMPRODUCT((INDEX(Timeline!$P$5:$AN$305,0,MATCH($A19,Timeline!$P$4:$AN$4,0))="x")*(Timeline!$K$5:$K$305="Task")*ISNUMBER(Timeline!$I$5:$I$305)*ISNUMBER(Timeline!$J$5:$J$305)*(Timeline!$I$5:$I$305&lt;=K$4+4)*(Timeline!$J$5:$J$305&gt;=K$4+4)),SUMPRODUCT((INDEX(Timeline!$P$5:$AN$305,0,MATCH($A19,Timeline!$P$4:$AN$4,0))="x")*(Timeline!$K$5:$K$305="Task")*ISNUMBER(Timeline!$I$5:$I$305)*ISNUMBER(Timeline!$J$5:$J$305)*(Timeline!$I$5:$I$305&lt;=K$4+5)*(Timeline!$J$5:$J$305&gt;=K$4+5)),SUMPRODUCT((INDEX(Timeline!$P$5:$AN$305,0,MATCH($A19,Timeline!$P$4:$AN$4,0))="x")*(Timeline!$K$5:$K$305="Task")*ISNUMBER(Timeline!$I$5:$I$305)*ISNUMBER(Timeline!$J$5:$J$305)*(Timeline!$I$5:$I$305&lt;=K$4+6)*(Timeline!$J$5:$J$305&gt;=K$4+6)))</f>
        <v>1</v>
      </c>
      <c r="L19" s="67">
        <f>MAX(SUMPRODUCT((INDEX(Timeline!$P$5:$AN$305,0,MATCH($A19,Timeline!$P$4:$AN$4,0))="x")*(Timeline!$K$5:$K$305="Task")*ISNUMBER(Timeline!$I$5:$I$305)*ISNUMBER(Timeline!$J$5:$J$305)*(Timeline!$I$5:$I$305&lt;=L$4+0)*(Timeline!$J$5:$J$305&gt;=L$4+0)),SUMPRODUCT((INDEX(Timeline!$P$5:$AN$305,0,MATCH($A19,Timeline!$P$4:$AN$4,0))="x")*(Timeline!$K$5:$K$305="Task")*ISNUMBER(Timeline!$I$5:$I$305)*ISNUMBER(Timeline!$J$5:$J$305)*(Timeline!$I$5:$I$305&lt;=L$4+1)*(Timeline!$J$5:$J$305&gt;=L$4+1)),SUMPRODUCT((INDEX(Timeline!$P$5:$AN$305,0,MATCH($A19,Timeline!$P$4:$AN$4,0))="x")*(Timeline!$K$5:$K$305="Task")*ISNUMBER(Timeline!$I$5:$I$305)*ISNUMBER(Timeline!$J$5:$J$305)*(Timeline!$I$5:$I$305&lt;=L$4+2)*(Timeline!$J$5:$J$305&gt;=L$4+2)),SUMPRODUCT((INDEX(Timeline!$P$5:$AN$305,0,MATCH($A19,Timeline!$P$4:$AN$4,0))="x")*(Timeline!$K$5:$K$305="Task")*ISNUMBER(Timeline!$I$5:$I$305)*ISNUMBER(Timeline!$J$5:$J$305)*(Timeline!$I$5:$I$305&lt;=L$4+3)*(Timeline!$J$5:$J$305&gt;=L$4+3)),SUMPRODUCT((INDEX(Timeline!$P$5:$AN$305,0,MATCH($A19,Timeline!$P$4:$AN$4,0))="x")*(Timeline!$K$5:$K$305="Task")*ISNUMBER(Timeline!$I$5:$I$305)*ISNUMBER(Timeline!$J$5:$J$305)*(Timeline!$I$5:$I$305&lt;=L$4+4)*(Timeline!$J$5:$J$305&gt;=L$4+4)),SUMPRODUCT((INDEX(Timeline!$P$5:$AN$305,0,MATCH($A19,Timeline!$P$4:$AN$4,0))="x")*(Timeline!$K$5:$K$305="Task")*ISNUMBER(Timeline!$I$5:$I$305)*ISNUMBER(Timeline!$J$5:$J$305)*(Timeline!$I$5:$I$305&lt;=L$4+5)*(Timeline!$J$5:$J$305&gt;=L$4+5)),SUMPRODUCT((INDEX(Timeline!$P$5:$AN$305,0,MATCH($A19,Timeline!$P$4:$AN$4,0))="x")*(Timeline!$K$5:$K$305="Task")*ISNUMBER(Timeline!$I$5:$I$305)*ISNUMBER(Timeline!$J$5:$J$305)*(Timeline!$I$5:$I$305&lt;=L$4+6)*(Timeline!$J$5:$J$305&gt;=L$4+6)))</f>
        <v>0</v>
      </c>
      <c r="M19" s="67">
        <f>MAX(SUMPRODUCT((INDEX(Timeline!$P$5:$AN$305,0,MATCH($A19,Timeline!$P$4:$AN$4,0))="x")*(Timeline!$K$5:$K$305="Task")*ISNUMBER(Timeline!$I$5:$I$305)*ISNUMBER(Timeline!$J$5:$J$305)*(Timeline!$I$5:$I$305&lt;=M$4+0)*(Timeline!$J$5:$J$305&gt;=M$4+0)),SUMPRODUCT((INDEX(Timeline!$P$5:$AN$305,0,MATCH($A19,Timeline!$P$4:$AN$4,0))="x")*(Timeline!$K$5:$K$305="Task")*ISNUMBER(Timeline!$I$5:$I$305)*ISNUMBER(Timeline!$J$5:$J$305)*(Timeline!$I$5:$I$305&lt;=M$4+1)*(Timeline!$J$5:$J$305&gt;=M$4+1)),SUMPRODUCT((INDEX(Timeline!$P$5:$AN$305,0,MATCH($A19,Timeline!$P$4:$AN$4,0))="x")*(Timeline!$K$5:$K$305="Task")*ISNUMBER(Timeline!$I$5:$I$305)*ISNUMBER(Timeline!$J$5:$J$305)*(Timeline!$I$5:$I$305&lt;=M$4+2)*(Timeline!$J$5:$J$305&gt;=M$4+2)),SUMPRODUCT((INDEX(Timeline!$P$5:$AN$305,0,MATCH($A19,Timeline!$P$4:$AN$4,0))="x")*(Timeline!$K$5:$K$305="Task")*ISNUMBER(Timeline!$I$5:$I$305)*ISNUMBER(Timeline!$J$5:$J$305)*(Timeline!$I$5:$I$305&lt;=M$4+3)*(Timeline!$J$5:$J$305&gt;=M$4+3)),SUMPRODUCT((INDEX(Timeline!$P$5:$AN$305,0,MATCH($A19,Timeline!$P$4:$AN$4,0))="x")*(Timeline!$K$5:$K$305="Task")*ISNUMBER(Timeline!$I$5:$I$305)*ISNUMBER(Timeline!$J$5:$J$305)*(Timeline!$I$5:$I$305&lt;=M$4+4)*(Timeline!$J$5:$J$305&gt;=M$4+4)),SUMPRODUCT((INDEX(Timeline!$P$5:$AN$305,0,MATCH($A19,Timeline!$P$4:$AN$4,0))="x")*(Timeline!$K$5:$K$305="Task")*ISNUMBER(Timeline!$I$5:$I$305)*ISNUMBER(Timeline!$J$5:$J$305)*(Timeline!$I$5:$I$305&lt;=M$4+5)*(Timeline!$J$5:$J$305&gt;=M$4+5)),SUMPRODUCT((INDEX(Timeline!$P$5:$AN$305,0,MATCH($A19,Timeline!$P$4:$AN$4,0))="x")*(Timeline!$K$5:$K$305="Task")*ISNUMBER(Timeline!$I$5:$I$305)*ISNUMBER(Timeline!$J$5:$J$305)*(Timeline!$I$5:$I$305&lt;=M$4+6)*(Timeline!$J$5:$J$305&gt;=M$4+6)))</f>
        <v>1</v>
      </c>
      <c r="N19" s="67">
        <f>MAX(SUMPRODUCT((INDEX(Timeline!$P$5:$AN$305,0,MATCH($A19,Timeline!$P$4:$AN$4,0))="x")*(Timeline!$K$5:$K$305="Task")*ISNUMBER(Timeline!$I$5:$I$305)*ISNUMBER(Timeline!$J$5:$J$305)*(Timeline!$I$5:$I$305&lt;=N$4+0)*(Timeline!$J$5:$J$305&gt;=N$4+0)),SUMPRODUCT((INDEX(Timeline!$P$5:$AN$305,0,MATCH($A19,Timeline!$P$4:$AN$4,0))="x")*(Timeline!$K$5:$K$305="Task")*ISNUMBER(Timeline!$I$5:$I$305)*ISNUMBER(Timeline!$J$5:$J$305)*(Timeline!$I$5:$I$305&lt;=N$4+1)*(Timeline!$J$5:$J$305&gt;=N$4+1)),SUMPRODUCT((INDEX(Timeline!$P$5:$AN$305,0,MATCH($A19,Timeline!$P$4:$AN$4,0))="x")*(Timeline!$K$5:$K$305="Task")*ISNUMBER(Timeline!$I$5:$I$305)*ISNUMBER(Timeline!$J$5:$J$305)*(Timeline!$I$5:$I$305&lt;=N$4+2)*(Timeline!$J$5:$J$305&gt;=N$4+2)),SUMPRODUCT((INDEX(Timeline!$P$5:$AN$305,0,MATCH($A19,Timeline!$P$4:$AN$4,0))="x")*(Timeline!$K$5:$K$305="Task")*ISNUMBER(Timeline!$I$5:$I$305)*ISNUMBER(Timeline!$J$5:$J$305)*(Timeline!$I$5:$I$305&lt;=N$4+3)*(Timeline!$J$5:$J$305&gt;=N$4+3)),SUMPRODUCT((INDEX(Timeline!$P$5:$AN$305,0,MATCH($A19,Timeline!$P$4:$AN$4,0))="x")*(Timeline!$K$5:$K$305="Task")*ISNUMBER(Timeline!$I$5:$I$305)*ISNUMBER(Timeline!$J$5:$J$305)*(Timeline!$I$5:$I$305&lt;=N$4+4)*(Timeline!$J$5:$J$305&gt;=N$4+4)),SUMPRODUCT((INDEX(Timeline!$P$5:$AN$305,0,MATCH($A19,Timeline!$P$4:$AN$4,0))="x")*(Timeline!$K$5:$K$305="Task")*ISNUMBER(Timeline!$I$5:$I$305)*ISNUMBER(Timeline!$J$5:$J$305)*(Timeline!$I$5:$I$305&lt;=N$4+5)*(Timeline!$J$5:$J$305&gt;=N$4+5)),SUMPRODUCT((INDEX(Timeline!$P$5:$AN$305,0,MATCH($A19,Timeline!$P$4:$AN$4,0))="x")*(Timeline!$K$5:$K$305="Task")*ISNUMBER(Timeline!$I$5:$I$305)*ISNUMBER(Timeline!$J$5:$J$305)*(Timeline!$I$5:$I$305&lt;=N$4+6)*(Timeline!$J$5:$J$305&gt;=N$4+6)))</f>
        <v>1</v>
      </c>
      <c r="O19" s="67">
        <f>MAX(SUMPRODUCT((INDEX(Timeline!$P$5:$AN$305,0,MATCH($A19,Timeline!$P$4:$AN$4,0))="x")*(Timeline!$K$5:$K$305="Task")*ISNUMBER(Timeline!$I$5:$I$305)*ISNUMBER(Timeline!$J$5:$J$305)*(Timeline!$I$5:$I$305&lt;=O$4+0)*(Timeline!$J$5:$J$305&gt;=O$4+0)),SUMPRODUCT((INDEX(Timeline!$P$5:$AN$305,0,MATCH($A19,Timeline!$P$4:$AN$4,0))="x")*(Timeline!$K$5:$K$305="Task")*ISNUMBER(Timeline!$I$5:$I$305)*ISNUMBER(Timeline!$J$5:$J$305)*(Timeline!$I$5:$I$305&lt;=O$4+1)*(Timeline!$J$5:$J$305&gt;=O$4+1)),SUMPRODUCT((INDEX(Timeline!$P$5:$AN$305,0,MATCH($A19,Timeline!$P$4:$AN$4,0))="x")*(Timeline!$K$5:$K$305="Task")*ISNUMBER(Timeline!$I$5:$I$305)*ISNUMBER(Timeline!$J$5:$J$305)*(Timeline!$I$5:$I$305&lt;=O$4+2)*(Timeline!$J$5:$J$305&gt;=O$4+2)),SUMPRODUCT((INDEX(Timeline!$P$5:$AN$305,0,MATCH($A19,Timeline!$P$4:$AN$4,0))="x")*(Timeline!$K$5:$K$305="Task")*ISNUMBER(Timeline!$I$5:$I$305)*ISNUMBER(Timeline!$J$5:$J$305)*(Timeline!$I$5:$I$305&lt;=O$4+3)*(Timeline!$J$5:$J$305&gt;=O$4+3)),SUMPRODUCT((INDEX(Timeline!$P$5:$AN$305,0,MATCH($A19,Timeline!$P$4:$AN$4,0))="x")*(Timeline!$K$5:$K$305="Task")*ISNUMBER(Timeline!$I$5:$I$305)*ISNUMBER(Timeline!$J$5:$J$305)*(Timeline!$I$5:$I$305&lt;=O$4+4)*(Timeline!$J$5:$J$305&gt;=O$4+4)),SUMPRODUCT((INDEX(Timeline!$P$5:$AN$305,0,MATCH($A19,Timeline!$P$4:$AN$4,0))="x")*(Timeline!$K$5:$K$305="Task")*ISNUMBER(Timeline!$I$5:$I$305)*ISNUMBER(Timeline!$J$5:$J$305)*(Timeline!$I$5:$I$305&lt;=O$4+5)*(Timeline!$J$5:$J$305&gt;=O$4+5)),SUMPRODUCT((INDEX(Timeline!$P$5:$AN$305,0,MATCH($A19,Timeline!$P$4:$AN$4,0))="x")*(Timeline!$K$5:$K$305="Task")*ISNUMBER(Timeline!$I$5:$I$305)*ISNUMBER(Timeline!$J$5:$J$305)*(Timeline!$I$5:$I$305&lt;=O$4+6)*(Timeline!$J$5:$J$305&gt;=O$4+6)))</f>
        <v>1</v>
      </c>
      <c r="P19" s="67">
        <f>MAX(SUMPRODUCT((INDEX(Timeline!$P$5:$AN$305,0,MATCH($A19,Timeline!$P$4:$AN$4,0))="x")*(Timeline!$K$5:$K$305="Task")*ISNUMBER(Timeline!$I$5:$I$305)*ISNUMBER(Timeline!$J$5:$J$305)*(Timeline!$I$5:$I$305&lt;=P$4+0)*(Timeline!$J$5:$J$305&gt;=P$4+0)),SUMPRODUCT((INDEX(Timeline!$P$5:$AN$305,0,MATCH($A19,Timeline!$P$4:$AN$4,0))="x")*(Timeline!$K$5:$K$305="Task")*ISNUMBER(Timeline!$I$5:$I$305)*ISNUMBER(Timeline!$J$5:$J$305)*(Timeline!$I$5:$I$305&lt;=P$4+1)*(Timeline!$J$5:$J$305&gt;=P$4+1)),SUMPRODUCT((INDEX(Timeline!$P$5:$AN$305,0,MATCH($A19,Timeline!$P$4:$AN$4,0))="x")*(Timeline!$K$5:$K$305="Task")*ISNUMBER(Timeline!$I$5:$I$305)*ISNUMBER(Timeline!$J$5:$J$305)*(Timeline!$I$5:$I$305&lt;=P$4+2)*(Timeline!$J$5:$J$305&gt;=P$4+2)),SUMPRODUCT((INDEX(Timeline!$P$5:$AN$305,0,MATCH($A19,Timeline!$P$4:$AN$4,0))="x")*(Timeline!$K$5:$K$305="Task")*ISNUMBER(Timeline!$I$5:$I$305)*ISNUMBER(Timeline!$J$5:$J$305)*(Timeline!$I$5:$I$305&lt;=P$4+3)*(Timeline!$J$5:$J$305&gt;=P$4+3)),SUMPRODUCT((INDEX(Timeline!$P$5:$AN$305,0,MATCH($A19,Timeline!$P$4:$AN$4,0))="x")*(Timeline!$K$5:$K$305="Task")*ISNUMBER(Timeline!$I$5:$I$305)*ISNUMBER(Timeline!$J$5:$J$305)*(Timeline!$I$5:$I$305&lt;=P$4+4)*(Timeline!$J$5:$J$305&gt;=P$4+4)),SUMPRODUCT((INDEX(Timeline!$P$5:$AN$305,0,MATCH($A19,Timeline!$P$4:$AN$4,0))="x")*(Timeline!$K$5:$K$305="Task")*ISNUMBER(Timeline!$I$5:$I$305)*ISNUMBER(Timeline!$J$5:$J$305)*(Timeline!$I$5:$I$305&lt;=P$4+5)*(Timeline!$J$5:$J$305&gt;=P$4+5)),SUMPRODUCT((INDEX(Timeline!$P$5:$AN$305,0,MATCH($A19,Timeline!$P$4:$AN$4,0))="x")*(Timeline!$K$5:$K$305="Task")*ISNUMBER(Timeline!$I$5:$I$305)*ISNUMBER(Timeline!$J$5:$J$305)*(Timeline!$I$5:$I$305&lt;=P$4+6)*(Timeline!$J$5:$J$305&gt;=P$4+6)))</f>
        <v>1</v>
      </c>
      <c r="Q19" s="67">
        <f>MAX(SUMPRODUCT((INDEX(Timeline!$P$5:$AN$305,0,MATCH($A19,Timeline!$P$4:$AN$4,0))="x")*(Timeline!$K$5:$K$305="Task")*ISNUMBER(Timeline!$I$5:$I$305)*ISNUMBER(Timeline!$J$5:$J$305)*(Timeline!$I$5:$I$305&lt;=Q$4+0)*(Timeline!$J$5:$J$305&gt;=Q$4+0)),SUMPRODUCT((INDEX(Timeline!$P$5:$AN$305,0,MATCH($A19,Timeline!$P$4:$AN$4,0))="x")*(Timeline!$K$5:$K$305="Task")*ISNUMBER(Timeline!$I$5:$I$305)*ISNUMBER(Timeline!$J$5:$J$305)*(Timeline!$I$5:$I$305&lt;=Q$4+1)*(Timeline!$J$5:$J$305&gt;=Q$4+1)),SUMPRODUCT((INDEX(Timeline!$P$5:$AN$305,0,MATCH($A19,Timeline!$P$4:$AN$4,0))="x")*(Timeline!$K$5:$K$305="Task")*ISNUMBER(Timeline!$I$5:$I$305)*ISNUMBER(Timeline!$J$5:$J$305)*(Timeline!$I$5:$I$305&lt;=Q$4+2)*(Timeline!$J$5:$J$305&gt;=Q$4+2)),SUMPRODUCT((INDEX(Timeline!$P$5:$AN$305,0,MATCH($A19,Timeline!$P$4:$AN$4,0))="x")*(Timeline!$K$5:$K$305="Task")*ISNUMBER(Timeline!$I$5:$I$305)*ISNUMBER(Timeline!$J$5:$J$305)*(Timeline!$I$5:$I$305&lt;=Q$4+3)*(Timeline!$J$5:$J$305&gt;=Q$4+3)),SUMPRODUCT((INDEX(Timeline!$P$5:$AN$305,0,MATCH($A19,Timeline!$P$4:$AN$4,0))="x")*(Timeline!$K$5:$K$305="Task")*ISNUMBER(Timeline!$I$5:$I$305)*ISNUMBER(Timeline!$J$5:$J$305)*(Timeline!$I$5:$I$305&lt;=Q$4+4)*(Timeline!$J$5:$J$305&gt;=Q$4+4)),SUMPRODUCT((INDEX(Timeline!$P$5:$AN$305,0,MATCH($A19,Timeline!$P$4:$AN$4,0))="x")*(Timeline!$K$5:$K$305="Task")*ISNUMBER(Timeline!$I$5:$I$305)*ISNUMBER(Timeline!$J$5:$J$305)*(Timeline!$I$5:$I$305&lt;=Q$4+5)*(Timeline!$J$5:$J$305&gt;=Q$4+5)),SUMPRODUCT((INDEX(Timeline!$P$5:$AN$305,0,MATCH($A19,Timeline!$P$4:$AN$4,0))="x")*(Timeline!$K$5:$K$305="Task")*ISNUMBER(Timeline!$I$5:$I$305)*ISNUMBER(Timeline!$J$5:$J$305)*(Timeline!$I$5:$I$305&lt;=Q$4+6)*(Timeline!$J$5:$J$305&gt;=Q$4+6)))</f>
        <v>1</v>
      </c>
      <c r="R19" s="67">
        <f>MAX(SUMPRODUCT((INDEX(Timeline!$P$5:$AN$305,0,MATCH($A19,Timeline!$P$4:$AN$4,0))="x")*(Timeline!$K$5:$K$305="Task")*ISNUMBER(Timeline!$I$5:$I$305)*ISNUMBER(Timeline!$J$5:$J$305)*(Timeline!$I$5:$I$305&lt;=R$4+0)*(Timeline!$J$5:$J$305&gt;=R$4+0)),SUMPRODUCT((INDEX(Timeline!$P$5:$AN$305,0,MATCH($A19,Timeline!$P$4:$AN$4,0))="x")*(Timeline!$K$5:$K$305="Task")*ISNUMBER(Timeline!$I$5:$I$305)*ISNUMBER(Timeline!$J$5:$J$305)*(Timeline!$I$5:$I$305&lt;=R$4+1)*(Timeline!$J$5:$J$305&gt;=R$4+1)),SUMPRODUCT((INDEX(Timeline!$P$5:$AN$305,0,MATCH($A19,Timeline!$P$4:$AN$4,0))="x")*(Timeline!$K$5:$K$305="Task")*ISNUMBER(Timeline!$I$5:$I$305)*ISNUMBER(Timeline!$J$5:$J$305)*(Timeline!$I$5:$I$305&lt;=R$4+2)*(Timeline!$J$5:$J$305&gt;=R$4+2)),SUMPRODUCT((INDEX(Timeline!$P$5:$AN$305,0,MATCH($A19,Timeline!$P$4:$AN$4,0))="x")*(Timeline!$K$5:$K$305="Task")*ISNUMBER(Timeline!$I$5:$I$305)*ISNUMBER(Timeline!$J$5:$J$305)*(Timeline!$I$5:$I$305&lt;=R$4+3)*(Timeline!$J$5:$J$305&gt;=R$4+3)),SUMPRODUCT((INDEX(Timeline!$P$5:$AN$305,0,MATCH($A19,Timeline!$P$4:$AN$4,0))="x")*(Timeline!$K$5:$K$305="Task")*ISNUMBER(Timeline!$I$5:$I$305)*ISNUMBER(Timeline!$J$5:$J$305)*(Timeline!$I$5:$I$305&lt;=R$4+4)*(Timeline!$J$5:$J$305&gt;=R$4+4)),SUMPRODUCT((INDEX(Timeline!$P$5:$AN$305,0,MATCH($A19,Timeline!$P$4:$AN$4,0))="x")*(Timeline!$K$5:$K$305="Task")*ISNUMBER(Timeline!$I$5:$I$305)*ISNUMBER(Timeline!$J$5:$J$305)*(Timeline!$I$5:$I$305&lt;=R$4+5)*(Timeline!$J$5:$J$305&gt;=R$4+5)),SUMPRODUCT((INDEX(Timeline!$P$5:$AN$305,0,MATCH($A19,Timeline!$P$4:$AN$4,0))="x")*(Timeline!$K$5:$K$305="Task")*ISNUMBER(Timeline!$I$5:$I$305)*ISNUMBER(Timeline!$J$5:$J$305)*(Timeline!$I$5:$I$305&lt;=R$4+6)*(Timeline!$J$5:$J$305&gt;=R$4+6)))</f>
        <v>1</v>
      </c>
      <c r="S19" s="67">
        <f>MAX(SUMPRODUCT((INDEX(Timeline!$P$5:$AN$305,0,MATCH($A19,Timeline!$P$4:$AN$4,0))="x")*(Timeline!$K$5:$K$305="Task")*ISNUMBER(Timeline!$I$5:$I$305)*ISNUMBER(Timeline!$J$5:$J$305)*(Timeline!$I$5:$I$305&lt;=S$4+0)*(Timeline!$J$5:$J$305&gt;=S$4+0)),SUMPRODUCT((INDEX(Timeline!$P$5:$AN$305,0,MATCH($A19,Timeline!$P$4:$AN$4,0))="x")*(Timeline!$K$5:$K$305="Task")*ISNUMBER(Timeline!$I$5:$I$305)*ISNUMBER(Timeline!$J$5:$J$305)*(Timeline!$I$5:$I$305&lt;=S$4+1)*(Timeline!$J$5:$J$305&gt;=S$4+1)),SUMPRODUCT((INDEX(Timeline!$P$5:$AN$305,0,MATCH($A19,Timeline!$P$4:$AN$4,0))="x")*(Timeline!$K$5:$K$305="Task")*ISNUMBER(Timeline!$I$5:$I$305)*ISNUMBER(Timeline!$J$5:$J$305)*(Timeline!$I$5:$I$305&lt;=S$4+2)*(Timeline!$J$5:$J$305&gt;=S$4+2)),SUMPRODUCT((INDEX(Timeline!$P$5:$AN$305,0,MATCH($A19,Timeline!$P$4:$AN$4,0))="x")*(Timeline!$K$5:$K$305="Task")*ISNUMBER(Timeline!$I$5:$I$305)*ISNUMBER(Timeline!$J$5:$J$305)*(Timeline!$I$5:$I$305&lt;=S$4+3)*(Timeline!$J$5:$J$305&gt;=S$4+3)),SUMPRODUCT((INDEX(Timeline!$P$5:$AN$305,0,MATCH($A19,Timeline!$P$4:$AN$4,0))="x")*(Timeline!$K$5:$K$305="Task")*ISNUMBER(Timeline!$I$5:$I$305)*ISNUMBER(Timeline!$J$5:$J$305)*(Timeline!$I$5:$I$305&lt;=S$4+4)*(Timeline!$J$5:$J$305&gt;=S$4+4)),SUMPRODUCT((INDEX(Timeline!$P$5:$AN$305,0,MATCH($A19,Timeline!$P$4:$AN$4,0))="x")*(Timeline!$K$5:$K$305="Task")*ISNUMBER(Timeline!$I$5:$I$305)*ISNUMBER(Timeline!$J$5:$J$305)*(Timeline!$I$5:$I$305&lt;=S$4+5)*(Timeline!$J$5:$J$305&gt;=S$4+5)),SUMPRODUCT((INDEX(Timeline!$P$5:$AN$305,0,MATCH($A19,Timeline!$P$4:$AN$4,0))="x")*(Timeline!$K$5:$K$305="Task")*ISNUMBER(Timeline!$I$5:$I$305)*ISNUMBER(Timeline!$J$5:$J$305)*(Timeline!$I$5:$I$305&lt;=S$4+6)*(Timeline!$J$5:$J$305&gt;=S$4+6)))</f>
        <v>1</v>
      </c>
      <c r="T19" s="67">
        <f>MAX(SUMPRODUCT((INDEX(Timeline!$P$5:$AN$305,0,MATCH($A19,Timeline!$P$4:$AN$4,0))="x")*(Timeline!$K$5:$K$305="Task")*ISNUMBER(Timeline!$I$5:$I$305)*ISNUMBER(Timeline!$J$5:$J$305)*(Timeline!$I$5:$I$305&lt;=T$4+0)*(Timeline!$J$5:$J$305&gt;=T$4+0)),SUMPRODUCT((INDEX(Timeline!$P$5:$AN$305,0,MATCH($A19,Timeline!$P$4:$AN$4,0))="x")*(Timeline!$K$5:$K$305="Task")*ISNUMBER(Timeline!$I$5:$I$305)*ISNUMBER(Timeline!$J$5:$J$305)*(Timeline!$I$5:$I$305&lt;=T$4+1)*(Timeline!$J$5:$J$305&gt;=T$4+1)),SUMPRODUCT((INDEX(Timeline!$P$5:$AN$305,0,MATCH($A19,Timeline!$P$4:$AN$4,0))="x")*(Timeline!$K$5:$K$305="Task")*ISNUMBER(Timeline!$I$5:$I$305)*ISNUMBER(Timeline!$J$5:$J$305)*(Timeline!$I$5:$I$305&lt;=T$4+2)*(Timeline!$J$5:$J$305&gt;=T$4+2)),SUMPRODUCT((INDEX(Timeline!$P$5:$AN$305,0,MATCH($A19,Timeline!$P$4:$AN$4,0))="x")*(Timeline!$K$5:$K$305="Task")*ISNUMBER(Timeline!$I$5:$I$305)*ISNUMBER(Timeline!$J$5:$J$305)*(Timeline!$I$5:$I$305&lt;=T$4+3)*(Timeline!$J$5:$J$305&gt;=T$4+3)),SUMPRODUCT((INDEX(Timeline!$P$5:$AN$305,0,MATCH($A19,Timeline!$P$4:$AN$4,0))="x")*(Timeline!$K$5:$K$305="Task")*ISNUMBER(Timeline!$I$5:$I$305)*ISNUMBER(Timeline!$J$5:$J$305)*(Timeline!$I$5:$I$305&lt;=T$4+4)*(Timeline!$J$5:$J$305&gt;=T$4+4)),SUMPRODUCT((INDEX(Timeline!$P$5:$AN$305,0,MATCH($A19,Timeline!$P$4:$AN$4,0))="x")*(Timeline!$K$5:$K$305="Task")*ISNUMBER(Timeline!$I$5:$I$305)*ISNUMBER(Timeline!$J$5:$J$305)*(Timeline!$I$5:$I$305&lt;=T$4+5)*(Timeline!$J$5:$J$305&gt;=T$4+5)),SUMPRODUCT((INDEX(Timeline!$P$5:$AN$305,0,MATCH($A19,Timeline!$P$4:$AN$4,0))="x")*(Timeline!$K$5:$K$305="Task")*ISNUMBER(Timeline!$I$5:$I$305)*ISNUMBER(Timeline!$J$5:$J$305)*(Timeline!$I$5:$I$305&lt;=T$4+6)*(Timeline!$J$5:$J$305&gt;=T$4+6)))</f>
        <v>1</v>
      </c>
      <c r="U19" s="67">
        <f>MAX(SUMPRODUCT((INDEX(Timeline!$P$5:$AN$305,0,MATCH($A19,Timeline!$P$4:$AN$4,0))="x")*(Timeline!$K$5:$K$305="Task")*ISNUMBER(Timeline!$I$5:$I$305)*ISNUMBER(Timeline!$J$5:$J$305)*(Timeline!$I$5:$I$305&lt;=U$4+0)*(Timeline!$J$5:$J$305&gt;=U$4+0)),SUMPRODUCT((INDEX(Timeline!$P$5:$AN$305,0,MATCH($A19,Timeline!$P$4:$AN$4,0))="x")*(Timeline!$K$5:$K$305="Task")*ISNUMBER(Timeline!$I$5:$I$305)*ISNUMBER(Timeline!$J$5:$J$305)*(Timeline!$I$5:$I$305&lt;=U$4+1)*(Timeline!$J$5:$J$305&gt;=U$4+1)),SUMPRODUCT((INDEX(Timeline!$P$5:$AN$305,0,MATCH($A19,Timeline!$P$4:$AN$4,0))="x")*(Timeline!$K$5:$K$305="Task")*ISNUMBER(Timeline!$I$5:$I$305)*ISNUMBER(Timeline!$J$5:$J$305)*(Timeline!$I$5:$I$305&lt;=U$4+2)*(Timeline!$J$5:$J$305&gt;=U$4+2)),SUMPRODUCT((INDEX(Timeline!$P$5:$AN$305,0,MATCH($A19,Timeline!$P$4:$AN$4,0))="x")*(Timeline!$K$5:$K$305="Task")*ISNUMBER(Timeline!$I$5:$I$305)*ISNUMBER(Timeline!$J$5:$J$305)*(Timeline!$I$5:$I$305&lt;=U$4+3)*(Timeline!$J$5:$J$305&gt;=U$4+3)),SUMPRODUCT((INDEX(Timeline!$P$5:$AN$305,0,MATCH($A19,Timeline!$P$4:$AN$4,0))="x")*(Timeline!$K$5:$K$305="Task")*ISNUMBER(Timeline!$I$5:$I$305)*ISNUMBER(Timeline!$J$5:$J$305)*(Timeline!$I$5:$I$305&lt;=U$4+4)*(Timeline!$J$5:$J$305&gt;=U$4+4)),SUMPRODUCT((INDEX(Timeline!$P$5:$AN$305,0,MATCH($A19,Timeline!$P$4:$AN$4,0))="x")*(Timeline!$K$5:$K$305="Task")*ISNUMBER(Timeline!$I$5:$I$305)*ISNUMBER(Timeline!$J$5:$J$305)*(Timeline!$I$5:$I$305&lt;=U$4+5)*(Timeline!$J$5:$J$305&gt;=U$4+5)),SUMPRODUCT((INDEX(Timeline!$P$5:$AN$305,0,MATCH($A19,Timeline!$P$4:$AN$4,0))="x")*(Timeline!$K$5:$K$305="Task")*ISNUMBER(Timeline!$I$5:$I$305)*ISNUMBER(Timeline!$J$5:$J$305)*(Timeline!$I$5:$I$305&lt;=U$4+6)*(Timeline!$J$5:$J$305&gt;=U$4+6)))</f>
        <v>1</v>
      </c>
      <c r="V19" s="67">
        <f>MAX(SUMPRODUCT((INDEX(Timeline!$P$5:$AN$305,0,MATCH($A19,Timeline!$P$4:$AN$4,0))="x")*(Timeline!$K$5:$K$305="Task")*ISNUMBER(Timeline!$I$5:$I$305)*ISNUMBER(Timeline!$J$5:$J$305)*(Timeline!$I$5:$I$305&lt;=V$4+0)*(Timeline!$J$5:$J$305&gt;=V$4+0)),SUMPRODUCT((INDEX(Timeline!$P$5:$AN$305,0,MATCH($A19,Timeline!$P$4:$AN$4,0))="x")*(Timeline!$K$5:$K$305="Task")*ISNUMBER(Timeline!$I$5:$I$305)*ISNUMBER(Timeline!$J$5:$J$305)*(Timeline!$I$5:$I$305&lt;=V$4+1)*(Timeline!$J$5:$J$305&gt;=V$4+1)),SUMPRODUCT((INDEX(Timeline!$P$5:$AN$305,0,MATCH($A19,Timeline!$P$4:$AN$4,0))="x")*(Timeline!$K$5:$K$305="Task")*ISNUMBER(Timeline!$I$5:$I$305)*ISNUMBER(Timeline!$J$5:$J$305)*(Timeline!$I$5:$I$305&lt;=V$4+2)*(Timeline!$J$5:$J$305&gt;=V$4+2)),SUMPRODUCT((INDEX(Timeline!$P$5:$AN$305,0,MATCH($A19,Timeline!$P$4:$AN$4,0))="x")*(Timeline!$K$5:$K$305="Task")*ISNUMBER(Timeline!$I$5:$I$305)*ISNUMBER(Timeline!$J$5:$J$305)*(Timeline!$I$5:$I$305&lt;=V$4+3)*(Timeline!$J$5:$J$305&gt;=V$4+3)),SUMPRODUCT((INDEX(Timeline!$P$5:$AN$305,0,MATCH($A19,Timeline!$P$4:$AN$4,0))="x")*(Timeline!$K$5:$K$305="Task")*ISNUMBER(Timeline!$I$5:$I$305)*ISNUMBER(Timeline!$J$5:$J$305)*(Timeline!$I$5:$I$305&lt;=V$4+4)*(Timeline!$J$5:$J$305&gt;=V$4+4)),SUMPRODUCT((INDEX(Timeline!$P$5:$AN$305,0,MATCH($A19,Timeline!$P$4:$AN$4,0))="x")*(Timeline!$K$5:$K$305="Task")*ISNUMBER(Timeline!$I$5:$I$305)*ISNUMBER(Timeline!$J$5:$J$305)*(Timeline!$I$5:$I$305&lt;=V$4+5)*(Timeline!$J$5:$J$305&gt;=V$4+5)),SUMPRODUCT((INDEX(Timeline!$P$5:$AN$305,0,MATCH($A19,Timeline!$P$4:$AN$4,0))="x")*(Timeline!$K$5:$K$305="Task")*ISNUMBER(Timeline!$I$5:$I$305)*ISNUMBER(Timeline!$J$5:$J$305)*(Timeline!$I$5:$I$305&lt;=V$4+6)*(Timeline!$J$5:$J$305&gt;=V$4+6)))</f>
        <v>1</v>
      </c>
      <c r="W19" s="67">
        <f>MAX(SUMPRODUCT((INDEX(Timeline!$P$5:$AN$305,0,MATCH($A19,Timeline!$P$4:$AN$4,0))="x")*(Timeline!$K$5:$K$305="Task")*ISNUMBER(Timeline!$I$5:$I$305)*ISNUMBER(Timeline!$J$5:$J$305)*(Timeline!$I$5:$I$305&lt;=W$4+0)*(Timeline!$J$5:$J$305&gt;=W$4+0)),SUMPRODUCT((INDEX(Timeline!$P$5:$AN$305,0,MATCH($A19,Timeline!$P$4:$AN$4,0))="x")*(Timeline!$K$5:$K$305="Task")*ISNUMBER(Timeline!$I$5:$I$305)*ISNUMBER(Timeline!$J$5:$J$305)*(Timeline!$I$5:$I$305&lt;=W$4+1)*(Timeline!$J$5:$J$305&gt;=W$4+1)),SUMPRODUCT((INDEX(Timeline!$P$5:$AN$305,0,MATCH($A19,Timeline!$P$4:$AN$4,0))="x")*(Timeline!$K$5:$K$305="Task")*ISNUMBER(Timeline!$I$5:$I$305)*ISNUMBER(Timeline!$J$5:$J$305)*(Timeline!$I$5:$I$305&lt;=W$4+2)*(Timeline!$J$5:$J$305&gt;=W$4+2)),SUMPRODUCT((INDEX(Timeline!$P$5:$AN$305,0,MATCH($A19,Timeline!$P$4:$AN$4,0))="x")*(Timeline!$K$5:$K$305="Task")*ISNUMBER(Timeline!$I$5:$I$305)*ISNUMBER(Timeline!$J$5:$J$305)*(Timeline!$I$5:$I$305&lt;=W$4+3)*(Timeline!$J$5:$J$305&gt;=W$4+3)),SUMPRODUCT((INDEX(Timeline!$P$5:$AN$305,0,MATCH($A19,Timeline!$P$4:$AN$4,0))="x")*(Timeline!$K$5:$K$305="Task")*ISNUMBER(Timeline!$I$5:$I$305)*ISNUMBER(Timeline!$J$5:$J$305)*(Timeline!$I$5:$I$305&lt;=W$4+4)*(Timeline!$J$5:$J$305&gt;=W$4+4)),SUMPRODUCT((INDEX(Timeline!$P$5:$AN$305,0,MATCH($A19,Timeline!$P$4:$AN$4,0))="x")*(Timeline!$K$5:$K$305="Task")*ISNUMBER(Timeline!$I$5:$I$305)*ISNUMBER(Timeline!$J$5:$J$305)*(Timeline!$I$5:$I$305&lt;=W$4+5)*(Timeline!$J$5:$J$305&gt;=W$4+5)),SUMPRODUCT((INDEX(Timeline!$P$5:$AN$305,0,MATCH($A19,Timeline!$P$4:$AN$4,0))="x")*(Timeline!$K$5:$K$305="Task")*ISNUMBER(Timeline!$I$5:$I$305)*ISNUMBER(Timeline!$J$5:$J$305)*(Timeline!$I$5:$I$305&lt;=W$4+6)*(Timeline!$J$5:$J$305&gt;=W$4+6)))</f>
        <v>1</v>
      </c>
      <c r="X19" s="67">
        <f>MAX(SUMPRODUCT((INDEX(Timeline!$P$5:$AN$305,0,MATCH($A19,Timeline!$P$4:$AN$4,0))="x")*(Timeline!$K$5:$K$305="Task")*ISNUMBER(Timeline!$I$5:$I$305)*ISNUMBER(Timeline!$J$5:$J$305)*(Timeline!$I$5:$I$305&lt;=X$4+0)*(Timeline!$J$5:$J$305&gt;=X$4+0)),SUMPRODUCT((INDEX(Timeline!$P$5:$AN$305,0,MATCH($A19,Timeline!$P$4:$AN$4,0))="x")*(Timeline!$K$5:$K$305="Task")*ISNUMBER(Timeline!$I$5:$I$305)*ISNUMBER(Timeline!$J$5:$J$305)*(Timeline!$I$5:$I$305&lt;=X$4+1)*(Timeline!$J$5:$J$305&gt;=X$4+1)),SUMPRODUCT((INDEX(Timeline!$P$5:$AN$305,0,MATCH($A19,Timeline!$P$4:$AN$4,0))="x")*(Timeline!$K$5:$K$305="Task")*ISNUMBER(Timeline!$I$5:$I$305)*ISNUMBER(Timeline!$J$5:$J$305)*(Timeline!$I$5:$I$305&lt;=X$4+2)*(Timeline!$J$5:$J$305&gt;=X$4+2)),SUMPRODUCT((INDEX(Timeline!$P$5:$AN$305,0,MATCH($A19,Timeline!$P$4:$AN$4,0))="x")*(Timeline!$K$5:$K$305="Task")*ISNUMBER(Timeline!$I$5:$I$305)*ISNUMBER(Timeline!$J$5:$J$305)*(Timeline!$I$5:$I$305&lt;=X$4+3)*(Timeline!$J$5:$J$305&gt;=X$4+3)),SUMPRODUCT((INDEX(Timeline!$P$5:$AN$305,0,MATCH($A19,Timeline!$P$4:$AN$4,0))="x")*(Timeline!$K$5:$K$305="Task")*ISNUMBER(Timeline!$I$5:$I$305)*ISNUMBER(Timeline!$J$5:$J$305)*(Timeline!$I$5:$I$305&lt;=X$4+4)*(Timeline!$J$5:$J$305&gt;=X$4+4)),SUMPRODUCT((INDEX(Timeline!$P$5:$AN$305,0,MATCH($A19,Timeline!$P$4:$AN$4,0))="x")*(Timeline!$K$5:$K$305="Task")*ISNUMBER(Timeline!$I$5:$I$305)*ISNUMBER(Timeline!$J$5:$J$305)*(Timeline!$I$5:$I$305&lt;=X$4+5)*(Timeline!$J$5:$J$305&gt;=X$4+5)),SUMPRODUCT((INDEX(Timeline!$P$5:$AN$305,0,MATCH($A19,Timeline!$P$4:$AN$4,0))="x")*(Timeline!$K$5:$K$305="Task")*ISNUMBER(Timeline!$I$5:$I$305)*ISNUMBER(Timeline!$J$5:$J$305)*(Timeline!$I$5:$I$305&lt;=X$4+6)*(Timeline!$J$5:$J$305&gt;=X$4+6)))</f>
        <v>1</v>
      </c>
      <c r="Y19" s="67">
        <f>MAX(SUMPRODUCT((INDEX(Timeline!$P$5:$AN$305,0,MATCH($A19,Timeline!$P$4:$AN$4,0))="x")*(Timeline!$K$5:$K$305="Task")*ISNUMBER(Timeline!$I$5:$I$305)*ISNUMBER(Timeline!$J$5:$J$305)*(Timeline!$I$5:$I$305&lt;=Y$4+0)*(Timeline!$J$5:$J$305&gt;=Y$4+0)),SUMPRODUCT((INDEX(Timeline!$P$5:$AN$305,0,MATCH($A19,Timeline!$P$4:$AN$4,0))="x")*(Timeline!$K$5:$K$305="Task")*ISNUMBER(Timeline!$I$5:$I$305)*ISNUMBER(Timeline!$J$5:$J$305)*(Timeline!$I$5:$I$305&lt;=Y$4+1)*(Timeline!$J$5:$J$305&gt;=Y$4+1)),SUMPRODUCT((INDEX(Timeline!$P$5:$AN$305,0,MATCH($A19,Timeline!$P$4:$AN$4,0))="x")*(Timeline!$K$5:$K$305="Task")*ISNUMBER(Timeline!$I$5:$I$305)*ISNUMBER(Timeline!$J$5:$J$305)*(Timeline!$I$5:$I$305&lt;=Y$4+2)*(Timeline!$J$5:$J$305&gt;=Y$4+2)),SUMPRODUCT((INDEX(Timeline!$P$5:$AN$305,0,MATCH($A19,Timeline!$P$4:$AN$4,0))="x")*(Timeline!$K$5:$K$305="Task")*ISNUMBER(Timeline!$I$5:$I$305)*ISNUMBER(Timeline!$J$5:$J$305)*(Timeline!$I$5:$I$305&lt;=Y$4+3)*(Timeline!$J$5:$J$305&gt;=Y$4+3)),SUMPRODUCT((INDEX(Timeline!$P$5:$AN$305,0,MATCH($A19,Timeline!$P$4:$AN$4,0))="x")*(Timeline!$K$5:$K$305="Task")*ISNUMBER(Timeline!$I$5:$I$305)*ISNUMBER(Timeline!$J$5:$J$305)*(Timeline!$I$5:$I$305&lt;=Y$4+4)*(Timeline!$J$5:$J$305&gt;=Y$4+4)),SUMPRODUCT((INDEX(Timeline!$P$5:$AN$305,0,MATCH($A19,Timeline!$P$4:$AN$4,0))="x")*(Timeline!$K$5:$K$305="Task")*ISNUMBER(Timeline!$I$5:$I$305)*ISNUMBER(Timeline!$J$5:$J$305)*(Timeline!$I$5:$I$305&lt;=Y$4+5)*(Timeline!$J$5:$J$305&gt;=Y$4+5)),SUMPRODUCT((INDEX(Timeline!$P$5:$AN$305,0,MATCH($A19,Timeline!$P$4:$AN$4,0))="x")*(Timeline!$K$5:$K$305="Task")*ISNUMBER(Timeline!$I$5:$I$305)*ISNUMBER(Timeline!$J$5:$J$305)*(Timeline!$I$5:$I$305&lt;=Y$4+6)*(Timeline!$J$5:$J$305&gt;=Y$4+6)))</f>
        <v>1</v>
      </c>
      <c r="Z19" s="67">
        <f>MAX(SUMPRODUCT((INDEX(Timeline!$P$5:$AN$305,0,MATCH($A19,Timeline!$P$4:$AN$4,0))="x")*(Timeline!$K$5:$K$305="Task")*ISNUMBER(Timeline!$I$5:$I$305)*ISNUMBER(Timeline!$J$5:$J$305)*(Timeline!$I$5:$I$305&lt;=Z$4+0)*(Timeline!$J$5:$J$305&gt;=Z$4+0)),SUMPRODUCT((INDEX(Timeline!$P$5:$AN$305,0,MATCH($A19,Timeline!$P$4:$AN$4,0))="x")*(Timeline!$K$5:$K$305="Task")*ISNUMBER(Timeline!$I$5:$I$305)*ISNUMBER(Timeline!$J$5:$J$305)*(Timeline!$I$5:$I$305&lt;=Z$4+1)*(Timeline!$J$5:$J$305&gt;=Z$4+1)),SUMPRODUCT((INDEX(Timeline!$P$5:$AN$305,0,MATCH($A19,Timeline!$P$4:$AN$4,0))="x")*(Timeline!$K$5:$K$305="Task")*ISNUMBER(Timeline!$I$5:$I$305)*ISNUMBER(Timeline!$J$5:$J$305)*(Timeline!$I$5:$I$305&lt;=Z$4+2)*(Timeline!$J$5:$J$305&gt;=Z$4+2)),SUMPRODUCT((INDEX(Timeline!$P$5:$AN$305,0,MATCH($A19,Timeline!$P$4:$AN$4,0))="x")*(Timeline!$K$5:$K$305="Task")*ISNUMBER(Timeline!$I$5:$I$305)*ISNUMBER(Timeline!$J$5:$J$305)*(Timeline!$I$5:$I$305&lt;=Z$4+3)*(Timeline!$J$5:$J$305&gt;=Z$4+3)),SUMPRODUCT((INDEX(Timeline!$P$5:$AN$305,0,MATCH($A19,Timeline!$P$4:$AN$4,0))="x")*(Timeline!$K$5:$K$305="Task")*ISNUMBER(Timeline!$I$5:$I$305)*ISNUMBER(Timeline!$J$5:$J$305)*(Timeline!$I$5:$I$305&lt;=Z$4+4)*(Timeline!$J$5:$J$305&gt;=Z$4+4)),SUMPRODUCT((INDEX(Timeline!$P$5:$AN$305,0,MATCH($A19,Timeline!$P$4:$AN$4,0))="x")*(Timeline!$K$5:$K$305="Task")*ISNUMBER(Timeline!$I$5:$I$305)*ISNUMBER(Timeline!$J$5:$J$305)*(Timeline!$I$5:$I$305&lt;=Z$4+5)*(Timeline!$J$5:$J$305&gt;=Z$4+5)),SUMPRODUCT((INDEX(Timeline!$P$5:$AN$305,0,MATCH($A19,Timeline!$P$4:$AN$4,0))="x")*(Timeline!$K$5:$K$305="Task")*ISNUMBER(Timeline!$I$5:$I$305)*ISNUMBER(Timeline!$J$5:$J$305)*(Timeline!$I$5:$I$305&lt;=Z$4+6)*(Timeline!$J$5:$J$305&gt;=Z$4+6)))</f>
        <v>1</v>
      </c>
      <c r="AA19" s="67">
        <f>MAX(SUMPRODUCT((INDEX(Timeline!$P$5:$AN$305,0,MATCH($A19,Timeline!$P$4:$AN$4,0))="x")*(Timeline!$K$5:$K$305="Task")*ISNUMBER(Timeline!$I$5:$I$305)*ISNUMBER(Timeline!$J$5:$J$305)*(Timeline!$I$5:$I$305&lt;=AA$4+0)*(Timeline!$J$5:$J$305&gt;=AA$4+0)),SUMPRODUCT((INDEX(Timeline!$P$5:$AN$305,0,MATCH($A19,Timeline!$P$4:$AN$4,0))="x")*(Timeline!$K$5:$K$305="Task")*ISNUMBER(Timeline!$I$5:$I$305)*ISNUMBER(Timeline!$J$5:$J$305)*(Timeline!$I$5:$I$305&lt;=AA$4+1)*(Timeline!$J$5:$J$305&gt;=AA$4+1)),SUMPRODUCT((INDEX(Timeline!$P$5:$AN$305,0,MATCH($A19,Timeline!$P$4:$AN$4,0))="x")*(Timeline!$K$5:$K$305="Task")*ISNUMBER(Timeline!$I$5:$I$305)*ISNUMBER(Timeline!$J$5:$J$305)*(Timeline!$I$5:$I$305&lt;=AA$4+2)*(Timeline!$J$5:$J$305&gt;=AA$4+2)),SUMPRODUCT((INDEX(Timeline!$P$5:$AN$305,0,MATCH($A19,Timeline!$P$4:$AN$4,0))="x")*(Timeline!$K$5:$K$305="Task")*ISNUMBER(Timeline!$I$5:$I$305)*ISNUMBER(Timeline!$J$5:$J$305)*(Timeline!$I$5:$I$305&lt;=AA$4+3)*(Timeline!$J$5:$J$305&gt;=AA$4+3)),SUMPRODUCT((INDEX(Timeline!$P$5:$AN$305,0,MATCH($A19,Timeline!$P$4:$AN$4,0))="x")*(Timeline!$K$5:$K$305="Task")*ISNUMBER(Timeline!$I$5:$I$305)*ISNUMBER(Timeline!$J$5:$J$305)*(Timeline!$I$5:$I$305&lt;=AA$4+4)*(Timeline!$J$5:$J$305&gt;=AA$4+4)),SUMPRODUCT((INDEX(Timeline!$P$5:$AN$305,0,MATCH($A19,Timeline!$P$4:$AN$4,0))="x")*(Timeline!$K$5:$K$305="Task")*ISNUMBER(Timeline!$I$5:$I$305)*ISNUMBER(Timeline!$J$5:$J$305)*(Timeline!$I$5:$I$305&lt;=AA$4+5)*(Timeline!$J$5:$J$305&gt;=AA$4+5)),SUMPRODUCT((INDEX(Timeline!$P$5:$AN$305,0,MATCH($A19,Timeline!$P$4:$AN$4,0))="x")*(Timeline!$K$5:$K$305="Task")*ISNUMBER(Timeline!$I$5:$I$305)*ISNUMBER(Timeline!$J$5:$J$305)*(Timeline!$I$5:$I$305&lt;=AA$4+6)*(Timeline!$J$5:$J$305&gt;=AA$4+6)))</f>
        <v>1</v>
      </c>
      <c r="AB19" s="67">
        <f>MAX(SUMPRODUCT((INDEX(Timeline!$P$5:$AN$305,0,MATCH($A19,Timeline!$P$4:$AN$4,0))="x")*(Timeline!$K$5:$K$305="Task")*ISNUMBER(Timeline!$I$5:$I$305)*ISNUMBER(Timeline!$J$5:$J$305)*(Timeline!$I$5:$I$305&lt;=AB$4+0)*(Timeline!$J$5:$J$305&gt;=AB$4+0)),SUMPRODUCT((INDEX(Timeline!$P$5:$AN$305,0,MATCH($A19,Timeline!$P$4:$AN$4,0))="x")*(Timeline!$K$5:$K$305="Task")*ISNUMBER(Timeline!$I$5:$I$305)*ISNUMBER(Timeline!$J$5:$J$305)*(Timeline!$I$5:$I$305&lt;=AB$4+1)*(Timeline!$J$5:$J$305&gt;=AB$4+1)),SUMPRODUCT((INDEX(Timeline!$P$5:$AN$305,0,MATCH($A19,Timeline!$P$4:$AN$4,0))="x")*(Timeline!$K$5:$K$305="Task")*ISNUMBER(Timeline!$I$5:$I$305)*ISNUMBER(Timeline!$J$5:$J$305)*(Timeline!$I$5:$I$305&lt;=AB$4+2)*(Timeline!$J$5:$J$305&gt;=AB$4+2)),SUMPRODUCT((INDEX(Timeline!$P$5:$AN$305,0,MATCH($A19,Timeline!$P$4:$AN$4,0))="x")*(Timeline!$K$5:$K$305="Task")*ISNUMBER(Timeline!$I$5:$I$305)*ISNUMBER(Timeline!$J$5:$J$305)*(Timeline!$I$5:$I$305&lt;=AB$4+3)*(Timeline!$J$5:$J$305&gt;=AB$4+3)),SUMPRODUCT((INDEX(Timeline!$P$5:$AN$305,0,MATCH($A19,Timeline!$P$4:$AN$4,0))="x")*(Timeline!$K$5:$K$305="Task")*ISNUMBER(Timeline!$I$5:$I$305)*ISNUMBER(Timeline!$J$5:$J$305)*(Timeline!$I$5:$I$305&lt;=AB$4+4)*(Timeline!$J$5:$J$305&gt;=AB$4+4)),SUMPRODUCT((INDEX(Timeline!$P$5:$AN$305,0,MATCH($A19,Timeline!$P$4:$AN$4,0))="x")*(Timeline!$K$5:$K$305="Task")*ISNUMBER(Timeline!$I$5:$I$305)*ISNUMBER(Timeline!$J$5:$J$305)*(Timeline!$I$5:$I$305&lt;=AB$4+5)*(Timeline!$J$5:$J$305&gt;=AB$4+5)),SUMPRODUCT((INDEX(Timeline!$P$5:$AN$305,0,MATCH($A19,Timeline!$P$4:$AN$4,0))="x")*(Timeline!$K$5:$K$305="Task")*ISNUMBER(Timeline!$I$5:$I$305)*ISNUMBER(Timeline!$J$5:$J$305)*(Timeline!$I$5:$I$305&lt;=AB$4+6)*(Timeline!$J$5:$J$305&gt;=AB$4+6)))</f>
        <v>0</v>
      </c>
      <c r="AC19" s="67">
        <f>MAX(SUMPRODUCT((INDEX(Timeline!$P$5:$AN$305,0,MATCH($A19,Timeline!$P$4:$AN$4,0))="x")*(Timeline!$K$5:$K$305="Task")*ISNUMBER(Timeline!$I$5:$I$305)*ISNUMBER(Timeline!$J$5:$J$305)*(Timeline!$I$5:$I$305&lt;=AC$4+0)*(Timeline!$J$5:$J$305&gt;=AC$4+0)),SUMPRODUCT((INDEX(Timeline!$P$5:$AN$305,0,MATCH($A19,Timeline!$P$4:$AN$4,0))="x")*(Timeline!$K$5:$K$305="Task")*ISNUMBER(Timeline!$I$5:$I$305)*ISNUMBER(Timeline!$J$5:$J$305)*(Timeline!$I$5:$I$305&lt;=AC$4+1)*(Timeline!$J$5:$J$305&gt;=AC$4+1)),SUMPRODUCT((INDEX(Timeline!$P$5:$AN$305,0,MATCH($A19,Timeline!$P$4:$AN$4,0))="x")*(Timeline!$K$5:$K$305="Task")*ISNUMBER(Timeline!$I$5:$I$305)*ISNUMBER(Timeline!$J$5:$J$305)*(Timeline!$I$5:$I$305&lt;=AC$4+2)*(Timeline!$J$5:$J$305&gt;=AC$4+2)),SUMPRODUCT((INDEX(Timeline!$P$5:$AN$305,0,MATCH($A19,Timeline!$P$4:$AN$4,0))="x")*(Timeline!$K$5:$K$305="Task")*ISNUMBER(Timeline!$I$5:$I$305)*ISNUMBER(Timeline!$J$5:$J$305)*(Timeline!$I$5:$I$305&lt;=AC$4+3)*(Timeline!$J$5:$J$305&gt;=AC$4+3)),SUMPRODUCT((INDEX(Timeline!$P$5:$AN$305,0,MATCH($A19,Timeline!$P$4:$AN$4,0))="x")*(Timeline!$K$5:$K$305="Task")*ISNUMBER(Timeline!$I$5:$I$305)*ISNUMBER(Timeline!$J$5:$J$305)*(Timeline!$I$5:$I$305&lt;=AC$4+4)*(Timeline!$J$5:$J$305&gt;=AC$4+4)),SUMPRODUCT((INDEX(Timeline!$P$5:$AN$305,0,MATCH($A19,Timeline!$P$4:$AN$4,0))="x")*(Timeline!$K$5:$K$305="Task")*ISNUMBER(Timeline!$I$5:$I$305)*ISNUMBER(Timeline!$J$5:$J$305)*(Timeline!$I$5:$I$305&lt;=AC$4+5)*(Timeline!$J$5:$J$305&gt;=AC$4+5)),SUMPRODUCT((INDEX(Timeline!$P$5:$AN$305,0,MATCH($A19,Timeline!$P$4:$AN$4,0))="x")*(Timeline!$K$5:$K$305="Task")*ISNUMBER(Timeline!$I$5:$I$305)*ISNUMBER(Timeline!$J$5:$J$305)*(Timeline!$I$5:$I$305&lt;=AC$4+6)*(Timeline!$J$5:$J$305&gt;=AC$4+6)))</f>
        <v>0</v>
      </c>
      <c r="AD19" s="67">
        <f>MAX(SUMPRODUCT((INDEX(Timeline!$P$5:$AN$305,0,MATCH($A19,Timeline!$P$4:$AN$4,0))="x")*(Timeline!$K$5:$K$305="Task")*ISNUMBER(Timeline!$I$5:$I$305)*ISNUMBER(Timeline!$J$5:$J$305)*(Timeline!$I$5:$I$305&lt;=AD$4+0)*(Timeline!$J$5:$J$305&gt;=AD$4+0)),SUMPRODUCT((INDEX(Timeline!$P$5:$AN$305,0,MATCH($A19,Timeline!$P$4:$AN$4,0))="x")*(Timeline!$K$5:$K$305="Task")*ISNUMBER(Timeline!$I$5:$I$305)*ISNUMBER(Timeline!$J$5:$J$305)*(Timeline!$I$5:$I$305&lt;=AD$4+1)*(Timeline!$J$5:$J$305&gt;=AD$4+1)),SUMPRODUCT((INDEX(Timeline!$P$5:$AN$305,0,MATCH($A19,Timeline!$P$4:$AN$4,0))="x")*(Timeline!$K$5:$K$305="Task")*ISNUMBER(Timeline!$I$5:$I$305)*ISNUMBER(Timeline!$J$5:$J$305)*(Timeline!$I$5:$I$305&lt;=AD$4+2)*(Timeline!$J$5:$J$305&gt;=AD$4+2)),SUMPRODUCT((INDEX(Timeline!$P$5:$AN$305,0,MATCH($A19,Timeline!$P$4:$AN$4,0))="x")*(Timeline!$K$5:$K$305="Task")*ISNUMBER(Timeline!$I$5:$I$305)*ISNUMBER(Timeline!$J$5:$J$305)*(Timeline!$I$5:$I$305&lt;=AD$4+3)*(Timeline!$J$5:$J$305&gt;=AD$4+3)),SUMPRODUCT((INDEX(Timeline!$P$5:$AN$305,0,MATCH($A19,Timeline!$P$4:$AN$4,0))="x")*(Timeline!$K$5:$K$305="Task")*ISNUMBER(Timeline!$I$5:$I$305)*ISNUMBER(Timeline!$J$5:$J$305)*(Timeline!$I$5:$I$305&lt;=AD$4+4)*(Timeline!$J$5:$J$305&gt;=AD$4+4)),SUMPRODUCT((INDEX(Timeline!$P$5:$AN$305,0,MATCH($A19,Timeline!$P$4:$AN$4,0))="x")*(Timeline!$K$5:$K$305="Task")*ISNUMBER(Timeline!$I$5:$I$305)*ISNUMBER(Timeline!$J$5:$J$305)*(Timeline!$I$5:$I$305&lt;=AD$4+5)*(Timeline!$J$5:$J$305&gt;=AD$4+5)),SUMPRODUCT((INDEX(Timeline!$P$5:$AN$305,0,MATCH($A19,Timeline!$P$4:$AN$4,0))="x")*(Timeline!$K$5:$K$305="Task")*ISNUMBER(Timeline!$I$5:$I$305)*ISNUMBER(Timeline!$J$5:$J$305)*(Timeline!$I$5:$I$305&lt;=AD$4+6)*(Timeline!$J$5:$J$305&gt;=AD$4+6)))</f>
        <v>0</v>
      </c>
      <c r="AE19" s="67">
        <f>MAX(SUMPRODUCT((INDEX(Timeline!$P$5:$AN$305,0,MATCH($A19,Timeline!$P$4:$AN$4,0))="x")*(Timeline!$K$5:$K$305="Task")*ISNUMBER(Timeline!$I$5:$I$305)*ISNUMBER(Timeline!$J$5:$J$305)*(Timeline!$I$5:$I$305&lt;=AE$4+0)*(Timeline!$J$5:$J$305&gt;=AE$4+0)),SUMPRODUCT((INDEX(Timeline!$P$5:$AN$305,0,MATCH($A19,Timeline!$P$4:$AN$4,0))="x")*(Timeline!$K$5:$K$305="Task")*ISNUMBER(Timeline!$I$5:$I$305)*ISNUMBER(Timeline!$J$5:$J$305)*(Timeline!$I$5:$I$305&lt;=AE$4+1)*(Timeline!$J$5:$J$305&gt;=AE$4+1)),SUMPRODUCT((INDEX(Timeline!$P$5:$AN$305,0,MATCH($A19,Timeline!$P$4:$AN$4,0))="x")*(Timeline!$K$5:$K$305="Task")*ISNUMBER(Timeline!$I$5:$I$305)*ISNUMBER(Timeline!$J$5:$J$305)*(Timeline!$I$5:$I$305&lt;=AE$4+2)*(Timeline!$J$5:$J$305&gt;=AE$4+2)),SUMPRODUCT((INDEX(Timeline!$P$5:$AN$305,0,MATCH($A19,Timeline!$P$4:$AN$4,0))="x")*(Timeline!$K$5:$K$305="Task")*ISNUMBER(Timeline!$I$5:$I$305)*ISNUMBER(Timeline!$J$5:$J$305)*(Timeline!$I$5:$I$305&lt;=AE$4+3)*(Timeline!$J$5:$J$305&gt;=AE$4+3)),SUMPRODUCT((INDEX(Timeline!$P$5:$AN$305,0,MATCH($A19,Timeline!$P$4:$AN$4,0))="x")*(Timeline!$K$5:$K$305="Task")*ISNUMBER(Timeline!$I$5:$I$305)*ISNUMBER(Timeline!$J$5:$J$305)*(Timeline!$I$5:$I$305&lt;=AE$4+4)*(Timeline!$J$5:$J$305&gt;=AE$4+4)),SUMPRODUCT((INDEX(Timeline!$P$5:$AN$305,0,MATCH($A19,Timeline!$P$4:$AN$4,0))="x")*(Timeline!$K$5:$K$305="Task")*ISNUMBER(Timeline!$I$5:$I$305)*ISNUMBER(Timeline!$J$5:$J$305)*(Timeline!$I$5:$I$305&lt;=AE$4+5)*(Timeline!$J$5:$J$305&gt;=AE$4+5)),SUMPRODUCT((INDEX(Timeline!$P$5:$AN$305,0,MATCH($A19,Timeline!$P$4:$AN$4,0))="x")*(Timeline!$K$5:$K$305="Task")*ISNUMBER(Timeline!$I$5:$I$305)*ISNUMBER(Timeline!$J$5:$J$305)*(Timeline!$I$5:$I$305&lt;=AE$4+6)*(Timeline!$J$5:$J$305&gt;=AE$4+6)))</f>
        <v>0</v>
      </c>
      <c r="AF19" s="67">
        <f>MAX(SUMPRODUCT((INDEX(Timeline!$P$5:$AN$305,0,MATCH($A19,Timeline!$P$4:$AN$4,0))="x")*(Timeline!$K$5:$K$305="Task")*ISNUMBER(Timeline!$I$5:$I$305)*ISNUMBER(Timeline!$J$5:$J$305)*(Timeline!$I$5:$I$305&lt;=AF$4+0)*(Timeline!$J$5:$J$305&gt;=AF$4+0)),SUMPRODUCT((INDEX(Timeline!$P$5:$AN$305,0,MATCH($A19,Timeline!$P$4:$AN$4,0))="x")*(Timeline!$K$5:$K$305="Task")*ISNUMBER(Timeline!$I$5:$I$305)*ISNUMBER(Timeline!$J$5:$J$305)*(Timeline!$I$5:$I$305&lt;=AF$4+1)*(Timeline!$J$5:$J$305&gt;=AF$4+1)),SUMPRODUCT((INDEX(Timeline!$P$5:$AN$305,0,MATCH($A19,Timeline!$P$4:$AN$4,0))="x")*(Timeline!$K$5:$K$305="Task")*ISNUMBER(Timeline!$I$5:$I$305)*ISNUMBER(Timeline!$J$5:$J$305)*(Timeline!$I$5:$I$305&lt;=AF$4+2)*(Timeline!$J$5:$J$305&gt;=AF$4+2)),SUMPRODUCT((INDEX(Timeline!$P$5:$AN$305,0,MATCH($A19,Timeline!$P$4:$AN$4,0))="x")*(Timeline!$K$5:$K$305="Task")*ISNUMBER(Timeline!$I$5:$I$305)*ISNUMBER(Timeline!$J$5:$J$305)*(Timeline!$I$5:$I$305&lt;=AF$4+3)*(Timeline!$J$5:$J$305&gt;=AF$4+3)),SUMPRODUCT((INDEX(Timeline!$P$5:$AN$305,0,MATCH($A19,Timeline!$P$4:$AN$4,0))="x")*(Timeline!$K$5:$K$305="Task")*ISNUMBER(Timeline!$I$5:$I$305)*ISNUMBER(Timeline!$J$5:$J$305)*(Timeline!$I$5:$I$305&lt;=AF$4+4)*(Timeline!$J$5:$J$305&gt;=AF$4+4)),SUMPRODUCT((INDEX(Timeline!$P$5:$AN$305,0,MATCH($A19,Timeline!$P$4:$AN$4,0))="x")*(Timeline!$K$5:$K$305="Task")*ISNUMBER(Timeline!$I$5:$I$305)*ISNUMBER(Timeline!$J$5:$J$305)*(Timeline!$I$5:$I$305&lt;=AF$4+5)*(Timeline!$J$5:$J$305&gt;=AF$4+5)),SUMPRODUCT((INDEX(Timeline!$P$5:$AN$305,0,MATCH($A19,Timeline!$P$4:$AN$4,0))="x")*(Timeline!$K$5:$K$305="Task")*ISNUMBER(Timeline!$I$5:$I$305)*ISNUMBER(Timeline!$J$5:$J$305)*(Timeline!$I$5:$I$305&lt;=AF$4+6)*(Timeline!$J$5:$J$305&gt;=AF$4+6)))</f>
        <v>0</v>
      </c>
      <c r="AG19" s="67">
        <f>MAX(SUMPRODUCT((INDEX(Timeline!$P$5:$AN$305,0,MATCH($A19,Timeline!$P$4:$AN$4,0))="x")*(Timeline!$K$5:$K$305="Task")*ISNUMBER(Timeline!$I$5:$I$305)*ISNUMBER(Timeline!$J$5:$J$305)*(Timeline!$I$5:$I$305&lt;=AG$4+0)*(Timeline!$J$5:$J$305&gt;=AG$4+0)),SUMPRODUCT((INDEX(Timeline!$P$5:$AN$305,0,MATCH($A19,Timeline!$P$4:$AN$4,0))="x")*(Timeline!$K$5:$K$305="Task")*ISNUMBER(Timeline!$I$5:$I$305)*ISNUMBER(Timeline!$J$5:$J$305)*(Timeline!$I$5:$I$305&lt;=AG$4+1)*(Timeline!$J$5:$J$305&gt;=AG$4+1)),SUMPRODUCT((INDEX(Timeline!$P$5:$AN$305,0,MATCH($A19,Timeline!$P$4:$AN$4,0))="x")*(Timeline!$K$5:$K$305="Task")*ISNUMBER(Timeline!$I$5:$I$305)*ISNUMBER(Timeline!$J$5:$J$305)*(Timeline!$I$5:$I$305&lt;=AG$4+2)*(Timeline!$J$5:$J$305&gt;=AG$4+2)),SUMPRODUCT((INDEX(Timeline!$P$5:$AN$305,0,MATCH($A19,Timeline!$P$4:$AN$4,0))="x")*(Timeline!$K$5:$K$305="Task")*ISNUMBER(Timeline!$I$5:$I$305)*ISNUMBER(Timeline!$J$5:$J$305)*(Timeline!$I$5:$I$305&lt;=AG$4+3)*(Timeline!$J$5:$J$305&gt;=AG$4+3)),SUMPRODUCT((INDEX(Timeline!$P$5:$AN$305,0,MATCH($A19,Timeline!$P$4:$AN$4,0))="x")*(Timeline!$K$5:$K$305="Task")*ISNUMBER(Timeline!$I$5:$I$305)*ISNUMBER(Timeline!$J$5:$J$305)*(Timeline!$I$5:$I$305&lt;=AG$4+4)*(Timeline!$J$5:$J$305&gt;=AG$4+4)),SUMPRODUCT((INDEX(Timeline!$P$5:$AN$305,0,MATCH($A19,Timeline!$P$4:$AN$4,0))="x")*(Timeline!$K$5:$K$305="Task")*ISNUMBER(Timeline!$I$5:$I$305)*ISNUMBER(Timeline!$J$5:$J$305)*(Timeline!$I$5:$I$305&lt;=AG$4+5)*(Timeline!$J$5:$J$305&gt;=AG$4+5)),SUMPRODUCT((INDEX(Timeline!$P$5:$AN$305,0,MATCH($A19,Timeline!$P$4:$AN$4,0))="x")*(Timeline!$K$5:$K$305="Task")*ISNUMBER(Timeline!$I$5:$I$305)*ISNUMBER(Timeline!$J$5:$J$305)*(Timeline!$I$5:$I$305&lt;=AG$4+6)*(Timeline!$J$5:$J$305&gt;=AG$4+6)))</f>
        <v>0</v>
      </c>
      <c r="AH19" s="67">
        <f>MAX(SUMPRODUCT((INDEX(Timeline!$P$5:$AN$305,0,MATCH($A19,Timeline!$P$4:$AN$4,0))="x")*(Timeline!$K$5:$K$305="Task")*ISNUMBER(Timeline!$I$5:$I$305)*ISNUMBER(Timeline!$J$5:$J$305)*(Timeline!$I$5:$I$305&lt;=AH$4+0)*(Timeline!$J$5:$J$305&gt;=AH$4+0)),SUMPRODUCT((INDEX(Timeline!$P$5:$AN$305,0,MATCH($A19,Timeline!$P$4:$AN$4,0))="x")*(Timeline!$K$5:$K$305="Task")*ISNUMBER(Timeline!$I$5:$I$305)*ISNUMBER(Timeline!$J$5:$J$305)*(Timeline!$I$5:$I$305&lt;=AH$4+1)*(Timeline!$J$5:$J$305&gt;=AH$4+1)),SUMPRODUCT((INDEX(Timeline!$P$5:$AN$305,0,MATCH($A19,Timeline!$P$4:$AN$4,0))="x")*(Timeline!$K$5:$K$305="Task")*ISNUMBER(Timeline!$I$5:$I$305)*ISNUMBER(Timeline!$J$5:$J$305)*(Timeline!$I$5:$I$305&lt;=AH$4+2)*(Timeline!$J$5:$J$305&gt;=AH$4+2)),SUMPRODUCT((INDEX(Timeline!$P$5:$AN$305,0,MATCH($A19,Timeline!$P$4:$AN$4,0))="x")*(Timeline!$K$5:$K$305="Task")*ISNUMBER(Timeline!$I$5:$I$305)*ISNUMBER(Timeline!$J$5:$J$305)*(Timeline!$I$5:$I$305&lt;=AH$4+3)*(Timeline!$J$5:$J$305&gt;=AH$4+3)),SUMPRODUCT((INDEX(Timeline!$P$5:$AN$305,0,MATCH($A19,Timeline!$P$4:$AN$4,0))="x")*(Timeline!$K$5:$K$305="Task")*ISNUMBER(Timeline!$I$5:$I$305)*ISNUMBER(Timeline!$J$5:$J$305)*(Timeline!$I$5:$I$305&lt;=AH$4+4)*(Timeline!$J$5:$J$305&gt;=AH$4+4)),SUMPRODUCT((INDEX(Timeline!$P$5:$AN$305,0,MATCH($A19,Timeline!$P$4:$AN$4,0))="x")*(Timeline!$K$5:$K$305="Task")*ISNUMBER(Timeline!$I$5:$I$305)*ISNUMBER(Timeline!$J$5:$J$305)*(Timeline!$I$5:$I$305&lt;=AH$4+5)*(Timeline!$J$5:$J$305&gt;=AH$4+5)),SUMPRODUCT((INDEX(Timeline!$P$5:$AN$305,0,MATCH($A19,Timeline!$P$4:$AN$4,0))="x")*(Timeline!$K$5:$K$305="Task")*ISNUMBER(Timeline!$I$5:$I$305)*ISNUMBER(Timeline!$J$5:$J$305)*(Timeline!$I$5:$I$305&lt;=AH$4+6)*(Timeline!$J$5:$J$305&gt;=AH$4+6)))</f>
        <v>1</v>
      </c>
      <c r="AI19" s="67">
        <f>MAX(SUMPRODUCT((INDEX(Timeline!$P$5:$AN$305,0,MATCH($A19,Timeline!$P$4:$AN$4,0))="x")*(Timeline!$K$5:$K$305="Task")*ISNUMBER(Timeline!$I$5:$I$305)*ISNUMBER(Timeline!$J$5:$J$305)*(Timeline!$I$5:$I$305&lt;=AI$4+0)*(Timeline!$J$5:$J$305&gt;=AI$4+0)),SUMPRODUCT((INDEX(Timeline!$P$5:$AN$305,0,MATCH($A19,Timeline!$P$4:$AN$4,0))="x")*(Timeline!$K$5:$K$305="Task")*ISNUMBER(Timeline!$I$5:$I$305)*ISNUMBER(Timeline!$J$5:$J$305)*(Timeline!$I$5:$I$305&lt;=AI$4+1)*(Timeline!$J$5:$J$305&gt;=AI$4+1)),SUMPRODUCT((INDEX(Timeline!$P$5:$AN$305,0,MATCH($A19,Timeline!$P$4:$AN$4,0))="x")*(Timeline!$K$5:$K$305="Task")*ISNUMBER(Timeline!$I$5:$I$305)*ISNUMBER(Timeline!$J$5:$J$305)*(Timeline!$I$5:$I$305&lt;=AI$4+2)*(Timeline!$J$5:$J$305&gt;=AI$4+2)),SUMPRODUCT((INDEX(Timeline!$P$5:$AN$305,0,MATCH($A19,Timeline!$P$4:$AN$4,0))="x")*(Timeline!$K$5:$K$305="Task")*ISNUMBER(Timeline!$I$5:$I$305)*ISNUMBER(Timeline!$J$5:$J$305)*(Timeline!$I$5:$I$305&lt;=AI$4+3)*(Timeline!$J$5:$J$305&gt;=AI$4+3)),SUMPRODUCT((INDEX(Timeline!$P$5:$AN$305,0,MATCH($A19,Timeline!$P$4:$AN$4,0))="x")*(Timeline!$K$5:$K$305="Task")*ISNUMBER(Timeline!$I$5:$I$305)*ISNUMBER(Timeline!$J$5:$J$305)*(Timeline!$I$5:$I$305&lt;=AI$4+4)*(Timeline!$J$5:$J$305&gt;=AI$4+4)),SUMPRODUCT((INDEX(Timeline!$P$5:$AN$305,0,MATCH($A19,Timeline!$P$4:$AN$4,0))="x")*(Timeline!$K$5:$K$305="Task")*ISNUMBER(Timeline!$I$5:$I$305)*ISNUMBER(Timeline!$J$5:$J$305)*(Timeline!$I$5:$I$305&lt;=AI$4+5)*(Timeline!$J$5:$J$305&gt;=AI$4+5)),SUMPRODUCT((INDEX(Timeline!$P$5:$AN$305,0,MATCH($A19,Timeline!$P$4:$AN$4,0))="x")*(Timeline!$K$5:$K$305="Task")*ISNUMBER(Timeline!$I$5:$I$305)*ISNUMBER(Timeline!$J$5:$J$305)*(Timeline!$I$5:$I$305&lt;=AI$4+6)*(Timeline!$J$5:$J$305&gt;=AI$4+6)))</f>
        <v>0</v>
      </c>
      <c r="AJ19" s="67">
        <f>MAX(SUMPRODUCT((INDEX(Timeline!$P$5:$AN$305,0,MATCH($A19,Timeline!$P$4:$AN$4,0))="x")*(Timeline!$K$5:$K$305="Task")*ISNUMBER(Timeline!$I$5:$I$305)*ISNUMBER(Timeline!$J$5:$J$305)*(Timeline!$I$5:$I$305&lt;=AJ$4+0)*(Timeline!$J$5:$J$305&gt;=AJ$4+0)),SUMPRODUCT((INDEX(Timeline!$P$5:$AN$305,0,MATCH($A19,Timeline!$P$4:$AN$4,0))="x")*(Timeline!$K$5:$K$305="Task")*ISNUMBER(Timeline!$I$5:$I$305)*ISNUMBER(Timeline!$J$5:$J$305)*(Timeline!$I$5:$I$305&lt;=AJ$4+1)*(Timeline!$J$5:$J$305&gt;=AJ$4+1)),SUMPRODUCT((INDEX(Timeline!$P$5:$AN$305,0,MATCH($A19,Timeline!$P$4:$AN$4,0))="x")*(Timeline!$K$5:$K$305="Task")*ISNUMBER(Timeline!$I$5:$I$305)*ISNUMBER(Timeline!$J$5:$J$305)*(Timeline!$I$5:$I$305&lt;=AJ$4+2)*(Timeline!$J$5:$J$305&gt;=AJ$4+2)),SUMPRODUCT((INDEX(Timeline!$P$5:$AN$305,0,MATCH($A19,Timeline!$P$4:$AN$4,0))="x")*(Timeline!$K$5:$K$305="Task")*ISNUMBER(Timeline!$I$5:$I$305)*ISNUMBER(Timeline!$J$5:$J$305)*(Timeline!$I$5:$I$305&lt;=AJ$4+3)*(Timeline!$J$5:$J$305&gt;=AJ$4+3)),SUMPRODUCT((INDEX(Timeline!$P$5:$AN$305,0,MATCH($A19,Timeline!$P$4:$AN$4,0))="x")*(Timeline!$K$5:$K$305="Task")*ISNUMBER(Timeline!$I$5:$I$305)*ISNUMBER(Timeline!$J$5:$J$305)*(Timeline!$I$5:$I$305&lt;=AJ$4+4)*(Timeline!$J$5:$J$305&gt;=AJ$4+4)),SUMPRODUCT((INDEX(Timeline!$P$5:$AN$305,0,MATCH($A19,Timeline!$P$4:$AN$4,0))="x")*(Timeline!$K$5:$K$305="Task")*ISNUMBER(Timeline!$I$5:$I$305)*ISNUMBER(Timeline!$J$5:$J$305)*(Timeline!$I$5:$I$305&lt;=AJ$4+5)*(Timeline!$J$5:$J$305&gt;=AJ$4+5)),SUMPRODUCT((INDEX(Timeline!$P$5:$AN$305,0,MATCH($A19,Timeline!$P$4:$AN$4,0))="x")*(Timeline!$K$5:$K$305="Task")*ISNUMBER(Timeline!$I$5:$I$305)*ISNUMBER(Timeline!$J$5:$J$305)*(Timeline!$I$5:$I$305&lt;=AJ$4+6)*(Timeline!$J$5:$J$305&gt;=AJ$4+6)))</f>
        <v>0</v>
      </c>
      <c r="AK19" s="67">
        <f>MAX(SUMPRODUCT((INDEX(Timeline!$P$5:$AN$305,0,MATCH($A19,Timeline!$P$4:$AN$4,0))="x")*(Timeline!$K$5:$K$305="Task")*ISNUMBER(Timeline!$I$5:$I$305)*ISNUMBER(Timeline!$J$5:$J$305)*(Timeline!$I$5:$I$305&lt;=AK$4+0)*(Timeline!$J$5:$J$305&gt;=AK$4+0)),SUMPRODUCT((INDEX(Timeline!$P$5:$AN$305,0,MATCH($A19,Timeline!$P$4:$AN$4,0))="x")*(Timeline!$K$5:$K$305="Task")*ISNUMBER(Timeline!$I$5:$I$305)*ISNUMBER(Timeline!$J$5:$J$305)*(Timeline!$I$5:$I$305&lt;=AK$4+1)*(Timeline!$J$5:$J$305&gt;=AK$4+1)),SUMPRODUCT((INDEX(Timeline!$P$5:$AN$305,0,MATCH($A19,Timeline!$P$4:$AN$4,0))="x")*(Timeline!$K$5:$K$305="Task")*ISNUMBER(Timeline!$I$5:$I$305)*ISNUMBER(Timeline!$J$5:$J$305)*(Timeline!$I$5:$I$305&lt;=AK$4+2)*(Timeline!$J$5:$J$305&gt;=AK$4+2)),SUMPRODUCT((INDEX(Timeline!$P$5:$AN$305,0,MATCH($A19,Timeline!$P$4:$AN$4,0))="x")*(Timeline!$K$5:$K$305="Task")*ISNUMBER(Timeline!$I$5:$I$305)*ISNUMBER(Timeline!$J$5:$J$305)*(Timeline!$I$5:$I$305&lt;=AK$4+3)*(Timeline!$J$5:$J$305&gt;=AK$4+3)),SUMPRODUCT((INDEX(Timeline!$P$5:$AN$305,0,MATCH($A19,Timeline!$P$4:$AN$4,0))="x")*(Timeline!$K$5:$K$305="Task")*ISNUMBER(Timeline!$I$5:$I$305)*ISNUMBER(Timeline!$J$5:$J$305)*(Timeline!$I$5:$I$305&lt;=AK$4+4)*(Timeline!$J$5:$J$305&gt;=AK$4+4)),SUMPRODUCT((INDEX(Timeline!$P$5:$AN$305,0,MATCH($A19,Timeline!$P$4:$AN$4,0))="x")*(Timeline!$K$5:$K$305="Task")*ISNUMBER(Timeline!$I$5:$I$305)*ISNUMBER(Timeline!$J$5:$J$305)*(Timeline!$I$5:$I$305&lt;=AK$4+5)*(Timeline!$J$5:$J$305&gt;=AK$4+5)),SUMPRODUCT((INDEX(Timeline!$P$5:$AN$305,0,MATCH($A19,Timeline!$P$4:$AN$4,0))="x")*(Timeline!$K$5:$K$305="Task")*ISNUMBER(Timeline!$I$5:$I$305)*ISNUMBER(Timeline!$J$5:$J$305)*(Timeline!$I$5:$I$305&lt;=AK$4+6)*(Timeline!$J$5:$J$305&gt;=AK$4+6)))</f>
        <v>0</v>
      </c>
      <c r="AL19" s="67">
        <f>MAX(SUMPRODUCT((INDEX(Timeline!$P$5:$AN$305,0,MATCH($A19,Timeline!$P$4:$AN$4,0))="x")*(Timeline!$K$5:$K$305="Task")*ISNUMBER(Timeline!$I$5:$I$305)*ISNUMBER(Timeline!$J$5:$J$305)*(Timeline!$I$5:$I$305&lt;=AL$4+0)*(Timeline!$J$5:$J$305&gt;=AL$4+0)),SUMPRODUCT((INDEX(Timeline!$P$5:$AN$305,0,MATCH($A19,Timeline!$P$4:$AN$4,0))="x")*(Timeline!$K$5:$K$305="Task")*ISNUMBER(Timeline!$I$5:$I$305)*ISNUMBER(Timeline!$J$5:$J$305)*(Timeline!$I$5:$I$305&lt;=AL$4+1)*(Timeline!$J$5:$J$305&gt;=AL$4+1)),SUMPRODUCT((INDEX(Timeline!$P$5:$AN$305,0,MATCH($A19,Timeline!$P$4:$AN$4,0))="x")*(Timeline!$K$5:$K$305="Task")*ISNUMBER(Timeline!$I$5:$I$305)*ISNUMBER(Timeline!$J$5:$J$305)*(Timeline!$I$5:$I$305&lt;=AL$4+2)*(Timeline!$J$5:$J$305&gt;=AL$4+2)),SUMPRODUCT((INDEX(Timeline!$P$5:$AN$305,0,MATCH($A19,Timeline!$P$4:$AN$4,0))="x")*(Timeline!$K$5:$K$305="Task")*ISNUMBER(Timeline!$I$5:$I$305)*ISNUMBER(Timeline!$J$5:$J$305)*(Timeline!$I$5:$I$305&lt;=AL$4+3)*(Timeline!$J$5:$J$305&gt;=AL$4+3)),SUMPRODUCT((INDEX(Timeline!$P$5:$AN$305,0,MATCH($A19,Timeline!$P$4:$AN$4,0))="x")*(Timeline!$K$5:$K$305="Task")*ISNUMBER(Timeline!$I$5:$I$305)*ISNUMBER(Timeline!$J$5:$J$305)*(Timeline!$I$5:$I$305&lt;=AL$4+4)*(Timeline!$J$5:$J$305&gt;=AL$4+4)),SUMPRODUCT((INDEX(Timeline!$P$5:$AN$305,0,MATCH($A19,Timeline!$P$4:$AN$4,0))="x")*(Timeline!$K$5:$K$305="Task")*ISNUMBER(Timeline!$I$5:$I$305)*ISNUMBER(Timeline!$J$5:$J$305)*(Timeline!$I$5:$I$305&lt;=AL$4+5)*(Timeline!$J$5:$J$305&gt;=AL$4+5)),SUMPRODUCT((INDEX(Timeline!$P$5:$AN$305,0,MATCH($A19,Timeline!$P$4:$AN$4,0))="x")*(Timeline!$K$5:$K$305="Task")*ISNUMBER(Timeline!$I$5:$I$305)*ISNUMBER(Timeline!$J$5:$J$305)*(Timeline!$I$5:$I$305&lt;=AL$4+6)*(Timeline!$J$5:$J$305&gt;=AL$4+6)))</f>
        <v>0</v>
      </c>
      <c r="AM19" s="67">
        <f>MAX(SUMPRODUCT((INDEX(Timeline!$P$5:$AN$305,0,MATCH($A19,Timeline!$P$4:$AN$4,0))="x")*(Timeline!$K$5:$K$305="Task")*ISNUMBER(Timeline!$I$5:$I$305)*ISNUMBER(Timeline!$J$5:$J$305)*(Timeline!$I$5:$I$305&lt;=AM$4+0)*(Timeline!$J$5:$J$305&gt;=AM$4+0)),SUMPRODUCT((INDEX(Timeline!$P$5:$AN$305,0,MATCH($A19,Timeline!$P$4:$AN$4,0))="x")*(Timeline!$K$5:$K$305="Task")*ISNUMBER(Timeline!$I$5:$I$305)*ISNUMBER(Timeline!$J$5:$J$305)*(Timeline!$I$5:$I$305&lt;=AM$4+1)*(Timeline!$J$5:$J$305&gt;=AM$4+1)),SUMPRODUCT((INDEX(Timeline!$P$5:$AN$305,0,MATCH($A19,Timeline!$P$4:$AN$4,0))="x")*(Timeline!$K$5:$K$305="Task")*ISNUMBER(Timeline!$I$5:$I$305)*ISNUMBER(Timeline!$J$5:$J$305)*(Timeline!$I$5:$I$305&lt;=AM$4+2)*(Timeline!$J$5:$J$305&gt;=AM$4+2)),SUMPRODUCT((INDEX(Timeline!$P$5:$AN$305,0,MATCH($A19,Timeline!$P$4:$AN$4,0))="x")*(Timeline!$K$5:$K$305="Task")*ISNUMBER(Timeline!$I$5:$I$305)*ISNUMBER(Timeline!$J$5:$J$305)*(Timeline!$I$5:$I$305&lt;=AM$4+3)*(Timeline!$J$5:$J$305&gt;=AM$4+3)),SUMPRODUCT((INDEX(Timeline!$P$5:$AN$305,0,MATCH($A19,Timeline!$P$4:$AN$4,0))="x")*(Timeline!$K$5:$K$305="Task")*ISNUMBER(Timeline!$I$5:$I$305)*ISNUMBER(Timeline!$J$5:$J$305)*(Timeline!$I$5:$I$305&lt;=AM$4+4)*(Timeline!$J$5:$J$305&gt;=AM$4+4)),SUMPRODUCT((INDEX(Timeline!$P$5:$AN$305,0,MATCH($A19,Timeline!$P$4:$AN$4,0))="x")*(Timeline!$K$5:$K$305="Task")*ISNUMBER(Timeline!$I$5:$I$305)*ISNUMBER(Timeline!$J$5:$J$305)*(Timeline!$I$5:$I$305&lt;=AM$4+5)*(Timeline!$J$5:$J$305&gt;=AM$4+5)),SUMPRODUCT((INDEX(Timeline!$P$5:$AN$305,0,MATCH($A19,Timeline!$P$4:$AN$4,0))="x")*(Timeline!$K$5:$K$305="Task")*ISNUMBER(Timeline!$I$5:$I$305)*ISNUMBER(Timeline!$J$5:$J$305)*(Timeline!$I$5:$I$305&lt;=AM$4+6)*(Timeline!$J$5:$J$305&gt;=AM$4+6)))</f>
        <v>0</v>
      </c>
      <c r="AN19" s="67">
        <f>MAX(SUMPRODUCT((INDEX(Timeline!$P$5:$AN$305,0,MATCH($A19,Timeline!$P$4:$AN$4,0))="x")*(Timeline!$K$5:$K$305="Task")*ISNUMBER(Timeline!$I$5:$I$305)*ISNUMBER(Timeline!$J$5:$J$305)*(Timeline!$I$5:$I$305&lt;=AN$4+0)*(Timeline!$J$5:$J$305&gt;=AN$4+0)),SUMPRODUCT((INDEX(Timeline!$P$5:$AN$305,0,MATCH($A19,Timeline!$P$4:$AN$4,0))="x")*(Timeline!$K$5:$K$305="Task")*ISNUMBER(Timeline!$I$5:$I$305)*ISNUMBER(Timeline!$J$5:$J$305)*(Timeline!$I$5:$I$305&lt;=AN$4+1)*(Timeline!$J$5:$J$305&gt;=AN$4+1)),SUMPRODUCT((INDEX(Timeline!$P$5:$AN$305,0,MATCH($A19,Timeline!$P$4:$AN$4,0))="x")*(Timeline!$K$5:$K$305="Task")*ISNUMBER(Timeline!$I$5:$I$305)*ISNUMBER(Timeline!$J$5:$J$305)*(Timeline!$I$5:$I$305&lt;=AN$4+2)*(Timeline!$J$5:$J$305&gt;=AN$4+2)),SUMPRODUCT((INDEX(Timeline!$P$5:$AN$305,0,MATCH($A19,Timeline!$P$4:$AN$4,0))="x")*(Timeline!$K$5:$K$305="Task")*ISNUMBER(Timeline!$I$5:$I$305)*ISNUMBER(Timeline!$J$5:$J$305)*(Timeline!$I$5:$I$305&lt;=AN$4+3)*(Timeline!$J$5:$J$305&gt;=AN$4+3)),SUMPRODUCT((INDEX(Timeline!$P$5:$AN$305,0,MATCH($A19,Timeline!$P$4:$AN$4,0))="x")*(Timeline!$K$5:$K$305="Task")*ISNUMBER(Timeline!$I$5:$I$305)*ISNUMBER(Timeline!$J$5:$J$305)*(Timeline!$I$5:$I$305&lt;=AN$4+4)*(Timeline!$J$5:$J$305&gt;=AN$4+4)),SUMPRODUCT((INDEX(Timeline!$P$5:$AN$305,0,MATCH($A19,Timeline!$P$4:$AN$4,0))="x")*(Timeline!$K$5:$K$305="Task")*ISNUMBER(Timeline!$I$5:$I$305)*ISNUMBER(Timeline!$J$5:$J$305)*(Timeline!$I$5:$I$305&lt;=AN$4+5)*(Timeline!$J$5:$J$305&gt;=AN$4+5)),SUMPRODUCT((INDEX(Timeline!$P$5:$AN$305,0,MATCH($A19,Timeline!$P$4:$AN$4,0))="x")*(Timeline!$K$5:$K$305="Task")*ISNUMBER(Timeline!$I$5:$I$305)*ISNUMBER(Timeline!$J$5:$J$305)*(Timeline!$I$5:$I$305&lt;=AN$4+6)*(Timeline!$J$5:$J$305&gt;=AN$4+6)))</f>
        <v>0</v>
      </c>
      <c r="AO19" s="67">
        <f>MAX(SUMPRODUCT((INDEX(Timeline!$P$5:$AN$305,0,MATCH($A19,Timeline!$P$4:$AN$4,0))="x")*(Timeline!$K$5:$K$305="Task")*ISNUMBER(Timeline!$I$5:$I$305)*ISNUMBER(Timeline!$J$5:$J$305)*(Timeline!$I$5:$I$305&lt;=AO$4+0)*(Timeline!$J$5:$J$305&gt;=AO$4+0)),SUMPRODUCT((INDEX(Timeline!$P$5:$AN$305,0,MATCH($A19,Timeline!$P$4:$AN$4,0))="x")*(Timeline!$K$5:$K$305="Task")*ISNUMBER(Timeline!$I$5:$I$305)*ISNUMBER(Timeline!$J$5:$J$305)*(Timeline!$I$5:$I$305&lt;=AO$4+1)*(Timeline!$J$5:$J$305&gt;=AO$4+1)),SUMPRODUCT((INDEX(Timeline!$P$5:$AN$305,0,MATCH($A19,Timeline!$P$4:$AN$4,0))="x")*(Timeline!$K$5:$K$305="Task")*ISNUMBER(Timeline!$I$5:$I$305)*ISNUMBER(Timeline!$J$5:$J$305)*(Timeline!$I$5:$I$305&lt;=AO$4+2)*(Timeline!$J$5:$J$305&gt;=AO$4+2)),SUMPRODUCT((INDEX(Timeline!$P$5:$AN$305,0,MATCH($A19,Timeline!$P$4:$AN$4,0))="x")*(Timeline!$K$5:$K$305="Task")*ISNUMBER(Timeline!$I$5:$I$305)*ISNUMBER(Timeline!$J$5:$J$305)*(Timeline!$I$5:$I$305&lt;=AO$4+3)*(Timeline!$J$5:$J$305&gt;=AO$4+3)),SUMPRODUCT((INDEX(Timeline!$P$5:$AN$305,0,MATCH($A19,Timeline!$P$4:$AN$4,0))="x")*(Timeline!$K$5:$K$305="Task")*ISNUMBER(Timeline!$I$5:$I$305)*ISNUMBER(Timeline!$J$5:$J$305)*(Timeline!$I$5:$I$305&lt;=AO$4+4)*(Timeline!$J$5:$J$305&gt;=AO$4+4)),SUMPRODUCT((INDEX(Timeline!$P$5:$AN$305,0,MATCH($A19,Timeline!$P$4:$AN$4,0))="x")*(Timeline!$K$5:$K$305="Task")*ISNUMBER(Timeline!$I$5:$I$305)*ISNUMBER(Timeline!$J$5:$J$305)*(Timeline!$I$5:$I$305&lt;=AO$4+5)*(Timeline!$J$5:$J$305&gt;=AO$4+5)),SUMPRODUCT((INDEX(Timeline!$P$5:$AN$305,0,MATCH($A19,Timeline!$P$4:$AN$4,0))="x")*(Timeline!$K$5:$K$305="Task")*ISNUMBER(Timeline!$I$5:$I$305)*ISNUMBER(Timeline!$J$5:$J$305)*(Timeline!$I$5:$I$305&lt;=AO$4+6)*(Timeline!$J$5:$J$305&gt;=AO$4+6)))</f>
        <v>0</v>
      </c>
      <c r="AP19" s="67">
        <f>MAX(SUMPRODUCT((INDEX(Timeline!$P$5:$AN$305,0,MATCH($A19,Timeline!$P$4:$AN$4,0))="x")*(Timeline!$K$5:$K$305="Task")*ISNUMBER(Timeline!$I$5:$I$305)*ISNUMBER(Timeline!$J$5:$J$305)*(Timeline!$I$5:$I$305&lt;=AP$4+0)*(Timeline!$J$5:$J$305&gt;=AP$4+0)),SUMPRODUCT((INDEX(Timeline!$P$5:$AN$305,0,MATCH($A19,Timeline!$P$4:$AN$4,0))="x")*(Timeline!$K$5:$K$305="Task")*ISNUMBER(Timeline!$I$5:$I$305)*ISNUMBER(Timeline!$J$5:$J$305)*(Timeline!$I$5:$I$305&lt;=AP$4+1)*(Timeline!$J$5:$J$305&gt;=AP$4+1)),SUMPRODUCT((INDEX(Timeline!$P$5:$AN$305,0,MATCH($A19,Timeline!$P$4:$AN$4,0))="x")*(Timeline!$K$5:$K$305="Task")*ISNUMBER(Timeline!$I$5:$I$305)*ISNUMBER(Timeline!$J$5:$J$305)*(Timeline!$I$5:$I$305&lt;=AP$4+2)*(Timeline!$J$5:$J$305&gt;=AP$4+2)),SUMPRODUCT((INDEX(Timeline!$P$5:$AN$305,0,MATCH($A19,Timeline!$P$4:$AN$4,0))="x")*(Timeline!$K$5:$K$305="Task")*ISNUMBER(Timeline!$I$5:$I$305)*ISNUMBER(Timeline!$J$5:$J$305)*(Timeline!$I$5:$I$305&lt;=AP$4+3)*(Timeline!$J$5:$J$305&gt;=AP$4+3)),SUMPRODUCT((INDEX(Timeline!$P$5:$AN$305,0,MATCH($A19,Timeline!$P$4:$AN$4,0))="x")*(Timeline!$K$5:$K$305="Task")*ISNUMBER(Timeline!$I$5:$I$305)*ISNUMBER(Timeline!$J$5:$J$305)*(Timeline!$I$5:$I$305&lt;=AP$4+4)*(Timeline!$J$5:$J$305&gt;=AP$4+4)),SUMPRODUCT((INDEX(Timeline!$P$5:$AN$305,0,MATCH($A19,Timeline!$P$4:$AN$4,0))="x")*(Timeline!$K$5:$K$305="Task")*ISNUMBER(Timeline!$I$5:$I$305)*ISNUMBER(Timeline!$J$5:$J$305)*(Timeline!$I$5:$I$305&lt;=AP$4+5)*(Timeline!$J$5:$J$305&gt;=AP$4+5)),SUMPRODUCT((INDEX(Timeline!$P$5:$AN$305,0,MATCH($A19,Timeline!$P$4:$AN$4,0))="x")*(Timeline!$K$5:$K$305="Task")*ISNUMBER(Timeline!$I$5:$I$305)*ISNUMBER(Timeline!$J$5:$J$305)*(Timeline!$I$5:$I$305&lt;=AP$4+6)*(Timeline!$J$5:$J$305&gt;=AP$4+6)))</f>
        <v>0</v>
      </c>
      <c r="AQ19" s="67">
        <f>MAX(SUMPRODUCT((INDEX(Timeline!$P$5:$AN$305,0,MATCH($A19,Timeline!$P$4:$AN$4,0))="x")*(Timeline!$K$5:$K$305="Task")*ISNUMBER(Timeline!$I$5:$I$305)*ISNUMBER(Timeline!$J$5:$J$305)*(Timeline!$I$5:$I$305&lt;=AQ$4+0)*(Timeline!$J$5:$J$305&gt;=AQ$4+0)),SUMPRODUCT((INDEX(Timeline!$P$5:$AN$305,0,MATCH($A19,Timeline!$P$4:$AN$4,0))="x")*(Timeline!$K$5:$K$305="Task")*ISNUMBER(Timeline!$I$5:$I$305)*ISNUMBER(Timeline!$J$5:$J$305)*(Timeline!$I$5:$I$305&lt;=AQ$4+1)*(Timeline!$J$5:$J$305&gt;=AQ$4+1)),SUMPRODUCT((INDEX(Timeline!$P$5:$AN$305,0,MATCH($A19,Timeline!$P$4:$AN$4,0))="x")*(Timeline!$K$5:$K$305="Task")*ISNUMBER(Timeline!$I$5:$I$305)*ISNUMBER(Timeline!$J$5:$J$305)*(Timeline!$I$5:$I$305&lt;=AQ$4+2)*(Timeline!$J$5:$J$305&gt;=AQ$4+2)),SUMPRODUCT((INDEX(Timeline!$P$5:$AN$305,0,MATCH($A19,Timeline!$P$4:$AN$4,0))="x")*(Timeline!$K$5:$K$305="Task")*ISNUMBER(Timeline!$I$5:$I$305)*ISNUMBER(Timeline!$J$5:$J$305)*(Timeline!$I$5:$I$305&lt;=AQ$4+3)*(Timeline!$J$5:$J$305&gt;=AQ$4+3)),SUMPRODUCT((INDEX(Timeline!$P$5:$AN$305,0,MATCH($A19,Timeline!$P$4:$AN$4,0))="x")*(Timeline!$K$5:$K$305="Task")*ISNUMBER(Timeline!$I$5:$I$305)*ISNUMBER(Timeline!$J$5:$J$305)*(Timeline!$I$5:$I$305&lt;=AQ$4+4)*(Timeline!$J$5:$J$305&gt;=AQ$4+4)),SUMPRODUCT((INDEX(Timeline!$P$5:$AN$305,0,MATCH($A19,Timeline!$P$4:$AN$4,0))="x")*(Timeline!$K$5:$K$305="Task")*ISNUMBER(Timeline!$I$5:$I$305)*ISNUMBER(Timeline!$J$5:$J$305)*(Timeline!$I$5:$I$305&lt;=AQ$4+5)*(Timeline!$J$5:$J$305&gt;=AQ$4+5)),SUMPRODUCT((INDEX(Timeline!$P$5:$AN$305,0,MATCH($A19,Timeline!$P$4:$AN$4,0))="x")*(Timeline!$K$5:$K$305="Task")*ISNUMBER(Timeline!$I$5:$I$305)*ISNUMBER(Timeline!$J$5:$J$305)*(Timeline!$I$5:$I$305&lt;=AQ$4+6)*(Timeline!$J$5:$J$305&gt;=AQ$4+6)))</f>
        <v>0</v>
      </c>
      <c r="AR19" s="67">
        <f>MAX(SUMPRODUCT((INDEX(Timeline!$P$5:$AN$305,0,MATCH($A19,Timeline!$P$4:$AN$4,0))="x")*(Timeline!$K$5:$K$305="Task")*ISNUMBER(Timeline!$I$5:$I$305)*ISNUMBER(Timeline!$J$5:$J$305)*(Timeline!$I$5:$I$305&lt;=AR$4+0)*(Timeline!$J$5:$J$305&gt;=AR$4+0)),SUMPRODUCT((INDEX(Timeline!$P$5:$AN$305,0,MATCH($A19,Timeline!$P$4:$AN$4,0))="x")*(Timeline!$K$5:$K$305="Task")*ISNUMBER(Timeline!$I$5:$I$305)*ISNUMBER(Timeline!$J$5:$J$305)*(Timeline!$I$5:$I$305&lt;=AR$4+1)*(Timeline!$J$5:$J$305&gt;=AR$4+1)),SUMPRODUCT((INDEX(Timeline!$P$5:$AN$305,0,MATCH($A19,Timeline!$P$4:$AN$4,0))="x")*(Timeline!$K$5:$K$305="Task")*ISNUMBER(Timeline!$I$5:$I$305)*ISNUMBER(Timeline!$J$5:$J$305)*(Timeline!$I$5:$I$305&lt;=AR$4+2)*(Timeline!$J$5:$J$305&gt;=AR$4+2)),SUMPRODUCT((INDEX(Timeline!$P$5:$AN$305,0,MATCH($A19,Timeline!$P$4:$AN$4,0))="x")*(Timeline!$K$5:$K$305="Task")*ISNUMBER(Timeline!$I$5:$I$305)*ISNUMBER(Timeline!$J$5:$J$305)*(Timeline!$I$5:$I$305&lt;=AR$4+3)*(Timeline!$J$5:$J$305&gt;=AR$4+3)),SUMPRODUCT((INDEX(Timeline!$P$5:$AN$305,0,MATCH($A19,Timeline!$P$4:$AN$4,0))="x")*(Timeline!$K$5:$K$305="Task")*ISNUMBER(Timeline!$I$5:$I$305)*ISNUMBER(Timeline!$J$5:$J$305)*(Timeline!$I$5:$I$305&lt;=AR$4+4)*(Timeline!$J$5:$J$305&gt;=AR$4+4)),SUMPRODUCT((INDEX(Timeline!$P$5:$AN$305,0,MATCH($A19,Timeline!$P$4:$AN$4,0))="x")*(Timeline!$K$5:$K$305="Task")*ISNUMBER(Timeline!$I$5:$I$305)*ISNUMBER(Timeline!$J$5:$J$305)*(Timeline!$I$5:$I$305&lt;=AR$4+5)*(Timeline!$J$5:$J$305&gt;=AR$4+5)),SUMPRODUCT((INDEX(Timeline!$P$5:$AN$305,0,MATCH($A19,Timeline!$P$4:$AN$4,0))="x")*(Timeline!$K$5:$K$305="Task")*ISNUMBER(Timeline!$I$5:$I$305)*ISNUMBER(Timeline!$J$5:$J$305)*(Timeline!$I$5:$I$305&lt;=AR$4+6)*(Timeline!$J$5:$J$305&gt;=AR$4+6)))</f>
        <v>0</v>
      </c>
      <c r="AS19" s="67">
        <f>MAX(SUMPRODUCT((INDEX(Timeline!$P$5:$AN$305,0,MATCH($A19,Timeline!$P$4:$AN$4,0))="x")*(Timeline!$K$5:$K$305="Task")*ISNUMBER(Timeline!$I$5:$I$305)*ISNUMBER(Timeline!$J$5:$J$305)*(Timeline!$I$5:$I$305&lt;=AS$4+0)*(Timeline!$J$5:$J$305&gt;=AS$4+0)),SUMPRODUCT((INDEX(Timeline!$P$5:$AN$305,0,MATCH($A19,Timeline!$P$4:$AN$4,0))="x")*(Timeline!$K$5:$K$305="Task")*ISNUMBER(Timeline!$I$5:$I$305)*ISNUMBER(Timeline!$J$5:$J$305)*(Timeline!$I$5:$I$305&lt;=AS$4+1)*(Timeline!$J$5:$J$305&gt;=AS$4+1)),SUMPRODUCT((INDEX(Timeline!$P$5:$AN$305,0,MATCH($A19,Timeline!$P$4:$AN$4,0))="x")*(Timeline!$K$5:$K$305="Task")*ISNUMBER(Timeline!$I$5:$I$305)*ISNUMBER(Timeline!$J$5:$J$305)*(Timeline!$I$5:$I$305&lt;=AS$4+2)*(Timeline!$J$5:$J$305&gt;=AS$4+2)),SUMPRODUCT((INDEX(Timeline!$P$5:$AN$305,0,MATCH($A19,Timeline!$P$4:$AN$4,0))="x")*(Timeline!$K$5:$K$305="Task")*ISNUMBER(Timeline!$I$5:$I$305)*ISNUMBER(Timeline!$J$5:$J$305)*(Timeline!$I$5:$I$305&lt;=AS$4+3)*(Timeline!$J$5:$J$305&gt;=AS$4+3)),SUMPRODUCT((INDEX(Timeline!$P$5:$AN$305,0,MATCH($A19,Timeline!$P$4:$AN$4,0))="x")*(Timeline!$K$5:$K$305="Task")*ISNUMBER(Timeline!$I$5:$I$305)*ISNUMBER(Timeline!$J$5:$J$305)*(Timeline!$I$5:$I$305&lt;=AS$4+4)*(Timeline!$J$5:$J$305&gt;=AS$4+4)),SUMPRODUCT((INDEX(Timeline!$P$5:$AN$305,0,MATCH($A19,Timeline!$P$4:$AN$4,0))="x")*(Timeline!$K$5:$K$305="Task")*ISNUMBER(Timeline!$I$5:$I$305)*ISNUMBER(Timeline!$J$5:$J$305)*(Timeline!$I$5:$I$305&lt;=AS$4+5)*(Timeline!$J$5:$J$305&gt;=AS$4+5)),SUMPRODUCT((INDEX(Timeline!$P$5:$AN$305,0,MATCH($A19,Timeline!$P$4:$AN$4,0))="x")*(Timeline!$K$5:$K$305="Task")*ISNUMBER(Timeline!$I$5:$I$305)*ISNUMBER(Timeline!$J$5:$J$305)*(Timeline!$I$5:$I$305&lt;=AS$4+6)*(Timeline!$J$5:$J$305&gt;=AS$4+6)))</f>
        <v>0</v>
      </c>
      <c r="AT19" s="67">
        <f>MAX(SUMPRODUCT((INDEX(Timeline!$P$5:$AN$305,0,MATCH($A19,Timeline!$P$4:$AN$4,0))="x")*(Timeline!$K$5:$K$305="Task")*ISNUMBER(Timeline!$I$5:$I$305)*ISNUMBER(Timeline!$J$5:$J$305)*(Timeline!$I$5:$I$305&lt;=AT$4+0)*(Timeline!$J$5:$J$305&gt;=AT$4+0)),SUMPRODUCT((INDEX(Timeline!$P$5:$AN$305,0,MATCH($A19,Timeline!$P$4:$AN$4,0))="x")*(Timeline!$K$5:$K$305="Task")*ISNUMBER(Timeline!$I$5:$I$305)*ISNUMBER(Timeline!$J$5:$J$305)*(Timeline!$I$5:$I$305&lt;=AT$4+1)*(Timeline!$J$5:$J$305&gt;=AT$4+1)),SUMPRODUCT((INDEX(Timeline!$P$5:$AN$305,0,MATCH($A19,Timeline!$P$4:$AN$4,0))="x")*(Timeline!$K$5:$K$305="Task")*ISNUMBER(Timeline!$I$5:$I$305)*ISNUMBER(Timeline!$J$5:$J$305)*(Timeline!$I$5:$I$305&lt;=AT$4+2)*(Timeline!$J$5:$J$305&gt;=AT$4+2)),SUMPRODUCT((INDEX(Timeline!$P$5:$AN$305,0,MATCH($A19,Timeline!$P$4:$AN$4,0))="x")*(Timeline!$K$5:$K$305="Task")*ISNUMBER(Timeline!$I$5:$I$305)*ISNUMBER(Timeline!$J$5:$J$305)*(Timeline!$I$5:$I$305&lt;=AT$4+3)*(Timeline!$J$5:$J$305&gt;=AT$4+3)),SUMPRODUCT((INDEX(Timeline!$P$5:$AN$305,0,MATCH($A19,Timeline!$P$4:$AN$4,0))="x")*(Timeline!$K$5:$K$305="Task")*ISNUMBER(Timeline!$I$5:$I$305)*ISNUMBER(Timeline!$J$5:$J$305)*(Timeline!$I$5:$I$305&lt;=AT$4+4)*(Timeline!$J$5:$J$305&gt;=AT$4+4)),SUMPRODUCT((INDEX(Timeline!$P$5:$AN$305,0,MATCH($A19,Timeline!$P$4:$AN$4,0))="x")*(Timeline!$K$5:$K$305="Task")*ISNUMBER(Timeline!$I$5:$I$305)*ISNUMBER(Timeline!$J$5:$J$305)*(Timeline!$I$5:$I$305&lt;=AT$4+5)*(Timeline!$J$5:$J$305&gt;=AT$4+5)),SUMPRODUCT((INDEX(Timeline!$P$5:$AN$305,0,MATCH($A19,Timeline!$P$4:$AN$4,0))="x")*(Timeline!$K$5:$K$305="Task")*ISNUMBER(Timeline!$I$5:$I$305)*ISNUMBER(Timeline!$J$5:$J$305)*(Timeline!$I$5:$I$305&lt;=AT$4+6)*(Timeline!$J$5:$J$305&gt;=AT$4+6)))</f>
        <v>0</v>
      </c>
      <c r="AU19" s="67">
        <f>MAX(SUMPRODUCT((INDEX(Timeline!$P$5:$AN$305,0,MATCH($A19,Timeline!$P$4:$AN$4,0))="x")*(Timeline!$K$5:$K$305="Task")*ISNUMBER(Timeline!$I$5:$I$305)*ISNUMBER(Timeline!$J$5:$J$305)*(Timeline!$I$5:$I$305&lt;=AU$4+0)*(Timeline!$J$5:$J$305&gt;=AU$4+0)),SUMPRODUCT((INDEX(Timeline!$P$5:$AN$305,0,MATCH($A19,Timeline!$P$4:$AN$4,0))="x")*(Timeline!$K$5:$K$305="Task")*ISNUMBER(Timeline!$I$5:$I$305)*ISNUMBER(Timeline!$J$5:$J$305)*(Timeline!$I$5:$I$305&lt;=AU$4+1)*(Timeline!$J$5:$J$305&gt;=AU$4+1)),SUMPRODUCT((INDEX(Timeline!$P$5:$AN$305,0,MATCH($A19,Timeline!$P$4:$AN$4,0))="x")*(Timeline!$K$5:$K$305="Task")*ISNUMBER(Timeline!$I$5:$I$305)*ISNUMBER(Timeline!$J$5:$J$305)*(Timeline!$I$5:$I$305&lt;=AU$4+2)*(Timeline!$J$5:$J$305&gt;=AU$4+2)),SUMPRODUCT((INDEX(Timeline!$P$5:$AN$305,0,MATCH($A19,Timeline!$P$4:$AN$4,0))="x")*(Timeline!$K$5:$K$305="Task")*ISNUMBER(Timeline!$I$5:$I$305)*ISNUMBER(Timeline!$J$5:$J$305)*(Timeline!$I$5:$I$305&lt;=AU$4+3)*(Timeline!$J$5:$J$305&gt;=AU$4+3)),SUMPRODUCT((INDEX(Timeline!$P$5:$AN$305,0,MATCH($A19,Timeline!$P$4:$AN$4,0))="x")*(Timeline!$K$5:$K$305="Task")*ISNUMBER(Timeline!$I$5:$I$305)*ISNUMBER(Timeline!$J$5:$J$305)*(Timeline!$I$5:$I$305&lt;=AU$4+4)*(Timeline!$J$5:$J$305&gt;=AU$4+4)),SUMPRODUCT((INDEX(Timeline!$P$5:$AN$305,0,MATCH($A19,Timeline!$P$4:$AN$4,0))="x")*(Timeline!$K$5:$K$305="Task")*ISNUMBER(Timeline!$I$5:$I$305)*ISNUMBER(Timeline!$J$5:$J$305)*(Timeline!$I$5:$I$305&lt;=AU$4+5)*(Timeline!$J$5:$J$305&gt;=AU$4+5)),SUMPRODUCT((INDEX(Timeline!$P$5:$AN$305,0,MATCH($A19,Timeline!$P$4:$AN$4,0))="x")*(Timeline!$K$5:$K$305="Task")*ISNUMBER(Timeline!$I$5:$I$305)*ISNUMBER(Timeline!$J$5:$J$305)*(Timeline!$I$5:$I$305&lt;=AU$4+6)*(Timeline!$J$5:$J$305&gt;=AU$4+6)))</f>
        <v>0</v>
      </c>
      <c r="AV19" s="67">
        <f>MAX(SUMPRODUCT((INDEX(Timeline!$P$5:$AN$305,0,MATCH($A19,Timeline!$P$4:$AN$4,0))="x")*(Timeline!$K$5:$K$305="Task")*ISNUMBER(Timeline!$I$5:$I$305)*ISNUMBER(Timeline!$J$5:$J$305)*(Timeline!$I$5:$I$305&lt;=AV$4+0)*(Timeline!$J$5:$J$305&gt;=AV$4+0)),SUMPRODUCT((INDEX(Timeline!$P$5:$AN$305,0,MATCH($A19,Timeline!$P$4:$AN$4,0))="x")*(Timeline!$K$5:$K$305="Task")*ISNUMBER(Timeline!$I$5:$I$305)*ISNUMBER(Timeline!$J$5:$J$305)*(Timeline!$I$5:$I$305&lt;=AV$4+1)*(Timeline!$J$5:$J$305&gt;=AV$4+1)),SUMPRODUCT((INDEX(Timeline!$P$5:$AN$305,0,MATCH($A19,Timeline!$P$4:$AN$4,0))="x")*(Timeline!$K$5:$K$305="Task")*ISNUMBER(Timeline!$I$5:$I$305)*ISNUMBER(Timeline!$J$5:$J$305)*(Timeline!$I$5:$I$305&lt;=AV$4+2)*(Timeline!$J$5:$J$305&gt;=AV$4+2)),SUMPRODUCT((INDEX(Timeline!$P$5:$AN$305,0,MATCH($A19,Timeline!$P$4:$AN$4,0))="x")*(Timeline!$K$5:$K$305="Task")*ISNUMBER(Timeline!$I$5:$I$305)*ISNUMBER(Timeline!$J$5:$J$305)*(Timeline!$I$5:$I$305&lt;=AV$4+3)*(Timeline!$J$5:$J$305&gt;=AV$4+3)),SUMPRODUCT((INDEX(Timeline!$P$5:$AN$305,0,MATCH($A19,Timeline!$P$4:$AN$4,0))="x")*(Timeline!$K$5:$K$305="Task")*ISNUMBER(Timeline!$I$5:$I$305)*ISNUMBER(Timeline!$J$5:$J$305)*(Timeline!$I$5:$I$305&lt;=AV$4+4)*(Timeline!$J$5:$J$305&gt;=AV$4+4)),SUMPRODUCT((INDEX(Timeline!$P$5:$AN$305,0,MATCH($A19,Timeline!$P$4:$AN$4,0))="x")*(Timeline!$K$5:$K$305="Task")*ISNUMBER(Timeline!$I$5:$I$305)*ISNUMBER(Timeline!$J$5:$J$305)*(Timeline!$I$5:$I$305&lt;=AV$4+5)*(Timeline!$J$5:$J$305&gt;=AV$4+5)),SUMPRODUCT((INDEX(Timeline!$P$5:$AN$305,0,MATCH($A19,Timeline!$P$4:$AN$4,0))="x")*(Timeline!$K$5:$K$305="Task")*ISNUMBER(Timeline!$I$5:$I$305)*ISNUMBER(Timeline!$J$5:$J$305)*(Timeline!$I$5:$I$305&lt;=AV$4+6)*(Timeline!$J$5:$J$305&gt;=AV$4+6)))</f>
        <v>0</v>
      </c>
      <c r="AW19" s="67">
        <f>MAX(SUMPRODUCT((INDEX(Timeline!$P$5:$AN$305,0,MATCH($A19,Timeline!$P$4:$AN$4,0))="x")*(Timeline!$K$5:$K$305="Task")*ISNUMBER(Timeline!$I$5:$I$305)*ISNUMBER(Timeline!$J$5:$J$305)*(Timeline!$I$5:$I$305&lt;=AW$4+0)*(Timeline!$J$5:$J$305&gt;=AW$4+0)),SUMPRODUCT((INDEX(Timeline!$P$5:$AN$305,0,MATCH($A19,Timeline!$P$4:$AN$4,0))="x")*(Timeline!$K$5:$K$305="Task")*ISNUMBER(Timeline!$I$5:$I$305)*ISNUMBER(Timeline!$J$5:$J$305)*(Timeline!$I$5:$I$305&lt;=AW$4+1)*(Timeline!$J$5:$J$305&gt;=AW$4+1)),SUMPRODUCT((INDEX(Timeline!$P$5:$AN$305,0,MATCH($A19,Timeline!$P$4:$AN$4,0))="x")*(Timeline!$K$5:$K$305="Task")*ISNUMBER(Timeline!$I$5:$I$305)*ISNUMBER(Timeline!$J$5:$J$305)*(Timeline!$I$5:$I$305&lt;=AW$4+2)*(Timeline!$J$5:$J$305&gt;=AW$4+2)),SUMPRODUCT((INDEX(Timeline!$P$5:$AN$305,0,MATCH($A19,Timeline!$P$4:$AN$4,0))="x")*(Timeline!$K$5:$K$305="Task")*ISNUMBER(Timeline!$I$5:$I$305)*ISNUMBER(Timeline!$J$5:$J$305)*(Timeline!$I$5:$I$305&lt;=AW$4+3)*(Timeline!$J$5:$J$305&gt;=AW$4+3)),SUMPRODUCT((INDEX(Timeline!$P$5:$AN$305,0,MATCH($A19,Timeline!$P$4:$AN$4,0))="x")*(Timeline!$K$5:$K$305="Task")*ISNUMBER(Timeline!$I$5:$I$305)*ISNUMBER(Timeline!$J$5:$J$305)*(Timeline!$I$5:$I$305&lt;=AW$4+4)*(Timeline!$J$5:$J$305&gt;=AW$4+4)),SUMPRODUCT((INDEX(Timeline!$P$5:$AN$305,0,MATCH($A19,Timeline!$P$4:$AN$4,0))="x")*(Timeline!$K$5:$K$305="Task")*ISNUMBER(Timeline!$I$5:$I$305)*ISNUMBER(Timeline!$J$5:$J$305)*(Timeline!$I$5:$I$305&lt;=AW$4+5)*(Timeline!$J$5:$J$305&gt;=AW$4+5)),SUMPRODUCT((INDEX(Timeline!$P$5:$AN$305,0,MATCH($A19,Timeline!$P$4:$AN$4,0))="x")*(Timeline!$K$5:$K$305="Task")*ISNUMBER(Timeline!$I$5:$I$305)*ISNUMBER(Timeline!$J$5:$J$305)*(Timeline!$I$5:$I$305&lt;=AW$4+6)*(Timeline!$J$5:$J$305&gt;=AW$4+6)))</f>
        <v>0</v>
      </c>
      <c r="AX19" s="67">
        <f>MAX(SUMPRODUCT((INDEX(Timeline!$P$5:$AN$305,0,MATCH($A19,Timeline!$P$4:$AN$4,0))="x")*(Timeline!$K$5:$K$305="Task")*ISNUMBER(Timeline!$I$5:$I$305)*ISNUMBER(Timeline!$J$5:$J$305)*(Timeline!$I$5:$I$305&lt;=AX$4+0)*(Timeline!$J$5:$J$305&gt;=AX$4+0)),SUMPRODUCT((INDEX(Timeline!$P$5:$AN$305,0,MATCH($A19,Timeline!$P$4:$AN$4,0))="x")*(Timeline!$K$5:$K$305="Task")*ISNUMBER(Timeline!$I$5:$I$305)*ISNUMBER(Timeline!$J$5:$J$305)*(Timeline!$I$5:$I$305&lt;=AX$4+1)*(Timeline!$J$5:$J$305&gt;=AX$4+1)),SUMPRODUCT((INDEX(Timeline!$P$5:$AN$305,0,MATCH($A19,Timeline!$P$4:$AN$4,0))="x")*(Timeline!$K$5:$K$305="Task")*ISNUMBER(Timeline!$I$5:$I$305)*ISNUMBER(Timeline!$J$5:$J$305)*(Timeline!$I$5:$I$305&lt;=AX$4+2)*(Timeline!$J$5:$J$305&gt;=AX$4+2)),SUMPRODUCT((INDEX(Timeline!$P$5:$AN$305,0,MATCH($A19,Timeline!$P$4:$AN$4,0))="x")*(Timeline!$K$5:$K$305="Task")*ISNUMBER(Timeline!$I$5:$I$305)*ISNUMBER(Timeline!$J$5:$J$305)*(Timeline!$I$5:$I$305&lt;=AX$4+3)*(Timeline!$J$5:$J$305&gt;=AX$4+3)),SUMPRODUCT((INDEX(Timeline!$P$5:$AN$305,0,MATCH($A19,Timeline!$P$4:$AN$4,0))="x")*(Timeline!$K$5:$K$305="Task")*ISNUMBER(Timeline!$I$5:$I$305)*ISNUMBER(Timeline!$J$5:$J$305)*(Timeline!$I$5:$I$305&lt;=AX$4+4)*(Timeline!$J$5:$J$305&gt;=AX$4+4)),SUMPRODUCT((INDEX(Timeline!$P$5:$AN$305,0,MATCH($A19,Timeline!$P$4:$AN$4,0))="x")*(Timeline!$K$5:$K$305="Task")*ISNUMBER(Timeline!$I$5:$I$305)*ISNUMBER(Timeline!$J$5:$J$305)*(Timeline!$I$5:$I$305&lt;=AX$4+5)*(Timeline!$J$5:$J$305&gt;=AX$4+5)),SUMPRODUCT((INDEX(Timeline!$P$5:$AN$305,0,MATCH($A19,Timeline!$P$4:$AN$4,0))="x")*(Timeline!$K$5:$K$305="Task")*ISNUMBER(Timeline!$I$5:$I$305)*ISNUMBER(Timeline!$J$5:$J$305)*(Timeline!$I$5:$I$305&lt;=AX$4+6)*(Timeline!$J$5:$J$305&gt;=AX$4+6)))</f>
        <v>0</v>
      </c>
      <c r="AY19" s="67">
        <f>MAX(SUMPRODUCT((INDEX(Timeline!$P$5:$AN$305,0,MATCH($A19,Timeline!$P$4:$AN$4,0))="x")*(Timeline!$K$5:$K$305="Task")*ISNUMBER(Timeline!$I$5:$I$305)*ISNUMBER(Timeline!$J$5:$J$305)*(Timeline!$I$5:$I$305&lt;=AY$4+0)*(Timeline!$J$5:$J$305&gt;=AY$4+0)),SUMPRODUCT((INDEX(Timeline!$P$5:$AN$305,0,MATCH($A19,Timeline!$P$4:$AN$4,0))="x")*(Timeline!$K$5:$K$305="Task")*ISNUMBER(Timeline!$I$5:$I$305)*ISNUMBER(Timeline!$J$5:$J$305)*(Timeline!$I$5:$I$305&lt;=AY$4+1)*(Timeline!$J$5:$J$305&gt;=AY$4+1)),SUMPRODUCT((INDEX(Timeline!$P$5:$AN$305,0,MATCH($A19,Timeline!$P$4:$AN$4,0))="x")*(Timeline!$K$5:$K$305="Task")*ISNUMBER(Timeline!$I$5:$I$305)*ISNUMBER(Timeline!$J$5:$J$305)*(Timeline!$I$5:$I$305&lt;=AY$4+2)*(Timeline!$J$5:$J$305&gt;=AY$4+2)),SUMPRODUCT((INDEX(Timeline!$P$5:$AN$305,0,MATCH($A19,Timeline!$P$4:$AN$4,0))="x")*(Timeline!$K$5:$K$305="Task")*ISNUMBER(Timeline!$I$5:$I$305)*ISNUMBER(Timeline!$J$5:$J$305)*(Timeline!$I$5:$I$305&lt;=AY$4+3)*(Timeline!$J$5:$J$305&gt;=AY$4+3)),SUMPRODUCT((INDEX(Timeline!$P$5:$AN$305,0,MATCH($A19,Timeline!$P$4:$AN$4,0))="x")*(Timeline!$K$5:$K$305="Task")*ISNUMBER(Timeline!$I$5:$I$305)*ISNUMBER(Timeline!$J$5:$J$305)*(Timeline!$I$5:$I$305&lt;=AY$4+4)*(Timeline!$J$5:$J$305&gt;=AY$4+4)),SUMPRODUCT((INDEX(Timeline!$P$5:$AN$305,0,MATCH($A19,Timeline!$P$4:$AN$4,0))="x")*(Timeline!$K$5:$K$305="Task")*ISNUMBER(Timeline!$I$5:$I$305)*ISNUMBER(Timeline!$J$5:$J$305)*(Timeline!$I$5:$I$305&lt;=AY$4+5)*(Timeline!$J$5:$J$305&gt;=AY$4+5)),SUMPRODUCT((INDEX(Timeline!$P$5:$AN$305,0,MATCH($A19,Timeline!$P$4:$AN$4,0))="x")*(Timeline!$K$5:$K$305="Task")*ISNUMBER(Timeline!$I$5:$I$305)*ISNUMBER(Timeline!$J$5:$J$305)*(Timeline!$I$5:$I$305&lt;=AY$4+6)*(Timeline!$J$5:$J$305&gt;=AY$4+6)))</f>
        <v>0</v>
      </c>
      <c r="AZ19" s="67">
        <f>MAX(SUMPRODUCT((INDEX(Timeline!$P$5:$AN$305,0,MATCH($A19,Timeline!$P$4:$AN$4,0))="x")*(Timeline!$K$5:$K$305="Task")*ISNUMBER(Timeline!$I$5:$I$305)*ISNUMBER(Timeline!$J$5:$J$305)*(Timeline!$I$5:$I$305&lt;=AZ$4+0)*(Timeline!$J$5:$J$305&gt;=AZ$4+0)),SUMPRODUCT((INDEX(Timeline!$P$5:$AN$305,0,MATCH($A19,Timeline!$P$4:$AN$4,0))="x")*(Timeline!$K$5:$K$305="Task")*ISNUMBER(Timeline!$I$5:$I$305)*ISNUMBER(Timeline!$J$5:$J$305)*(Timeline!$I$5:$I$305&lt;=AZ$4+1)*(Timeline!$J$5:$J$305&gt;=AZ$4+1)),SUMPRODUCT((INDEX(Timeline!$P$5:$AN$305,0,MATCH($A19,Timeline!$P$4:$AN$4,0))="x")*(Timeline!$K$5:$K$305="Task")*ISNUMBER(Timeline!$I$5:$I$305)*ISNUMBER(Timeline!$J$5:$J$305)*(Timeline!$I$5:$I$305&lt;=AZ$4+2)*(Timeline!$J$5:$J$305&gt;=AZ$4+2)),SUMPRODUCT((INDEX(Timeline!$P$5:$AN$305,0,MATCH($A19,Timeline!$P$4:$AN$4,0))="x")*(Timeline!$K$5:$K$305="Task")*ISNUMBER(Timeline!$I$5:$I$305)*ISNUMBER(Timeline!$J$5:$J$305)*(Timeline!$I$5:$I$305&lt;=AZ$4+3)*(Timeline!$J$5:$J$305&gt;=AZ$4+3)),SUMPRODUCT((INDEX(Timeline!$P$5:$AN$305,0,MATCH($A19,Timeline!$P$4:$AN$4,0))="x")*(Timeline!$K$5:$K$305="Task")*ISNUMBER(Timeline!$I$5:$I$305)*ISNUMBER(Timeline!$J$5:$J$305)*(Timeline!$I$5:$I$305&lt;=AZ$4+4)*(Timeline!$J$5:$J$305&gt;=AZ$4+4)),SUMPRODUCT((INDEX(Timeline!$P$5:$AN$305,0,MATCH($A19,Timeline!$P$4:$AN$4,0))="x")*(Timeline!$K$5:$K$305="Task")*ISNUMBER(Timeline!$I$5:$I$305)*ISNUMBER(Timeline!$J$5:$J$305)*(Timeline!$I$5:$I$305&lt;=AZ$4+5)*(Timeline!$J$5:$J$305&gt;=AZ$4+5)),SUMPRODUCT((INDEX(Timeline!$P$5:$AN$305,0,MATCH($A19,Timeline!$P$4:$AN$4,0))="x")*(Timeline!$K$5:$K$305="Task")*ISNUMBER(Timeline!$I$5:$I$305)*ISNUMBER(Timeline!$J$5:$J$305)*(Timeline!$I$5:$I$305&lt;=AZ$4+6)*(Timeline!$J$5:$J$305&gt;=AZ$4+6)))</f>
        <v>0</v>
      </c>
      <c r="BA19" s="67">
        <f>MAX(SUMPRODUCT((INDEX(Timeline!$P$5:$AN$305,0,MATCH($A19,Timeline!$P$4:$AN$4,0))="x")*(Timeline!$K$5:$K$305="Task")*ISNUMBER(Timeline!$I$5:$I$305)*ISNUMBER(Timeline!$J$5:$J$305)*(Timeline!$I$5:$I$305&lt;=BA$4+0)*(Timeline!$J$5:$J$305&gt;=BA$4+0)),SUMPRODUCT((INDEX(Timeline!$P$5:$AN$305,0,MATCH($A19,Timeline!$P$4:$AN$4,0))="x")*(Timeline!$K$5:$K$305="Task")*ISNUMBER(Timeline!$I$5:$I$305)*ISNUMBER(Timeline!$J$5:$J$305)*(Timeline!$I$5:$I$305&lt;=BA$4+1)*(Timeline!$J$5:$J$305&gt;=BA$4+1)),SUMPRODUCT((INDEX(Timeline!$P$5:$AN$305,0,MATCH($A19,Timeline!$P$4:$AN$4,0))="x")*(Timeline!$K$5:$K$305="Task")*ISNUMBER(Timeline!$I$5:$I$305)*ISNUMBER(Timeline!$J$5:$J$305)*(Timeline!$I$5:$I$305&lt;=BA$4+2)*(Timeline!$J$5:$J$305&gt;=BA$4+2)),SUMPRODUCT((INDEX(Timeline!$P$5:$AN$305,0,MATCH($A19,Timeline!$P$4:$AN$4,0))="x")*(Timeline!$K$5:$K$305="Task")*ISNUMBER(Timeline!$I$5:$I$305)*ISNUMBER(Timeline!$J$5:$J$305)*(Timeline!$I$5:$I$305&lt;=BA$4+3)*(Timeline!$J$5:$J$305&gt;=BA$4+3)),SUMPRODUCT((INDEX(Timeline!$P$5:$AN$305,0,MATCH($A19,Timeline!$P$4:$AN$4,0))="x")*(Timeline!$K$5:$K$305="Task")*ISNUMBER(Timeline!$I$5:$I$305)*ISNUMBER(Timeline!$J$5:$J$305)*(Timeline!$I$5:$I$305&lt;=BA$4+4)*(Timeline!$J$5:$J$305&gt;=BA$4+4)),SUMPRODUCT((INDEX(Timeline!$P$5:$AN$305,0,MATCH($A19,Timeline!$P$4:$AN$4,0))="x")*(Timeline!$K$5:$K$305="Task")*ISNUMBER(Timeline!$I$5:$I$305)*ISNUMBER(Timeline!$J$5:$J$305)*(Timeline!$I$5:$I$305&lt;=BA$4+5)*(Timeline!$J$5:$J$305&gt;=BA$4+5)),SUMPRODUCT((INDEX(Timeline!$P$5:$AN$305,0,MATCH($A19,Timeline!$P$4:$AN$4,0))="x")*(Timeline!$K$5:$K$305="Task")*ISNUMBER(Timeline!$I$5:$I$305)*ISNUMBER(Timeline!$J$5:$J$305)*(Timeline!$I$5:$I$305&lt;=BA$4+6)*(Timeline!$J$5:$J$305&gt;=BA$4+6)))</f>
        <v>0</v>
      </c>
    </row>
    <row r="20" spans="1:53" ht="15" customHeight="1">
      <c r="A20" s="66" t="s">
        <v>51</v>
      </c>
      <c r="B20" s="66" t="s">
        <v>16</v>
      </c>
      <c r="C20" s="67">
        <f>MAX(SUMPRODUCT((INDEX(Timeline!$P$5:$AN$305,0,MATCH($A20,Timeline!$P$4:$AN$4,0))="x")*(Timeline!$K$5:$K$305="Task")*ISNUMBER(Timeline!$I$5:$I$305)*ISNUMBER(Timeline!$J$5:$J$305)*(Timeline!$I$5:$I$305&lt;=C$4+0)*(Timeline!$J$5:$J$305&gt;=C$4+0)),SUMPRODUCT((INDEX(Timeline!$P$5:$AN$305,0,MATCH($A20,Timeline!$P$4:$AN$4,0))="x")*(Timeline!$K$5:$K$305="Task")*ISNUMBER(Timeline!$I$5:$I$305)*ISNUMBER(Timeline!$J$5:$J$305)*(Timeline!$I$5:$I$305&lt;=C$4+1)*(Timeline!$J$5:$J$305&gt;=C$4+1)),SUMPRODUCT((INDEX(Timeline!$P$5:$AN$305,0,MATCH($A20,Timeline!$P$4:$AN$4,0))="x")*(Timeline!$K$5:$K$305="Task")*ISNUMBER(Timeline!$I$5:$I$305)*ISNUMBER(Timeline!$J$5:$J$305)*(Timeline!$I$5:$I$305&lt;=C$4+2)*(Timeline!$J$5:$J$305&gt;=C$4+2)),SUMPRODUCT((INDEX(Timeline!$P$5:$AN$305,0,MATCH($A20,Timeline!$P$4:$AN$4,0))="x")*(Timeline!$K$5:$K$305="Task")*ISNUMBER(Timeline!$I$5:$I$305)*ISNUMBER(Timeline!$J$5:$J$305)*(Timeline!$I$5:$I$305&lt;=C$4+3)*(Timeline!$J$5:$J$305&gt;=C$4+3)),SUMPRODUCT((INDEX(Timeline!$P$5:$AN$305,0,MATCH($A20,Timeline!$P$4:$AN$4,0))="x")*(Timeline!$K$5:$K$305="Task")*ISNUMBER(Timeline!$I$5:$I$305)*ISNUMBER(Timeline!$J$5:$J$305)*(Timeline!$I$5:$I$305&lt;=C$4+4)*(Timeline!$J$5:$J$305&gt;=C$4+4)),SUMPRODUCT((INDEX(Timeline!$P$5:$AN$305,0,MATCH($A20,Timeline!$P$4:$AN$4,0))="x")*(Timeline!$K$5:$K$305="Task")*ISNUMBER(Timeline!$I$5:$I$305)*ISNUMBER(Timeline!$J$5:$J$305)*(Timeline!$I$5:$I$305&lt;=C$4+5)*(Timeline!$J$5:$J$305&gt;=C$4+5)),SUMPRODUCT((INDEX(Timeline!$P$5:$AN$305,0,MATCH($A20,Timeline!$P$4:$AN$4,0))="x")*(Timeline!$K$5:$K$305="Task")*ISNUMBER(Timeline!$I$5:$I$305)*ISNUMBER(Timeline!$J$5:$J$305)*(Timeline!$I$5:$I$305&lt;=C$4+6)*(Timeline!$J$5:$J$305&gt;=C$4+6)))</f>
        <v>0</v>
      </c>
      <c r="D20" s="67">
        <f>MAX(SUMPRODUCT((INDEX(Timeline!$P$5:$AN$305,0,MATCH($A20,Timeline!$P$4:$AN$4,0))="x")*(Timeline!$K$5:$K$305="Task")*ISNUMBER(Timeline!$I$5:$I$305)*ISNUMBER(Timeline!$J$5:$J$305)*(Timeline!$I$5:$I$305&lt;=D$4+0)*(Timeline!$J$5:$J$305&gt;=D$4+0)),SUMPRODUCT((INDEX(Timeline!$P$5:$AN$305,0,MATCH($A20,Timeline!$P$4:$AN$4,0))="x")*(Timeline!$K$5:$K$305="Task")*ISNUMBER(Timeline!$I$5:$I$305)*ISNUMBER(Timeline!$J$5:$J$305)*(Timeline!$I$5:$I$305&lt;=D$4+1)*(Timeline!$J$5:$J$305&gt;=D$4+1)),SUMPRODUCT((INDEX(Timeline!$P$5:$AN$305,0,MATCH($A20,Timeline!$P$4:$AN$4,0))="x")*(Timeline!$K$5:$K$305="Task")*ISNUMBER(Timeline!$I$5:$I$305)*ISNUMBER(Timeline!$J$5:$J$305)*(Timeline!$I$5:$I$305&lt;=D$4+2)*(Timeline!$J$5:$J$305&gt;=D$4+2)),SUMPRODUCT((INDEX(Timeline!$P$5:$AN$305,0,MATCH($A20,Timeline!$P$4:$AN$4,0))="x")*(Timeline!$K$5:$K$305="Task")*ISNUMBER(Timeline!$I$5:$I$305)*ISNUMBER(Timeline!$J$5:$J$305)*(Timeline!$I$5:$I$305&lt;=D$4+3)*(Timeline!$J$5:$J$305&gt;=D$4+3)),SUMPRODUCT((INDEX(Timeline!$P$5:$AN$305,0,MATCH($A20,Timeline!$P$4:$AN$4,0))="x")*(Timeline!$K$5:$K$305="Task")*ISNUMBER(Timeline!$I$5:$I$305)*ISNUMBER(Timeline!$J$5:$J$305)*(Timeline!$I$5:$I$305&lt;=D$4+4)*(Timeline!$J$5:$J$305&gt;=D$4+4)),SUMPRODUCT((INDEX(Timeline!$P$5:$AN$305,0,MATCH($A20,Timeline!$P$4:$AN$4,0))="x")*(Timeline!$K$5:$K$305="Task")*ISNUMBER(Timeline!$I$5:$I$305)*ISNUMBER(Timeline!$J$5:$J$305)*(Timeline!$I$5:$I$305&lt;=D$4+5)*(Timeline!$J$5:$J$305&gt;=D$4+5)),SUMPRODUCT((INDEX(Timeline!$P$5:$AN$305,0,MATCH($A20,Timeline!$P$4:$AN$4,0))="x")*(Timeline!$K$5:$K$305="Task")*ISNUMBER(Timeline!$I$5:$I$305)*ISNUMBER(Timeline!$J$5:$J$305)*(Timeline!$I$5:$I$305&lt;=D$4+6)*(Timeline!$J$5:$J$305&gt;=D$4+6)))</f>
        <v>0</v>
      </c>
      <c r="E20" s="67">
        <f>MAX(SUMPRODUCT((INDEX(Timeline!$P$5:$AN$305,0,MATCH($A20,Timeline!$P$4:$AN$4,0))="x")*(Timeline!$K$5:$K$305="Task")*ISNUMBER(Timeline!$I$5:$I$305)*ISNUMBER(Timeline!$J$5:$J$305)*(Timeline!$I$5:$I$305&lt;=E$4+0)*(Timeline!$J$5:$J$305&gt;=E$4+0)),SUMPRODUCT((INDEX(Timeline!$P$5:$AN$305,0,MATCH($A20,Timeline!$P$4:$AN$4,0))="x")*(Timeline!$K$5:$K$305="Task")*ISNUMBER(Timeline!$I$5:$I$305)*ISNUMBER(Timeline!$J$5:$J$305)*(Timeline!$I$5:$I$305&lt;=E$4+1)*(Timeline!$J$5:$J$305&gt;=E$4+1)),SUMPRODUCT((INDEX(Timeline!$P$5:$AN$305,0,MATCH($A20,Timeline!$P$4:$AN$4,0))="x")*(Timeline!$K$5:$K$305="Task")*ISNUMBER(Timeline!$I$5:$I$305)*ISNUMBER(Timeline!$J$5:$J$305)*(Timeline!$I$5:$I$305&lt;=E$4+2)*(Timeline!$J$5:$J$305&gt;=E$4+2)),SUMPRODUCT((INDEX(Timeline!$P$5:$AN$305,0,MATCH($A20,Timeline!$P$4:$AN$4,0))="x")*(Timeline!$K$5:$K$305="Task")*ISNUMBER(Timeline!$I$5:$I$305)*ISNUMBER(Timeline!$J$5:$J$305)*(Timeline!$I$5:$I$305&lt;=E$4+3)*(Timeline!$J$5:$J$305&gt;=E$4+3)),SUMPRODUCT((INDEX(Timeline!$P$5:$AN$305,0,MATCH($A20,Timeline!$P$4:$AN$4,0))="x")*(Timeline!$K$5:$K$305="Task")*ISNUMBER(Timeline!$I$5:$I$305)*ISNUMBER(Timeline!$J$5:$J$305)*(Timeline!$I$5:$I$305&lt;=E$4+4)*(Timeline!$J$5:$J$305&gt;=E$4+4)),SUMPRODUCT((INDEX(Timeline!$P$5:$AN$305,0,MATCH($A20,Timeline!$P$4:$AN$4,0))="x")*(Timeline!$K$5:$K$305="Task")*ISNUMBER(Timeline!$I$5:$I$305)*ISNUMBER(Timeline!$J$5:$J$305)*(Timeline!$I$5:$I$305&lt;=E$4+5)*(Timeline!$J$5:$J$305&gt;=E$4+5)),SUMPRODUCT((INDEX(Timeline!$P$5:$AN$305,0,MATCH($A20,Timeline!$P$4:$AN$4,0))="x")*(Timeline!$K$5:$K$305="Task")*ISNUMBER(Timeline!$I$5:$I$305)*ISNUMBER(Timeline!$J$5:$J$305)*(Timeline!$I$5:$I$305&lt;=E$4+6)*(Timeline!$J$5:$J$305&gt;=E$4+6)))</f>
        <v>0</v>
      </c>
      <c r="F20" s="67">
        <f>MAX(SUMPRODUCT((INDEX(Timeline!$P$5:$AN$305,0,MATCH($A20,Timeline!$P$4:$AN$4,0))="x")*(Timeline!$K$5:$K$305="Task")*ISNUMBER(Timeline!$I$5:$I$305)*ISNUMBER(Timeline!$J$5:$J$305)*(Timeline!$I$5:$I$305&lt;=F$4+0)*(Timeline!$J$5:$J$305&gt;=F$4+0)),SUMPRODUCT((INDEX(Timeline!$P$5:$AN$305,0,MATCH($A20,Timeline!$P$4:$AN$4,0))="x")*(Timeline!$K$5:$K$305="Task")*ISNUMBER(Timeline!$I$5:$I$305)*ISNUMBER(Timeline!$J$5:$J$305)*(Timeline!$I$5:$I$305&lt;=F$4+1)*(Timeline!$J$5:$J$305&gt;=F$4+1)),SUMPRODUCT((INDEX(Timeline!$P$5:$AN$305,0,MATCH($A20,Timeline!$P$4:$AN$4,0))="x")*(Timeline!$K$5:$K$305="Task")*ISNUMBER(Timeline!$I$5:$I$305)*ISNUMBER(Timeline!$J$5:$J$305)*(Timeline!$I$5:$I$305&lt;=F$4+2)*(Timeline!$J$5:$J$305&gt;=F$4+2)),SUMPRODUCT((INDEX(Timeline!$P$5:$AN$305,0,MATCH($A20,Timeline!$P$4:$AN$4,0))="x")*(Timeline!$K$5:$K$305="Task")*ISNUMBER(Timeline!$I$5:$I$305)*ISNUMBER(Timeline!$J$5:$J$305)*(Timeline!$I$5:$I$305&lt;=F$4+3)*(Timeline!$J$5:$J$305&gt;=F$4+3)),SUMPRODUCT((INDEX(Timeline!$P$5:$AN$305,0,MATCH($A20,Timeline!$P$4:$AN$4,0))="x")*(Timeline!$K$5:$K$305="Task")*ISNUMBER(Timeline!$I$5:$I$305)*ISNUMBER(Timeline!$J$5:$J$305)*(Timeline!$I$5:$I$305&lt;=F$4+4)*(Timeline!$J$5:$J$305&gt;=F$4+4)),SUMPRODUCT((INDEX(Timeline!$P$5:$AN$305,0,MATCH($A20,Timeline!$P$4:$AN$4,0))="x")*(Timeline!$K$5:$K$305="Task")*ISNUMBER(Timeline!$I$5:$I$305)*ISNUMBER(Timeline!$J$5:$J$305)*(Timeline!$I$5:$I$305&lt;=F$4+5)*(Timeline!$J$5:$J$305&gt;=F$4+5)),SUMPRODUCT((INDEX(Timeline!$P$5:$AN$305,0,MATCH($A20,Timeline!$P$4:$AN$4,0))="x")*(Timeline!$K$5:$K$305="Task")*ISNUMBER(Timeline!$I$5:$I$305)*ISNUMBER(Timeline!$J$5:$J$305)*(Timeline!$I$5:$I$305&lt;=F$4+6)*(Timeline!$J$5:$J$305&gt;=F$4+6)))</f>
        <v>0</v>
      </c>
      <c r="G20" s="67">
        <f>MAX(SUMPRODUCT((INDEX(Timeline!$P$5:$AN$305,0,MATCH($A20,Timeline!$P$4:$AN$4,0))="x")*(Timeline!$K$5:$K$305="Task")*ISNUMBER(Timeline!$I$5:$I$305)*ISNUMBER(Timeline!$J$5:$J$305)*(Timeline!$I$5:$I$305&lt;=G$4+0)*(Timeline!$J$5:$J$305&gt;=G$4+0)),SUMPRODUCT((INDEX(Timeline!$P$5:$AN$305,0,MATCH($A20,Timeline!$P$4:$AN$4,0))="x")*(Timeline!$K$5:$K$305="Task")*ISNUMBER(Timeline!$I$5:$I$305)*ISNUMBER(Timeline!$J$5:$J$305)*(Timeline!$I$5:$I$305&lt;=G$4+1)*(Timeline!$J$5:$J$305&gt;=G$4+1)),SUMPRODUCT((INDEX(Timeline!$P$5:$AN$305,0,MATCH($A20,Timeline!$P$4:$AN$4,0))="x")*(Timeline!$K$5:$K$305="Task")*ISNUMBER(Timeline!$I$5:$I$305)*ISNUMBER(Timeline!$J$5:$J$305)*(Timeline!$I$5:$I$305&lt;=G$4+2)*(Timeline!$J$5:$J$305&gt;=G$4+2)),SUMPRODUCT((INDEX(Timeline!$P$5:$AN$305,0,MATCH($A20,Timeline!$P$4:$AN$4,0))="x")*(Timeline!$K$5:$K$305="Task")*ISNUMBER(Timeline!$I$5:$I$305)*ISNUMBER(Timeline!$J$5:$J$305)*(Timeline!$I$5:$I$305&lt;=G$4+3)*(Timeline!$J$5:$J$305&gt;=G$4+3)),SUMPRODUCT((INDEX(Timeline!$P$5:$AN$305,0,MATCH($A20,Timeline!$P$4:$AN$4,0))="x")*(Timeline!$K$5:$K$305="Task")*ISNUMBER(Timeline!$I$5:$I$305)*ISNUMBER(Timeline!$J$5:$J$305)*(Timeline!$I$5:$I$305&lt;=G$4+4)*(Timeline!$J$5:$J$305&gt;=G$4+4)),SUMPRODUCT((INDEX(Timeline!$P$5:$AN$305,0,MATCH($A20,Timeline!$P$4:$AN$4,0))="x")*(Timeline!$K$5:$K$305="Task")*ISNUMBER(Timeline!$I$5:$I$305)*ISNUMBER(Timeline!$J$5:$J$305)*(Timeline!$I$5:$I$305&lt;=G$4+5)*(Timeline!$J$5:$J$305&gt;=G$4+5)),SUMPRODUCT((INDEX(Timeline!$P$5:$AN$305,0,MATCH($A20,Timeline!$P$4:$AN$4,0))="x")*(Timeline!$K$5:$K$305="Task")*ISNUMBER(Timeline!$I$5:$I$305)*ISNUMBER(Timeline!$J$5:$J$305)*(Timeline!$I$5:$I$305&lt;=G$4+6)*(Timeline!$J$5:$J$305&gt;=G$4+6)))</f>
        <v>1</v>
      </c>
      <c r="H20" s="67">
        <f>MAX(SUMPRODUCT((INDEX(Timeline!$P$5:$AN$305,0,MATCH($A20,Timeline!$P$4:$AN$4,0))="x")*(Timeline!$K$5:$K$305="Task")*ISNUMBER(Timeline!$I$5:$I$305)*ISNUMBER(Timeline!$J$5:$J$305)*(Timeline!$I$5:$I$305&lt;=H$4+0)*(Timeline!$J$5:$J$305&gt;=H$4+0)),SUMPRODUCT((INDEX(Timeline!$P$5:$AN$305,0,MATCH($A20,Timeline!$P$4:$AN$4,0))="x")*(Timeline!$K$5:$K$305="Task")*ISNUMBER(Timeline!$I$5:$I$305)*ISNUMBER(Timeline!$J$5:$J$305)*(Timeline!$I$5:$I$305&lt;=H$4+1)*(Timeline!$J$5:$J$305&gt;=H$4+1)),SUMPRODUCT((INDEX(Timeline!$P$5:$AN$305,0,MATCH($A20,Timeline!$P$4:$AN$4,0))="x")*(Timeline!$K$5:$K$305="Task")*ISNUMBER(Timeline!$I$5:$I$305)*ISNUMBER(Timeline!$J$5:$J$305)*(Timeline!$I$5:$I$305&lt;=H$4+2)*(Timeline!$J$5:$J$305&gt;=H$4+2)),SUMPRODUCT((INDEX(Timeline!$P$5:$AN$305,0,MATCH($A20,Timeline!$P$4:$AN$4,0))="x")*(Timeline!$K$5:$K$305="Task")*ISNUMBER(Timeline!$I$5:$I$305)*ISNUMBER(Timeline!$J$5:$J$305)*(Timeline!$I$5:$I$305&lt;=H$4+3)*(Timeline!$J$5:$J$305&gt;=H$4+3)),SUMPRODUCT((INDEX(Timeline!$P$5:$AN$305,0,MATCH($A20,Timeline!$P$4:$AN$4,0))="x")*(Timeline!$K$5:$K$305="Task")*ISNUMBER(Timeline!$I$5:$I$305)*ISNUMBER(Timeline!$J$5:$J$305)*(Timeline!$I$5:$I$305&lt;=H$4+4)*(Timeline!$J$5:$J$305&gt;=H$4+4)),SUMPRODUCT((INDEX(Timeline!$P$5:$AN$305,0,MATCH($A20,Timeline!$P$4:$AN$4,0))="x")*(Timeline!$K$5:$K$305="Task")*ISNUMBER(Timeline!$I$5:$I$305)*ISNUMBER(Timeline!$J$5:$J$305)*(Timeline!$I$5:$I$305&lt;=H$4+5)*(Timeline!$J$5:$J$305&gt;=H$4+5)),SUMPRODUCT((INDEX(Timeline!$P$5:$AN$305,0,MATCH($A20,Timeline!$P$4:$AN$4,0))="x")*(Timeline!$K$5:$K$305="Task")*ISNUMBER(Timeline!$I$5:$I$305)*ISNUMBER(Timeline!$J$5:$J$305)*(Timeline!$I$5:$I$305&lt;=H$4+6)*(Timeline!$J$5:$J$305&gt;=H$4+6)))</f>
        <v>1</v>
      </c>
      <c r="I20" s="67">
        <f>MAX(SUMPRODUCT((INDEX(Timeline!$P$5:$AN$305,0,MATCH($A20,Timeline!$P$4:$AN$4,0))="x")*(Timeline!$K$5:$K$305="Task")*ISNUMBER(Timeline!$I$5:$I$305)*ISNUMBER(Timeline!$J$5:$J$305)*(Timeline!$I$5:$I$305&lt;=I$4+0)*(Timeline!$J$5:$J$305&gt;=I$4+0)),SUMPRODUCT((INDEX(Timeline!$P$5:$AN$305,0,MATCH($A20,Timeline!$P$4:$AN$4,0))="x")*(Timeline!$K$5:$K$305="Task")*ISNUMBER(Timeline!$I$5:$I$305)*ISNUMBER(Timeline!$J$5:$J$305)*(Timeline!$I$5:$I$305&lt;=I$4+1)*(Timeline!$J$5:$J$305&gt;=I$4+1)),SUMPRODUCT((INDEX(Timeline!$P$5:$AN$305,0,MATCH($A20,Timeline!$P$4:$AN$4,0))="x")*(Timeline!$K$5:$K$305="Task")*ISNUMBER(Timeline!$I$5:$I$305)*ISNUMBER(Timeline!$J$5:$J$305)*(Timeline!$I$5:$I$305&lt;=I$4+2)*(Timeline!$J$5:$J$305&gt;=I$4+2)),SUMPRODUCT((INDEX(Timeline!$P$5:$AN$305,0,MATCH($A20,Timeline!$P$4:$AN$4,0))="x")*(Timeline!$K$5:$K$305="Task")*ISNUMBER(Timeline!$I$5:$I$305)*ISNUMBER(Timeline!$J$5:$J$305)*(Timeline!$I$5:$I$305&lt;=I$4+3)*(Timeline!$J$5:$J$305&gt;=I$4+3)),SUMPRODUCT((INDEX(Timeline!$P$5:$AN$305,0,MATCH($A20,Timeline!$P$4:$AN$4,0))="x")*(Timeline!$K$5:$K$305="Task")*ISNUMBER(Timeline!$I$5:$I$305)*ISNUMBER(Timeline!$J$5:$J$305)*(Timeline!$I$5:$I$305&lt;=I$4+4)*(Timeline!$J$5:$J$305&gt;=I$4+4)),SUMPRODUCT((INDEX(Timeline!$P$5:$AN$305,0,MATCH($A20,Timeline!$P$4:$AN$4,0))="x")*(Timeline!$K$5:$K$305="Task")*ISNUMBER(Timeline!$I$5:$I$305)*ISNUMBER(Timeline!$J$5:$J$305)*(Timeline!$I$5:$I$305&lt;=I$4+5)*(Timeline!$J$5:$J$305&gt;=I$4+5)),SUMPRODUCT((INDEX(Timeline!$P$5:$AN$305,0,MATCH($A20,Timeline!$P$4:$AN$4,0))="x")*(Timeline!$K$5:$K$305="Task")*ISNUMBER(Timeline!$I$5:$I$305)*ISNUMBER(Timeline!$J$5:$J$305)*(Timeline!$I$5:$I$305&lt;=I$4+6)*(Timeline!$J$5:$J$305&gt;=I$4+6)))</f>
        <v>1</v>
      </c>
      <c r="J20" s="67">
        <f>MAX(SUMPRODUCT((INDEX(Timeline!$P$5:$AN$305,0,MATCH($A20,Timeline!$P$4:$AN$4,0))="x")*(Timeline!$K$5:$K$305="Task")*ISNUMBER(Timeline!$I$5:$I$305)*ISNUMBER(Timeline!$J$5:$J$305)*(Timeline!$I$5:$I$305&lt;=J$4+0)*(Timeline!$J$5:$J$305&gt;=J$4+0)),SUMPRODUCT((INDEX(Timeline!$P$5:$AN$305,0,MATCH($A20,Timeline!$P$4:$AN$4,0))="x")*(Timeline!$K$5:$K$305="Task")*ISNUMBER(Timeline!$I$5:$I$305)*ISNUMBER(Timeline!$J$5:$J$305)*(Timeline!$I$5:$I$305&lt;=J$4+1)*(Timeline!$J$5:$J$305&gt;=J$4+1)),SUMPRODUCT((INDEX(Timeline!$P$5:$AN$305,0,MATCH($A20,Timeline!$P$4:$AN$4,0))="x")*(Timeline!$K$5:$K$305="Task")*ISNUMBER(Timeline!$I$5:$I$305)*ISNUMBER(Timeline!$J$5:$J$305)*(Timeline!$I$5:$I$305&lt;=J$4+2)*(Timeline!$J$5:$J$305&gt;=J$4+2)),SUMPRODUCT((INDEX(Timeline!$P$5:$AN$305,0,MATCH($A20,Timeline!$P$4:$AN$4,0))="x")*(Timeline!$K$5:$K$305="Task")*ISNUMBER(Timeline!$I$5:$I$305)*ISNUMBER(Timeline!$J$5:$J$305)*(Timeline!$I$5:$I$305&lt;=J$4+3)*(Timeline!$J$5:$J$305&gt;=J$4+3)),SUMPRODUCT((INDEX(Timeline!$P$5:$AN$305,0,MATCH($A20,Timeline!$P$4:$AN$4,0))="x")*(Timeline!$K$5:$K$305="Task")*ISNUMBER(Timeline!$I$5:$I$305)*ISNUMBER(Timeline!$J$5:$J$305)*(Timeline!$I$5:$I$305&lt;=J$4+4)*(Timeline!$J$5:$J$305&gt;=J$4+4)),SUMPRODUCT((INDEX(Timeline!$P$5:$AN$305,0,MATCH($A20,Timeline!$P$4:$AN$4,0))="x")*(Timeline!$K$5:$K$305="Task")*ISNUMBER(Timeline!$I$5:$I$305)*ISNUMBER(Timeline!$J$5:$J$305)*(Timeline!$I$5:$I$305&lt;=J$4+5)*(Timeline!$J$5:$J$305&gt;=J$4+5)),SUMPRODUCT((INDEX(Timeline!$P$5:$AN$305,0,MATCH($A20,Timeline!$P$4:$AN$4,0))="x")*(Timeline!$K$5:$K$305="Task")*ISNUMBER(Timeline!$I$5:$I$305)*ISNUMBER(Timeline!$J$5:$J$305)*(Timeline!$I$5:$I$305&lt;=J$4+6)*(Timeline!$J$5:$J$305&gt;=J$4+6)))</f>
        <v>1</v>
      </c>
      <c r="K20" s="67">
        <f>MAX(SUMPRODUCT((INDEX(Timeline!$P$5:$AN$305,0,MATCH($A20,Timeline!$P$4:$AN$4,0))="x")*(Timeline!$K$5:$K$305="Task")*ISNUMBER(Timeline!$I$5:$I$305)*ISNUMBER(Timeline!$J$5:$J$305)*(Timeline!$I$5:$I$305&lt;=K$4+0)*(Timeline!$J$5:$J$305&gt;=K$4+0)),SUMPRODUCT((INDEX(Timeline!$P$5:$AN$305,0,MATCH($A20,Timeline!$P$4:$AN$4,0))="x")*(Timeline!$K$5:$K$305="Task")*ISNUMBER(Timeline!$I$5:$I$305)*ISNUMBER(Timeline!$J$5:$J$305)*(Timeline!$I$5:$I$305&lt;=K$4+1)*(Timeline!$J$5:$J$305&gt;=K$4+1)),SUMPRODUCT((INDEX(Timeline!$P$5:$AN$305,0,MATCH($A20,Timeline!$P$4:$AN$4,0))="x")*(Timeline!$K$5:$K$305="Task")*ISNUMBER(Timeline!$I$5:$I$305)*ISNUMBER(Timeline!$J$5:$J$305)*(Timeline!$I$5:$I$305&lt;=K$4+2)*(Timeline!$J$5:$J$305&gt;=K$4+2)),SUMPRODUCT((INDEX(Timeline!$P$5:$AN$305,0,MATCH($A20,Timeline!$P$4:$AN$4,0))="x")*(Timeline!$K$5:$K$305="Task")*ISNUMBER(Timeline!$I$5:$I$305)*ISNUMBER(Timeline!$J$5:$J$305)*(Timeline!$I$5:$I$305&lt;=K$4+3)*(Timeline!$J$5:$J$305&gt;=K$4+3)),SUMPRODUCT((INDEX(Timeline!$P$5:$AN$305,0,MATCH($A20,Timeline!$P$4:$AN$4,0))="x")*(Timeline!$K$5:$K$305="Task")*ISNUMBER(Timeline!$I$5:$I$305)*ISNUMBER(Timeline!$J$5:$J$305)*(Timeline!$I$5:$I$305&lt;=K$4+4)*(Timeline!$J$5:$J$305&gt;=K$4+4)),SUMPRODUCT((INDEX(Timeline!$P$5:$AN$305,0,MATCH($A20,Timeline!$P$4:$AN$4,0))="x")*(Timeline!$K$5:$K$305="Task")*ISNUMBER(Timeline!$I$5:$I$305)*ISNUMBER(Timeline!$J$5:$J$305)*(Timeline!$I$5:$I$305&lt;=K$4+5)*(Timeline!$J$5:$J$305&gt;=K$4+5)),SUMPRODUCT((INDEX(Timeline!$P$5:$AN$305,0,MATCH($A20,Timeline!$P$4:$AN$4,0))="x")*(Timeline!$K$5:$K$305="Task")*ISNUMBER(Timeline!$I$5:$I$305)*ISNUMBER(Timeline!$J$5:$J$305)*(Timeline!$I$5:$I$305&lt;=K$4+6)*(Timeline!$J$5:$J$305&gt;=K$4+6)))</f>
        <v>1</v>
      </c>
      <c r="L20" s="67">
        <f>MAX(SUMPRODUCT((INDEX(Timeline!$P$5:$AN$305,0,MATCH($A20,Timeline!$P$4:$AN$4,0))="x")*(Timeline!$K$5:$K$305="Task")*ISNUMBER(Timeline!$I$5:$I$305)*ISNUMBER(Timeline!$J$5:$J$305)*(Timeline!$I$5:$I$305&lt;=L$4+0)*(Timeline!$J$5:$J$305&gt;=L$4+0)),SUMPRODUCT((INDEX(Timeline!$P$5:$AN$305,0,MATCH($A20,Timeline!$P$4:$AN$4,0))="x")*(Timeline!$K$5:$K$305="Task")*ISNUMBER(Timeline!$I$5:$I$305)*ISNUMBER(Timeline!$J$5:$J$305)*(Timeline!$I$5:$I$305&lt;=L$4+1)*(Timeline!$J$5:$J$305&gt;=L$4+1)),SUMPRODUCT((INDEX(Timeline!$P$5:$AN$305,0,MATCH($A20,Timeline!$P$4:$AN$4,0))="x")*(Timeline!$K$5:$K$305="Task")*ISNUMBER(Timeline!$I$5:$I$305)*ISNUMBER(Timeline!$J$5:$J$305)*(Timeline!$I$5:$I$305&lt;=L$4+2)*(Timeline!$J$5:$J$305&gt;=L$4+2)),SUMPRODUCT((INDEX(Timeline!$P$5:$AN$305,0,MATCH($A20,Timeline!$P$4:$AN$4,0))="x")*(Timeline!$K$5:$K$305="Task")*ISNUMBER(Timeline!$I$5:$I$305)*ISNUMBER(Timeline!$J$5:$J$305)*(Timeline!$I$5:$I$305&lt;=L$4+3)*(Timeline!$J$5:$J$305&gt;=L$4+3)),SUMPRODUCT((INDEX(Timeline!$P$5:$AN$305,0,MATCH($A20,Timeline!$P$4:$AN$4,0))="x")*(Timeline!$K$5:$K$305="Task")*ISNUMBER(Timeline!$I$5:$I$305)*ISNUMBER(Timeline!$J$5:$J$305)*(Timeline!$I$5:$I$305&lt;=L$4+4)*(Timeline!$J$5:$J$305&gt;=L$4+4)),SUMPRODUCT((INDEX(Timeline!$P$5:$AN$305,0,MATCH($A20,Timeline!$P$4:$AN$4,0))="x")*(Timeline!$K$5:$K$305="Task")*ISNUMBER(Timeline!$I$5:$I$305)*ISNUMBER(Timeline!$J$5:$J$305)*(Timeline!$I$5:$I$305&lt;=L$4+5)*(Timeline!$J$5:$J$305&gt;=L$4+5)),SUMPRODUCT((INDEX(Timeline!$P$5:$AN$305,0,MATCH($A20,Timeline!$P$4:$AN$4,0))="x")*(Timeline!$K$5:$K$305="Task")*ISNUMBER(Timeline!$I$5:$I$305)*ISNUMBER(Timeline!$J$5:$J$305)*(Timeline!$I$5:$I$305&lt;=L$4+6)*(Timeline!$J$5:$J$305&gt;=L$4+6)))</f>
        <v>1</v>
      </c>
      <c r="M20" s="67">
        <f>MAX(SUMPRODUCT((INDEX(Timeline!$P$5:$AN$305,0,MATCH($A20,Timeline!$P$4:$AN$4,0))="x")*(Timeline!$K$5:$K$305="Task")*ISNUMBER(Timeline!$I$5:$I$305)*ISNUMBER(Timeline!$J$5:$J$305)*(Timeline!$I$5:$I$305&lt;=M$4+0)*(Timeline!$J$5:$J$305&gt;=M$4+0)),SUMPRODUCT((INDEX(Timeline!$P$5:$AN$305,0,MATCH($A20,Timeline!$P$4:$AN$4,0))="x")*(Timeline!$K$5:$K$305="Task")*ISNUMBER(Timeline!$I$5:$I$305)*ISNUMBER(Timeline!$J$5:$J$305)*(Timeline!$I$5:$I$305&lt;=M$4+1)*(Timeline!$J$5:$J$305&gt;=M$4+1)),SUMPRODUCT((INDEX(Timeline!$P$5:$AN$305,0,MATCH($A20,Timeline!$P$4:$AN$4,0))="x")*(Timeline!$K$5:$K$305="Task")*ISNUMBER(Timeline!$I$5:$I$305)*ISNUMBER(Timeline!$J$5:$J$305)*(Timeline!$I$5:$I$305&lt;=M$4+2)*(Timeline!$J$5:$J$305&gt;=M$4+2)),SUMPRODUCT((INDEX(Timeline!$P$5:$AN$305,0,MATCH($A20,Timeline!$P$4:$AN$4,0))="x")*(Timeline!$K$5:$K$305="Task")*ISNUMBER(Timeline!$I$5:$I$305)*ISNUMBER(Timeline!$J$5:$J$305)*(Timeline!$I$5:$I$305&lt;=M$4+3)*(Timeline!$J$5:$J$305&gt;=M$4+3)),SUMPRODUCT((INDEX(Timeline!$P$5:$AN$305,0,MATCH($A20,Timeline!$P$4:$AN$4,0))="x")*(Timeline!$K$5:$K$305="Task")*ISNUMBER(Timeline!$I$5:$I$305)*ISNUMBER(Timeline!$J$5:$J$305)*(Timeline!$I$5:$I$305&lt;=M$4+4)*(Timeline!$J$5:$J$305&gt;=M$4+4)),SUMPRODUCT((INDEX(Timeline!$P$5:$AN$305,0,MATCH($A20,Timeline!$P$4:$AN$4,0))="x")*(Timeline!$K$5:$K$305="Task")*ISNUMBER(Timeline!$I$5:$I$305)*ISNUMBER(Timeline!$J$5:$J$305)*(Timeline!$I$5:$I$305&lt;=M$4+5)*(Timeline!$J$5:$J$305&gt;=M$4+5)),SUMPRODUCT((INDEX(Timeline!$P$5:$AN$305,0,MATCH($A20,Timeline!$P$4:$AN$4,0))="x")*(Timeline!$K$5:$K$305="Task")*ISNUMBER(Timeline!$I$5:$I$305)*ISNUMBER(Timeline!$J$5:$J$305)*(Timeline!$I$5:$I$305&lt;=M$4+6)*(Timeline!$J$5:$J$305&gt;=M$4+6)))</f>
        <v>1</v>
      </c>
      <c r="N20" s="67">
        <f>MAX(SUMPRODUCT((INDEX(Timeline!$P$5:$AN$305,0,MATCH($A20,Timeline!$P$4:$AN$4,0))="x")*(Timeline!$K$5:$K$305="Task")*ISNUMBER(Timeline!$I$5:$I$305)*ISNUMBER(Timeline!$J$5:$J$305)*(Timeline!$I$5:$I$305&lt;=N$4+0)*(Timeline!$J$5:$J$305&gt;=N$4+0)),SUMPRODUCT((INDEX(Timeline!$P$5:$AN$305,0,MATCH($A20,Timeline!$P$4:$AN$4,0))="x")*(Timeline!$K$5:$K$305="Task")*ISNUMBER(Timeline!$I$5:$I$305)*ISNUMBER(Timeline!$J$5:$J$305)*(Timeline!$I$5:$I$305&lt;=N$4+1)*(Timeline!$J$5:$J$305&gt;=N$4+1)),SUMPRODUCT((INDEX(Timeline!$P$5:$AN$305,0,MATCH($A20,Timeline!$P$4:$AN$4,0))="x")*(Timeline!$K$5:$K$305="Task")*ISNUMBER(Timeline!$I$5:$I$305)*ISNUMBER(Timeline!$J$5:$J$305)*(Timeline!$I$5:$I$305&lt;=N$4+2)*(Timeline!$J$5:$J$305&gt;=N$4+2)),SUMPRODUCT((INDEX(Timeline!$P$5:$AN$305,0,MATCH($A20,Timeline!$P$4:$AN$4,0))="x")*(Timeline!$K$5:$K$305="Task")*ISNUMBER(Timeline!$I$5:$I$305)*ISNUMBER(Timeline!$J$5:$J$305)*(Timeline!$I$5:$I$305&lt;=N$4+3)*(Timeline!$J$5:$J$305&gt;=N$4+3)),SUMPRODUCT((INDEX(Timeline!$P$5:$AN$305,0,MATCH($A20,Timeline!$P$4:$AN$4,0))="x")*(Timeline!$K$5:$K$305="Task")*ISNUMBER(Timeline!$I$5:$I$305)*ISNUMBER(Timeline!$J$5:$J$305)*(Timeline!$I$5:$I$305&lt;=N$4+4)*(Timeline!$J$5:$J$305&gt;=N$4+4)),SUMPRODUCT((INDEX(Timeline!$P$5:$AN$305,0,MATCH($A20,Timeline!$P$4:$AN$4,0))="x")*(Timeline!$K$5:$K$305="Task")*ISNUMBER(Timeline!$I$5:$I$305)*ISNUMBER(Timeline!$J$5:$J$305)*(Timeline!$I$5:$I$305&lt;=N$4+5)*(Timeline!$J$5:$J$305&gt;=N$4+5)),SUMPRODUCT((INDEX(Timeline!$P$5:$AN$305,0,MATCH($A20,Timeline!$P$4:$AN$4,0))="x")*(Timeline!$K$5:$K$305="Task")*ISNUMBER(Timeline!$I$5:$I$305)*ISNUMBER(Timeline!$J$5:$J$305)*(Timeline!$I$5:$I$305&lt;=N$4+6)*(Timeline!$J$5:$J$305&gt;=N$4+6)))</f>
        <v>1</v>
      </c>
      <c r="O20" s="67">
        <f>MAX(SUMPRODUCT((INDEX(Timeline!$P$5:$AN$305,0,MATCH($A20,Timeline!$P$4:$AN$4,0))="x")*(Timeline!$K$5:$K$305="Task")*ISNUMBER(Timeline!$I$5:$I$305)*ISNUMBER(Timeline!$J$5:$J$305)*(Timeline!$I$5:$I$305&lt;=O$4+0)*(Timeline!$J$5:$J$305&gt;=O$4+0)),SUMPRODUCT((INDEX(Timeline!$P$5:$AN$305,0,MATCH($A20,Timeline!$P$4:$AN$4,0))="x")*(Timeline!$K$5:$K$305="Task")*ISNUMBER(Timeline!$I$5:$I$305)*ISNUMBER(Timeline!$J$5:$J$305)*(Timeline!$I$5:$I$305&lt;=O$4+1)*(Timeline!$J$5:$J$305&gt;=O$4+1)),SUMPRODUCT((INDEX(Timeline!$P$5:$AN$305,0,MATCH($A20,Timeline!$P$4:$AN$4,0))="x")*(Timeline!$K$5:$K$305="Task")*ISNUMBER(Timeline!$I$5:$I$305)*ISNUMBER(Timeline!$J$5:$J$305)*(Timeline!$I$5:$I$305&lt;=O$4+2)*(Timeline!$J$5:$J$305&gt;=O$4+2)),SUMPRODUCT((INDEX(Timeline!$P$5:$AN$305,0,MATCH($A20,Timeline!$P$4:$AN$4,0))="x")*(Timeline!$K$5:$K$305="Task")*ISNUMBER(Timeline!$I$5:$I$305)*ISNUMBER(Timeline!$J$5:$J$305)*(Timeline!$I$5:$I$305&lt;=O$4+3)*(Timeline!$J$5:$J$305&gt;=O$4+3)),SUMPRODUCT((INDEX(Timeline!$P$5:$AN$305,0,MATCH($A20,Timeline!$P$4:$AN$4,0))="x")*(Timeline!$K$5:$K$305="Task")*ISNUMBER(Timeline!$I$5:$I$305)*ISNUMBER(Timeline!$J$5:$J$305)*(Timeline!$I$5:$I$305&lt;=O$4+4)*(Timeline!$J$5:$J$305&gt;=O$4+4)),SUMPRODUCT((INDEX(Timeline!$P$5:$AN$305,0,MATCH($A20,Timeline!$P$4:$AN$4,0))="x")*(Timeline!$K$5:$K$305="Task")*ISNUMBER(Timeline!$I$5:$I$305)*ISNUMBER(Timeline!$J$5:$J$305)*(Timeline!$I$5:$I$305&lt;=O$4+5)*(Timeline!$J$5:$J$305&gt;=O$4+5)),SUMPRODUCT((INDEX(Timeline!$P$5:$AN$305,0,MATCH($A20,Timeline!$P$4:$AN$4,0))="x")*(Timeline!$K$5:$K$305="Task")*ISNUMBER(Timeline!$I$5:$I$305)*ISNUMBER(Timeline!$J$5:$J$305)*(Timeline!$I$5:$I$305&lt;=O$4+6)*(Timeline!$J$5:$J$305&gt;=O$4+6)))</f>
        <v>1</v>
      </c>
      <c r="P20" s="67">
        <f>MAX(SUMPRODUCT((INDEX(Timeline!$P$5:$AN$305,0,MATCH($A20,Timeline!$P$4:$AN$4,0))="x")*(Timeline!$K$5:$K$305="Task")*ISNUMBER(Timeline!$I$5:$I$305)*ISNUMBER(Timeline!$J$5:$J$305)*(Timeline!$I$5:$I$305&lt;=P$4+0)*(Timeline!$J$5:$J$305&gt;=P$4+0)),SUMPRODUCT((INDEX(Timeline!$P$5:$AN$305,0,MATCH($A20,Timeline!$P$4:$AN$4,0))="x")*(Timeline!$K$5:$K$305="Task")*ISNUMBER(Timeline!$I$5:$I$305)*ISNUMBER(Timeline!$J$5:$J$305)*(Timeline!$I$5:$I$305&lt;=P$4+1)*(Timeline!$J$5:$J$305&gt;=P$4+1)),SUMPRODUCT((INDEX(Timeline!$P$5:$AN$305,0,MATCH($A20,Timeline!$P$4:$AN$4,0))="x")*(Timeline!$K$5:$K$305="Task")*ISNUMBER(Timeline!$I$5:$I$305)*ISNUMBER(Timeline!$J$5:$J$305)*(Timeline!$I$5:$I$305&lt;=P$4+2)*(Timeline!$J$5:$J$305&gt;=P$4+2)),SUMPRODUCT((INDEX(Timeline!$P$5:$AN$305,0,MATCH($A20,Timeline!$P$4:$AN$4,0))="x")*(Timeline!$K$5:$K$305="Task")*ISNUMBER(Timeline!$I$5:$I$305)*ISNUMBER(Timeline!$J$5:$J$305)*(Timeline!$I$5:$I$305&lt;=P$4+3)*(Timeline!$J$5:$J$305&gt;=P$4+3)),SUMPRODUCT((INDEX(Timeline!$P$5:$AN$305,0,MATCH($A20,Timeline!$P$4:$AN$4,0))="x")*(Timeline!$K$5:$K$305="Task")*ISNUMBER(Timeline!$I$5:$I$305)*ISNUMBER(Timeline!$J$5:$J$305)*(Timeline!$I$5:$I$305&lt;=P$4+4)*(Timeline!$J$5:$J$305&gt;=P$4+4)),SUMPRODUCT((INDEX(Timeline!$P$5:$AN$305,0,MATCH($A20,Timeline!$P$4:$AN$4,0))="x")*(Timeline!$K$5:$K$305="Task")*ISNUMBER(Timeline!$I$5:$I$305)*ISNUMBER(Timeline!$J$5:$J$305)*(Timeline!$I$5:$I$305&lt;=P$4+5)*(Timeline!$J$5:$J$305&gt;=P$4+5)),SUMPRODUCT((INDEX(Timeline!$P$5:$AN$305,0,MATCH($A20,Timeline!$P$4:$AN$4,0))="x")*(Timeline!$K$5:$K$305="Task")*ISNUMBER(Timeline!$I$5:$I$305)*ISNUMBER(Timeline!$J$5:$J$305)*(Timeline!$I$5:$I$305&lt;=P$4+6)*(Timeline!$J$5:$J$305&gt;=P$4+6)))</f>
        <v>1</v>
      </c>
      <c r="Q20" s="67">
        <f>MAX(SUMPRODUCT((INDEX(Timeline!$P$5:$AN$305,0,MATCH($A20,Timeline!$P$4:$AN$4,0))="x")*(Timeline!$K$5:$K$305="Task")*ISNUMBER(Timeline!$I$5:$I$305)*ISNUMBER(Timeline!$J$5:$J$305)*(Timeline!$I$5:$I$305&lt;=Q$4+0)*(Timeline!$J$5:$J$305&gt;=Q$4+0)),SUMPRODUCT((INDEX(Timeline!$P$5:$AN$305,0,MATCH($A20,Timeline!$P$4:$AN$4,0))="x")*(Timeline!$K$5:$K$305="Task")*ISNUMBER(Timeline!$I$5:$I$305)*ISNUMBER(Timeline!$J$5:$J$305)*(Timeline!$I$5:$I$305&lt;=Q$4+1)*(Timeline!$J$5:$J$305&gt;=Q$4+1)),SUMPRODUCT((INDEX(Timeline!$P$5:$AN$305,0,MATCH($A20,Timeline!$P$4:$AN$4,0))="x")*(Timeline!$K$5:$K$305="Task")*ISNUMBER(Timeline!$I$5:$I$305)*ISNUMBER(Timeline!$J$5:$J$305)*(Timeline!$I$5:$I$305&lt;=Q$4+2)*(Timeline!$J$5:$J$305&gt;=Q$4+2)),SUMPRODUCT((INDEX(Timeline!$P$5:$AN$305,0,MATCH($A20,Timeline!$P$4:$AN$4,0))="x")*(Timeline!$K$5:$K$305="Task")*ISNUMBER(Timeline!$I$5:$I$305)*ISNUMBER(Timeline!$J$5:$J$305)*(Timeline!$I$5:$I$305&lt;=Q$4+3)*(Timeline!$J$5:$J$305&gt;=Q$4+3)),SUMPRODUCT((INDEX(Timeline!$P$5:$AN$305,0,MATCH($A20,Timeline!$P$4:$AN$4,0))="x")*(Timeline!$K$5:$K$305="Task")*ISNUMBER(Timeline!$I$5:$I$305)*ISNUMBER(Timeline!$J$5:$J$305)*(Timeline!$I$5:$I$305&lt;=Q$4+4)*(Timeline!$J$5:$J$305&gt;=Q$4+4)),SUMPRODUCT((INDEX(Timeline!$P$5:$AN$305,0,MATCH($A20,Timeline!$P$4:$AN$4,0))="x")*(Timeline!$K$5:$K$305="Task")*ISNUMBER(Timeline!$I$5:$I$305)*ISNUMBER(Timeline!$J$5:$J$305)*(Timeline!$I$5:$I$305&lt;=Q$4+5)*(Timeline!$J$5:$J$305&gt;=Q$4+5)),SUMPRODUCT((INDEX(Timeline!$P$5:$AN$305,0,MATCH($A20,Timeline!$P$4:$AN$4,0))="x")*(Timeline!$K$5:$K$305="Task")*ISNUMBER(Timeline!$I$5:$I$305)*ISNUMBER(Timeline!$J$5:$J$305)*(Timeline!$I$5:$I$305&lt;=Q$4+6)*(Timeline!$J$5:$J$305&gt;=Q$4+6)))</f>
        <v>1</v>
      </c>
      <c r="R20" s="67">
        <f>MAX(SUMPRODUCT((INDEX(Timeline!$P$5:$AN$305,0,MATCH($A20,Timeline!$P$4:$AN$4,0))="x")*(Timeline!$K$5:$K$305="Task")*ISNUMBER(Timeline!$I$5:$I$305)*ISNUMBER(Timeline!$J$5:$J$305)*(Timeline!$I$5:$I$305&lt;=R$4+0)*(Timeline!$J$5:$J$305&gt;=R$4+0)),SUMPRODUCT((INDEX(Timeline!$P$5:$AN$305,0,MATCH($A20,Timeline!$P$4:$AN$4,0))="x")*(Timeline!$K$5:$K$305="Task")*ISNUMBER(Timeline!$I$5:$I$305)*ISNUMBER(Timeline!$J$5:$J$305)*(Timeline!$I$5:$I$305&lt;=R$4+1)*(Timeline!$J$5:$J$305&gt;=R$4+1)),SUMPRODUCT((INDEX(Timeline!$P$5:$AN$305,0,MATCH($A20,Timeline!$P$4:$AN$4,0))="x")*(Timeline!$K$5:$K$305="Task")*ISNUMBER(Timeline!$I$5:$I$305)*ISNUMBER(Timeline!$J$5:$J$305)*(Timeline!$I$5:$I$305&lt;=R$4+2)*(Timeline!$J$5:$J$305&gt;=R$4+2)),SUMPRODUCT((INDEX(Timeline!$P$5:$AN$305,0,MATCH($A20,Timeline!$P$4:$AN$4,0))="x")*(Timeline!$K$5:$K$305="Task")*ISNUMBER(Timeline!$I$5:$I$305)*ISNUMBER(Timeline!$J$5:$J$305)*(Timeline!$I$5:$I$305&lt;=R$4+3)*(Timeline!$J$5:$J$305&gt;=R$4+3)),SUMPRODUCT((INDEX(Timeline!$P$5:$AN$305,0,MATCH($A20,Timeline!$P$4:$AN$4,0))="x")*(Timeline!$K$5:$K$305="Task")*ISNUMBER(Timeline!$I$5:$I$305)*ISNUMBER(Timeline!$J$5:$J$305)*(Timeline!$I$5:$I$305&lt;=R$4+4)*(Timeline!$J$5:$J$305&gt;=R$4+4)),SUMPRODUCT((INDEX(Timeline!$P$5:$AN$305,0,MATCH($A20,Timeline!$P$4:$AN$4,0))="x")*(Timeline!$K$5:$K$305="Task")*ISNUMBER(Timeline!$I$5:$I$305)*ISNUMBER(Timeline!$J$5:$J$305)*(Timeline!$I$5:$I$305&lt;=R$4+5)*(Timeline!$J$5:$J$305&gt;=R$4+5)),SUMPRODUCT((INDEX(Timeline!$P$5:$AN$305,0,MATCH($A20,Timeline!$P$4:$AN$4,0))="x")*(Timeline!$K$5:$K$305="Task")*ISNUMBER(Timeline!$I$5:$I$305)*ISNUMBER(Timeline!$J$5:$J$305)*(Timeline!$I$5:$I$305&lt;=R$4+6)*(Timeline!$J$5:$J$305&gt;=R$4+6)))</f>
        <v>1</v>
      </c>
      <c r="S20" s="67">
        <f>MAX(SUMPRODUCT((INDEX(Timeline!$P$5:$AN$305,0,MATCH($A20,Timeline!$P$4:$AN$4,0))="x")*(Timeline!$K$5:$K$305="Task")*ISNUMBER(Timeline!$I$5:$I$305)*ISNUMBER(Timeline!$J$5:$J$305)*(Timeline!$I$5:$I$305&lt;=S$4+0)*(Timeline!$J$5:$J$305&gt;=S$4+0)),SUMPRODUCT((INDEX(Timeline!$P$5:$AN$305,0,MATCH($A20,Timeline!$P$4:$AN$4,0))="x")*(Timeline!$K$5:$K$305="Task")*ISNUMBER(Timeline!$I$5:$I$305)*ISNUMBER(Timeline!$J$5:$J$305)*(Timeline!$I$5:$I$305&lt;=S$4+1)*(Timeline!$J$5:$J$305&gt;=S$4+1)),SUMPRODUCT((INDEX(Timeline!$P$5:$AN$305,0,MATCH($A20,Timeline!$P$4:$AN$4,0))="x")*(Timeline!$K$5:$K$305="Task")*ISNUMBER(Timeline!$I$5:$I$305)*ISNUMBER(Timeline!$J$5:$J$305)*(Timeline!$I$5:$I$305&lt;=S$4+2)*(Timeline!$J$5:$J$305&gt;=S$4+2)),SUMPRODUCT((INDEX(Timeline!$P$5:$AN$305,0,MATCH($A20,Timeline!$P$4:$AN$4,0))="x")*(Timeline!$K$5:$K$305="Task")*ISNUMBER(Timeline!$I$5:$I$305)*ISNUMBER(Timeline!$J$5:$J$305)*(Timeline!$I$5:$I$305&lt;=S$4+3)*(Timeline!$J$5:$J$305&gt;=S$4+3)),SUMPRODUCT((INDEX(Timeline!$P$5:$AN$305,0,MATCH($A20,Timeline!$P$4:$AN$4,0))="x")*(Timeline!$K$5:$K$305="Task")*ISNUMBER(Timeline!$I$5:$I$305)*ISNUMBER(Timeline!$J$5:$J$305)*(Timeline!$I$5:$I$305&lt;=S$4+4)*(Timeline!$J$5:$J$305&gt;=S$4+4)),SUMPRODUCT((INDEX(Timeline!$P$5:$AN$305,0,MATCH($A20,Timeline!$P$4:$AN$4,0))="x")*(Timeline!$K$5:$K$305="Task")*ISNUMBER(Timeline!$I$5:$I$305)*ISNUMBER(Timeline!$J$5:$J$305)*(Timeline!$I$5:$I$305&lt;=S$4+5)*(Timeline!$J$5:$J$305&gt;=S$4+5)),SUMPRODUCT((INDEX(Timeline!$P$5:$AN$305,0,MATCH($A20,Timeline!$P$4:$AN$4,0))="x")*(Timeline!$K$5:$K$305="Task")*ISNUMBER(Timeline!$I$5:$I$305)*ISNUMBER(Timeline!$J$5:$J$305)*(Timeline!$I$5:$I$305&lt;=S$4+6)*(Timeline!$J$5:$J$305&gt;=S$4+6)))</f>
        <v>1</v>
      </c>
      <c r="T20" s="67">
        <f>MAX(SUMPRODUCT((INDEX(Timeline!$P$5:$AN$305,0,MATCH($A20,Timeline!$P$4:$AN$4,0))="x")*(Timeline!$K$5:$K$305="Task")*ISNUMBER(Timeline!$I$5:$I$305)*ISNUMBER(Timeline!$J$5:$J$305)*(Timeline!$I$5:$I$305&lt;=T$4+0)*(Timeline!$J$5:$J$305&gt;=T$4+0)),SUMPRODUCT((INDEX(Timeline!$P$5:$AN$305,0,MATCH($A20,Timeline!$P$4:$AN$4,0))="x")*(Timeline!$K$5:$K$305="Task")*ISNUMBER(Timeline!$I$5:$I$305)*ISNUMBER(Timeline!$J$5:$J$305)*(Timeline!$I$5:$I$305&lt;=T$4+1)*(Timeline!$J$5:$J$305&gt;=T$4+1)),SUMPRODUCT((INDEX(Timeline!$P$5:$AN$305,0,MATCH($A20,Timeline!$P$4:$AN$4,0))="x")*(Timeline!$K$5:$K$305="Task")*ISNUMBER(Timeline!$I$5:$I$305)*ISNUMBER(Timeline!$J$5:$J$305)*(Timeline!$I$5:$I$305&lt;=T$4+2)*(Timeline!$J$5:$J$305&gt;=T$4+2)),SUMPRODUCT((INDEX(Timeline!$P$5:$AN$305,0,MATCH($A20,Timeline!$P$4:$AN$4,0))="x")*(Timeline!$K$5:$K$305="Task")*ISNUMBER(Timeline!$I$5:$I$305)*ISNUMBER(Timeline!$J$5:$J$305)*(Timeline!$I$5:$I$305&lt;=T$4+3)*(Timeline!$J$5:$J$305&gt;=T$4+3)),SUMPRODUCT((INDEX(Timeline!$P$5:$AN$305,0,MATCH($A20,Timeline!$P$4:$AN$4,0))="x")*(Timeline!$K$5:$K$305="Task")*ISNUMBER(Timeline!$I$5:$I$305)*ISNUMBER(Timeline!$J$5:$J$305)*(Timeline!$I$5:$I$305&lt;=T$4+4)*(Timeline!$J$5:$J$305&gt;=T$4+4)),SUMPRODUCT((INDEX(Timeline!$P$5:$AN$305,0,MATCH($A20,Timeline!$P$4:$AN$4,0))="x")*(Timeline!$K$5:$K$305="Task")*ISNUMBER(Timeline!$I$5:$I$305)*ISNUMBER(Timeline!$J$5:$J$305)*(Timeline!$I$5:$I$305&lt;=T$4+5)*(Timeline!$J$5:$J$305&gt;=T$4+5)),SUMPRODUCT((INDEX(Timeline!$P$5:$AN$305,0,MATCH($A20,Timeline!$P$4:$AN$4,0))="x")*(Timeline!$K$5:$K$305="Task")*ISNUMBER(Timeline!$I$5:$I$305)*ISNUMBER(Timeline!$J$5:$J$305)*(Timeline!$I$5:$I$305&lt;=T$4+6)*(Timeline!$J$5:$J$305&gt;=T$4+6)))</f>
        <v>0</v>
      </c>
      <c r="U20" s="67">
        <f>MAX(SUMPRODUCT((INDEX(Timeline!$P$5:$AN$305,0,MATCH($A20,Timeline!$P$4:$AN$4,0))="x")*(Timeline!$K$5:$K$305="Task")*ISNUMBER(Timeline!$I$5:$I$305)*ISNUMBER(Timeline!$J$5:$J$305)*(Timeline!$I$5:$I$305&lt;=U$4+0)*(Timeline!$J$5:$J$305&gt;=U$4+0)),SUMPRODUCT((INDEX(Timeline!$P$5:$AN$305,0,MATCH($A20,Timeline!$P$4:$AN$4,0))="x")*(Timeline!$K$5:$K$305="Task")*ISNUMBER(Timeline!$I$5:$I$305)*ISNUMBER(Timeline!$J$5:$J$305)*(Timeline!$I$5:$I$305&lt;=U$4+1)*(Timeline!$J$5:$J$305&gt;=U$4+1)),SUMPRODUCT((INDEX(Timeline!$P$5:$AN$305,0,MATCH($A20,Timeline!$P$4:$AN$4,0))="x")*(Timeline!$K$5:$K$305="Task")*ISNUMBER(Timeline!$I$5:$I$305)*ISNUMBER(Timeline!$J$5:$J$305)*(Timeline!$I$5:$I$305&lt;=U$4+2)*(Timeline!$J$5:$J$305&gt;=U$4+2)),SUMPRODUCT((INDEX(Timeline!$P$5:$AN$305,0,MATCH($A20,Timeline!$P$4:$AN$4,0))="x")*(Timeline!$K$5:$K$305="Task")*ISNUMBER(Timeline!$I$5:$I$305)*ISNUMBER(Timeline!$J$5:$J$305)*(Timeline!$I$5:$I$305&lt;=U$4+3)*(Timeline!$J$5:$J$305&gt;=U$4+3)),SUMPRODUCT((INDEX(Timeline!$P$5:$AN$305,0,MATCH($A20,Timeline!$P$4:$AN$4,0))="x")*(Timeline!$K$5:$K$305="Task")*ISNUMBER(Timeline!$I$5:$I$305)*ISNUMBER(Timeline!$J$5:$J$305)*(Timeline!$I$5:$I$305&lt;=U$4+4)*(Timeline!$J$5:$J$305&gt;=U$4+4)),SUMPRODUCT((INDEX(Timeline!$P$5:$AN$305,0,MATCH($A20,Timeline!$P$4:$AN$4,0))="x")*(Timeline!$K$5:$K$305="Task")*ISNUMBER(Timeline!$I$5:$I$305)*ISNUMBER(Timeline!$J$5:$J$305)*(Timeline!$I$5:$I$305&lt;=U$4+5)*(Timeline!$J$5:$J$305&gt;=U$4+5)),SUMPRODUCT((INDEX(Timeline!$P$5:$AN$305,0,MATCH($A20,Timeline!$P$4:$AN$4,0))="x")*(Timeline!$K$5:$K$305="Task")*ISNUMBER(Timeline!$I$5:$I$305)*ISNUMBER(Timeline!$J$5:$J$305)*(Timeline!$I$5:$I$305&lt;=U$4+6)*(Timeline!$J$5:$J$305&gt;=U$4+6)))</f>
        <v>1</v>
      </c>
      <c r="V20" s="67">
        <f>MAX(SUMPRODUCT((INDEX(Timeline!$P$5:$AN$305,0,MATCH($A20,Timeline!$P$4:$AN$4,0))="x")*(Timeline!$K$5:$K$305="Task")*ISNUMBER(Timeline!$I$5:$I$305)*ISNUMBER(Timeline!$J$5:$J$305)*(Timeline!$I$5:$I$305&lt;=V$4+0)*(Timeline!$J$5:$J$305&gt;=V$4+0)),SUMPRODUCT((INDEX(Timeline!$P$5:$AN$305,0,MATCH($A20,Timeline!$P$4:$AN$4,0))="x")*(Timeline!$K$5:$K$305="Task")*ISNUMBER(Timeline!$I$5:$I$305)*ISNUMBER(Timeline!$J$5:$J$305)*(Timeline!$I$5:$I$305&lt;=V$4+1)*(Timeline!$J$5:$J$305&gt;=V$4+1)),SUMPRODUCT((INDEX(Timeline!$P$5:$AN$305,0,MATCH($A20,Timeline!$P$4:$AN$4,0))="x")*(Timeline!$K$5:$K$305="Task")*ISNUMBER(Timeline!$I$5:$I$305)*ISNUMBER(Timeline!$J$5:$J$305)*(Timeline!$I$5:$I$305&lt;=V$4+2)*(Timeline!$J$5:$J$305&gt;=V$4+2)),SUMPRODUCT((INDEX(Timeline!$P$5:$AN$305,0,MATCH($A20,Timeline!$P$4:$AN$4,0))="x")*(Timeline!$K$5:$K$305="Task")*ISNUMBER(Timeline!$I$5:$I$305)*ISNUMBER(Timeline!$J$5:$J$305)*(Timeline!$I$5:$I$305&lt;=V$4+3)*(Timeline!$J$5:$J$305&gt;=V$4+3)),SUMPRODUCT((INDEX(Timeline!$P$5:$AN$305,0,MATCH($A20,Timeline!$P$4:$AN$4,0))="x")*(Timeline!$K$5:$K$305="Task")*ISNUMBER(Timeline!$I$5:$I$305)*ISNUMBER(Timeline!$J$5:$J$305)*(Timeline!$I$5:$I$305&lt;=V$4+4)*(Timeline!$J$5:$J$305&gt;=V$4+4)),SUMPRODUCT((INDEX(Timeline!$P$5:$AN$305,0,MATCH($A20,Timeline!$P$4:$AN$4,0))="x")*(Timeline!$K$5:$K$305="Task")*ISNUMBER(Timeline!$I$5:$I$305)*ISNUMBER(Timeline!$J$5:$J$305)*(Timeline!$I$5:$I$305&lt;=V$4+5)*(Timeline!$J$5:$J$305&gt;=V$4+5)),SUMPRODUCT((INDEX(Timeline!$P$5:$AN$305,0,MATCH($A20,Timeline!$P$4:$AN$4,0))="x")*(Timeline!$K$5:$K$305="Task")*ISNUMBER(Timeline!$I$5:$I$305)*ISNUMBER(Timeline!$J$5:$J$305)*(Timeline!$I$5:$I$305&lt;=V$4+6)*(Timeline!$J$5:$J$305&gt;=V$4+6)))</f>
        <v>1</v>
      </c>
      <c r="W20" s="67">
        <f>MAX(SUMPRODUCT((INDEX(Timeline!$P$5:$AN$305,0,MATCH($A20,Timeline!$P$4:$AN$4,0))="x")*(Timeline!$K$5:$K$305="Task")*ISNUMBER(Timeline!$I$5:$I$305)*ISNUMBER(Timeline!$J$5:$J$305)*(Timeline!$I$5:$I$305&lt;=W$4+0)*(Timeline!$J$5:$J$305&gt;=W$4+0)),SUMPRODUCT((INDEX(Timeline!$P$5:$AN$305,0,MATCH($A20,Timeline!$P$4:$AN$4,0))="x")*(Timeline!$K$5:$K$305="Task")*ISNUMBER(Timeline!$I$5:$I$305)*ISNUMBER(Timeline!$J$5:$J$305)*(Timeline!$I$5:$I$305&lt;=W$4+1)*(Timeline!$J$5:$J$305&gt;=W$4+1)),SUMPRODUCT((INDEX(Timeline!$P$5:$AN$305,0,MATCH($A20,Timeline!$P$4:$AN$4,0))="x")*(Timeline!$K$5:$K$305="Task")*ISNUMBER(Timeline!$I$5:$I$305)*ISNUMBER(Timeline!$J$5:$J$305)*(Timeline!$I$5:$I$305&lt;=W$4+2)*(Timeline!$J$5:$J$305&gt;=W$4+2)),SUMPRODUCT((INDEX(Timeline!$P$5:$AN$305,0,MATCH($A20,Timeline!$P$4:$AN$4,0))="x")*(Timeline!$K$5:$K$305="Task")*ISNUMBER(Timeline!$I$5:$I$305)*ISNUMBER(Timeline!$J$5:$J$305)*(Timeline!$I$5:$I$305&lt;=W$4+3)*(Timeline!$J$5:$J$305&gt;=W$4+3)),SUMPRODUCT((INDEX(Timeline!$P$5:$AN$305,0,MATCH($A20,Timeline!$P$4:$AN$4,0))="x")*(Timeline!$K$5:$K$305="Task")*ISNUMBER(Timeline!$I$5:$I$305)*ISNUMBER(Timeline!$J$5:$J$305)*(Timeline!$I$5:$I$305&lt;=W$4+4)*(Timeline!$J$5:$J$305&gt;=W$4+4)),SUMPRODUCT((INDEX(Timeline!$P$5:$AN$305,0,MATCH($A20,Timeline!$P$4:$AN$4,0))="x")*(Timeline!$K$5:$K$305="Task")*ISNUMBER(Timeline!$I$5:$I$305)*ISNUMBER(Timeline!$J$5:$J$305)*(Timeline!$I$5:$I$305&lt;=W$4+5)*(Timeline!$J$5:$J$305&gt;=W$4+5)),SUMPRODUCT((INDEX(Timeline!$P$5:$AN$305,0,MATCH($A20,Timeline!$P$4:$AN$4,0))="x")*(Timeline!$K$5:$K$305="Task")*ISNUMBER(Timeline!$I$5:$I$305)*ISNUMBER(Timeline!$J$5:$J$305)*(Timeline!$I$5:$I$305&lt;=W$4+6)*(Timeline!$J$5:$J$305&gt;=W$4+6)))</f>
        <v>1</v>
      </c>
      <c r="X20" s="67">
        <f>MAX(SUMPRODUCT((INDEX(Timeline!$P$5:$AN$305,0,MATCH($A20,Timeline!$P$4:$AN$4,0))="x")*(Timeline!$K$5:$K$305="Task")*ISNUMBER(Timeline!$I$5:$I$305)*ISNUMBER(Timeline!$J$5:$J$305)*(Timeline!$I$5:$I$305&lt;=X$4+0)*(Timeline!$J$5:$J$305&gt;=X$4+0)),SUMPRODUCT((INDEX(Timeline!$P$5:$AN$305,0,MATCH($A20,Timeline!$P$4:$AN$4,0))="x")*(Timeline!$K$5:$K$305="Task")*ISNUMBER(Timeline!$I$5:$I$305)*ISNUMBER(Timeline!$J$5:$J$305)*(Timeline!$I$5:$I$305&lt;=X$4+1)*(Timeline!$J$5:$J$305&gt;=X$4+1)),SUMPRODUCT((INDEX(Timeline!$P$5:$AN$305,0,MATCH($A20,Timeline!$P$4:$AN$4,0))="x")*(Timeline!$K$5:$K$305="Task")*ISNUMBER(Timeline!$I$5:$I$305)*ISNUMBER(Timeline!$J$5:$J$305)*(Timeline!$I$5:$I$305&lt;=X$4+2)*(Timeline!$J$5:$J$305&gt;=X$4+2)),SUMPRODUCT((INDEX(Timeline!$P$5:$AN$305,0,MATCH($A20,Timeline!$P$4:$AN$4,0))="x")*(Timeline!$K$5:$K$305="Task")*ISNUMBER(Timeline!$I$5:$I$305)*ISNUMBER(Timeline!$J$5:$J$305)*(Timeline!$I$5:$I$305&lt;=X$4+3)*(Timeline!$J$5:$J$305&gt;=X$4+3)),SUMPRODUCT((INDEX(Timeline!$P$5:$AN$305,0,MATCH($A20,Timeline!$P$4:$AN$4,0))="x")*(Timeline!$K$5:$K$305="Task")*ISNUMBER(Timeline!$I$5:$I$305)*ISNUMBER(Timeline!$J$5:$J$305)*(Timeline!$I$5:$I$305&lt;=X$4+4)*(Timeline!$J$5:$J$305&gt;=X$4+4)),SUMPRODUCT((INDEX(Timeline!$P$5:$AN$305,0,MATCH($A20,Timeline!$P$4:$AN$4,0))="x")*(Timeline!$K$5:$K$305="Task")*ISNUMBER(Timeline!$I$5:$I$305)*ISNUMBER(Timeline!$J$5:$J$305)*(Timeline!$I$5:$I$305&lt;=X$4+5)*(Timeline!$J$5:$J$305&gt;=X$4+5)),SUMPRODUCT((INDEX(Timeline!$P$5:$AN$305,0,MATCH($A20,Timeline!$P$4:$AN$4,0))="x")*(Timeline!$K$5:$K$305="Task")*ISNUMBER(Timeline!$I$5:$I$305)*ISNUMBER(Timeline!$J$5:$J$305)*(Timeline!$I$5:$I$305&lt;=X$4+6)*(Timeline!$J$5:$J$305&gt;=X$4+6)))</f>
        <v>1</v>
      </c>
      <c r="Y20" s="67">
        <f>MAX(SUMPRODUCT((INDEX(Timeline!$P$5:$AN$305,0,MATCH($A20,Timeline!$P$4:$AN$4,0))="x")*(Timeline!$K$5:$K$305="Task")*ISNUMBER(Timeline!$I$5:$I$305)*ISNUMBER(Timeline!$J$5:$J$305)*(Timeline!$I$5:$I$305&lt;=Y$4+0)*(Timeline!$J$5:$J$305&gt;=Y$4+0)),SUMPRODUCT((INDEX(Timeline!$P$5:$AN$305,0,MATCH($A20,Timeline!$P$4:$AN$4,0))="x")*(Timeline!$K$5:$K$305="Task")*ISNUMBER(Timeline!$I$5:$I$305)*ISNUMBER(Timeline!$J$5:$J$305)*(Timeline!$I$5:$I$305&lt;=Y$4+1)*(Timeline!$J$5:$J$305&gt;=Y$4+1)),SUMPRODUCT((INDEX(Timeline!$P$5:$AN$305,0,MATCH($A20,Timeline!$P$4:$AN$4,0))="x")*(Timeline!$K$5:$K$305="Task")*ISNUMBER(Timeline!$I$5:$I$305)*ISNUMBER(Timeline!$J$5:$J$305)*(Timeline!$I$5:$I$305&lt;=Y$4+2)*(Timeline!$J$5:$J$305&gt;=Y$4+2)),SUMPRODUCT((INDEX(Timeline!$P$5:$AN$305,0,MATCH($A20,Timeline!$P$4:$AN$4,0))="x")*(Timeline!$K$5:$K$305="Task")*ISNUMBER(Timeline!$I$5:$I$305)*ISNUMBER(Timeline!$J$5:$J$305)*(Timeline!$I$5:$I$305&lt;=Y$4+3)*(Timeline!$J$5:$J$305&gt;=Y$4+3)),SUMPRODUCT((INDEX(Timeline!$P$5:$AN$305,0,MATCH($A20,Timeline!$P$4:$AN$4,0))="x")*(Timeline!$K$5:$K$305="Task")*ISNUMBER(Timeline!$I$5:$I$305)*ISNUMBER(Timeline!$J$5:$J$305)*(Timeline!$I$5:$I$305&lt;=Y$4+4)*(Timeline!$J$5:$J$305&gt;=Y$4+4)),SUMPRODUCT((INDEX(Timeline!$P$5:$AN$305,0,MATCH($A20,Timeline!$P$4:$AN$4,0))="x")*(Timeline!$K$5:$K$305="Task")*ISNUMBER(Timeline!$I$5:$I$305)*ISNUMBER(Timeline!$J$5:$J$305)*(Timeline!$I$5:$I$305&lt;=Y$4+5)*(Timeline!$J$5:$J$305&gt;=Y$4+5)),SUMPRODUCT((INDEX(Timeline!$P$5:$AN$305,0,MATCH($A20,Timeline!$P$4:$AN$4,0))="x")*(Timeline!$K$5:$K$305="Task")*ISNUMBER(Timeline!$I$5:$I$305)*ISNUMBER(Timeline!$J$5:$J$305)*(Timeline!$I$5:$I$305&lt;=Y$4+6)*(Timeline!$J$5:$J$305&gt;=Y$4+6)))</f>
        <v>1</v>
      </c>
      <c r="Z20" s="67">
        <f>MAX(SUMPRODUCT((INDEX(Timeline!$P$5:$AN$305,0,MATCH($A20,Timeline!$P$4:$AN$4,0))="x")*(Timeline!$K$5:$K$305="Task")*ISNUMBER(Timeline!$I$5:$I$305)*ISNUMBER(Timeline!$J$5:$J$305)*(Timeline!$I$5:$I$305&lt;=Z$4+0)*(Timeline!$J$5:$J$305&gt;=Z$4+0)),SUMPRODUCT((INDEX(Timeline!$P$5:$AN$305,0,MATCH($A20,Timeline!$P$4:$AN$4,0))="x")*(Timeline!$K$5:$K$305="Task")*ISNUMBER(Timeline!$I$5:$I$305)*ISNUMBER(Timeline!$J$5:$J$305)*(Timeline!$I$5:$I$305&lt;=Z$4+1)*(Timeline!$J$5:$J$305&gt;=Z$4+1)),SUMPRODUCT((INDEX(Timeline!$P$5:$AN$305,0,MATCH($A20,Timeline!$P$4:$AN$4,0))="x")*(Timeline!$K$5:$K$305="Task")*ISNUMBER(Timeline!$I$5:$I$305)*ISNUMBER(Timeline!$J$5:$J$305)*(Timeline!$I$5:$I$305&lt;=Z$4+2)*(Timeline!$J$5:$J$305&gt;=Z$4+2)),SUMPRODUCT((INDEX(Timeline!$P$5:$AN$305,0,MATCH($A20,Timeline!$P$4:$AN$4,0))="x")*(Timeline!$K$5:$K$305="Task")*ISNUMBER(Timeline!$I$5:$I$305)*ISNUMBER(Timeline!$J$5:$J$305)*(Timeline!$I$5:$I$305&lt;=Z$4+3)*(Timeline!$J$5:$J$305&gt;=Z$4+3)),SUMPRODUCT((INDEX(Timeline!$P$5:$AN$305,0,MATCH($A20,Timeline!$P$4:$AN$4,0))="x")*(Timeline!$K$5:$K$305="Task")*ISNUMBER(Timeline!$I$5:$I$305)*ISNUMBER(Timeline!$J$5:$J$305)*(Timeline!$I$5:$I$305&lt;=Z$4+4)*(Timeline!$J$5:$J$305&gt;=Z$4+4)),SUMPRODUCT((INDEX(Timeline!$P$5:$AN$305,0,MATCH($A20,Timeline!$P$4:$AN$4,0))="x")*(Timeline!$K$5:$K$305="Task")*ISNUMBER(Timeline!$I$5:$I$305)*ISNUMBER(Timeline!$J$5:$J$305)*(Timeline!$I$5:$I$305&lt;=Z$4+5)*(Timeline!$J$5:$J$305&gt;=Z$4+5)),SUMPRODUCT((INDEX(Timeline!$P$5:$AN$305,0,MATCH($A20,Timeline!$P$4:$AN$4,0))="x")*(Timeline!$K$5:$K$305="Task")*ISNUMBER(Timeline!$I$5:$I$305)*ISNUMBER(Timeline!$J$5:$J$305)*(Timeline!$I$5:$I$305&lt;=Z$4+6)*(Timeline!$J$5:$J$305&gt;=Z$4+6)))</f>
        <v>1</v>
      </c>
      <c r="AA20" s="67">
        <f>MAX(SUMPRODUCT((INDEX(Timeline!$P$5:$AN$305,0,MATCH($A20,Timeline!$P$4:$AN$4,0))="x")*(Timeline!$K$5:$K$305="Task")*ISNUMBER(Timeline!$I$5:$I$305)*ISNUMBER(Timeline!$J$5:$J$305)*(Timeline!$I$5:$I$305&lt;=AA$4+0)*(Timeline!$J$5:$J$305&gt;=AA$4+0)),SUMPRODUCT((INDEX(Timeline!$P$5:$AN$305,0,MATCH($A20,Timeline!$P$4:$AN$4,0))="x")*(Timeline!$K$5:$K$305="Task")*ISNUMBER(Timeline!$I$5:$I$305)*ISNUMBER(Timeline!$J$5:$J$305)*(Timeline!$I$5:$I$305&lt;=AA$4+1)*(Timeline!$J$5:$J$305&gt;=AA$4+1)),SUMPRODUCT((INDEX(Timeline!$P$5:$AN$305,0,MATCH($A20,Timeline!$P$4:$AN$4,0))="x")*(Timeline!$K$5:$K$305="Task")*ISNUMBER(Timeline!$I$5:$I$305)*ISNUMBER(Timeline!$J$5:$J$305)*(Timeline!$I$5:$I$305&lt;=AA$4+2)*(Timeline!$J$5:$J$305&gt;=AA$4+2)),SUMPRODUCT((INDEX(Timeline!$P$5:$AN$305,0,MATCH($A20,Timeline!$P$4:$AN$4,0))="x")*(Timeline!$K$5:$K$305="Task")*ISNUMBER(Timeline!$I$5:$I$305)*ISNUMBER(Timeline!$J$5:$J$305)*(Timeline!$I$5:$I$305&lt;=AA$4+3)*(Timeline!$J$5:$J$305&gt;=AA$4+3)),SUMPRODUCT((INDEX(Timeline!$P$5:$AN$305,0,MATCH($A20,Timeline!$P$4:$AN$4,0))="x")*(Timeline!$K$5:$K$305="Task")*ISNUMBER(Timeline!$I$5:$I$305)*ISNUMBER(Timeline!$J$5:$J$305)*(Timeline!$I$5:$I$305&lt;=AA$4+4)*(Timeline!$J$5:$J$305&gt;=AA$4+4)),SUMPRODUCT((INDEX(Timeline!$P$5:$AN$305,0,MATCH($A20,Timeline!$P$4:$AN$4,0))="x")*(Timeline!$K$5:$K$305="Task")*ISNUMBER(Timeline!$I$5:$I$305)*ISNUMBER(Timeline!$J$5:$J$305)*(Timeline!$I$5:$I$305&lt;=AA$4+5)*(Timeline!$J$5:$J$305&gt;=AA$4+5)),SUMPRODUCT((INDEX(Timeline!$P$5:$AN$305,0,MATCH($A20,Timeline!$P$4:$AN$4,0))="x")*(Timeline!$K$5:$K$305="Task")*ISNUMBER(Timeline!$I$5:$I$305)*ISNUMBER(Timeline!$J$5:$J$305)*(Timeline!$I$5:$I$305&lt;=AA$4+6)*(Timeline!$J$5:$J$305&gt;=AA$4+6)))</f>
        <v>1</v>
      </c>
      <c r="AB20" s="67">
        <f>MAX(SUMPRODUCT((INDEX(Timeline!$P$5:$AN$305,0,MATCH($A20,Timeline!$P$4:$AN$4,0))="x")*(Timeline!$K$5:$K$305="Task")*ISNUMBER(Timeline!$I$5:$I$305)*ISNUMBER(Timeline!$J$5:$J$305)*(Timeline!$I$5:$I$305&lt;=AB$4+0)*(Timeline!$J$5:$J$305&gt;=AB$4+0)),SUMPRODUCT((INDEX(Timeline!$P$5:$AN$305,0,MATCH($A20,Timeline!$P$4:$AN$4,0))="x")*(Timeline!$K$5:$K$305="Task")*ISNUMBER(Timeline!$I$5:$I$305)*ISNUMBER(Timeline!$J$5:$J$305)*(Timeline!$I$5:$I$305&lt;=AB$4+1)*(Timeline!$J$5:$J$305&gt;=AB$4+1)),SUMPRODUCT((INDEX(Timeline!$P$5:$AN$305,0,MATCH($A20,Timeline!$P$4:$AN$4,0))="x")*(Timeline!$K$5:$K$305="Task")*ISNUMBER(Timeline!$I$5:$I$305)*ISNUMBER(Timeline!$J$5:$J$305)*(Timeline!$I$5:$I$305&lt;=AB$4+2)*(Timeline!$J$5:$J$305&gt;=AB$4+2)),SUMPRODUCT((INDEX(Timeline!$P$5:$AN$305,0,MATCH($A20,Timeline!$P$4:$AN$4,0))="x")*(Timeline!$K$5:$K$305="Task")*ISNUMBER(Timeline!$I$5:$I$305)*ISNUMBER(Timeline!$J$5:$J$305)*(Timeline!$I$5:$I$305&lt;=AB$4+3)*(Timeline!$J$5:$J$305&gt;=AB$4+3)),SUMPRODUCT((INDEX(Timeline!$P$5:$AN$305,0,MATCH($A20,Timeline!$P$4:$AN$4,0))="x")*(Timeline!$K$5:$K$305="Task")*ISNUMBER(Timeline!$I$5:$I$305)*ISNUMBER(Timeline!$J$5:$J$305)*(Timeline!$I$5:$I$305&lt;=AB$4+4)*(Timeline!$J$5:$J$305&gt;=AB$4+4)),SUMPRODUCT((INDEX(Timeline!$P$5:$AN$305,0,MATCH($A20,Timeline!$P$4:$AN$4,0))="x")*(Timeline!$K$5:$K$305="Task")*ISNUMBER(Timeline!$I$5:$I$305)*ISNUMBER(Timeline!$J$5:$J$305)*(Timeline!$I$5:$I$305&lt;=AB$4+5)*(Timeline!$J$5:$J$305&gt;=AB$4+5)),SUMPRODUCT((INDEX(Timeline!$P$5:$AN$305,0,MATCH($A20,Timeline!$P$4:$AN$4,0))="x")*(Timeline!$K$5:$K$305="Task")*ISNUMBER(Timeline!$I$5:$I$305)*ISNUMBER(Timeline!$J$5:$J$305)*(Timeline!$I$5:$I$305&lt;=AB$4+6)*(Timeline!$J$5:$J$305&gt;=AB$4+6)))</f>
        <v>0</v>
      </c>
      <c r="AC20" s="67">
        <f>MAX(SUMPRODUCT((INDEX(Timeline!$P$5:$AN$305,0,MATCH($A20,Timeline!$P$4:$AN$4,0))="x")*(Timeline!$K$5:$K$305="Task")*ISNUMBER(Timeline!$I$5:$I$305)*ISNUMBER(Timeline!$J$5:$J$305)*(Timeline!$I$5:$I$305&lt;=AC$4+0)*(Timeline!$J$5:$J$305&gt;=AC$4+0)),SUMPRODUCT((INDEX(Timeline!$P$5:$AN$305,0,MATCH($A20,Timeline!$P$4:$AN$4,0))="x")*(Timeline!$K$5:$K$305="Task")*ISNUMBER(Timeline!$I$5:$I$305)*ISNUMBER(Timeline!$J$5:$J$305)*(Timeline!$I$5:$I$305&lt;=AC$4+1)*(Timeline!$J$5:$J$305&gt;=AC$4+1)),SUMPRODUCT((INDEX(Timeline!$P$5:$AN$305,0,MATCH($A20,Timeline!$P$4:$AN$4,0))="x")*(Timeline!$K$5:$K$305="Task")*ISNUMBER(Timeline!$I$5:$I$305)*ISNUMBER(Timeline!$J$5:$J$305)*(Timeline!$I$5:$I$305&lt;=AC$4+2)*(Timeline!$J$5:$J$305&gt;=AC$4+2)),SUMPRODUCT((INDEX(Timeline!$P$5:$AN$305,0,MATCH($A20,Timeline!$P$4:$AN$4,0))="x")*(Timeline!$K$5:$K$305="Task")*ISNUMBER(Timeline!$I$5:$I$305)*ISNUMBER(Timeline!$J$5:$J$305)*(Timeline!$I$5:$I$305&lt;=AC$4+3)*(Timeline!$J$5:$J$305&gt;=AC$4+3)),SUMPRODUCT((INDEX(Timeline!$P$5:$AN$305,0,MATCH($A20,Timeline!$P$4:$AN$4,0))="x")*(Timeline!$K$5:$K$305="Task")*ISNUMBER(Timeline!$I$5:$I$305)*ISNUMBER(Timeline!$J$5:$J$305)*(Timeline!$I$5:$I$305&lt;=AC$4+4)*(Timeline!$J$5:$J$305&gt;=AC$4+4)),SUMPRODUCT((INDEX(Timeline!$P$5:$AN$305,0,MATCH($A20,Timeline!$P$4:$AN$4,0))="x")*(Timeline!$K$5:$K$305="Task")*ISNUMBER(Timeline!$I$5:$I$305)*ISNUMBER(Timeline!$J$5:$J$305)*(Timeline!$I$5:$I$305&lt;=AC$4+5)*(Timeline!$J$5:$J$305&gt;=AC$4+5)),SUMPRODUCT((INDEX(Timeline!$P$5:$AN$305,0,MATCH($A20,Timeline!$P$4:$AN$4,0))="x")*(Timeline!$K$5:$K$305="Task")*ISNUMBER(Timeline!$I$5:$I$305)*ISNUMBER(Timeline!$J$5:$J$305)*(Timeline!$I$5:$I$305&lt;=AC$4+6)*(Timeline!$J$5:$J$305&gt;=AC$4+6)))</f>
        <v>0</v>
      </c>
      <c r="AD20" s="67">
        <f>MAX(SUMPRODUCT((INDEX(Timeline!$P$5:$AN$305,0,MATCH($A20,Timeline!$P$4:$AN$4,0))="x")*(Timeline!$K$5:$K$305="Task")*ISNUMBER(Timeline!$I$5:$I$305)*ISNUMBER(Timeline!$J$5:$J$305)*(Timeline!$I$5:$I$305&lt;=AD$4+0)*(Timeline!$J$5:$J$305&gt;=AD$4+0)),SUMPRODUCT((INDEX(Timeline!$P$5:$AN$305,0,MATCH($A20,Timeline!$P$4:$AN$4,0))="x")*(Timeline!$K$5:$K$305="Task")*ISNUMBER(Timeline!$I$5:$I$305)*ISNUMBER(Timeline!$J$5:$J$305)*(Timeline!$I$5:$I$305&lt;=AD$4+1)*(Timeline!$J$5:$J$305&gt;=AD$4+1)),SUMPRODUCT((INDEX(Timeline!$P$5:$AN$305,0,MATCH($A20,Timeline!$P$4:$AN$4,0))="x")*(Timeline!$K$5:$K$305="Task")*ISNUMBER(Timeline!$I$5:$I$305)*ISNUMBER(Timeline!$J$5:$J$305)*(Timeline!$I$5:$I$305&lt;=AD$4+2)*(Timeline!$J$5:$J$305&gt;=AD$4+2)),SUMPRODUCT((INDEX(Timeline!$P$5:$AN$305,0,MATCH($A20,Timeline!$P$4:$AN$4,0))="x")*(Timeline!$K$5:$K$305="Task")*ISNUMBER(Timeline!$I$5:$I$305)*ISNUMBER(Timeline!$J$5:$J$305)*(Timeline!$I$5:$I$305&lt;=AD$4+3)*(Timeline!$J$5:$J$305&gt;=AD$4+3)),SUMPRODUCT((INDEX(Timeline!$P$5:$AN$305,0,MATCH($A20,Timeline!$P$4:$AN$4,0))="x")*(Timeline!$K$5:$K$305="Task")*ISNUMBER(Timeline!$I$5:$I$305)*ISNUMBER(Timeline!$J$5:$J$305)*(Timeline!$I$5:$I$305&lt;=AD$4+4)*(Timeline!$J$5:$J$305&gt;=AD$4+4)),SUMPRODUCT((INDEX(Timeline!$P$5:$AN$305,0,MATCH($A20,Timeline!$P$4:$AN$4,0))="x")*(Timeline!$K$5:$K$305="Task")*ISNUMBER(Timeline!$I$5:$I$305)*ISNUMBER(Timeline!$J$5:$J$305)*(Timeline!$I$5:$I$305&lt;=AD$4+5)*(Timeline!$J$5:$J$305&gt;=AD$4+5)),SUMPRODUCT((INDEX(Timeline!$P$5:$AN$305,0,MATCH($A20,Timeline!$P$4:$AN$4,0))="x")*(Timeline!$K$5:$K$305="Task")*ISNUMBER(Timeline!$I$5:$I$305)*ISNUMBER(Timeline!$J$5:$J$305)*(Timeline!$I$5:$I$305&lt;=AD$4+6)*(Timeline!$J$5:$J$305&gt;=AD$4+6)))</f>
        <v>0</v>
      </c>
      <c r="AE20" s="67">
        <f>MAX(SUMPRODUCT((INDEX(Timeline!$P$5:$AN$305,0,MATCH($A20,Timeline!$P$4:$AN$4,0))="x")*(Timeline!$K$5:$K$305="Task")*ISNUMBER(Timeline!$I$5:$I$305)*ISNUMBER(Timeline!$J$5:$J$305)*(Timeline!$I$5:$I$305&lt;=AE$4+0)*(Timeline!$J$5:$J$305&gt;=AE$4+0)),SUMPRODUCT((INDEX(Timeline!$P$5:$AN$305,0,MATCH($A20,Timeline!$P$4:$AN$4,0))="x")*(Timeline!$K$5:$K$305="Task")*ISNUMBER(Timeline!$I$5:$I$305)*ISNUMBER(Timeline!$J$5:$J$305)*(Timeline!$I$5:$I$305&lt;=AE$4+1)*(Timeline!$J$5:$J$305&gt;=AE$4+1)),SUMPRODUCT((INDEX(Timeline!$P$5:$AN$305,0,MATCH($A20,Timeline!$P$4:$AN$4,0))="x")*(Timeline!$K$5:$K$305="Task")*ISNUMBER(Timeline!$I$5:$I$305)*ISNUMBER(Timeline!$J$5:$J$305)*(Timeline!$I$5:$I$305&lt;=AE$4+2)*(Timeline!$J$5:$J$305&gt;=AE$4+2)),SUMPRODUCT((INDEX(Timeline!$P$5:$AN$305,0,MATCH($A20,Timeline!$P$4:$AN$4,0))="x")*(Timeline!$K$5:$K$305="Task")*ISNUMBER(Timeline!$I$5:$I$305)*ISNUMBER(Timeline!$J$5:$J$305)*(Timeline!$I$5:$I$305&lt;=AE$4+3)*(Timeline!$J$5:$J$305&gt;=AE$4+3)),SUMPRODUCT((INDEX(Timeline!$P$5:$AN$305,0,MATCH($A20,Timeline!$P$4:$AN$4,0))="x")*(Timeline!$K$5:$K$305="Task")*ISNUMBER(Timeline!$I$5:$I$305)*ISNUMBER(Timeline!$J$5:$J$305)*(Timeline!$I$5:$I$305&lt;=AE$4+4)*(Timeline!$J$5:$J$305&gt;=AE$4+4)),SUMPRODUCT((INDEX(Timeline!$P$5:$AN$305,0,MATCH($A20,Timeline!$P$4:$AN$4,0))="x")*(Timeline!$K$5:$K$305="Task")*ISNUMBER(Timeline!$I$5:$I$305)*ISNUMBER(Timeline!$J$5:$J$305)*(Timeline!$I$5:$I$305&lt;=AE$4+5)*(Timeline!$J$5:$J$305&gt;=AE$4+5)),SUMPRODUCT((INDEX(Timeline!$P$5:$AN$305,0,MATCH($A20,Timeline!$P$4:$AN$4,0))="x")*(Timeline!$K$5:$K$305="Task")*ISNUMBER(Timeline!$I$5:$I$305)*ISNUMBER(Timeline!$J$5:$J$305)*(Timeline!$I$5:$I$305&lt;=AE$4+6)*(Timeline!$J$5:$J$305&gt;=AE$4+6)))</f>
        <v>0</v>
      </c>
      <c r="AF20" s="67">
        <f>MAX(SUMPRODUCT((INDEX(Timeline!$P$5:$AN$305,0,MATCH($A20,Timeline!$P$4:$AN$4,0))="x")*(Timeline!$K$5:$K$305="Task")*ISNUMBER(Timeline!$I$5:$I$305)*ISNUMBER(Timeline!$J$5:$J$305)*(Timeline!$I$5:$I$305&lt;=AF$4+0)*(Timeline!$J$5:$J$305&gt;=AF$4+0)),SUMPRODUCT((INDEX(Timeline!$P$5:$AN$305,0,MATCH($A20,Timeline!$P$4:$AN$4,0))="x")*(Timeline!$K$5:$K$305="Task")*ISNUMBER(Timeline!$I$5:$I$305)*ISNUMBER(Timeline!$J$5:$J$305)*(Timeline!$I$5:$I$305&lt;=AF$4+1)*(Timeline!$J$5:$J$305&gt;=AF$4+1)),SUMPRODUCT((INDEX(Timeline!$P$5:$AN$305,0,MATCH($A20,Timeline!$P$4:$AN$4,0))="x")*(Timeline!$K$5:$K$305="Task")*ISNUMBER(Timeline!$I$5:$I$305)*ISNUMBER(Timeline!$J$5:$J$305)*(Timeline!$I$5:$I$305&lt;=AF$4+2)*(Timeline!$J$5:$J$305&gt;=AF$4+2)),SUMPRODUCT((INDEX(Timeline!$P$5:$AN$305,0,MATCH($A20,Timeline!$P$4:$AN$4,0))="x")*(Timeline!$K$5:$K$305="Task")*ISNUMBER(Timeline!$I$5:$I$305)*ISNUMBER(Timeline!$J$5:$J$305)*(Timeline!$I$5:$I$305&lt;=AF$4+3)*(Timeline!$J$5:$J$305&gt;=AF$4+3)),SUMPRODUCT((INDEX(Timeline!$P$5:$AN$305,0,MATCH($A20,Timeline!$P$4:$AN$4,0))="x")*(Timeline!$K$5:$K$305="Task")*ISNUMBER(Timeline!$I$5:$I$305)*ISNUMBER(Timeline!$J$5:$J$305)*(Timeline!$I$5:$I$305&lt;=AF$4+4)*(Timeline!$J$5:$J$305&gt;=AF$4+4)),SUMPRODUCT((INDEX(Timeline!$P$5:$AN$305,0,MATCH($A20,Timeline!$P$4:$AN$4,0))="x")*(Timeline!$K$5:$K$305="Task")*ISNUMBER(Timeline!$I$5:$I$305)*ISNUMBER(Timeline!$J$5:$J$305)*(Timeline!$I$5:$I$305&lt;=AF$4+5)*(Timeline!$J$5:$J$305&gt;=AF$4+5)),SUMPRODUCT((INDEX(Timeline!$P$5:$AN$305,0,MATCH($A20,Timeline!$P$4:$AN$4,0))="x")*(Timeline!$K$5:$K$305="Task")*ISNUMBER(Timeline!$I$5:$I$305)*ISNUMBER(Timeline!$J$5:$J$305)*(Timeline!$I$5:$I$305&lt;=AF$4+6)*(Timeline!$J$5:$J$305&gt;=AF$4+6)))</f>
        <v>0</v>
      </c>
      <c r="AG20" s="67">
        <f>MAX(SUMPRODUCT((INDEX(Timeline!$P$5:$AN$305,0,MATCH($A20,Timeline!$P$4:$AN$4,0))="x")*(Timeline!$K$5:$K$305="Task")*ISNUMBER(Timeline!$I$5:$I$305)*ISNUMBER(Timeline!$J$5:$J$305)*(Timeline!$I$5:$I$305&lt;=AG$4+0)*(Timeline!$J$5:$J$305&gt;=AG$4+0)),SUMPRODUCT((INDEX(Timeline!$P$5:$AN$305,0,MATCH($A20,Timeline!$P$4:$AN$4,0))="x")*(Timeline!$K$5:$K$305="Task")*ISNUMBER(Timeline!$I$5:$I$305)*ISNUMBER(Timeline!$J$5:$J$305)*(Timeline!$I$5:$I$305&lt;=AG$4+1)*(Timeline!$J$5:$J$305&gt;=AG$4+1)),SUMPRODUCT((INDEX(Timeline!$P$5:$AN$305,0,MATCH($A20,Timeline!$P$4:$AN$4,0))="x")*(Timeline!$K$5:$K$305="Task")*ISNUMBER(Timeline!$I$5:$I$305)*ISNUMBER(Timeline!$J$5:$J$305)*(Timeline!$I$5:$I$305&lt;=AG$4+2)*(Timeline!$J$5:$J$305&gt;=AG$4+2)),SUMPRODUCT((INDEX(Timeline!$P$5:$AN$305,0,MATCH($A20,Timeline!$P$4:$AN$4,0))="x")*(Timeline!$K$5:$K$305="Task")*ISNUMBER(Timeline!$I$5:$I$305)*ISNUMBER(Timeline!$J$5:$J$305)*(Timeline!$I$5:$I$305&lt;=AG$4+3)*(Timeline!$J$5:$J$305&gt;=AG$4+3)),SUMPRODUCT((INDEX(Timeline!$P$5:$AN$305,0,MATCH($A20,Timeline!$P$4:$AN$4,0))="x")*(Timeline!$K$5:$K$305="Task")*ISNUMBER(Timeline!$I$5:$I$305)*ISNUMBER(Timeline!$J$5:$J$305)*(Timeline!$I$5:$I$305&lt;=AG$4+4)*(Timeline!$J$5:$J$305&gt;=AG$4+4)),SUMPRODUCT((INDEX(Timeline!$P$5:$AN$305,0,MATCH($A20,Timeline!$P$4:$AN$4,0))="x")*(Timeline!$K$5:$K$305="Task")*ISNUMBER(Timeline!$I$5:$I$305)*ISNUMBER(Timeline!$J$5:$J$305)*(Timeline!$I$5:$I$305&lt;=AG$4+5)*(Timeline!$J$5:$J$305&gt;=AG$4+5)),SUMPRODUCT((INDEX(Timeline!$P$5:$AN$305,0,MATCH($A20,Timeline!$P$4:$AN$4,0))="x")*(Timeline!$K$5:$K$305="Task")*ISNUMBER(Timeline!$I$5:$I$305)*ISNUMBER(Timeline!$J$5:$J$305)*(Timeline!$I$5:$I$305&lt;=AG$4+6)*(Timeline!$J$5:$J$305&gt;=AG$4+6)))</f>
        <v>0</v>
      </c>
      <c r="AH20" s="67">
        <f>MAX(SUMPRODUCT((INDEX(Timeline!$P$5:$AN$305,0,MATCH($A20,Timeline!$P$4:$AN$4,0))="x")*(Timeline!$K$5:$K$305="Task")*ISNUMBER(Timeline!$I$5:$I$305)*ISNUMBER(Timeline!$J$5:$J$305)*(Timeline!$I$5:$I$305&lt;=AH$4+0)*(Timeline!$J$5:$J$305&gt;=AH$4+0)),SUMPRODUCT((INDEX(Timeline!$P$5:$AN$305,0,MATCH($A20,Timeline!$P$4:$AN$4,0))="x")*(Timeline!$K$5:$K$305="Task")*ISNUMBER(Timeline!$I$5:$I$305)*ISNUMBER(Timeline!$J$5:$J$305)*(Timeline!$I$5:$I$305&lt;=AH$4+1)*(Timeline!$J$5:$J$305&gt;=AH$4+1)),SUMPRODUCT((INDEX(Timeline!$P$5:$AN$305,0,MATCH($A20,Timeline!$P$4:$AN$4,0))="x")*(Timeline!$K$5:$K$305="Task")*ISNUMBER(Timeline!$I$5:$I$305)*ISNUMBER(Timeline!$J$5:$J$305)*(Timeline!$I$5:$I$305&lt;=AH$4+2)*(Timeline!$J$5:$J$305&gt;=AH$4+2)),SUMPRODUCT((INDEX(Timeline!$P$5:$AN$305,0,MATCH($A20,Timeline!$P$4:$AN$4,0))="x")*(Timeline!$K$5:$K$305="Task")*ISNUMBER(Timeline!$I$5:$I$305)*ISNUMBER(Timeline!$J$5:$J$305)*(Timeline!$I$5:$I$305&lt;=AH$4+3)*(Timeline!$J$5:$J$305&gt;=AH$4+3)),SUMPRODUCT((INDEX(Timeline!$P$5:$AN$305,0,MATCH($A20,Timeline!$P$4:$AN$4,0))="x")*(Timeline!$K$5:$K$305="Task")*ISNUMBER(Timeline!$I$5:$I$305)*ISNUMBER(Timeline!$J$5:$J$305)*(Timeline!$I$5:$I$305&lt;=AH$4+4)*(Timeline!$J$5:$J$305&gt;=AH$4+4)),SUMPRODUCT((INDEX(Timeline!$P$5:$AN$305,0,MATCH($A20,Timeline!$P$4:$AN$4,0))="x")*(Timeline!$K$5:$K$305="Task")*ISNUMBER(Timeline!$I$5:$I$305)*ISNUMBER(Timeline!$J$5:$J$305)*(Timeline!$I$5:$I$305&lt;=AH$4+5)*(Timeline!$J$5:$J$305&gt;=AH$4+5)),SUMPRODUCT((INDEX(Timeline!$P$5:$AN$305,0,MATCH($A20,Timeline!$P$4:$AN$4,0))="x")*(Timeline!$K$5:$K$305="Task")*ISNUMBER(Timeline!$I$5:$I$305)*ISNUMBER(Timeline!$J$5:$J$305)*(Timeline!$I$5:$I$305&lt;=AH$4+6)*(Timeline!$J$5:$J$305&gt;=AH$4+6)))</f>
        <v>0</v>
      </c>
      <c r="AI20" s="67">
        <f>MAX(SUMPRODUCT((INDEX(Timeline!$P$5:$AN$305,0,MATCH($A20,Timeline!$P$4:$AN$4,0))="x")*(Timeline!$K$5:$K$305="Task")*ISNUMBER(Timeline!$I$5:$I$305)*ISNUMBER(Timeline!$J$5:$J$305)*(Timeline!$I$5:$I$305&lt;=AI$4+0)*(Timeline!$J$5:$J$305&gt;=AI$4+0)),SUMPRODUCT((INDEX(Timeline!$P$5:$AN$305,0,MATCH($A20,Timeline!$P$4:$AN$4,0))="x")*(Timeline!$K$5:$K$305="Task")*ISNUMBER(Timeline!$I$5:$I$305)*ISNUMBER(Timeline!$J$5:$J$305)*(Timeline!$I$5:$I$305&lt;=AI$4+1)*(Timeline!$J$5:$J$305&gt;=AI$4+1)),SUMPRODUCT((INDEX(Timeline!$P$5:$AN$305,0,MATCH($A20,Timeline!$P$4:$AN$4,0))="x")*(Timeline!$K$5:$K$305="Task")*ISNUMBER(Timeline!$I$5:$I$305)*ISNUMBER(Timeline!$J$5:$J$305)*(Timeline!$I$5:$I$305&lt;=AI$4+2)*(Timeline!$J$5:$J$305&gt;=AI$4+2)),SUMPRODUCT((INDEX(Timeline!$P$5:$AN$305,0,MATCH($A20,Timeline!$P$4:$AN$4,0))="x")*(Timeline!$K$5:$K$305="Task")*ISNUMBER(Timeline!$I$5:$I$305)*ISNUMBER(Timeline!$J$5:$J$305)*(Timeline!$I$5:$I$305&lt;=AI$4+3)*(Timeline!$J$5:$J$305&gt;=AI$4+3)),SUMPRODUCT((INDEX(Timeline!$P$5:$AN$305,0,MATCH($A20,Timeline!$P$4:$AN$4,0))="x")*(Timeline!$K$5:$K$305="Task")*ISNUMBER(Timeline!$I$5:$I$305)*ISNUMBER(Timeline!$J$5:$J$305)*(Timeline!$I$5:$I$305&lt;=AI$4+4)*(Timeline!$J$5:$J$305&gt;=AI$4+4)),SUMPRODUCT((INDEX(Timeline!$P$5:$AN$305,0,MATCH($A20,Timeline!$P$4:$AN$4,0))="x")*(Timeline!$K$5:$K$305="Task")*ISNUMBER(Timeline!$I$5:$I$305)*ISNUMBER(Timeline!$J$5:$J$305)*(Timeline!$I$5:$I$305&lt;=AI$4+5)*(Timeline!$J$5:$J$305&gt;=AI$4+5)),SUMPRODUCT((INDEX(Timeline!$P$5:$AN$305,0,MATCH($A20,Timeline!$P$4:$AN$4,0))="x")*(Timeline!$K$5:$K$305="Task")*ISNUMBER(Timeline!$I$5:$I$305)*ISNUMBER(Timeline!$J$5:$J$305)*(Timeline!$I$5:$I$305&lt;=AI$4+6)*(Timeline!$J$5:$J$305&gt;=AI$4+6)))</f>
        <v>0</v>
      </c>
      <c r="AJ20" s="67">
        <f>MAX(SUMPRODUCT((INDEX(Timeline!$P$5:$AN$305,0,MATCH($A20,Timeline!$P$4:$AN$4,0))="x")*(Timeline!$K$5:$K$305="Task")*ISNUMBER(Timeline!$I$5:$I$305)*ISNUMBER(Timeline!$J$5:$J$305)*(Timeline!$I$5:$I$305&lt;=AJ$4+0)*(Timeline!$J$5:$J$305&gt;=AJ$4+0)),SUMPRODUCT((INDEX(Timeline!$P$5:$AN$305,0,MATCH($A20,Timeline!$P$4:$AN$4,0))="x")*(Timeline!$K$5:$K$305="Task")*ISNUMBER(Timeline!$I$5:$I$305)*ISNUMBER(Timeline!$J$5:$J$305)*(Timeline!$I$5:$I$305&lt;=AJ$4+1)*(Timeline!$J$5:$J$305&gt;=AJ$4+1)),SUMPRODUCT((INDEX(Timeline!$P$5:$AN$305,0,MATCH($A20,Timeline!$P$4:$AN$4,0))="x")*(Timeline!$K$5:$K$305="Task")*ISNUMBER(Timeline!$I$5:$I$305)*ISNUMBER(Timeline!$J$5:$J$305)*(Timeline!$I$5:$I$305&lt;=AJ$4+2)*(Timeline!$J$5:$J$305&gt;=AJ$4+2)),SUMPRODUCT((INDEX(Timeline!$P$5:$AN$305,0,MATCH($A20,Timeline!$P$4:$AN$4,0))="x")*(Timeline!$K$5:$K$305="Task")*ISNUMBER(Timeline!$I$5:$I$305)*ISNUMBER(Timeline!$J$5:$J$305)*(Timeline!$I$5:$I$305&lt;=AJ$4+3)*(Timeline!$J$5:$J$305&gt;=AJ$4+3)),SUMPRODUCT((INDEX(Timeline!$P$5:$AN$305,0,MATCH($A20,Timeline!$P$4:$AN$4,0))="x")*(Timeline!$K$5:$K$305="Task")*ISNUMBER(Timeline!$I$5:$I$305)*ISNUMBER(Timeline!$J$5:$J$305)*(Timeline!$I$5:$I$305&lt;=AJ$4+4)*(Timeline!$J$5:$J$305&gt;=AJ$4+4)),SUMPRODUCT((INDEX(Timeline!$P$5:$AN$305,0,MATCH($A20,Timeline!$P$4:$AN$4,0))="x")*(Timeline!$K$5:$K$305="Task")*ISNUMBER(Timeline!$I$5:$I$305)*ISNUMBER(Timeline!$J$5:$J$305)*(Timeline!$I$5:$I$305&lt;=AJ$4+5)*(Timeline!$J$5:$J$305&gt;=AJ$4+5)),SUMPRODUCT((INDEX(Timeline!$P$5:$AN$305,0,MATCH($A20,Timeline!$P$4:$AN$4,0))="x")*(Timeline!$K$5:$K$305="Task")*ISNUMBER(Timeline!$I$5:$I$305)*ISNUMBER(Timeline!$J$5:$J$305)*(Timeline!$I$5:$I$305&lt;=AJ$4+6)*(Timeline!$J$5:$J$305&gt;=AJ$4+6)))</f>
        <v>0</v>
      </c>
      <c r="AK20" s="67">
        <f>MAX(SUMPRODUCT((INDEX(Timeline!$P$5:$AN$305,0,MATCH($A20,Timeline!$P$4:$AN$4,0))="x")*(Timeline!$K$5:$K$305="Task")*ISNUMBER(Timeline!$I$5:$I$305)*ISNUMBER(Timeline!$J$5:$J$305)*(Timeline!$I$5:$I$305&lt;=AK$4+0)*(Timeline!$J$5:$J$305&gt;=AK$4+0)),SUMPRODUCT((INDEX(Timeline!$P$5:$AN$305,0,MATCH($A20,Timeline!$P$4:$AN$4,0))="x")*(Timeline!$K$5:$K$305="Task")*ISNUMBER(Timeline!$I$5:$I$305)*ISNUMBER(Timeline!$J$5:$J$305)*(Timeline!$I$5:$I$305&lt;=AK$4+1)*(Timeline!$J$5:$J$305&gt;=AK$4+1)),SUMPRODUCT((INDEX(Timeline!$P$5:$AN$305,0,MATCH($A20,Timeline!$P$4:$AN$4,0))="x")*(Timeline!$K$5:$K$305="Task")*ISNUMBER(Timeline!$I$5:$I$305)*ISNUMBER(Timeline!$J$5:$J$305)*(Timeline!$I$5:$I$305&lt;=AK$4+2)*(Timeline!$J$5:$J$305&gt;=AK$4+2)),SUMPRODUCT((INDEX(Timeline!$P$5:$AN$305,0,MATCH($A20,Timeline!$P$4:$AN$4,0))="x")*(Timeline!$K$5:$K$305="Task")*ISNUMBER(Timeline!$I$5:$I$305)*ISNUMBER(Timeline!$J$5:$J$305)*(Timeline!$I$5:$I$305&lt;=AK$4+3)*(Timeline!$J$5:$J$305&gt;=AK$4+3)),SUMPRODUCT((INDEX(Timeline!$P$5:$AN$305,0,MATCH($A20,Timeline!$P$4:$AN$4,0))="x")*(Timeline!$K$5:$K$305="Task")*ISNUMBER(Timeline!$I$5:$I$305)*ISNUMBER(Timeline!$J$5:$J$305)*(Timeline!$I$5:$I$305&lt;=AK$4+4)*(Timeline!$J$5:$J$305&gt;=AK$4+4)),SUMPRODUCT((INDEX(Timeline!$P$5:$AN$305,0,MATCH($A20,Timeline!$P$4:$AN$4,0))="x")*(Timeline!$K$5:$K$305="Task")*ISNUMBER(Timeline!$I$5:$I$305)*ISNUMBER(Timeline!$J$5:$J$305)*(Timeline!$I$5:$I$305&lt;=AK$4+5)*(Timeline!$J$5:$J$305&gt;=AK$4+5)),SUMPRODUCT((INDEX(Timeline!$P$5:$AN$305,0,MATCH($A20,Timeline!$P$4:$AN$4,0))="x")*(Timeline!$K$5:$K$305="Task")*ISNUMBER(Timeline!$I$5:$I$305)*ISNUMBER(Timeline!$J$5:$J$305)*(Timeline!$I$5:$I$305&lt;=AK$4+6)*(Timeline!$J$5:$J$305&gt;=AK$4+6)))</f>
        <v>0</v>
      </c>
      <c r="AL20" s="67">
        <f>MAX(SUMPRODUCT((INDEX(Timeline!$P$5:$AN$305,0,MATCH($A20,Timeline!$P$4:$AN$4,0))="x")*(Timeline!$K$5:$K$305="Task")*ISNUMBER(Timeline!$I$5:$I$305)*ISNUMBER(Timeline!$J$5:$J$305)*(Timeline!$I$5:$I$305&lt;=AL$4+0)*(Timeline!$J$5:$J$305&gt;=AL$4+0)),SUMPRODUCT((INDEX(Timeline!$P$5:$AN$305,0,MATCH($A20,Timeline!$P$4:$AN$4,0))="x")*(Timeline!$K$5:$K$305="Task")*ISNUMBER(Timeline!$I$5:$I$305)*ISNUMBER(Timeline!$J$5:$J$305)*(Timeline!$I$5:$I$305&lt;=AL$4+1)*(Timeline!$J$5:$J$305&gt;=AL$4+1)),SUMPRODUCT((INDEX(Timeline!$P$5:$AN$305,0,MATCH($A20,Timeline!$P$4:$AN$4,0))="x")*(Timeline!$K$5:$K$305="Task")*ISNUMBER(Timeline!$I$5:$I$305)*ISNUMBER(Timeline!$J$5:$J$305)*(Timeline!$I$5:$I$305&lt;=AL$4+2)*(Timeline!$J$5:$J$305&gt;=AL$4+2)),SUMPRODUCT((INDEX(Timeline!$P$5:$AN$305,0,MATCH($A20,Timeline!$P$4:$AN$4,0))="x")*(Timeline!$K$5:$K$305="Task")*ISNUMBER(Timeline!$I$5:$I$305)*ISNUMBER(Timeline!$J$5:$J$305)*(Timeline!$I$5:$I$305&lt;=AL$4+3)*(Timeline!$J$5:$J$305&gt;=AL$4+3)),SUMPRODUCT((INDEX(Timeline!$P$5:$AN$305,0,MATCH($A20,Timeline!$P$4:$AN$4,0))="x")*(Timeline!$K$5:$K$305="Task")*ISNUMBER(Timeline!$I$5:$I$305)*ISNUMBER(Timeline!$J$5:$J$305)*(Timeline!$I$5:$I$305&lt;=AL$4+4)*(Timeline!$J$5:$J$305&gt;=AL$4+4)),SUMPRODUCT((INDEX(Timeline!$P$5:$AN$305,0,MATCH($A20,Timeline!$P$4:$AN$4,0))="x")*(Timeline!$K$5:$K$305="Task")*ISNUMBER(Timeline!$I$5:$I$305)*ISNUMBER(Timeline!$J$5:$J$305)*(Timeline!$I$5:$I$305&lt;=AL$4+5)*(Timeline!$J$5:$J$305&gt;=AL$4+5)),SUMPRODUCT((INDEX(Timeline!$P$5:$AN$305,0,MATCH($A20,Timeline!$P$4:$AN$4,0))="x")*(Timeline!$K$5:$K$305="Task")*ISNUMBER(Timeline!$I$5:$I$305)*ISNUMBER(Timeline!$J$5:$J$305)*(Timeline!$I$5:$I$305&lt;=AL$4+6)*(Timeline!$J$5:$J$305&gt;=AL$4+6)))</f>
        <v>0</v>
      </c>
      <c r="AM20" s="67">
        <f>MAX(SUMPRODUCT((INDEX(Timeline!$P$5:$AN$305,0,MATCH($A20,Timeline!$P$4:$AN$4,0))="x")*(Timeline!$K$5:$K$305="Task")*ISNUMBER(Timeline!$I$5:$I$305)*ISNUMBER(Timeline!$J$5:$J$305)*(Timeline!$I$5:$I$305&lt;=AM$4+0)*(Timeline!$J$5:$J$305&gt;=AM$4+0)),SUMPRODUCT((INDEX(Timeline!$P$5:$AN$305,0,MATCH($A20,Timeline!$P$4:$AN$4,0))="x")*(Timeline!$K$5:$K$305="Task")*ISNUMBER(Timeline!$I$5:$I$305)*ISNUMBER(Timeline!$J$5:$J$305)*(Timeline!$I$5:$I$305&lt;=AM$4+1)*(Timeline!$J$5:$J$305&gt;=AM$4+1)),SUMPRODUCT((INDEX(Timeline!$P$5:$AN$305,0,MATCH($A20,Timeline!$P$4:$AN$4,0))="x")*(Timeline!$K$5:$K$305="Task")*ISNUMBER(Timeline!$I$5:$I$305)*ISNUMBER(Timeline!$J$5:$J$305)*(Timeline!$I$5:$I$305&lt;=AM$4+2)*(Timeline!$J$5:$J$305&gt;=AM$4+2)),SUMPRODUCT((INDEX(Timeline!$P$5:$AN$305,0,MATCH($A20,Timeline!$P$4:$AN$4,0))="x")*(Timeline!$K$5:$K$305="Task")*ISNUMBER(Timeline!$I$5:$I$305)*ISNUMBER(Timeline!$J$5:$J$305)*(Timeline!$I$5:$I$305&lt;=AM$4+3)*(Timeline!$J$5:$J$305&gt;=AM$4+3)),SUMPRODUCT((INDEX(Timeline!$P$5:$AN$305,0,MATCH($A20,Timeline!$P$4:$AN$4,0))="x")*(Timeline!$K$5:$K$305="Task")*ISNUMBER(Timeline!$I$5:$I$305)*ISNUMBER(Timeline!$J$5:$J$305)*(Timeline!$I$5:$I$305&lt;=AM$4+4)*(Timeline!$J$5:$J$305&gt;=AM$4+4)),SUMPRODUCT((INDEX(Timeline!$P$5:$AN$305,0,MATCH($A20,Timeline!$P$4:$AN$4,0))="x")*(Timeline!$K$5:$K$305="Task")*ISNUMBER(Timeline!$I$5:$I$305)*ISNUMBER(Timeline!$J$5:$J$305)*(Timeline!$I$5:$I$305&lt;=AM$4+5)*(Timeline!$J$5:$J$305&gt;=AM$4+5)),SUMPRODUCT((INDEX(Timeline!$P$5:$AN$305,0,MATCH($A20,Timeline!$P$4:$AN$4,0))="x")*(Timeline!$K$5:$K$305="Task")*ISNUMBER(Timeline!$I$5:$I$305)*ISNUMBER(Timeline!$J$5:$J$305)*(Timeline!$I$5:$I$305&lt;=AM$4+6)*(Timeline!$J$5:$J$305&gt;=AM$4+6)))</f>
        <v>0</v>
      </c>
      <c r="AN20" s="67">
        <f>MAX(SUMPRODUCT((INDEX(Timeline!$P$5:$AN$305,0,MATCH($A20,Timeline!$P$4:$AN$4,0))="x")*(Timeline!$K$5:$K$305="Task")*ISNUMBER(Timeline!$I$5:$I$305)*ISNUMBER(Timeline!$J$5:$J$305)*(Timeline!$I$5:$I$305&lt;=AN$4+0)*(Timeline!$J$5:$J$305&gt;=AN$4+0)),SUMPRODUCT((INDEX(Timeline!$P$5:$AN$305,0,MATCH($A20,Timeline!$P$4:$AN$4,0))="x")*(Timeline!$K$5:$K$305="Task")*ISNUMBER(Timeline!$I$5:$I$305)*ISNUMBER(Timeline!$J$5:$J$305)*(Timeline!$I$5:$I$305&lt;=AN$4+1)*(Timeline!$J$5:$J$305&gt;=AN$4+1)),SUMPRODUCT((INDEX(Timeline!$P$5:$AN$305,0,MATCH($A20,Timeline!$P$4:$AN$4,0))="x")*(Timeline!$K$5:$K$305="Task")*ISNUMBER(Timeline!$I$5:$I$305)*ISNUMBER(Timeline!$J$5:$J$305)*(Timeline!$I$5:$I$305&lt;=AN$4+2)*(Timeline!$J$5:$J$305&gt;=AN$4+2)),SUMPRODUCT((INDEX(Timeline!$P$5:$AN$305,0,MATCH($A20,Timeline!$P$4:$AN$4,0))="x")*(Timeline!$K$5:$K$305="Task")*ISNUMBER(Timeline!$I$5:$I$305)*ISNUMBER(Timeline!$J$5:$J$305)*(Timeline!$I$5:$I$305&lt;=AN$4+3)*(Timeline!$J$5:$J$305&gt;=AN$4+3)),SUMPRODUCT((INDEX(Timeline!$P$5:$AN$305,0,MATCH($A20,Timeline!$P$4:$AN$4,0))="x")*(Timeline!$K$5:$K$305="Task")*ISNUMBER(Timeline!$I$5:$I$305)*ISNUMBER(Timeline!$J$5:$J$305)*(Timeline!$I$5:$I$305&lt;=AN$4+4)*(Timeline!$J$5:$J$305&gt;=AN$4+4)),SUMPRODUCT((INDEX(Timeline!$P$5:$AN$305,0,MATCH($A20,Timeline!$P$4:$AN$4,0))="x")*(Timeline!$K$5:$K$305="Task")*ISNUMBER(Timeline!$I$5:$I$305)*ISNUMBER(Timeline!$J$5:$J$305)*(Timeline!$I$5:$I$305&lt;=AN$4+5)*(Timeline!$J$5:$J$305&gt;=AN$4+5)),SUMPRODUCT((INDEX(Timeline!$P$5:$AN$305,0,MATCH($A20,Timeline!$P$4:$AN$4,0))="x")*(Timeline!$K$5:$K$305="Task")*ISNUMBER(Timeline!$I$5:$I$305)*ISNUMBER(Timeline!$J$5:$J$305)*(Timeline!$I$5:$I$305&lt;=AN$4+6)*(Timeline!$J$5:$J$305&gt;=AN$4+6)))</f>
        <v>0</v>
      </c>
      <c r="AO20" s="67">
        <f>MAX(SUMPRODUCT((INDEX(Timeline!$P$5:$AN$305,0,MATCH($A20,Timeline!$P$4:$AN$4,0))="x")*(Timeline!$K$5:$K$305="Task")*ISNUMBER(Timeline!$I$5:$I$305)*ISNUMBER(Timeline!$J$5:$J$305)*(Timeline!$I$5:$I$305&lt;=AO$4+0)*(Timeline!$J$5:$J$305&gt;=AO$4+0)),SUMPRODUCT((INDEX(Timeline!$P$5:$AN$305,0,MATCH($A20,Timeline!$P$4:$AN$4,0))="x")*(Timeline!$K$5:$K$305="Task")*ISNUMBER(Timeline!$I$5:$I$305)*ISNUMBER(Timeline!$J$5:$J$305)*(Timeline!$I$5:$I$305&lt;=AO$4+1)*(Timeline!$J$5:$J$305&gt;=AO$4+1)),SUMPRODUCT((INDEX(Timeline!$P$5:$AN$305,0,MATCH($A20,Timeline!$P$4:$AN$4,0))="x")*(Timeline!$K$5:$K$305="Task")*ISNUMBER(Timeline!$I$5:$I$305)*ISNUMBER(Timeline!$J$5:$J$305)*(Timeline!$I$5:$I$305&lt;=AO$4+2)*(Timeline!$J$5:$J$305&gt;=AO$4+2)),SUMPRODUCT((INDEX(Timeline!$P$5:$AN$305,0,MATCH($A20,Timeline!$P$4:$AN$4,0))="x")*(Timeline!$K$5:$K$305="Task")*ISNUMBER(Timeline!$I$5:$I$305)*ISNUMBER(Timeline!$J$5:$J$305)*(Timeline!$I$5:$I$305&lt;=AO$4+3)*(Timeline!$J$5:$J$305&gt;=AO$4+3)),SUMPRODUCT((INDEX(Timeline!$P$5:$AN$305,0,MATCH($A20,Timeline!$P$4:$AN$4,0))="x")*(Timeline!$K$5:$K$305="Task")*ISNUMBER(Timeline!$I$5:$I$305)*ISNUMBER(Timeline!$J$5:$J$305)*(Timeline!$I$5:$I$305&lt;=AO$4+4)*(Timeline!$J$5:$J$305&gt;=AO$4+4)),SUMPRODUCT((INDEX(Timeline!$P$5:$AN$305,0,MATCH($A20,Timeline!$P$4:$AN$4,0))="x")*(Timeline!$K$5:$K$305="Task")*ISNUMBER(Timeline!$I$5:$I$305)*ISNUMBER(Timeline!$J$5:$J$305)*(Timeline!$I$5:$I$305&lt;=AO$4+5)*(Timeline!$J$5:$J$305&gt;=AO$4+5)),SUMPRODUCT((INDEX(Timeline!$P$5:$AN$305,0,MATCH($A20,Timeline!$P$4:$AN$4,0))="x")*(Timeline!$K$5:$K$305="Task")*ISNUMBER(Timeline!$I$5:$I$305)*ISNUMBER(Timeline!$J$5:$J$305)*(Timeline!$I$5:$I$305&lt;=AO$4+6)*(Timeline!$J$5:$J$305&gt;=AO$4+6)))</f>
        <v>0</v>
      </c>
      <c r="AP20" s="67">
        <f>MAX(SUMPRODUCT((INDEX(Timeline!$P$5:$AN$305,0,MATCH($A20,Timeline!$P$4:$AN$4,0))="x")*(Timeline!$K$5:$K$305="Task")*ISNUMBER(Timeline!$I$5:$I$305)*ISNUMBER(Timeline!$J$5:$J$305)*(Timeline!$I$5:$I$305&lt;=AP$4+0)*(Timeline!$J$5:$J$305&gt;=AP$4+0)),SUMPRODUCT((INDEX(Timeline!$P$5:$AN$305,0,MATCH($A20,Timeline!$P$4:$AN$4,0))="x")*(Timeline!$K$5:$K$305="Task")*ISNUMBER(Timeline!$I$5:$I$305)*ISNUMBER(Timeline!$J$5:$J$305)*(Timeline!$I$5:$I$305&lt;=AP$4+1)*(Timeline!$J$5:$J$305&gt;=AP$4+1)),SUMPRODUCT((INDEX(Timeline!$P$5:$AN$305,0,MATCH($A20,Timeline!$P$4:$AN$4,0))="x")*(Timeline!$K$5:$K$305="Task")*ISNUMBER(Timeline!$I$5:$I$305)*ISNUMBER(Timeline!$J$5:$J$305)*(Timeline!$I$5:$I$305&lt;=AP$4+2)*(Timeline!$J$5:$J$305&gt;=AP$4+2)),SUMPRODUCT((INDEX(Timeline!$P$5:$AN$305,0,MATCH($A20,Timeline!$P$4:$AN$4,0))="x")*(Timeline!$K$5:$K$305="Task")*ISNUMBER(Timeline!$I$5:$I$305)*ISNUMBER(Timeline!$J$5:$J$305)*(Timeline!$I$5:$I$305&lt;=AP$4+3)*(Timeline!$J$5:$J$305&gt;=AP$4+3)),SUMPRODUCT((INDEX(Timeline!$P$5:$AN$305,0,MATCH($A20,Timeline!$P$4:$AN$4,0))="x")*(Timeline!$K$5:$K$305="Task")*ISNUMBER(Timeline!$I$5:$I$305)*ISNUMBER(Timeline!$J$5:$J$305)*(Timeline!$I$5:$I$305&lt;=AP$4+4)*(Timeline!$J$5:$J$305&gt;=AP$4+4)),SUMPRODUCT((INDEX(Timeline!$P$5:$AN$305,0,MATCH($A20,Timeline!$P$4:$AN$4,0))="x")*(Timeline!$K$5:$K$305="Task")*ISNUMBER(Timeline!$I$5:$I$305)*ISNUMBER(Timeline!$J$5:$J$305)*(Timeline!$I$5:$I$305&lt;=AP$4+5)*(Timeline!$J$5:$J$305&gt;=AP$4+5)),SUMPRODUCT((INDEX(Timeline!$P$5:$AN$305,0,MATCH($A20,Timeline!$P$4:$AN$4,0))="x")*(Timeline!$K$5:$K$305="Task")*ISNUMBER(Timeline!$I$5:$I$305)*ISNUMBER(Timeline!$J$5:$J$305)*(Timeline!$I$5:$I$305&lt;=AP$4+6)*(Timeline!$J$5:$J$305&gt;=AP$4+6)))</f>
        <v>0</v>
      </c>
      <c r="AQ20" s="67">
        <f>MAX(SUMPRODUCT((INDEX(Timeline!$P$5:$AN$305,0,MATCH($A20,Timeline!$P$4:$AN$4,0))="x")*(Timeline!$K$5:$K$305="Task")*ISNUMBER(Timeline!$I$5:$I$305)*ISNUMBER(Timeline!$J$5:$J$305)*(Timeline!$I$5:$I$305&lt;=AQ$4+0)*(Timeline!$J$5:$J$305&gt;=AQ$4+0)),SUMPRODUCT((INDEX(Timeline!$P$5:$AN$305,0,MATCH($A20,Timeline!$P$4:$AN$4,0))="x")*(Timeline!$K$5:$K$305="Task")*ISNUMBER(Timeline!$I$5:$I$305)*ISNUMBER(Timeline!$J$5:$J$305)*(Timeline!$I$5:$I$305&lt;=AQ$4+1)*(Timeline!$J$5:$J$305&gt;=AQ$4+1)),SUMPRODUCT((INDEX(Timeline!$P$5:$AN$305,0,MATCH($A20,Timeline!$P$4:$AN$4,0))="x")*(Timeline!$K$5:$K$305="Task")*ISNUMBER(Timeline!$I$5:$I$305)*ISNUMBER(Timeline!$J$5:$J$305)*(Timeline!$I$5:$I$305&lt;=AQ$4+2)*(Timeline!$J$5:$J$305&gt;=AQ$4+2)),SUMPRODUCT((INDEX(Timeline!$P$5:$AN$305,0,MATCH($A20,Timeline!$P$4:$AN$4,0))="x")*(Timeline!$K$5:$K$305="Task")*ISNUMBER(Timeline!$I$5:$I$305)*ISNUMBER(Timeline!$J$5:$J$305)*(Timeline!$I$5:$I$305&lt;=AQ$4+3)*(Timeline!$J$5:$J$305&gt;=AQ$4+3)),SUMPRODUCT((INDEX(Timeline!$P$5:$AN$305,0,MATCH($A20,Timeline!$P$4:$AN$4,0))="x")*(Timeline!$K$5:$K$305="Task")*ISNUMBER(Timeline!$I$5:$I$305)*ISNUMBER(Timeline!$J$5:$J$305)*(Timeline!$I$5:$I$305&lt;=AQ$4+4)*(Timeline!$J$5:$J$305&gt;=AQ$4+4)),SUMPRODUCT((INDEX(Timeline!$P$5:$AN$305,0,MATCH($A20,Timeline!$P$4:$AN$4,0))="x")*(Timeline!$K$5:$K$305="Task")*ISNUMBER(Timeline!$I$5:$I$305)*ISNUMBER(Timeline!$J$5:$J$305)*(Timeline!$I$5:$I$305&lt;=AQ$4+5)*(Timeline!$J$5:$J$305&gt;=AQ$4+5)),SUMPRODUCT((INDEX(Timeline!$P$5:$AN$305,0,MATCH($A20,Timeline!$P$4:$AN$4,0))="x")*(Timeline!$K$5:$K$305="Task")*ISNUMBER(Timeline!$I$5:$I$305)*ISNUMBER(Timeline!$J$5:$J$305)*(Timeline!$I$5:$I$305&lt;=AQ$4+6)*(Timeline!$J$5:$J$305&gt;=AQ$4+6)))</f>
        <v>0</v>
      </c>
      <c r="AR20" s="67">
        <f>MAX(SUMPRODUCT((INDEX(Timeline!$P$5:$AN$305,0,MATCH($A20,Timeline!$P$4:$AN$4,0))="x")*(Timeline!$K$5:$K$305="Task")*ISNUMBER(Timeline!$I$5:$I$305)*ISNUMBER(Timeline!$J$5:$J$305)*(Timeline!$I$5:$I$305&lt;=AR$4+0)*(Timeline!$J$5:$J$305&gt;=AR$4+0)),SUMPRODUCT((INDEX(Timeline!$P$5:$AN$305,0,MATCH($A20,Timeline!$P$4:$AN$4,0))="x")*(Timeline!$K$5:$K$305="Task")*ISNUMBER(Timeline!$I$5:$I$305)*ISNUMBER(Timeline!$J$5:$J$305)*(Timeline!$I$5:$I$305&lt;=AR$4+1)*(Timeline!$J$5:$J$305&gt;=AR$4+1)),SUMPRODUCT((INDEX(Timeline!$P$5:$AN$305,0,MATCH($A20,Timeline!$P$4:$AN$4,0))="x")*(Timeline!$K$5:$K$305="Task")*ISNUMBER(Timeline!$I$5:$I$305)*ISNUMBER(Timeline!$J$5:$J$305)*(Timeline!$I$5:$I$305&lt;=AR$4+2)*(Timeline!$J$5:$J$305&gt;=AR$4+2)),SUMPRODUCT((INDEX(Timeline!$P$5:$AN$305,0,MATCH($A20,Timeline!$P$4:$AN$4,0))="x")*(Timeline!$K$5:$K$305="Task")*ISNUMBER(Timeline!$I$5:$I$305)*ISNUMBER(Timeline!$J$5:$J$305)*(Timeline!$I$5:$I$305&lt;=AR$4+3)*(Timeline!$J$5:$J$305&gt;=AR$4+3)),SUMPRODUCT((INDEX(Timeline!$P$5:$AN$305,0,MATCH($A20,Timeline!$P$4:$AN$4,0))="x")*(Timeline!$K$5:$K$305="Task")*ISNUMBER(Timeline!$I$5:$I$305)*ISNUMBER(Timeline!$J$5:$J$305)*(Timeline!$I$5:$I$305&lt;=AR$4+4)*(Timeline!$J$5:$J$305&gt;=AR$4+4)),SUMPRODUCT((INDEX(Timeline!$P$5:$AN$305,0,MATCH($A20,Timeline!$P$4:$AN$4,0))="x")*(Timeline!$K$5:$K$305="Task")*ISNUMBER(Timeline!$I$5:$I$305)*ISNUMBER(Timeline!$J$5:$J$305)*(Timeline!$I$5:$I$305&lt;=AR$4+5)*(Timeline!$J$5:$J$305&gt;=AR$4+5)),SUMPRODUCT((INDEX(Timeline!$P$5:$AN$305,0,MATCH($A20,Timeline!$P$4:$AN$4,0))="x")*(Timeline!$K$5:$K$305="Task")*ISNUMBER(Timeline!$I$5:$I$305)*ISNUMBER(Timeline!$J$5:$J$305)*(Timeline!$I$5:$I$305&lt;=AR$4+6)*(Timeline!$J$5:$J$305&gt;=AR$4+6)))</f>
        <v>0</v>
      </c>
      <c r="AS20" s="67">
        <f>MAX(SUMPRODUCT((INDEX(Timeline!$P$5:$AN$305,0,MATCH($A20,Timeline!$P$4:$AN$4,0))="x")*(Timeline!$K$5:$K$305="Task")*ISNUMBER(Timeline!$I$5:$I$305)*ISNUMBER(Timeline!$J$5:$J$305)*(Timeline!$I$5:$I$305&lt;=AS$4+0)*(Timeline!$J$5:$J$305&gt;=AS$4+0)),SUMPRODUCT((INDEX(Timeline!$P$5:$AN$305,0,MATCH($A20,Timeline!$P$4:$AN$4,0))="x")*(Timeline!$K$5:$K$305="Task")*ISNUMBER(Timeline!$I$5:$I$305)*ISNUMBER(Timeline!$J$5:$J$305)*(Timeline!$I$5:$I$305&lt;=AS$4+1)*(Timeline!$J$5:$J$305&gt;=AS$4+1)),SUMPRODUCT((INDEX(Timeline!$P$5:$AN$305,0,MATCH($A20,Timeline!$P$4:$AN$4,0))="x")*(Timeline!$K$5:$K$305="Task")*ISNUMBER(Timeline!$I$5:$I$305)*ISNUMBER(Timeline!$J$5:$J$305)*(Timeline!$I$5:$I$305&lt;=AS$4+2)*(Timeline!$J$5:$J$305&gt;=AS$4+2)),SUMPRODUCT((INDEX(Timeline!$P$5:$AN$305,0,MATCH($A20,Timeline!$P$4:$AN$4,0))="x")*(Timeline!$K$5:$K$305="Task")*ISNUMBER(Timeline!$I$5:$I$305)*ISNUMBER(Timeline!$J$5:$J$305)*(Timeline!$I$5:$I$305&lt;=AS$4+3)*(Timeline!$J$5:$J$305&gt;=AS$4+3)),SUMPRODUCT((INDEX(Timeline!$P$5:$AN$305,0,MATCH($A20,Timeline!$P$4:$AN$4,0))="x")*(Timeline!$K$5:$K$305="Task")*ISNUMBER(Timeline!$I$5:$I$305)*ISNUMBER(Timeline!$J$5:$J$305)*(Timeline!$I$5:$I$305&lt;=AS$4+4)*(Timeline!$J$5:$J$305&gt;=AS$4+4)),SUMPRODUCT((INDEX(Timeline!$P$5:$AN$305,0,MATCH($A20,Timeline!$P$4:$AN$4,0))="x")*(Timeline!$K$5:$K$305="Task")*ISNUMBER(Timeline!$I$5:$I$305)*ISNUMBER(Timeline!$J$5:$J$305)*(Timeline!$I$5:$I$305&lt;=AS$4+5)*(Timeline!$J$5:$J$305&gt;=AS$4+5)),SUMPRODUCT((INDEX(Timeline!$P$5:$AN$305,0,MATCH($A20,Timeline!$P$4:$AN$4,0))="x")*(Timeline!$K$5:$K$305="Task")*ISNUMBER(Timeline!$I$5:$I$305)*ISNUMBER(Timeline!$J$5:$J$305)*(Timeline!$I$5:$I$305&lt;=AS$4+6)*(Timeline!$J$5:$J$305&gt;=AS$4+6)))</f>
        <v>0</v>
      </c>
      <c r="AT20" s="67">
        <f>MAX(SUMPRODUCT((INDEX(Timeline!$P$5:$AN$305,0,MATCH($A20,Timeline!$P$4:$AN$4,0))="x")*(Timeline!$K$5:$K$305="Task")*ISNUMBER(Timeline!$I$5:$I$305)*ISNUMBER(Timeline!$J$5:$J$305)*(Timeline!$I$5:$I$305&lt;=AT$4+0)*(Timeline!$J$5:$J$305&gt;=AT$4+0)),SUMPRODUCT((INDEX(Timeline!$P$5:$AN$305,0,MATCH($A20,Timeline!$P$4:$AN$4,0))="x")*(Timeline!$K$5:$K$305="Task")*ISNUMBER(Timeline!$I$5:$I$305)*ISNUMBER(Timeline!$J$5:$J$305)*(Timeline!$I$5:$I$305&lt;=AT$4+1)*(Timeline!$J$5:$J$305&gt;=AT$4+1)),SUMPRODUCT((INDEX(Timeline!$P$5:$AN$305,0,MATCH($A20,Timeline!$P$4:$AN$4,0))="x")*(Timeline!$K$5:$K$305="Task")*ISNUMBER(Timeline!$I$5:$I$305)*ISNUMBER(Timeline!$J$5:$J$305)*(Timeline!$I$5:$I$305&lt;=AT$4+2)*(Timeline!$J$5:$J$305&gt;=AT$4+2)),SUMPRODUCT((INDEX(Timeline!$P$5:$AN$305,0,MATCH($A20,Timeline!$P$4:$AN$4,0))="x")*(Timeline!$K$5:$K$305="Task")*ISNUMBER(Timeline!$I$5:$I$305)*ISNUMBER(Timeline!$J$5:$J$305)*(Timeline!$I$5:$I$305&lt;=AT$4+3)*(Timeline!$J$5:$J$305&gt;=AT$4+3)),SUMPRODUCT((INDEX(Timeline!$P$5:$AN$305,0,MATCH($A20,Timeline!$P$4:$AN$4,0))="x")*(Timeline!$K$5:$K$305="Task")*ISNUMBER(Timeline!$I$5:$I$305)*ISNUMBER(Timeline!$J$5:$J$305)*(Timeline!$I$5:$I$305&lt;=AT$4+4)*(Timeline!$J$5:$J$305&gt;=AT$4+4)),SUMPRODUCT((INDEX(Timeline!$P$5:$AN$305,0,MATCH($A20,Timeline!$P$4:$AN$4,0))="x")*(Timeline!$K$5:$K$305="Task")*ISNUMBER(Timeline!$I$5:$I$305)*ISNUMBER(Timeline!$J$5:$J$305)*(Timeline!$I$5:$I$305&lt;=AT$4+5)*(Timeline!$J$5:$J$305&gt;=AT$4+5)),SUMPRODUCT((INDEX(Timeline!$P$5:$AN$305,0,MATCH($A20,Timeline!$P$4:$AN$4,0))="x")*(Timeline!$K$5:$K$305="Task")*ISNUMBER(Timeline!$I$5:$I$305)*ISNUMBER(Timeline!$J$5:$J$305)*(Timeline!$I$5:$I$305&lt;=AT$4+6)*(Timeline!$J$5:$J$305&gt;=AT$4+6)))</f>
        <v>0</v>
      </c>
      <c r="AU20" s="67">
        <f>MAX(SUMPRODUCT((INDEX(Timeline!$P$5:$AN$305,0,MATCH($A20,Timeline!$P$4:$AN$4,0))="x")*(Timeline!$K$5:$K$305="Task")*ISNUMBER(Timeline!$I$5:$I$305)*ISNUMBER(Timeline!$J$5:$J$305)*(Timeline!$I$5:$I$305&lt;=AU$4+0)*(Timeline!$J$5:$J$305&gt;=AU$4+0)),SUMPRODUCT((INDEX(Timeline!$P$5:$AN$305,0,MATCH($A20,Timeline!$P$4:$AN$4,0))="x")*(Timeline!$K$5:$K$305="Task")*ISNUMBER(Timeline!$I$5:$I$305)*ISNUMBER(Timeline!$J$5:$J$305)*(Timeline!$I$5:$I$305&lt;=AU$4+1)*(Timeline!$J$5:$J$305&gt;=AU$4+1)),SUMPRODUCT((INDEX(Timeline!$P$5:$AN$305,0,MATCH($A20,Timeline!$P$4:$AN$4,0))="x")*(Timeline!$K$5:$K$305="Task")*ISNUMBER(Timeline!$I$5:$I$305)*ISNUMBER(Timeline!$J$5:$J$305)*(Timeline!$I$5:$I$305&lt;=AU$4+2)*(Timeline!$J$5:$J$305&gt;=AU$4+2)),SUMPRODUCT((INDEX(Timeline!$P$5:$AN$305,0,MATCH($A20,Timeline!$P$4:$AN$4,0))="x")*(Timeline!$K$5:$K$305="Task")*ISNUMBER(Timeline!$I$5:$I$305)*ISNUMBER(Timeline!$J$5:$J$305)*(Timeline!$I$5:$I$305&lt;=AU$4+3)*(Timeline!$J$5:$J$305&gt;=AU$4+3)),SUMPRODUCT((INDEX(Timeline!$P$5:$AN$305,0,MATCH($A20,Timeline!$P$4:$AN$4,0))="x")*(Timeline!$K$5:$K$305="Task")*ISNUMBER(Timeline!$I$5:$I$305)*ISNUMBER(Timeline!$J$5:$J$305)*(Timeline!$I$5:$I$305&lt;=AU$4+4)*(Timeline!$J$5:$J$305&gt;=AU$4+4)),SUMPRODUCT((INDEX(Timeline!$P$5:$AN$305,0,MATCH($A20,Timeline!$P$4:$AN$4,0))="x")*(Timeline!$K$5:$K$305="Task")*ISNUMBER(Timeline!$I$5:$I$305)*ISNUMBER(Timeline!$J$5:$J$305)*(Timeline!$I$5:$I$305&lt;=AU$4+5)*(Timeline!$J$5:$J$305&gt;=AU$4+5)),SUMPRODUCT((INDEX(Timeline!$P$5:$AN$305,0,MATCH($A20,Timeline!$P$4:$AN$4,0))="x")*(Timeline!$K$5:$K$305="Task")*ISNUMBER(Timeline!$I$5:$I$305)*ISNUMBER(Timeline!$J$5:$J$305)*(Timeline!$I$5:$I$305&lt;=AU$4+6)*(Timeline!$J$5:$J$305&gt;=AU$4+6)))</f>
        <v>0</v>
      </c>
      <c r="AV20" s="67">
        <f>MAX(SUMPRODUCT((INDEX(Timeline!$P$5:$AN$305,0,MATCH($A20,Timeline!$P$4:$AN$4,0))="x")*(Timeline!$K$5:$K$305="Task")*ISNUMBER(Timeline!$I$5:$I$305)*ISNUMBER(Timeline!$J$5:$J$305)*(Timeline!$I$5:$I$305&lt;=AV$4+0)*(Timeline!$J$5:$J$305&gt;=AV$4+0)),SUMPRODUCT((INDEX(Timeline!$P$5:$AN$305,0,MATCH($A20,Timeline!$P$4:$AN$4,0))="x")*(Timeline!$K$5:$K$305="Task")*ISNUMBER(Timeline!$I$5:$I$305)*ISNUMBER(Timeline!$J$5:$J$305)*(Timeline!$I$5:$I$305&lt;=AV$4+1)*(Timeline!$J$5:$J$305&gt;=AV$4+1)),SUMPRODUCT((INDEX(Timeline!$P$5:$AN$305,0,MATCH($A20,Timeline!$P$4:$AN$4,0))="x")*(Timeline!$K$5:$K$305="Task")*ISNUMBER(Timeline!$I$5:$I$305)*ISNUMBER(Timeline!$J$5:$J$305)*(Timeline!$I$5:$I$305&lt;=AV$4+2)*(Timeline!$J$5:$J$305&gt;=AV$4+2)),SUMPRODUCT((INDEX(Timeline!$P$5:$AN$305,0,MATCH($A20,Timeline!$P$4:$AN$4,0))="x")*(Timeline!$K$5:$K$305="Task")*ISNUMBER(Timeline!$I$5:$I$305)*ISNUMBER(Timeline!$J$5:$J$305)*(Timeline!$I$5:$I$305&lt;=AV$4+3)*(Timeline!$J$5:$J$305&gt;=AV$4+3)),SUMPRODUCT((INDEX(Timeline!$P$5:$AN$305,0,MATCH($A20,Timeline!$P$4:$AN$4,0))="x")*(Timeline!$K$5:$K$305="Task")*ISNUMBER(Timeline!$I$5:$I$305)*ISNUMBER(Timeline!$J$5:$J$305)*(Timeline!$I$5:$I$305&lt;=AV$4+4)*(Timeline!$J$5:$J$305&gt;=AV$4+4)),SUMPRODUCT((INDEX(Timeline!$P$5:$AN$305,0,MATCH($A20,Timeline!$P$4:$AN$4,0))="x")*(Timeline!$K$5:$K$305="Task")*ISNUMBER(Timeline!$I$5:$I$305)*ISNUMBER(Timeline!$J$5:$J$305)*(Timeline!$I$5:$I$305&lt;=AV$4+5)*(Timeline!$J$5:$J$305&gt;=AV$4+5)),SUMPRODUCT((INDEX(Timeline!$P$5:$AN$305,0,MATCH($A20,Timeline!$P$4:$AN$4,0))="x")*(Timeline!$K$5:$K$305="Task")*ISNUMBER(Timeline!$I$5:$I$305)*ISNUMBER(Timeline!$J$5:$J$305)*(Timeline!$I$5:$I$305&lt;=AV$4+6)*(Timeline!$J$5:$J$305&gt;=AV$4+6)))</f>
        <v>0</v>
      </c>
      <c r="AW20" s="67">
        <f>MAX(SUMPRODUCT((INDEX(Timeline!$P$5:$AN$305,0,MATCH($A20,Timeline!$P$4:$AN$4,0))="x")*(Timeline!$K$5:$K$305="Task")*ISNUMBER(Timeline!$I$5:$I$305)*ISNUMBER(Timeline!$J$5:$J$305)*(Timeline!$I$5:$I$305&lt;=AW$4+0)*(Timeline!$J$5:$J$305&gt;=AW$4+0)),SUMPRODUCT((INDEX(Timeline!$P$5:$AN$305,0,MATCH($A20,Timeline!$P$4:$AN$4,0))="x")*(Timeline!$K$5:$K$305="Task")*ISNUMBER(Timeline!$I$5:$I$305)*ISNUMBER(Timeline!$J$5:$J$305)*(Timeline!$I$5:$I$305&lt;=AW$4+1)*(Timeline!$J$5:$J$305&gt;=AW$4+1)),SUMPRODUCT((INDEX(Timeline!$P$5:$AN$305,0,MATCH($A20,Timeline!$P$4:$AN$4,0))="x")*(Timeline!$K$5:$K$305="Task")*ISNUMBER(Timeline!$I$5:$I$305)*ISNUMBER(Timeline!$J$5:$J$305)*(Timeline!$I$5:$I$305&lt;=AW$4+2)*(Timeline!$J$5:$J$305&gt;=AW$4+2)),SUMPRODUCT((INDEX(Timeline!$P$5:$AN$305,0,MATCH($A20,Timeline!$P$4:$AN$4,0))="x")*(Timeline!$K$5:$K$305="Task")*ISNUMBER(Timeline!$I$5:$I$305)*ISNUMBER(Timeline!$J$5:$J$305)*(Timeline!$I$5:$I$305&lt;=AW$4+3)*(Timeline!$J$5:$J$305&gt;=AW$4+3)),SUMPRODUCT((INDEX(Timeline!$P$5:$AN$305,0,MATCH($A20,Timeline!$P$4:$AN$4,0))="x")*(Timeline!$K$5:$K$305="Task")*ISNUMBER(Timeline!$I$5:$I$305)*ISNUMBER(Timeline!$J$5:$J$305)*(Timeline!$I$5:$I$305&lt;=AW$4+4)*(Timeline!$J$5:$J$305&gt;=AW$4+4)),SUMPRODUCT((INDEX(Timeline!$P$5:$AN$305,0,MATCH($A20,Timeline!$P$4:$AN$4,0))="x")*(Timeline!$K$5:$K$305="Task")*ISNUMBER(Timeline!$I$5:$I$305)*ISNUMBER(Timeline!$J$5:$J$305)*(Timeline!$I$5:$I$305&lt;=AW$4+5)*(Timeline!$J$5:$J$305&gt;=AW$4+5)),SUMPRODUCT((INDEX(Timeline!$P$5:$AN$305,0,MATCH($A20,Timeline!$P$4:$AN$4,0))="x")*(Timeline!$K$5:$K$305="Task")*ISNUMBER(Timeline!$I$5:$I$305)*ISNUMBER(Timeline!$J$5:$J$305)*(Timeline!$I$5:$I$305&lt;=AW$4+6)*(Timeline!$J$5:$J$305&gt;=AW$4+6)))</f>
        <v>0</v>
      </c>
      <c r="AX20" s="67">
        <f>MAX(SUMPRODUCT((INDEX(Timeline!$P$5:$AN$305,0,MATCH($A20,Timeline!$P$4:$AN$4,0))="x")*(Timeline!$K$5:$K$305="Task")*ISNUMBER(Timeline!$I$5:$I$305)*ISNUMBER(Timeline!$J$5:$J$305)*(Timeline!$I$5:$I$305&lt;=AX$4+0)*(Timeline!$J$5:$J$305&gt;=AX$4+0)),SUMPRODUCT((INDEX(Timeline!$P$5:$AN$305,0,MATCH($A20,Timeline!$P$4:$AN$4,0))="x")*(Timeline!$K$5:$K$305="Task")*ISNUMBER(Timeline!$I$5:$I$305)*ISNUMBER(Timeline!$J$5:$J$305)*(Timeline!$I$5:$I$305&lt;=AX$4+1)*(Timeline!$J$5:$J$305&gt;=AX$4+1)),SUMPRODUCT((INDEX(Timeline!$P$5:$AN$305,0,MATCH($A20,Timeline!$P$4:$AN$4,0))="x")*(Timeline!$K$5:$K$305="Task")*ISNUMBER(Timeline!$I$5:$I$305)*ISNUMBER(Timeline!$J$5:$J$305)*(Timeline!$I$5:$I$305&lt;=AX$4+2)*(Timeline!$J$5:$J$305&gt;=AX$4+2)),SUMPRODUCT((INDEX(Timeline!$P$5:$AN$305,0,MATCH($A20,Timeline!$P$4:$AN$4,0))="x")*(Timeline!$K$5:$K$305="Task")*ISNUMBER(Timeline!$I$5:$I$305)*ISNUMBER(Timeline!$J$5:$J$305)*(Timeline!$I$5:$I$305&lt;=AX$4+3)*(Timeline!$J$5:$J$305&gt;=AX$4+3)),SUMPRODUCT((INDEX(Timeline!$P$5:$AN$305,0,MATCH($A20,Timeline!$P$4:$AN$4,0))="x")*(Timeline!$K$5:$K$305="Task")*ISNUMBER(Timeline!$I$5:$I$305)*ISNUMBER(Timeline!$J$5:$J$305)*(Timeline!$I$5:$I$305&lt;=AX$4+4)*(Timeline!$J$5:$J$305&gt;=AX$4+4)),SUMPRODUCT((INDEX(Timeline!$P$5:$AN$305,0,MATCH($A20,Timeline!$P$4:$AN$4,0))="x")*(Timeline!$K$5:$K$305="Task")*ISNUMBER(Timeline!$I$5:$I$305)*ISNUMBER(Timeline!$J$5:$J$305)*(Timeline!$I$5:$I$305&lt;=AX$4+5)*(Timeline!$J$5:$J$305&gt;=AX$4+5)),SUMPRODUCT((INDEX(Timeline!$P$5:$AN$305,0,MATCH($A20,Timeline!$P$4:$AN$4,0))="x")*(Timeline!$K$5:$K$305="Task")*ISNUMBER(Timeline!$I$5:$I$305)*ISNUMBER(Timeline!$J$5:$J$305)*(Timeline!$I$5:$I$305&lt;=AX$4+6)*(Timeline!$J$5:$J$305&gt;=AX$4+6)))</f>
        <v>0</v>
      </c>
      <c r="AY20" s="67">
        <f>MAX(SUMPRODUCT((INDEX(Timeline!$P$5:$AN$305,0,MATCH($A20,Timeline!$P$4:$AN$4,0))="x")*(Timeline!$K$5:$K$305="Task")*ISNUMBER(Timeline!$I$5:$I$305)*ISNUMBER(Timeline!$J$5:$J$305)*(Timeline!$I$5:$I$305&lt;=AY$4+0)*(Timeline!$J$5:$J$305&gt;=AY$4+0)),SUMPRODUCT((INDEX(Timeline!$P$5:$AN$305,0,MATCH($A20,Timeline!$P$4:$AN$4,0))="x")*(Timeline!$K$5:$K$305="Task")*ISNUMBER(Timeline!$I$5:$I$305)*ISNUMBER(Timeline!$J$5:$J$305)*(Timeline!$I$5:$I$305&lt;=AY$4+1)*(Timeline!$J$5:$J$305&gt;=AY$4+1)),SUMPRODUCT((INDEX(Timeline!$P$5:$AN$305,0,MATCH($A20,Timeline!$P$4:$AN$4,0))="x")*(Timeline!$K$5:$K$305="Task")*ISNUMBER(Timeline!$I$5:$I$305)*ISNUMBER(Timeline!$J$5:$J$305)*(Timeline!$I$5:$I$305&lt;=AY$4+2)*(Timeline!$J$5:$J$305&gt;=AY$4+2)),SUMPRODUCT((INDEX(Timeline!$P$5:$AN$305,0,MATCH($A20,Timeline!$P$4:$AN$4,0))="x")*(Timeline!$K$5:$K$305="Task")*ISNUMBER(Timeline!$I$5:$I$305)*ISNUMBER(Timeline!$J$5:$J$305)*(Timeline!$I$5:$I$305&lt;=AY$4+3)*(Timeline!$J$5:$J$305&gt;=AY$4+3)),SUMPRODUCT((INDEX(Timeline!$P$5:$AN$305,0,MATCH($A20,Timeline!$P$4:$AN$4,0))="x")*(Timeline!$K$5:$K$305="Task")*ISNUMBER(Timeline!$I$5:$I$305)*ISNUMBER(Timeline!$J$5:$J$305)*(Timeline!$I$5:$I$305&lt;=AY$4+4)*(Timeline!$J$5:$J$305&gt;=AY$4+4)),SUMPRODUCT((INDEX(Timeline!$P$5:$AN$305,0,MATCH($A20,Timeline!$P$4:$AN$4,0))="x")*(Timeline!$K$5:$K$305="Task")*ISNUMBER(Timeline!$I$5:$I$305)*ISNUMBER(Timeline!$J$5:$J$305)*(Timeline!$I$5:$I$305&lt;=AY$4+5)*(Timeline!$J$5:$J$305&gt;=AY$4+5)),SUMPRODUCT((INDEX(Timeline!$P$5:$AN$305,0,MATCH($A20,Timeline!$P$4:$AN$4,0))="x")*(Timeline!$K$5:$K$305="Task")*ISNUMBER(Timeline!$I$5:$I$305)*ISNUMBER(Timeline!$J$5:$J$305)*(Timeline!$I$5:$I$305&lt;=AY$4+6)*(Timeline!$J$5:$J$305&gt;=AY$4+6)))</f>
        <v>0</v>
      </c>
      <c r="AZ20" s="67">
        <f>MAX(SUMPRODUCT((INDEX(Timeline!$P$5:$AN$305,0,MATCH($A20,Timeline!$P$4:$AN$4,0))="x")*(Timeline!$K$5:$K$305="Task")*ISNUMBER(Timeline!$I$5:$I$305)*ISNUMBER(Timeline!$J$5:$J$305)*(Timeline!$I$5:$I$305&lt;=AZ$4+0)*(Timeline!$J$5:$J$305&gt;=AZ$4+0)),SUMPRODUCT((INDEX(Timeline!$P$5:$AN$305,0,MATCH($A20,Timeline!$P$4:$AN$4,0))="x")*(Timeline!$K$5:$K$305="Task")*ISNUMBER(Timeline!$I$5:$I$305)*ISNUMBER(Timeline!$J$5:$J$305)*(Timeline!$I$5:$I$305&lt;=AZ$4+1)*(Timeline!$J$5:$J$305&gt;=AZ$4+1)),SUMPRODUCT((INDEX(Timeline!$P$5:$AN$305,0,MATCH($A20,Timeline!$P$4:$AN$4,0))="x")*(Timeline!$K$5:$K$305="Task")*ISNUMBER(Timeline!$I$5:$I$305)*ISNUMBER(Timeline!$J$5:$J$305)*(Timeline!$I$5:$I$305&lt;=AZ$4+2)*(Timeline!$J$5:$J$305&gt;=AZ$4+2)),SUMPRODUCT((INDEX(Timeline!$P$5:$AN$305,0,MATCH($A20,Timeline!$P$4:$AN$4,0))="x")*(Timeline!$K$5:$K$305="Task")*ISNUMBER(Timeline!$I$5:$I$305)*ISNUMBER(Timeline!$J$5:$J$305)*(Timeline!$I$5:$I$305&lt;=AZ$4+3)*(Timeline!$J$5:$J$305&gt;=AZ$4+3)),SUMPRODUCT((INDEX(Timeline!$P$5:$AN$305,0,MATCH($A20,Timeline!$P$4:$AN$4,0))="x")*(Timeline!$K$5:$K$305="Task")*ISNUMBER(Timeline!$I$5:$I$305)*ISNUMBER(Timeline!$J$5:$J$305)*(Timeline!$I$5:$I$305&lt;=AZ$4+4)*(Timeline!$J$5:$J$305&gt;=AZ$4+4)),SUMPRODUCT((INDEX(Timeline!$P$5:$AN$305,0,MATCH($A20,Timeline!$P$4:$AN$4,0))="x")*(Timeline!$K$5:$K$305="Task")*ISNUMBER(Timeline!$I$5:$I$305)*ISNUMBER(Timeline!$J$5:$J$305)*(Timeline!$I$5:$I$305&lt;=AZ$4+5)*(Timeline!$J$5:$J$305&gt;=AZ$4+5)),SUMPRODUCT((INDEX(Timeline!$P$5:$AN$305,0,MATCH($A20,Timeline!$P$4:$AN$4,0))="x")*(Timeline!$K$5:$K$305="Task")*ISNUMBER(Timeline!$I$5:$I$305)*ISNUMBER(Timeline!$J$5:$J$305)*(Timeline!$I$5:$I$305&lt;=AZ$4+6)*(Timeline!$J$5:$J$305&gt;=AZ$4+6)))</f>
        <v>0</v>
      </c>
      <c r="BA20" s="67">
        <f>MAX(SUMPRODUCT((INDEX(Timeline!$P$5:$AN$305,0,MATCH($A20,Timeline!$P$4:$AN$4,0))="x")*(Timeline!$K$5:$K$305="Task")*ISNUMBER(Timeline!$I$5:$I$305)*ISNUMBER(Timeline!$J$5:$J$305)*(Timeline!$I$5:$I$305&lt;=BA$4+0)*(Timeline!$J$5:$J$305&gt;=BA$4+0)),SUMPRODUCT((INDEX(Timeline!$P$5:$AN$305,0,MATCH($A20,Timeline!$P$4:$AN$4,0))="x")*(Timeline!$K$5:$K$305="Task")*ISNUMBER(Timeline!$I$5:$I$305)*ISNUMBER(Timeline!$J$5:$J$305)*(Timeline!$I$5:$I$305&lt;=BA$4+1)*(Timeline!$J$5:$J$305&gt;=BA$4+1)),SUMPRODUCT((INDEX(Timeline!$P$5:$AN$305,0,MATCH($A20,Timeline!$P$4:$AN$4,0))="x")*(Timeline!$K$5:$K$305="Task")*ISNUMBER(Timeline!$I$5:$I$305)*ISNUMBER(Timeline!$J$5:$J$305)*(Timeline!$I$5:$I$305&lt;=BA$4+2)*(Timeline!$J$5:$J$305&gt;=BA$4+2)),SUMPRODUCT((INDEX(Timeline!$P$5:$AN$305,0,MATCH($A20,Timeline!$P$4:$AN$4,0))="x")*(Timeline!$K$5:$K$305="Task")*ISNUMBER(Timeline!$I$5:$I$305)*ISNUMBER(Timeline!$J$5:$J$305)*(Timeline!$I$5:$I$305&lt;=BA$4+3)*(Timeline!$J$5:$J$305&gt;=BA$4+3)),SUMPRODUCT((INDEX(Timeline!$P$5:$AN$305,0,MATCH($A20,Timeline!$P$4:$AN$4,0))="x")*(Timeline!$K$5:$K$305="Task")*ISNUMBER(Timeline!$I$5:$I$305)*ISNUMBER(Timeline!$J$5:$J$305)*(Timeline!$I$5:$I$305&lt;=BA$4+4)*(Timeline!$J$5:$J$305&gt;=BA$4+4)),SUMPRODUCT((INDEX(Timeline!$P$5:$AN$305,0,MATCH($A20,Timeline!$P$4:$AN$4,0))="x")*(Timeline!$K$5:$K$305="Task")*ISNUMBER(Timeline!$I$5:$I$305)*ISNUMBER(Timeline!$J$5:$J$305)*(Timeline!$I$5:$I$305&lt;=BA$4+5)*(Timeline!$J$5:$J$305&gt;=BA$4+5)),SUMPRODUCT((INDEX(Timeline!$P$5:$AN$305,0,MATCH($A20,Timeline!$P$4:$AN$4,0))="x")*(Timeline!$K$5:$K$305="Task")*ISNUMBER(Timeline!$I$5:$I$305)*ISNUMBER(Timeline!$J$5:$J$305)*(Timeline!$I$5:$I$305&lt;=BA$4+6)*(Timeline!$J$5:$J$305&gt;=BA$4+6)))</f>
        <v>0</v>
      </c>
    </row>
    <row r="21" spans="1:53" ht="15" customHeight="1">
      <c r="A21" s="66" t="s">
        <v>52</v>
      </c>
      <c r="B21" s="66" t="s">
        <v>17</v>
      </c>
      <c r="C21" s="67">
        <f>MAX(SUMPRODUCT((INDEX(Timeline!$P$5:$AN$305,0,MATCH($A21,Timeline!$P$4:$AN$4,0))="x")*(Timeline!$K$5:$K$305="Task")*ISNUMBER(Timeline!$I$5:$I$305)*ISNUMBER(Timeline!$J$5:$J$305)*(Timeline!$I$5:$I$305&lt;=C$4+0)*(Timeline!$J$5:$J$305&gt;=C$4+0)),SUMPRODUCT((INDEX(Timeline!$P$5:$AN$305,0,MATCH($A21,Timeline!$P$4:$AN$4,0))="x")*(Timeline!$K$5:$K$305="Task")*ISNUMBER(Timeline!$I$5:$I$305)*ISNUMBER(Timeline!$J$5:$J$305)*(Timeline!$I$5:$I$305&lt;=C$4+1)*(Timeline!$J$5:$J$305&gt;=C$4+1)),SUMPRODUCT((INDEX(Timeline!$P$5:$AN$305,0,MATCH($A21,Timeline!$P$4:$AN$4,0))="x")*(Timeline!$K$5:$K$305="Task")*ISNUMBER(Timeline!$I$5:$I$305)*ISNUMBER(Timeline!$J$5:$J$305)*(Timeline!$I$5:$I$305&lt;=C$4+2)*(Timeline!$J$5:$J$305&gt;=C$4+2)),SUMPRODUCT((INDEX(Timeline!$P$5:$AN$305,0,MATCH($A21,Timeline!$P$4:$AN$4,0))="x")*(Timeline!$K$5:$K$305="Task")*ISNUMBER(Timeline!$I$5:$I$305)*ISNUMBER(Timeline!$J$5:$J$305)*(Timeline!$I$5:$I$305&lt;=C$4+3)*(Timeline!$J$5:$J$305&gt;=C$4+3)),SUMPRODUCT((INDEX(Timeline!$P$5:$AN$305,0,MATCH($A21,Timeline!$P$4:$AN$4,0))="x")*(Timeline!$K$5:$K$305="Task")*ISNUMBER(Timeline!$I$5:$I$305)*ISNUMBER(Timeline!$J$5:$J$305)*(Timeline!$I$5:$I$305&lt;=C$4+4)*(Timeline!$J$5:$J$305&gt;=C$4+4)),SUMPRODUCT((INDEX(Timeline!$P$5:$AN$305,0,MATCH($A21,Timeline!$P$4:$AN$4,0))="x")*(Timeline!$K$5:$K$305="Task")*ISNUMBER(Timeline!$I$5:$I$305)*ISNUMBER(Timeline!$J$5:$J$305)*(Timeline!$I$5:$I$305&lt;=C$4+5)*(Timeline!$J$5:$J$305&gt;=C$4+5)),SUMPRODUCT((INDEX(Timeline!$P$5:$AN$305,0,MATCH($A21,Timeline!$P$4:$AN$4,0))="x")*(Timeline!$K$5:$K$305="Task")*ISNUMBER(Timeline!$I$5:$I$305)*ISNUMBER(Timeline!$J$5:$J$305)*(Timeline!$I$5:$I$305&lt;=C$4+6)*(Timeline!$J$5:$J$305&gt;=C$4+6)))</f>
        <v>0</v>
      </c>
      <c r="D21" s="67">
        <f>MAX(SUMPRODUCT((INDEX(Timeline!$P$5:$AN$305,0,MATCH($A21,Timeline!$P$4:$AN$4,0))="x")*(Timeline!$K$5:$K$305="Task")*ISNUMBER(Timeline!$I$5:$I$305)*ISNUMBER(Timeline!$J$5:$J$305)*(Timeline!$I$5:$I$305&lt;=D$4+0)*(Timeline!$J$5:$J$305&gt;=D$4+0)),SUMPRODUCT((INDEX(Timeline!$P$5:$AN$305,0,MATCH($A21,Timeline!$P$4:$AN$4,0))="x")*(Timeline!$K$5:$K$305="Task")*ISNUMBER(Timeline!$I$5:$I$305)*ISNUMBER(Timeline!$J$5:$J$305)*(Timeline!$I$5:$I$305&lt;=D$4+1)*(Timeline!$J$5:$J$305&gt;=D$4+1)),SUMPRODUCT((INDEX(Timeline!$P$5:$AN$305,0,MATCH($A21,Timeline!$P$4:$AN$4,0))="x")*(Timeline!$K$5:$K$305="Task")*ISNUMBER(Timeline!$I$5:$I$305)*ISNUMBER(Timeline!$J$5:$J$305)*(Timeline!$I$5:$I$305&lt;=D$4+2)*(Timeline!$J$5:$J$305&gt;=D$4+2)),SUMPRODUCT((INDEX(Timeline!$P$5:$AN$305,0,MATCH($A21,Timeline!$P$4:$AN$4,0))="x")*(Timeline!$K$5:$K$305="Task")*ISNUMBER(Timeline!$I$5:$I$305)*ISNUMBER(Timeline!$J$5:$J$305)*(Timeline!$I$5:$I$305&lt;=D$4+3)*(Timeline!$J$5:$J$305&gt;=D$4+3)),SUMPRODUCT((INDEX(Timeline!$P$5:$AN$305,0,MATCH($A21,Timeline!$P$4:$AN$4,0))="x")*(Timeline!$K$5:$K$305="Task")*ISNUMBER(Timeline!$I$5:$I$305)*ISNUMBER(Timeline!$J$5:$J$305)*(Timeline!$I$5:$I$305&lt;=D$4+4)*(Timeline!$J$5:$J$305&gt;=D$4+4)),SUMPRODUCT((INDEX(Timeline!$P$5:$AN$305,0,MATCH($A21,Timeline!$P$4:$AN$4,0))="x")*(Timeline!$K$5:$K$305="Task")*ISNUMBER(Timeline!$I$5:$I$305)*ISNUMBER(Timeline!$J$5:$J$305)*(Timeline!$I$5:$I$305&lt;=D$4+5)*(Timeline!$J$5:$J$305&gt;=D$4+5)),SUMPRODUCT((INDEX(Timeline!$P$5:$AN$305,0,MATCH($A21,Timeline!$P$4:$AN$4,0))="x")*(Timeline!$K$5:$K$305="Task")*ISNUMBER(Timeline!$I$5:$I$305)*ISNUMBER(Timeline!$J$5:$J$305)*(Timeline!$I$5:$I$305&lt;=D$4+6)*(Timeline!$J$5:$J$305&gt;=D$4+6)))</f>
        <v>0</v>
      </c>
      <c r="E21" s="67">
        <f>MAX(SUMPRODUCT((INDEX(Timeline!$P$5:$AN$305,0,MATCH($A21,Timeline!$P$4:$AN$4,0))="x")*(Timeline!$K$5:$K$305="Task")*ISNUMBER(Timeline!$I$5:$I$305)*ISNUMBER(Timeline!$J$5:$J$305)*(Timeline!$I$5:$I$305&lt;=E$4+0)*(Timeline!$J$5:$J$305&gt;=E$4+0)),SUMPRODUCT((INDEX(Timeline!$P$5:$AN$305,0,MATCH($A21,Timeline!$P$4:$AN$4,0))="x")*(Timeline!$K$5:$K$305="Task")*ISNUMBER(Timeline!$I$5:$I$305)*ISNUMBER(Timeline!$J$5:$J$305)*(Timeline!$I$5:$I$305&lt;=E$4+1)*(Timeline!$J$5:$J$305&gt;=E$4+1)),SUMPRODUCT((INDEX(Timeline!$P$5:$AN$305,0,MATCH($A21,Timeline!$P$4:$AN$4,0))="x")*(Timeline!$K$5:$K$305="Task")*ISNUMBER(Timeline!$I$5:$I$305)*ISNUMBER(Timeline!$J$5:$J$305)*(Timeline!$I$5:$I$305&lt;=E$4+2)*(Timeline!$J$5:$J$305&gt;=E$4+2)),SUMPRODUCT((INDEX(Timeline!$P$5:$AN$305,0,MATCH($A21,Timeline!$P$4:$AN$4,0))="x")*(Timeline!$K$5:$K$305="Task")*ISNUMBER(Timeline!$I$5:$I$305)*ISNUMBER(Timeline!$J$5:$J$305)*(Timeline!$I$5:$I$305&lt;=E$4+3)*(Timeline!$J$5:$J$305&gt;=E$4+3)),SUMPRODUCT((INDEX(Timeline!$P$5:$AN$305,0,MATCH($A21,Timeline!$P$4:$AN$4,0))="x")*(Timeline!$K$5:$K$305="Task")*ISNUMBER(Timeline!$I$5:$I$305)*ISNUMBER(Timeline!$J$5:$J$305)*(Timeline!$I$5:$I$305&lt;=E$4+4)*(Timeline!$J$5:$J$305&gt;=E$4+4)),SUMPRODUCT((INDEX(Timeline!$P$5:$AN$305,0,MATCH($A21,Timeline!$P$4:$AN$4,0))="x")*(Timeline!$K$5:$K$305="Task")*ISNUMBER(Timeline!$I$5:$I$305)*ISNUMBER(Timeline!$J$5:$J$305)*(Timeline!$I$5:$I$305&lt;=E$4+5)*(Timeline!$J$5:$J$305&gt;=E$4+5)),SUMPRODUCT((INDEX(Timeline!$P$5:$AN$305,0,MATCH($A21,Timeline!$P$4:$AN$4,0))="x")*(Timeline!$K$5:$K$305="Task")*ISNUMBER(Timeline!$I$5:$I$305)*ISNUMBER(Timeline!$J$5:$J$305)*(Timeline!$I$5:$I$305&lt;=E$4+6)*(Timeline!$J$5:$J$305&gt;=E$4+6)))</f>
        <v>0</v>
      </c>
      <c r="F21" s="67">
        <f>MAX(SUMPRODUCT((INDEX(Timeline!$P$5:$AN$305,0,MATCH($A21,Timeline!$P$4:$AN$4,0))="x")*(Timeline!$K$5:$K$305="Task")*ISNUMBER(Timeline!$I$5:$I$305)*ISNUMBER(Timeline!$J$5:$J$305)*(Timeline!$I$5:$I$305&lt;=F$4+0)*(Timeline!$J$5:$J$305&gt;=F$4+0)),SUMPRODUCT((INDEX(Timeline!$P$5:$AN$305,0,MATCH($A21,Timeline!$P$4:$AN$4,0))="x")*(Timeline!$K$5:$K$305="Task")*ISNUMBER(Timeline!$I$5:$I$305)*ISNUMBER(Timeline!$J$5:$J$305)*(Timeline!$I$5:$I$305&lt;=F$4+1)*(Timeline!$J$5:$J$305&gt;=F$4+1)),SUMPRODUCT((INDEX(Timeline!$P$5:$AN$305,0,MATCH($A21,Timeline!$P$4:$AN$4,0))="x")*(Timeline!$K$5:$K$305="Task")*ISNUMBER(Timeline!$I$5:$I$305)*ISNUMBER(Timeline!$J$5:$J$305)*(Timeline!$I$5:$I$305&lt;=F$4+2)*(Timeline!$J$5:$J$305&gt;=F$4+2)),SUMPRODUCT((INDEX(Timeline!$P$5:$AN$305,0,MATCH($A21,Timeline!$P$4:$AN$4,0))="x")*(Timeline!$K$5:$K$305="Task")*ISNUMBER(Timeline!$I$5:$I$305)*ISNUMBER(Timeline!$J$5:$J$305)*(Timeline!$I$5:$I$305&lt;=F$4+3)*(Timeline!$J$5:$J$305&gt;=F$4+3)),SUMPRODUCT((INDEX(Timeline!$P$5:$AN$305,0,MATCH($A21,Timeline!$P$4:$AN$4,0))="x")*(Timeline!$K$5:$K$305="Task")*ISNUMBER(Timeline!$I$5:$I$305)*ISNUMBER(Timeline!$J$5:$J$305)*(Timeline!$I$5:$I$305&lt;=F$4+4)*(Timeline!$J$5:$J$305&gt;=F$4+4)),SUMPRODUCT((INDEX(Timeline!$P$5:$AN$305,0,MATCH($A21,Timeline!$P$4:$AN$4,0))="x")*(Timeline!$K$5:$K$305="Task")*ISNUMBER(Timeline!$I$5:$I$305)*ISNUMBER(Timeline!$J$5:$J$305)*(Timeline!$I$5:$I$305&lt;=F$4+5)*(Timeline!$J$5:$J$305&gt;=F$4+5)),SUMPRODUCT((INDEX(Timeline!$P$5:$AN$305,0,MATCH($A21,Timeline!$P$4:$AN$4,0))="x")*(Timeline!$K$5:$K$305="Task")*ISNUMBER(Timeline!$I$5:$I$305)*ISNUMBER(Timeline!$J$5:$J$305)*(Timeline!$I$5:$I$305&lt;=F$4+6)*(Timeline!$J$5:$J$305&gt;=F$4+6)))</f>
        <v>1</v>
      </c>
      <c r="G21" s="67">
        <f>MAX(SUMPRODUCT((INDEX(Timeline!$P$5:$AN$305,0,MATCH($A21,Timeline!$P$4:$AN$4,0))="x")*(Timeline!$K$5:$K$305="Task")*ISNUMBER(Timeline!$I$5:$I$305)*ISNUMBER(Timeline!$J$5:$J$305)*(Timeline!$I$5:$I$305&lt;=G$4+0)*(Timeline!$J$5:$J$305&gt;=G$4+0)),SUMPRODUCT((INDEX(Timeline!$P$5:$AN$305,0,MATCH($A21,Timeline!$P$4:$AN$4,0))="x")*(Timeline!$K$5:$K$305="Task")*ISNUMBER(Timeline!$I$5:$I$305)*ISNUMBER(Timeline!$J$5:$J$305)*(Timeline!$I$5:$I$305&lt;=G$4+1)*(Timeline!$J$5:$J$305&gt;=G$4+1)),SUMPRODUCT((INDEX(Timeline!$P$5:$AN$305,0,MATCH($A21,Timeline!$P$4:$AN$4,0))="x")*(Timeline!$K$5:$K$305="Task")*ISNUMBER(Timeline!$I$5:$I$305)*ISNUMBER(Timeline!$J$5:$J$305)*(Timeline!$I$5:$I$305&lt;=G$4+2)*(Timeline!$J$5:$J$305&gt;=G$4+2)),SUMPRODUCT((INDEX(Timeline!$P$5:$AN$305,0,MATCH($A21,Timeline!$P$4:$AN$4,0))="x")*(Timeline!$K$5:$K$305="Task")*ISNUMBER(Timeline!$I$5:$I$305)*ISNUMBER(Timeline!$J$5:$J$305)*(Timeline!$I$5:$I$305&lt;=G$4+3)*(Timeline!$J$5:$J$305&gt;=G$4+3)),SUMPRODUCT((INDEX(Timeline!$P$5:$AN$305,0,MATCH($A21,Timeline!$P$4:$AN$4,0))="x")*(Timeline!$K$5:$K$305="Task")*ISNUMBER(Timeline!$I$5:$I$305)*ISNUMBER(Timeline!$J$5:$J$305)*(Timeline!$I$5:$I$305&lt;=G$4+4)*(Timeline!$J$5:$J$305&gt;=G$4+4)),SUMPRODUCT((INDEX(Timeline!$P$5:$AN$305,0,MATCH($A21,Timeline!$P$4:$AN$4,0))="x")*(Timeline!$K$5:$K$305="Task")*ISNUMBER(Timeline!$I$5:$I$305)*ISNUMBER(Timeline!$J$5:$J$305)*(Timeline!$I$5:$I$305&lt;=G$4+5)*(Timeline!$J$5:$J$305&gt;=G$4+5)),SUMPRODUCT((INDEX(Timeline!$P$5:$AN$305,0,MATCH($A21,Timeline!$P$4:$AN$4,0))="x")*(Timeline!$K$5:$K$305="Task")*ISNUMBER(Timeline!$I$5:$I$305)*ISNUMBER(Timeline!$J$5:$J$305)*(Timeline!$I$5:$I$305&lt;=G$4+6)*(Timeline!$J$5:$J$305&gt;=G$4+6)))</f>
        <v>1</v>
      </c>
      <c r="H21" s="67">
        <f>MAX(SUMPRODUCT((INDEX(Timeline!$P$5:$AN$305,0,MATCH($A21,Timeline!$P$4:$AN$4,0))="x")*(Timeline!$K$5:$K$305="Task")*ISNUMBER(Timeline!$I$5:$I$305)*ISNUMBER(Timeline!$J$5:$J$305)*(Timeline!$I$5:$I$305&lt;=H$4+0)*(Timeline!$J$5:$J$305&gt;=H$4+0)),SUMPRODUCT((INDEX(Timeline!$P$5:$AN$305,0,MATCH($A21,Timeline!$P$4:$AN$4,0))="x")*(Timeline!$K$5:$K$305="Task")*ISNUMBER(Timeline!$I$5:$I$305)*ISNUMBER(Timeline!$J$5:$J$305)*(Timeline!$I$5:$I$305&lt;=H$4+1)*(Timeline!$J$5:$J$305&gt;=H$4+1)),SUMPRODUCT((INDEX(Timeline!$P$5:$AN$305,0,MATCH($A21,Timeline!$P$4:$AN$4,0))="x")*(Timeline!$K$5:$K$305="Task")*ISNUMBER(Timeline!$I$5:$I$305)*ISNUMBER(Timeline!$J$5:$J$305)*(Timeline!$I$5:$I$305&lt;=H$4+2)*(Timeline!$J$5:$J$305&gt;=H$4+2)),SUMPRODUCT((INDEX(Timeline!$P$5:$AN$305,0,MATCH($A21,Timeline!$P$4:$AN$4,0))="x")*(Timeline!$K$5:$K$305="Task")*ISNUMBER(Timeline!$I$5:$I$305)*ISNUMBER(Timeline!$J$5:$J$305)*(Timeline!$I$5:$I$305&lt;=H$4+3)*(Timeline!$J$5:$J$305&gt;=H$4+3)),SUMPRODUCT((INDEX(Timeline!$P$5:$AN$305,0,MATCH($A21,Timeline!$P$4:$AN$4,0))="x")*(Timeline!$K$5:$K$305="Task")*ISNUMBER(Timeline!$I$5:$I$305)*ISNUMBER(Timeline!$J$5:$J$305)*(Timeline!$I$5:$I$305&lt;=H$4+4)*(Timeline!$J$5:$J$305&gt;=H$4+4)),SUMPRODUCT((INDEX(Timeline!$P$5:$AN$305,0,MATCH($A21,Timeline!$P$4:$AN$4,0))="x")*(Timeline!$K$5:$K$305="Task")*ISNUMBER(Timeline!$I$5:$I$305)*ISNUMBER(Timeline!$J$5:$J$305)*(Timeline!$I$5:$I$305&lt;=H$4+5)*(Timeline!$J$5:$J$305&gt;=H$4+5)),SUMPRODUCT((INDEX(Timeline!$P$5:$AN$305,0,MATCH($A21,Timeline!$P$4:$AN$4,0))="x")*(Timeline!$K$5:$K$305="Task")*ISNUMBER(Timeline!$I$5:$I$305)*ISNUMBER(Timeline!$J$5:$J$305)*(Timeline!$I$5:$I$305&lt;=H$4+6)*(Timeline!$J$5:$J$305&gt;=H$4+6)))</f>
        <v>1</v>
      </c>
      <c r="I21" s="67">
        <f>MAX(SUMPRODUCT((INDEX(Timeline!$P$5:$AN$305,0,MATCH($A21,Timeline!$P$4:$AN$4,0))="x")*(Timeline!$K$5:$K$305="Task")*ISNUMBER(Timeline!$I$5:$I$305)*ISNUMBER(Timeline!$J$5:$J$305)*(Timeline!$I$5:$I$305&lt;=I$4+0)*(Timeline!$J$5:$J$305&gt;=I$4+0)),SUMPRODUCT((INDEX(Timeline!$P$5:$AN$305,0,MATCH($A21,Timeline!$P$4:$AN$4,0))="x")*(Timeline!$K$5:$K$305="Task")*ISNUMBER(Timeline!$I$5:$I$305)*ISNUMBER(Timeline!$J$5:$J$305)*(Timeline!$I$5:$I$305&lt;=I$4+1)*(Timeline!$J$5:$J$305&gt;=I$4+1)),SUMPRODUCT((INDEX(Timeline!$P$5:$AN$305,0,MATCH($A21,Timeline!$P$4:$AN$4,0))="x")*(Timeline!$K$5:$K$305="Task")*ISNUMBER(Timeline!$I$5:$I$305)*ISNUMBER(Timeline!$J$5:$J$305)*(Timeline!$I$5:$I$305&lt;=I$4+2)*(Timeline!$J$5:$J$305&gt;=I$4+2)),SUMPRODUCT((INDEX(Timeline!$P$5:$AN$305,0,MATCH($A21,Timeline!$P$4:$AN$4,0))="x")*(Timeline!$K$5:$K$305="Task")*ISNUMBER(Timeline!$I$5:$I$305)*ISNUMBER(Timeline!$J$5:$J$305)*(Timeline!$I$5:$I$305&lt;=I$4+3)*(Timeline!$J$5:$J$305&gt;=I$4+3)),SUMPRODUCT((INDEX(Timeline!$P$5:$AN$305,0,MATCH($A21,Timeline!$P$4:$AN$4,0))="x")*(Timeline!$K$5:$K$305="Task")*ISNUMBER(Timeline!$I$5:$I$305)*ISNUMBER(Timeline!$J$5:$J$305)*(Timeline!$I$5:$I$305&lt;=I$4+4)*(Timeline!$J$5:$J$305&gt;=I$4+4)),SUMPRODUCT((INDEX(Timeline!$P$5:$AN$305,0,MATCH($A21,Timeline!$P$4:$AN$4,0))="x")*(Timeline!$K$5:$K$305="Task")*ISNUMBER(Timeline!$I$5:$I$305)*ISNUMBER(Timeline!$J$5:$J$305)*(Timeline!$I$5:$I$305&lt;=I$4+5)*(Timeline!$J$5:$J$305&gt;=I$4+5)),SUMPRODUCT((INDEX(Timeline!$P$5:$AN$305,0,MATCH($A21,Timeline!$P$4:$AN$4,0))="x")*(Timeline!$K$5:$K$305="Task")*ISNUMBER(Timeline!$I$5:$I$305)*ISNUMBER(Timeline!$J$5:$J$305)*(Timeline!$I$5:$I$305&lt;=I$4+6)*(Timeline!$J$5:$J$305&gt;=I$4+6)))</f>
        <v>1</v>
      </c>
      <c r="J21" s="67">
        <f>MAX(SUMPRODUCT((INDEX(Timeline!$P$5:$AN$305,0,MATCH($A21,Timeline!$P$4:$AN$4,0))="x")*(Timeline!$K$5:$K$305="Task")*ISNUMBER(Timeline!$I$5:$I$305)*ISNUMBER(Timeline!$J$5:$J$305)*(Timeline!$I$5:$I$305&lt;=J$4+0)*(Timeline!$J$5:$J$305&gt;=J$4+0)),SUMPRODUCT((INDEX(Timeline!$P$5:$AN$305,0,MATCH($A21,Timeline!$P$4:$AN$4,0))="x")*(Timeline!$K$5:$K$305="Task")*ISNUMBER(Timeline!$I$5:$I$305)*ISNUMBER(Timeline!$J$5:$J$305)*(Timeline!$I$5:$I$305&lt;=J$4+1)*(Timeline!$J$5:$J$305&gt;=J$4+1)),SUMPRODUCT((INDEX(Timeline!$P$5:$AN$305,0,MATCH($A21,Timeline!$P$4:$AN$4,0))="x")*(Timeline!$K$5:$K$305="Task")*ISNUMBER(Timeline!$I$5:$I$305)*ISNUMBER(Timeline!$J$5:$J$305)*(Timeline!$I$5:$I$305&lt;=J$4+2)*(Timeline!$J$5:$J$305&gt;=J$4+2)),SUMPRODUCT((INDEX(Timeline!$P$5:$AN$305,0,MATCH($A21,Timeline!$P$4:$AN$4,0))="x")*(Timeline!$K$5:$K$305="Task")*ISNUMBER(Timeline!$I$5:$I$305)*ISNUMBER(Timeline!$J$5:$J$305)*(Timeline!$I$5:$I$305&lt;=J$4+3)*(Timeline!$J$5:$J$305&gt;=J$4+3)),SUMPRODUCT((INDEX(Timeline!$P$5:$AN$305,0,MATCH($A21,Timeline!$P$4:$AN$4,0))="x")*(Timeline!$K$5:$K$305="Task")*ISNUMBER(Timeline!$I$5:$I$305)*ISNUMBER(Timeline!$J$5:$J$305)*(Timeline!$I$5:$I$305&lt;=J$4+4)*(Timeline!$J$5:$J$305&gt;=J$4+4)),SUMPRODUCT((INDEX(Timeline!$P$5:$AN$305,0,MATCH($A21,Timeline!$P$4:$AN$4,0))="x")*(Timeline!$K$5:$K$305="Task")*ISNUMBER(Timeline!$I$5:$I$305)*ISNUMBER(Timeline!$J$5:$J$305)*(Timeline!$I$5:$I$305&lt;=J$4+5)*(Timeline!$J$5:$J$305&gt;=J$4+5)),SUMPRODUCT((INDEX(Timeline!$P$5:$AN$305,0,MATCH($A21,Timeline!$P$4:$AN$4,0))="x")*(Timeline!$K$5:$K$305="Task")*ISNUMBER(Timeline!$I$5:$I$305)*ISNUMBER(Timeline!$J$5:$J$305)*(Timeline!$I$5:$I$305&lt;=J$4+6)*(Timeline!$J$5:$J$305&gt;=J$4+6)))</f>
        <v>1</v>
      </c>
      <c r="K21" s="67">
        <f>MAX(SUMPRODUCT((INDEX(Timeline!$P$5:$AN$305,0,MATCH($A21,Timeline!$P$4:$AN$4,0))="x")*(Timeline!$K$5:$K$305="Task")*ISNUMBER(Timeline!$I$5:$I$305)*ISNUMBER(Timeline!$J$5:$J$305)*(Timeline!$I$5:$I$305&lt;=K$4+0)*(Timeline!$J$5:$J$305&gt;=K$4+0)),SUMPRODUCT((INDEX(Timeline!$P$5:$AN$305,0,MATCH($A21,Timeline!$P$4:$AN$4,0))="x")*(Timeline!$K$5:$K$305="Task")*ISNUMBER(Timeline!$I$5:$I$305)*ISNUMBER(Timeline!$J$5:$J$305)*(Timeline!$I$5:$I$305&lt;=K$4+1)*(Timeline!$J$5:$J$305&gt;=K$4+1)),SUMPRODUCT((INDEX(Timeline!$P$5:$AN$305,0,MATCH($A21,Timeline!$P$4:$AN$4,0))="x")*(Timeline!$K$5:$K$305="Task")*ISNUMBER(Timeline!$I$5:$I$305)*ISNUMBER(Timeline!$J$5:$J$305)*(Timeline!$I$5:$I$305&lt;=K$4+2)*(Timeline!$J$5:$J$305&gt;=K$4+2)),SUMPRODUCT((INDEX(Timeline!$P$5:$AN$305,0,MATCH($A21,Timeline!$P$4:$AN$4,0))="x")*(Timeline!$K$5:$K$305="Task")*ISNUMBER(Timeline!$I$5:$I$305)*ISNUMBER(Timeline!$J$5:$J$305)*(Timeline!$I$5:$I$305&lt;=K$4+3)*(Timeline!$J$5:$J$305&gt;=K$4+3)),SUMPRODUCT((INDEX(Timeline!$P$5:$AN$305,0,MATCH($A21,Timeline!$P$4:$AN$4,0))="x")*(Timeline!$K$5:$K$305="Task")*ISNUMBER(Timeline!$I$5:$I$305)*ISNUMBER(Timeline!$J$5:$J$305)*(Timeline!$I$5:$I$305&lt;=K$4+4)*(Timeline!$J$5:$J$305&gt;=K$4+4)),SUMPRODUCT((INDEX(Timeline!$P$5:$AN$305,0,MATCH($A21,Timeline!$P$4:$AN$4,0))="x")*(Timeline!$K$5:$K$305="Task")*ISNUMBER(Timeline!$I$5:$I$305)*ISNUMBER(Timeline!$J$5:$J$305)*(Timeline!$I$5:$I$305&lt;=K$4+5)*(Timeline!$J$5:$J$305&gt;=K$4+5)),SUMPRODUCT((INDEX(Timeline!$P$5:$AN$305,0,MATCH($A21,Timeline!$P$4:$AN$4,0))="x")*(Timeline!$K$5:$K$305="Task")*ISNUMBER(Timeline!$I$5:$I$305)*ISNUMBER(Timeline!$J$5:$J$305)*(Timeline!$I$5:$I$305&lt;=K$4+6)*(Timeline!$J$5:$J$305&gt;=K$4+6)))</f>
        <v>1</v>
      </c>
      <c r="L21" s="67">
        <f>MAX(SUMPRODUCT((INDEX(Timeline!$P$5:$AN$305,0,MATCH($A21,Timeline!$P$4:$AN$4,0))="x")*(Timeline!$K$5:$K$305="Task")*ISNUMBER(Timeline!$I$5:$I$305)*ISNUMBER(Timeline!$J$5:$J$305)*(Timeline!$I$5:$I$305&lt;=L$4+0)*(Timeline!$J$5:$J$305&gt;=L$4+0)),SUMPRODUCT((INDEX(Timeline!$P$5:$AN$305,0,MATCH($A21,Timeline!$P$4:$AN$4,0))="x")*(Timeline!$K$5:$K$305="Task")*ISNUMBER(Timeline!$I$5:$I$305)*ISNUMBER(Timeline!$J$5:$J$305)*(Timeline!$I$5:$I$305&lt;=L$4+1)*(Timeline!$J$5:$J$305&gt;=L$4+1)),SUMPRODUCT((INDEX(Timeline!$P$5:$AN$305,0,MATCH($A21,Timeline!$P$4:$AN$4,0))="x")*(Timeline!$K$5:$K$305="Task")*ISNUMBER(Timeline!$I$5:$I$305)*ISNUMBER(Timeline!$J$5:$J$305)*(Timeline!$I$5:$I$305&lt;=L$4+2)*(Timeline!$J$5:$J$305&gt;=L$4+2)),SUMPRODUCT((INDEX(Timeline!$P$5:$AN$305,0,MATCH($A21,Timeline!$P$4:$AN$4,0))="x")*(Timeline!$K$5:$K$305="Task")*ISNUMBER(Timeline!$I$5:$I$305)*ISNUMBER(Timeline!$J$5:$J$305)*(Timeline!$I$5:$I$305&lt;=L$4+3)*(Timeline!$J$5:$J$305&gt;=L$4+3)),SUMPRODUCT((INDEX(Timeline!$P$5:$AN$305,0,MATCH($A21,Timeline!$P$4:$AN$4,0))="x")*(Timeline!$K$5:$K$305="Task")*ISNUMBER(Timeline!$I$5:$I$305)*ISNUMBER(Timeline!$J$5:$J$305)*(Timeline!$I$5:$I$305&lt;=L$4+4)*(Timeline!$J$5:$J$305&gt;=L$4+4)),SUMPRODUCT((INDEX(Timeline!$P$5:$AN$305,0,MATCH($A21,Timeline!$P$4:$AN$4,0))="x")*(Timeline!$K$5:$K$305="Task")*ISNUMBER(Timeline!$I$5:$I$305)*ISNUMBER(Timeline!$J$5:$J$305)*(Timeline!$I$5:$I$305&lt;=L$4+5)*(Timeline!$J$5:$J$305&gt;=L$4+5)),SUMPRODUCT((INDEX(Timeline!$P$5:$AN$305,0,MATCH($A21,Timeline!$P$4:$AN$4,0))="x")*(Timeline!$K$5:$K$305="Task")*ISNUMBER(Timeline!$I$5:$I$305)*ISNUMBER(Timeline!$J$5:$J$305)*(Timeline!$I$5:$I$305&lt;=L$4+6)*(Timeline!$J$5:$J$305&gt;=L$4+6)))</f>
        <v>1</v>
      </c>
      <c r="M21" s="67">
        <f>MAX(SUMPRODUCT((INDEX(Timeline!$P$5:$AN$305,0,MATCH($A21,Timeline!$P$4:$AN$4,0))="x")*(Timeline!$K$5:$K$305="Task")*ISNUMBER(Timeline!$I$5:$I$305)*ISNUMBER(Timeline!$J$5:$J$305)*(Timeline!$I$5:$I$305&lt;=M$4+0)*(Timeline!$J$5:$J$305&gt;=M$4+0)),SUMPRODUCT((INDEX(Timeline!$P$5:$AN$305,0,MATCH($A21,Timeline!$P$4:$AN$4,0))="x")*(Timeline!$K$5:$K$305="Task")*ISNUMBER(Timeline!$I$5:$I$305)*ISNUMBER(Timeline!$J$5:$J$305)*(Timeline!$I$5:$I$305&lt;=M$4+1)*(Timeline!$J$5:$J$305&gt;=M$4+1)),SUMPRODUCT((INDEX(Timeline!$P$5:$AN$305,0,MATCH($A21,Timeline!$P$4:$AN$4,0))="x")*(Timeline!$K$5:$K$305="Task")*ISNUMBER(Timeline!$I$5:$I$305)*ISNUMBER(Timeline!$J$5:$J$305)*(Timeline!$I$5:$I$305&lt;=M$4+2)*(Timeline!$J$5:$J$305&gt;=M$4+2)),SUMPRODUCT((INDEX(Timeline!$P$5:$AN$305,0,MATCH($A21,Timeline!$P$4:$AN$4,0))="x")*(Timeline!$K$5:$K$305="Task")*ISNUMBER(Timeline!$I$5:$I$305)*ISNUMBER(Timeline!$J$5:$J$305)*(Timeline!$I$5:$I$305&lt;=M$4+3)*(Timeline!$J$5:$J$305&gt;=M$4+3)),SUMPRODUCT((INDEX(Timeline!$P$5:$AN$305,0,MATCH($A21,Timeline!$P$4:$AN$4,0))="x")*(Timeline!$K$5:$K$305="Task")*ISNUMBER(Timeline!$I$5:$I$305)*ISNUMBER(Timeline!$J$5:$J$305)*(Timeline!$I$5:$I$305&lt;=M$4+4)*(Timeline!$J$5:$J$305&gt;=M$4+4)),SUMPRODUCT((INDEX(Timeline!$P$5:$AN$305,0,MATCH($A21,Timeline!$P$4:$AN$4,0))="x")*(Timeline!$K$5:$K$305="Task")*ISNUMBER(Timeline!$I$5:$I$305)*ISNUMBER(Timeline!$J$5:$J$305)*(Timeline!$I$5:$I$305&lt;=M$4+5)*(Timeline!$J$5:$J$305&gt;=M$4+5)),SUMPRODUCT((INDEX(Timeline!$P$5:$AN$305,0,MATCH($A21,Timeline!$P$4:$AN$4,0))="x")*(Timeline!$K$5:$K$305="Task")*ISNUMBER(Timeline!$I$5:$I$305)*ISNUMBER(Timeline!$J$5:$J$305)*(Timeline!$I$5:$I$305&lt;=M$4+6)*(Timeline!$J$5:$J$305&gt;=M$4+6)))</f>
        <v>1</v>
      </c>
      <c r="N21" s="67">
        <f>MAX(SUMPRODUCT((INDEX(Timeline!$P$5:$AN$305,0,MATCH($A21,Timeline!$P$4:$AN$4,0))="x")*(Timeline!$K$5:$K$305="Task")*ISNUMBER(Timeline!$I$5:$I$305)*ISNUMBER(Timeline!$J$5:$J$305)*(Timeline!$I$5:$I$305&lt;=N$4+0)*(Timeline!$J$5:$J$305&gt;=N$4+0)),SUMPRODUCT((INDEX(Timeline!$P$5:$AN$305,0,MATCH($A21,Timeline!$P$4:$AN$4,0))="x")*(Timeline!$K$5:$K$305="Task")*ISNUMBER(Timeline!$I$5:$I$305)*ISNUMBER(Timeline!$J$5:$J$305)*(Timeline!$I$5:$I$305&lt;=N$4+1)*(Timeline!$J$5:$J$305&gt;=N$4+1)),SUMPRODUCT((INDEX(Timeline!$P$5:$AN$305,0,MATCH($A21,Timeline!$P$4:$AN$4,0))="x")*(Timeline!$K$5:$K$305="Task")*ISNUMBER(Timeline!$I$5:$I$305)*ISNUMBER(Timeline!$J$5:$J$305)*(Timeline!$I$5:$I$305&lt;=N$4+2)*(Timeline!$J$5:$J$305&gt;=N$4+2)),SUMPRODUCT((INDEX(Timeline!$P$5:$AN$305,0,MATCH($A21,Timeline!$P$4:$AN$4,0))="x")*(Timeline!$K$5:$K$305="Task")*ISNUMBER(Timeline!$I$5:$I$305)*ISNUMBER(Timeline!$J$5:$J$305)*(Timeline!$I$5:$I$305&lt;=N$4+3)*(Timeline!$J$5:$J$305&gt;=N$4+3)),SUMPRODUCT((INDEX(Timeline!$P$5:$AN$305,0,MATCH($A21,Timeline!$P$4:$AN$4,0))="x")*(Timeline!$K$5:$K$305="Task")*ISNUMBER(Timeline!$I$5:$I$305)*ISNUMBER(Timeline!$J$5:$J$305)*(Timeline!$I$5:$I$305&lt;=N$4+4)*(Timeline!$J$5:$J$305&gt;=N$4+4)),SUMPRODUCT((INDEX(Timeline!$P$5:$AN$305,0,MATCH($A21,Timeline!$P$4:$AN$4,0))="x")*(Timeline!$K$5:$K$305="Task")*ISNUMBER(Timeline!$I$5:$I$305)*ISNUMBER(Timeline!$J$5:$J$305)*(Timeline!$I$5:$I$305&lt;=N$4+5)*(Timeline!$J$5:$J$305&gt;=N$4+5)),SUMPRODUCT((INDEX(Timeline!$P$5:$AN$305,0,MATCH($A21,Timeline!$P$4:$AN$4,0))="x")*(Timeline!$K$5:$K$305="Task")*ISNUMBER(Timeline!$I$5:$I$305)*ISNUMBER(Timeline!$J$5:$J$305)*(Timeline!$I$5:$I$305&lt;=N$4+6)*(Timeline!$J$5:$J$305&gt;=N$4+6)))</f>
        <v>1</v>
      </c>
      <c r="O21" s="67">
        <f>MAX(SUMPRODUCT((INDEX(Timeline!$P$5:$AN$305,0,MATCH($A21,Timeline!$P$4:$AN$4,0))="x")*(Timeline!$K$5:$K$305="Task")*ISNUMBER(Timeline!$I$5:$I$305)*ISNUMBER(Timeline!$J$5:$J$305)*(Timeline!$I$5:$I$305&lt;=O$4+0)*(Timeline!$J$5:$J$305&gt;=O$4+0)),SUMPRODUCT((INDEX(Timeline!$P$5:$AN$305,0,MATCH($A21,Timeline!$P$4:$AN$4,0))="x")*(Timeline!$K$5:$K$305="Task")*ISNUMBER(Timeline!$I$5:$I$305)*ISNUMBER(Timeline!$J$5:$J$305)*(Timeline!$I$5:$I$305&lt;=O$4+1)*(Timeline!$J$5:$J$305&gt;=O$4+1)),SUMPRODUCT((INDEX(Timeline!$P$5:$AN$305,0,MATCH($A21,Timeline!$P$4:$AN$4,0))="x")*(Timeline!$K$5:$K$305="Task")*ISNUMBER(Timeline!$I$5:$I$305)*ISNUMBER(Timeline!$J$5:$J$305)*(Timeline!$I$5:$I$305&lt;=O$4+2)*(Timeline!$J$5:$J$305&gt;=O$4+2)),SUMPRODUCT((INDEX(Timeline!$P$5:$AN$305,0,MATCH($A21,Timeline!$P$4:$AN$4,0))="x")*(Timeline!$K$5:$K$305="Task")*ISNUMBER(Timeline!$I$5:$I$305)*ISNUMBER(Timeline!$J$5:$J$305)*(Timeline!$I$5:$I$305&lt;=O$4+3)*(Timeline!$J$5:$J$305&gt;=O$4+3)),SUMPRODUCT((INDEX(Timeline!$P$5:$AN$305,0,MATCH($A21,Timeline!$P$4:$AN$4,0))="x")*(Timeline!$K$5:$K$305="Task")*ISNUMBER(Timeline!$I$5:$I$305)*ISNUMBER(Timeline!$J$5:$J$305)*(Timeline!$I$5:$I$305&lt;=O$4+4)*(Timeline!$J$5:$J$305&gt;=O$4+4)),SUMPRODUCT((INDEX(Timeline!$P$5:$AN$305,0,MATCH($A21,Timeline!$P$4:$AN$4,0))="x")*(Timeline!$K$5:$K$305="Task")*ISNUMBER(Timeline!$I$5:$I$305)*ISNUMBER(Timeline!$J$5:$J$305)*(Timeline!$I$5:$I$305&lt;=O$4+5)*(Timeline!$J$5:$J$305&gt;=O$4+5)),SUMPRODUCT((INDEX(Timeline!$P$5:$AN$305,0,MATCH($A21,Timeline!$P$4:$AN$4,0))="x")*(Timeline!$K$5:$K$305="Task")*ISNUMBER(Timeline!$I$5:$I$305)*ISNUMBER(Timeline!$J$5:$J$305)*(Timeline!$I$5:$I$305&lt;=O$4+6)*(Timeline!$J$5:$J$305&gt;=O$4+6)))</f>
        <v>1</v>
      </c>
      <c r="P21" s="67">
        <f>MAX(SUMPRODUCT((INDEX(Timeline!$P$5:$AN$305,0,MATCH($A21,Timeline!$P$4:$AN$4,0))="x")*(Timeline!$K$5:$K$305="Task")*ISNUMBER(Timeline!$I$5:$I$305)*ISNUMBER(Timeline!$J$5:$J$305)*(Timeline!$I$5:$I$305&lt;=P$4+0)*(Timeline!$J$5:$J$305&gt;=P$4+0)),SUMPRODUCT((INDEX(Timeline!$P$5:$AN$305,0,MATCH($A21,Timeline!$P$4:$AN$4,0))="x")*(Timeline!$K$5:$K$305="Task")*ISNUMBER(Timeline!$I$5:$I$305)*ISNUMBER(Timeline!$J$5:$J$305)*(Timeline!$I$5:$I$305&lt;=P$4+1)*(Timeline!$J$5:$J$305&gt;=P$4+1)),SUMPRODUCT((INDEX(Timeline!$P$5:$AN$305,0,MATCH($A21,Timeline!$P$4:$AN$4,0))="x")*(Timeline!$K$5:$K$305="Task")*ISNUMBER(Timeline!$I$5:$I$305)*ISNUMBER(Timeline!$J$5:$J$305)*(Timeline!$I$5:$I$305&lt;=P$4+2)*(Timeline!$J$5:$J$305&gt;=P$4+2)),SUMPRODUCT((INDEX(Timeline!$P$5:$AN$305,0,MATCH($A21,Timeline!$P$4:$AN$4,0))="x")*(Timeline!$K$5:$K$305="Task")*ISNUMBER(Timeline!$I$5:$I$305)*ISNUMBER(Timeline!$J$5:$J$305)*(Timeline!$I$5:$I$305&lt;=P$4+3)*(Timeline!$J$5:$J$305&gt;=P$4+3)),SUMPRODUCT((INDEX(Timeline!$P$5:$AN$305,0,MATCH($A21,Timeline!$P$4:$AN$4,0))="x")*(Timeline!$K$5:$K$305="Task")*ISNUMBER(Timeline!$I$5:$I$305)*ISNUMBER(Timeline!$J$5:$J$305)*(Timeline!$I$5:$I$305&lt;=P$4+4)*(Timeline!$J$5:$J$305&gt;=P$4+4)),SUMPRODUCT((INDEX(Timeline!$P$5:$AN$305,0,MATCH($A21,Timeline!$P$4:$AN$4,0))="x")*(Timeline!$K$5:$K$305="Task")*ISNUMBER(Timeline!$I$5:$I$305)*ISNUMBER(Timeline!$J$5:$J$305)*(Timeline!$I$5:$I$305&lt;=P$4+5)*(Timeline!$J$5:$J$305&gt;=P$4+5)),SUMPRODUCT((INDEX(Timeline!$P$5:$AN$305,0,MATCH($A21,Timeline!$P$4:$AN$4,0))="x")*(Timeline!$K$5:$K$305="Task")*ISNUMBER(Timeline!$I$5:$I$305)*ISNUMBER(Timeline!$J$5:$J$305)*(Timeline!$I$5:$I$305&lt;=P$4+6)*(Timeline!$J$5:$J$305&gt;=P$4+6)))</f>
        <v>1</v>
      </c>
      <c r="Q21" s="67">
        <f>MAX(SUMPRODUCT((INDEX(Timeline!$P$5:$AN$305,0,MATCH($A21,Timeline!$P$4:$AN$4,0))="x")*(Timeline!$K$5:$K$305="Task")*ISNUMBER(Timeline!$I$5:$I$305)*ISNUMBER(Timeline!$J$5:$J$305)*(Timeline!$I$5:$I$305&lt;=Q$4+0)*(Timeline!$J$5:$J$305&gt;=Q$4+0)),SUMPRODUCT((INDEX(Timeline!$P$5:$AN$305,0,MATCH($A21,Timeline!$P$4:$AN$4,0))="x")*(Timeline!$K$5:$K$305="Task")*ISNUMBER(Timeline!$I$5:$I$305)*ISNUMBER(Timeline!$J$5:$J$305)*(Timeline!$I$5:$I$305&lt;=Q$4+1)*(Timeline!$J$5:$J$305&gt;=Q$4+1)),SUMPRODUCT((INDEX(Timeline!$P$5:$AN$305,0,MATCH($A21,Timeline!$P$4:$AN$4,0))="x")*(Timeline!$K$5:$K$305="Task")*ISNUMBER(Timeline!$I$5:$I$305)*ISNUMBER(Timeline!$J$5:$J$305)*(Timeline!$I$5:$I$305&lt;=Q$4+2)*(Timeline!$J$5:$J$305&gt;=Q$4+2)),SUMPRODUCT((INDEX(Timeline!$P$5:$AN$305,0,MATCH($A21,Timeline!$P$4:$AN$4,0))="x")*(Timeline!$K$5:$K$305="Task")*ISNUMBER(Timeline!$I$5:$I$305)*ISNUMBER(Timeline!$J$5:$J$305)*(Timeline!$I$5:$I$305&lt;=Q$4+3)*(Timeline!$J$5:$J$305&gt;=Q$4+3)),SUMPRODUCT((INDEX(Timeline!$P$5:$AN$305,0,MATCH($A21,Timeline!$P$4:$AN$4,0))="x")*(Timeline!$K$5:$K$305="Task")*ISNUMBER(Timeline!$I$5:$I$305)*ISNUMBER(Timeline!$J$5:$J$305)*(Timeline!$I$5:$I$305&lt;=Q$4+4)*(Timeline!$J$5:$J$305&gt;=Q$4+4)),SUMPRODUCT((INDEX(Timeline!$P$5:$AN$305,0,MATCH($A21,Timeline!$P$4:$AN$4,0))="x")*(Timeline!$K$5:$K$305="Task")*ISNUMBER(Timeline!$I$5:$I$305)*ISNUMBER(Timeline!$J$5:$J$305)*(Timeline!$I$5:$I$305&lt;=Q$4+5)*(Timeline!$J$5:$J$305&gt;=Q$4+5)),SUMPRODUCT((INDEX(Timeline!$P$5:$AN$305,0,MATCH($A21,Timeline!$P$4:$AN$4,0))="x")*(Timeline!$K$5:$K$305="Task")*ISNUMBER(Timeline!$I$5:$I$305)*ISNUMBER(Timeline!$J$5:$J$305)*(Timeline!$I$5:$I$305&lt;=Q$4+6)*(Timeline!$J$5:$J$305&gt;=Q$4+6)))</f>
        <v>1</v>
      </c>
      <c r="R21" s="67">
        <f>MAX(SUMPRODUCT((INDEX(Timeline!$P$5:$AN$305,0,MATCH($A21,Timeline!$P$4:$AN$4,0))="x")*(Timeline!$K$5:$K$305="Task")*ISNUMBER(Timeline!$I$5:$I$305)*ISNUMBER(Timeline!$J$5:$J$305)*(Timeline!$I$5:$I$305&lt;=R$4+0)*(Timeline!$J$5:$J$305&gt;=R$4+0)),SUMPRODUCT((INDEX(Timeline!$P$5:$AN$305,0,MATCH($A21,Timeline!$P$4:$AN$4,0))="x")*(Timeline!$K$5:$K$305="Task")*ISNUMBER(Timeline!$I$5:$I$305)*ISNUMBER(Timeline!$J$5:$J$305)*(Timeline!$I$5:$I$305&lt;=R$4+1)*(Timeline!$J$5:$J$305&gt;=R$4+1)),SUMPRODUCT((INDEX(Timeline!$P$5:$AN$305,0,MATCH($A21,Timeline!$P$4:$AN$4,0))="x")*(Timeline!$K$5:$K$305="Task")*ISNUMBER(Timeline!$I$5:$I$305)*ISNUMBER(Timeline!$J$5:$J$305)*(Timeline!$I$5:$I$305&lt;=R$4+2)*(Timeline!$J$5:$J$305&gt;=R$4+2)),SUMPRODUCT((INDEX(Timeline!$P$5:$AN$305,0,MATCH($A21,Timeline!$P$4:$AN$4,0))="x")*(Timeline!$K$5:$K$305="Task")*ISNUMBER(Timeline!$I$5:$I$305)*ISNUMBER(Timeline!$J$5:$J$305)*(Timeline!$I$5:$I$305&lt;=R$4+3)*(Timeline!$J$5:$J$305&gt;=R$4+3)),SUMPRODUCT((INDEX(Timeline!$P$5:$AN$305,0,MATCH($A21,Timeline!$P$4:$AN$4,0))="x")*(Timeline!$K$5:$K$305="Task")*ISNUMBER(Timeline!$I$5:$I$305)*ISNUMBER(Timeline!$J$5:$J$305)*(Timeline!$I$5:$I$305&lt;=R$4+4)*(Timeline!$J$5:$J$305&gt;=R$4+4)),SUMPRODUCT((INDEX(Timeline!$P$5:$AN$305,0,MATCH($A21,Timeline!$P$4:$AN$4,0))="x")*(Timeline!$K$5:$K$305="Task")*ISNUMBER(Timeline!$I$5:$I$305)*ISNUMBER(Timeline!$J$5:$J$305)*(Timeline!$I$5:$I$305&lt;=R$4+5)*(Timeline!$J$5:$J$305&gt;=R$4+5)),SUMPRODUCT((INDEX(Timeline!$P$5:$AN$305,0,MATCH($A21,Timeline!$P$4:$AN$4,0))="x")*(Timeline!$K$5:$K$305="Task")*ISNUMBER(Timeline!$I$5:$I$305)*ISNUMBER(Timeline!$J$5:$J$305)*(Timeline!$I$5:$I$305&lt;=R$4+6)*(Timeline!$J$5:$J$305&gt;=R$4+6)))</f>
        <v>1</v>
      </c>
      <c r="S21" s="67">
        <f>MAX(SUMPRODUCT((INDEX(Timeline!$P$5:$AN$305,0,MATCH($A21,Timeline!$P$4:$AN$4,0))="x")*(Timeline!$K$5:$K$305="Task")*ISNUMBER(Timeline!$I$5:$I$305)*ISNUMBER(Timeline!$J$5:$J$305)*(Timeline!$I$5:$I$305&lt;=S$4+0)*(Timeline!$J$5:$J$305&gt;=S$4+0)),SUMPRODUCT((INDEX(Timeline!$P$5:$AN$305,0,MATCH($A21,Timeline!$P$4:$AN$4,0))="x")*(Timeline!$K$5:$K$305="Task")*ISNUMBER(Timeline!$I$5:$I$305)*ISNUMBER(Timeline!$J$5:$J$305)*(Timeline!$I$5:$I$305&lt;=S$4+1)*(Timeline!$J$5:$J$305&gt;=S$4+1)),SUMPRODUCT((INDEX(Timeline!$P$5:$AN$305,0,MATCH($A21,Timeline!$P$4:$AN$4,0))="x")*(Timeline!$K$5:$K$305="Task")*ISNUMBER(Timeline!$I$5:$I$305)*ISNUMBER(Timeline!$J$5:$J$305)*(Timeline!$I$5:$I$305&lt;=S$4+2)*(Timeline!$J$5:$J$305&gt;=S$4+2)),SUMPRODUCT((INDEX(Timeline!$P$5:$AN$305,0,MATCH($A21,Timeline!$P$4:$AN$4,0))="x")*(Timeline!$K$5:$K$305="Task")*ISNUMBER(Timeline!$I$5:$I$305)*ISNUMBER(Timeline!$J$5:$J$305)*(Timeline!$I$5:$I$305&lt;=S$4+3)*(Timeline!$J$5:$J$305&gt;=S$4+3)),SUMPRODUCT((INDEX(Timeline!$P$5:$AN$305,0,MATCH($A21,Timeline!$P$4:$AN$4,0))="x")*(Timeline!$K$5:$K$305="Task")*ISNUMBER(Timeline!$I$5:$I$305)*ISNUMBER(Timeline!$J$5:$J$305)*(Timeline!$I$5:$I$305&lt;=S$4+4)*(Timeline!$J$5:$J$305&gt;=S$4+4)),SUMPRODUCT((INDEX(Timeline!$P$5:$AN$305,0,MATCH($A21,Timeline!$P$4:$AN$4,0))="x")*(Timeline!$K$5:$K$305="Task")*ISNUMBER(Timeline!$I$5:$I$305)*ISNUMBER(Timeline!$J$5:$J$305)*(Timeline!$I$5:$I$305&lt;=S$4+5)*(Timeline!$J$5:$J$305&gt;=S$4+5)),SUMPRODUCT((INDEX(Timeline!$P$5:$AN$305,0,MATCH($A21,Timeline!$P$4:$AN$4,0))="x")*(Timeline!$K$5:$K$305="Task")*ISNUMBER(Timeline!$I$5:$I$305)*ISNUMBER(Timeline!$J$5:$J$305)*(Timeline!$I$5:$I$305&lt;=S$4+6)*(Timeline!$J$5:$J$305&gt;=S$4+6)))</f>
        <v>1</v>
      </c>
      <c r="T21" s="67">
        <f>MAX(SUMPRODUCT((INDEX(Timeline!$P$5:$AN$305,0,MATCH($A21,Timeline!$P$4:$AN$4,0))="x")*(Timeline!$K$5:$K$305="Task")*ISNUMBER(Timeline!$I$5:$I$305)*ISNUMBER(Timeline!$J$5:$J$305)*(Timeline!$I$5:$I$305&lt;=T$4+0)*(Timeline!$J$5:$J$305&gt;=T$4+0)),SUMPRODUCT((INDEX(Timeline!$P$5:$AN$305,0,MATCH($A21,Timeline!$P$4:$AN$4,0))="x")*(Timeline!$K$5:$K$305="Task")*ISNUMBER(Timeline!$I$5:$I$305)*ISNUMBER(Timeline!$J$5:$J$305)*(Timeline!$I$5:$I$305&lt;=T$4+1)*(Timeline!$J$5:$J$305&gt;=T$4+1)),SUMPRODUCT((INDEX(Timeline!$P$5:$AN$305,0,MATCH($A21,Timeline!$P$4:$AN$4,0))="x")*(Timeline!$K$5:$K$305="Task")*ISNUMBER(Timeline!$I$5:$I$305)*ISNUMBER(Timeline!$J$5:$J$305)*(Timeline!$I$5:$I$305&lt;=T$4+2)*(Timeline!$J$5:$J$305&gt;=T$4+2)),SUMPRODUCT((INDEX(Timeline!$P$5:$AN$305,0,MATCH($A21,Timeline!$P$4:$AN$4,0))="x")*(Timeline!$K$5:$K$305="Task")*ISNUMBER(Timeline!$I$5:$I$305)*ISNUMBER(Timeline!$J$5:$J$305)*(Timeline!$I$5:$I$305&lt;=T$4+3)*(Timeline!$J$5:$J$305&gt;=T$4+3)),SUMPRODUCT((INDEX(Timeline!$P$5:$AN$305,0,MATCH($A21,Timeline!$P$4:$AN$4,0))="x")*(Timeline!$K$5:$K$305="Task")*ISNUMBER(Timeline!$I$5:$I$305)*ISNUMBER(Timeline!$J$5:$J$305)*(Timeline!$I$5:$I$305&lt;=T$4+4)*(Timeline!$J$5:$J$305&gt;=T$4+4)),SUMPRODUCT((INDEX(Timeline!$P$5:$AN$305,0,MATCH($A21,Timeline!$P$4:$AN$4,0))="x")*(Timeline!$K$5:$K$305="Task")*ISNUMBER(Timeline!$I$5:$I$305)*ISNUMBER(Timeline!$J$5:$J$305)*(Timeline!$I$5:$I$305&lt;=T$4+5)*(Timeline!$J$5:$J$305&gt;=T$4+5)),SUMPRODUCT((INDEX(Timeline!$P$5:$AN$305,0,MATCH($A21,Timeline!$P$4:$AN$4,0))="x")*(Timeline!$K$5:$K$305="Task")*ISNUMBER(Timeline!$I$5:$I$305)*ISNUMBER(Timeline!$J$5:$J$305)*(Timeline!$I$5:$I$305&lt;=T$4+6)*(Timeline!$J$5:$J$305&gt;=T$4+6)))</f>
        <v>1</v>
      </c>
      <c r="U21" s="67">
        <f>MAX(SUMPRODUCT((INDEX(Timeline!$P$5:$AN$305,0,MATCH($A21,Timeline!$P$4:$AN$4,0))="x")*(Timeline!$K$5:$K$305="Task")*ISNUMBER(Timeline!$I$5:$I$305)*ISNUMBER(Timeline!$J$5:$J$305)*(Timeline!$I$5:$I$305&lt;=U$4+0)*(Timeline!$J$5:$J$305&gt;=U$4+0)),SUMPRODUCT((INDEX(Timeline!$P$5:$AN$305,0,MATCH($A21,Timeline!$P$4:$AN$4,0))="x")*(Timeline!$K$5:$K$305="Task")*ISNUMBER(Timeline!$I$5:$I$305)*ISNUMBER(Timeline!$J$5:$J$305)*(Timeline!$I$5:$I$305&lt;=U$4+1)*(Timeline!$J$5:$J$305&gt;=U$4+1)),SUMPRODUCT((INDEX(Timeline!$P$5:$AN$305,0,MATCH($A21,Timeline!$P$4:$AN$4,0))="x")*(Timeline!$K$5:$K$305="Task")*ISNUMBER(Timeline!$I$5:$I$305)*ISNUMBER(Timeline!$J$5:$J$305)*(Timeline!$I$5:$I$305&lt;=U$4+2)*(Timeline!$J$5:$J$305&gt;=U$4+2)),SUMPRODUCT((INDEX(Timeline!$P$5:$AN$305,0,MATCH($A21,Timeline!$P$4:$AN$4,0))="x")*(Timeline!$K$5:$K$305="Task")*ISNUMBER(Timeline!$I$5:$I$305)*ISNUMBER(Timeline!$J$5:$J$305)*(Timeline!$I$5:$I$305&lt;=U$4+3)*(Timeline!$J$5:$J$305&gt;=U$4+3)),SUMPRODUCT((INDEX(Timeline!$P$5:$AN$305,0,MATCH($A21,Timeline!$P$4:$AN$4,0))="x")*(Timeline!$K$5:$K$305="Task")*ISNUMBER(Timeline!$I$5:$I$305)*ISNUMBER(Timeline!$J$5:$J$305)*(Timeline!$I$5:$I$305&lt;=U$4+4)*(Timeline!$J$5:$J$305&gt;=U$4+4)),SUMPRODUCT((INDEX(Timeline!$P$5:$AN$305,0,MATCH($A21,Timeline!$P$4:$AN$4,0))="x")*(Timeline!$K$5:$K$305="Task")*ISNUMBER(Timeline!$I$5:$I$305)*ISNUMBER(Timeline!$J$5:$J$305)*(Timeline!$I$5:$I$305&lt;=U$4+5)*(Timeline!$J$5:$J$305&gt;=U$4+5)),SUMPRODUCT((INDEX(Timeline!$P$5:$AN$305,0,MATCH($A21,Timeline!$P$4:$AN$4,0))="x")*(Timeline!$K$5:$K$305="Task")*ISNUMBER(Timeline!$I$5:$I$305)*ISNUMBER(Timeline!$J$5:$J$305)*(Timeline!$I$5:$I$305&lt;=U$4+6)*(Timeline!$J$5:$J$305&gt;=U$4+6)))</f>
        <v>1</v>
      </c>
      <c r="V21" s="67">
        <f>MAX(SUMPRODUCT((INDEX(Timeline!$P$5:$AN$305,0,MATCH($A21,Timeline!$P$4:$AN$4,0))="x")*(Timeline!$K$5:$K$305="Task")*ISNUMBER(Timeline!$I$5:$I$305)*ISNUMBER(Timeline!$J$5:$J$305)*(Timeline!$I$5:$I$305&lt;=V$4+0)*(Timeline!$J$5:$J$305&gt;=V$4+0)),SUMPRODUCT((INDEX(Timeline!$P$5:$AN$305,0,MATCH($A21,Timeline!$P$4:$AN$4,0))="x")*(Timeline!$K$5:$K$305="Task")*ISNUMBER(Timeline!$I$5:$I$305)*ISNUMBER(Timeline!$J$5:$J$305)*(Timeline!$I$5:$I$305&lt;=V$4+1)*(Timeline!$J$5:$J$305&gt;=V$4+1)),SUMPRODUCT((INDEX(Timeline!$P$5:$AN$305,0,MATCH($A21,Timeline!$P$4:$AN$4,0))="x")*(Timeline!$K$5:$K$305="Task")*ISNUMBER(Timeline!$I$5:$I$305)*ISNUMBER(Timeline!$J$5:$J$305)*(Timeline!$I$5:$I$305&lt;=V$4+2)*(Timeline!$J$5:$J$305&gt;=V$4+2)),SUMPRODUCT((INDEX(Timeline!$P$5:$AN$305,0,MATCH($A21,Timeline!$P$4:$AN$4,0))="x")*(Timeline!$K$5:$K$305="Task")*ISNUMBER(Timeline!$I$5:$I$305)*ISNUMBER(Timeline!$J$5:$J$305)*(Timeline!$I$5:$I$305&lt;=V$4+3)*(Timeline!$J$5:$J$305&gt;=V$4+3)),SUMPRODUCT((INDEX(Timeline!$P$5:$AN$305,0,MATCH($A21,Timeline!$P$4:$AN$4,0))="x")*(Timeline!$K$5:$K$305="Task")*ISNUMBER(Timeline!$I$5:$I$305)*ISNUMBER(Timeline!$J$5:$J$305)*(Timeline!$I$5:$I$305&lt;=V$4+4)*(Timeline!$J$5:$J$305&gt;=V$4+4)),SUMPRODUCT((INDEX(Timeline!$P$5:$AN$305,0,MATCH($A21,Timeline!$P$4:$AN$4,0))="x")*(Timeline!$K$5:$K$305="Task")*ISNUMBER(Timeline!$I$5:$I$305)*ISNUMBER(Timeline!$J$5:$J$305)*(Timeline!$I$5:$I$305&lt;=V$4+5)*(Timeline!$J$5:$J$305&gt;=V$4+5)),SUMPRODUCT((INDEX(Timeline!$P$5:$AN$305,0,MATCH($A21,Timeline!$P$4:$AN$4,0))="x")*(Timeline!$K$5:$K$305="Task")*ISNUMBER(Timeline!$I$5:$I$305)*ISNUMBER(Timeline!$J$5:$J$305)*(Timeline!$I$5:$I$305&lt;=V$4+6)*(Timeline!$J$5:$J$305&gt;=V$4+6)))</f>
        <v>1</v>
      </c>
      <c r="W21" s="67">
        <f>MAX(SUMPRODUCT((INDEX(Timeline!$P$5:$AN$305,0,MATCH($A21,Timeline!$P$4:$AN$4,0))="x")*(Timeline!$K$5:$K$305="Task")*ISNUMBER(Timeline!$I$5:$I$305)*ISNUMBER(Timeline!$J$5:$J$305)*(Timeline!$I$5:$I$305&lt;=W$4+0)*(Timeline!$J$5:$J$305&gt;=W$4+0)),SUMPRODUCT((INDEX(Timeline!$P$5:$AN$305,0,MATCH($A21,Timeline!$P$4:$AN$4,0))="x")*(Timeline!$K$5:$K$305="Task")*ISNUMBER(Timeline!$I$5:$I$305)*ISNUMBER(Timeline!$J$5:$J$305)*(Timeline!$I$5:$I$305&lt;=W$4+1)*(Timeline!$J$5:$J$305&gt;=W$4+1)),SUMPRODUCT((INDEX(Timeline!$P$5:$AN$305,0,MATCH($A21,Timeline!$P$4:$AN$4,0))="x")*(Timeline!$K$5:$K$305="Task")*ISNUMBER(Timeline!$I$5:$I$305)*ISNUMBER(Timeline!$J$5:$J$305)*(Timeline!$I$5:$I$305&lt;=W$4+2)*(Timeline!$J$5:$J$305&gt;=W$4+2)),SUMPRODUCT((INDEX(Timeline!$P$5:$AN$305,0,MATCH($A21,Timeline!$P$4:$AN$4,0))="x")*(Timeline!$K$5:$K$305="Task")*ISNUMBER(Timeline!$I$5:$I$305)*ISNUMBER(Timeline!$J$5:$J$305)*(Timeline!$I$5:$I$305&lt;=W$4+3)*(Timeline!$J$5:$J$305&gt;=W$4+3)),SUMPRODUCT((INDEX(Timeline!$P$5:$AN$305,0,MATCH($A21,Timeline!$P$4:$AN$4,0))="x")*(Timeline!$K$5:$K$305="Task")*ISNUMBER(Timeline!$I$5:$I$305)*ISNUMBER(Timeline!$J$5:$J$305)*(Timeline!$I$5:$I$305&lt;=W$4+4)*(Timeline!$J$5:$J$305&gt;=W$4+4)),SUMPRODUCT((INDEX(Timeline!$P$5:$AN$305,0,MATCH($A21,Timeline!$P$4:$AN$4,0))="x")*(Timeline!$K$5:$K$305="Task")*ISNUMBER(Timeline!$I$5:$I$305)*ISNUMBER(Timeline!$J$5:$J$305)*(Timeline!$I$5:$I$305&lt;=W$4+5)*(Timeline!$J$5:$J$305&gt;=W$4+5)),SUMPRODUCT((INDEX(Timeline!$P$5:$AN$305,0,MATCH($A21,Timeline!$P$4:$AN$4,0))="x")*(Timeline!$K$5:$K$305="Task")*ISNUMBER(Timeline!$I$5:$I$305)*ISNUMBER(Timeline!$J$5:$J$305)*(Timeline!$I$5:$I$305&lt;=W$4+6)*(Timeline!$J$5:$J$305&gt;=W$4+6)))</f>
        <v>1</v>
      </c>
      <c r="X21" s="67">
        <f>MAX(SUMPRODUCT((INDEX(Timeline!$P$5:$AN$305,0,MATCH($A21,Timeline!$P$4:$AN$4,0))="x")*(Timeline!$K$5:$K$305="Task")*ISNUMBER(Timeline!$I$5:$I$305)*ISNUMBER(Timeline!$J$5:$J$305)*(Timeline!$I$5:$I$305&lt;=X$4+0)*(Timeline!$J$5:$J$305&gt;=X$4+0)),SUMPRODUCT((INDEX(Timeline!$P$5:$AN$305,0,MATCH($A21,Timeline!$P$4:$AN$4,0))="x")*(Timeline!$K$5:$K$305="Task")*ISNUMBER(Timeline!$I$5:$I$305)*ISNUMBER(Timeline!$J$5:$J$305)*(Timeline!$I$5:$I$305&lt;=X$4+1)*(Timeline!$J$5:$J$305&gt;=X$4+1)),SUMPRODUCT((INDEX(Timeline!$P$5:$AN$305,0,MATCH($A21,Timeline!$P$4:$AN$4,0))="x")*(Timeline!$K$5:$K$305="Task")*ISNUMBER(Timeline!$I$5:$I$305)*ISNUMBER(Timeline!$J$5:$J$305)*(Timeline!$I$5:$I$305&lt;=X$4+2)*(Timeline!$J$5:$J$305&gt;=X$4+2)),SUMPRODUCT((INDEX(Timeline!$P$5:$AN$305,0,MATCH($A21,Timeline!$P$4:$AN$4,0))="x")*(Timeline!$K$5:$K$305="Task")*ISNUMBER(Timeline!$I$5:$I$305)*ISNUMBER(Timeline!$J$5:$J$305)*(Timeline!$I$5:$I$305&lt;=X$4+3)*(Timeline!$J$5:$J$305&gt;=X$4+3)),SUMPRODUCT((INDEX(Timeline!$P$5:$AN$305,0,MATCH($A21,Timeline!$P$4:$AN$4,0))="x")*(Timeline!$K$5:$K$305="Task")*ISNUMBER(Timeline!$I$5:$I$305)*ISNUMBER(Timeline!$J$5:$J$305)*(Timeline!$I$5:$I$305&lt;=X$4+4)*(Timeline!$J$5:$J$305&gt;=X$4+4)),SUMPRODUCT((INDEX(Timeline!$P$5:$AN$305,0,MATCH($A21,Timeline!$P$4:$AN$4,0))="x")*(Timeline!$K$5:$K$305="Task")*ISNUMBER(Timeline!$I$5:$I$305)*ISNUMBER(Timeline!$J$5:$J$305)*(Timeline!$I$5:$I$305&lt;=X$4+5)*(Timeline!$J$5:$J$305&gt;=X$4+5)),SUMPRODUCT((INDEX(Timeline!$P$5:$AN$305,0,MATCH($A21,Timeline!$P$4:$AN$4,0))="x")*(Timeline!$K$5:$K$305="Task")*ISNUMBER(Timeline!$I$5:$I$305)*ISNUMBER(Timeline!$J$5:$J$305)*(Timeline!$I$5:$I$305&lt;=X$4+6)*(Timeline!$J$5:$J$305&gt;=X$4+6)))</f>
        <v>1</v>
      </c>
      <c r="Y21" s="67">
        <f>MAX(SUMPRODUCT((INDEX(Timeline!$P$5:$AN$305,0,MATCH($A21,Timeline!$P$4:$AN$4,0))="x")*(Timeline!$K$5:$K$305="Task")*ISNUMBER(Timeline!$I$5:$I$305)*ISNUMBER(Timeline!$J$5:$J$305)*(Timeline!$I$5:$I$305&lt;=Y$4+0)*(Timeline!$J$5:$J$305&gt;=Y$4+0)),SUMPRODUCT((INDEX(Timeline!$P$5:$AN$305,0,MATCH($A21,Timeline!$P$4:$AN$4,0))="x")*(Timeline!$K$5:$K$305="Task")*ISNUMBER(Timeline!$I$5:$I$305)*ISNUMBER(Timeline!$J$5:$J$305)*(Timeline!$I$5:$I$305&lt;=Y$4+1)*(Timeline!$J$5:$J$305&gt;=Y$4+1)),SUMPRODUCT((INDEX(Timeline!$P$5:$AN$305,0,MATCH($A21,Timeline!$P$4:$AN$4,0))="x")*(Timeline!$K$5:$K$305="Task")*ISNUMBER(Timeline!$I$5:$I$305)*ISNUMBER(Timeline!$J$5:$J$305)*(Timeline!$I$5:$I$305&lt;=Y$4+2)*(Timeline!$J$5:$J$305&gt;=Y$4+2)),SUMPRODUCT((INDEX(Timeline!$P$5:$AN$305,0,MATCH($A21,Timeline!$P$4:$AN$4,0))="x")*(Timeline!$K$5:$K$305="Task")*ISNUMBER(Timeline!$I$5:$I$305)*ISNUMBER(Timeline!$J$5:$J$305)*(Timeline!$I$5:$I$305&lt;=Y$4+3)*(Timeline!$J$5:$J$305&gt;=Y$4+3)),SUMPRODUCT((INDEX(Timeline!$P$5:$AN$305,0,MATCH($A21,Timeline!$P$4:$AN$4,0))="x")*(Timeline!$K$5:$K$305="Task")*ISNUMBER(Timeline!$I$5:$I$305)*ISNUMBER(Timeline!$J$5:$J$305)*(Timeline!$I$5:$I$305&lt;=Y$4+4)*(Timeline!$J$5:$J$305&gt;=Y$4+4)),SUMPRODUCT((INDEX(Timeline!$P$5:$AN$305,0,MATCH($A21,Timeline!$P$4:$AN$4,0))="x")*(Timeline!$K$5:$K$305="Task")*ISNUMBER(Timeline!$I$5:$I$305)*ISNUMBER(Timeline!$J$5:$J$305)*(Timeline!$I$5:$I$305&lt;=Y$4+5)*(Timeline!$J$5:$J$305&gt;=Y$4+5)),SUMPRODUCT((INDEX(Timeline!$P$5:$AN$305,0,MATCH($A21,Timeline!$P$4:$AN$4,0))="x")*(Timeline!$K$5:$K$305="Task")*ISNUMBER(Timeline!$I$5:$I$305)*ISNUMBER(Timeline!$J$5:$J$305)*(Timeline!$I$5:$I$305&lt;=Y$4+6)*(Timeline!$J$5:$J$305&gt;=Y$4+6)))</f>
        <v>1</v>
      </c>
      <c r="Z21" s="67">
        <f>MAX(SUMPRODUCT((INDEX(Timeline!$P$5:$AN$305,0,MATCH($A21,Timeline!$P$4:$AN$4,0))="x")*(Timeline!$K$5:$K$305="Task")*ISNUMBER(Timeline!$I$5:$I$305)*ISNUMBER(Timeline!$J$5:$J$305)*(Timeline!$I$5:$I$305&lt;=Z$4+0)*(Timeline!$J$5:$J$305&gt;=Z$4+0)),SUMPRODUCT((INDEX(Timeline!$P$5:$AN$305,0,MATCH($A21,Timeline!$P$4:$AN$4,0))="x")*(Timeline!$K$5:$K$305="Task")*ISNUMBER(Timeline!$I$5:$I$305)*ISNUMBER(Timeline!$J$5:$J$305)*(Timeline!$I$5:$I$305&lt;=Z$4+1)*(Timeline!$J$5:$J$305&gt;=Z$4+1)),SUMPRODUCT((INDEX(Timeline!$P$5:$AN$305,0,MATCH($A21,Timeline!$P$4:$AN$4,0))="x")*(Timeline!$K$5:$K$305="Task")*ISNUMBER(Timeline!$I$5:$I$305)*ISNUMBER(Timeline!$J$5:$J$305)*(Timeline!$I$5:$I$305&lt;=Z$4+2)*(Timeline!$J$5:$J$305&gt;=Z$4+2)),SUMPRODUCT((INDEX(Timeline!$P$5:$AN$305,0,MATCH($A21,Timeline!$P$4:$AN$4,0))="x")*(Timeline!$K$5:$K$305="Task")*ISNUMBER(Timeline!$I$5:$I$305)*ISNUMBER(Timeline!$J$5:$J$305)*(Timeline!$I$5:$I$305&lt;=Z$4+3)*(Timeline!$J$5:$J$305&gt;=Z$4+3)),SUMPRODUCT((INDEX(Timeline!$P$5:$AN$305,0,MATCH($A21,Timeline!$P$4:$AN$4,0))="x")*(Timeline!$K$5:$K$305="Task")*ISNUMBER(Timeline!$I$5:$I$305)*ISNUMBER(Timeline!$J$5:$J$305)*(Timeline!$I$5:$I$305&lt;=Z$4+4)*(Timeline!$J$5:$J$305&gt;=Z$4+4)),SUMPRODUCT((INDEX(Timeline!$P$5:$AN$305,0,MATCH($A21,Timeline!$P$4:$AN$4,0))="x")*(Timeline!$K$5:$K$305="Task")*ISNUMBER(Timeline!$I$5:$I$305)*ISNUMBER(Timeline!$J$5:$J$305)*(Timeline!$I$5:$I$305&lt;=Z$4+5)*(Timeline!$J$5:$J$305&gt;=Z$4+5)),SUMPRODUCT((INDEX(Timeline!$P$5:$AN$305,0,MATCH($A21,Timeline!$P$4:$AN$4,0))="x")*(Timeline!$K$5:$K$305="Task")*ISNUMBER(Timeline!$I$5:$I$305)*ISNUMBER(Timeline!$J$5:$J$305)*(Timeline!$I$5:$I$305&lt;=Z$4+6)*(Timeline!$J$5:$J$305&gt;=Z$4+6)))</f>
        <v>1</v>
      </c>
      <c r="AA21" s="67">
        <f>MAX(SUMPRODUCT((INDEX(Timeline!$P$5:$AN$305,0,MATCH($A21,Timeline!$P$4:$AN$4,0))="x")*(Timeline!$K$5:$K$305="Task")*ISNUMBER(Timeline!$I$5:$I$305)*ISNUMBER(Timeline!$J$5:$J$305)*(Timeline!$I$5:$I$305&lt;=AA$4+0)*(Timeline!$J$5:$J$305&gt;=AA$4+0)),SUMPRODUCT((INDEX(Timeline!$P$5:$AN$305,0,MATCH($A21,Timeline!$P$4:$AN$4,0))="x")*(Timeline!$K$5:$K$305="Task")*ISNUMBER(Timeline!$I$5:$I$305)*ISNUMBER(Timeline!$J$5:$J$305)*(Timeline!$I$5:$I$305&lt;=AA$4+1)*(Timeline!$J$5:$J$305&gt;=AA$4+1)),SUMPRODUCT((INDEX(Timeline!$P$5:$AN$305,0,MATCH($A21,Timeline!$P$4:$AN$4,0))="x")*(Timeline!$K$5:$K$305="Task")*ISNUMBER(Timeline!$I$5:$I$305)*ISNUMBER(Timeline!$J$5:$J$305)*(Timeline!$I$5:$I$305&lt;=AA$4+2)*(Timeline!$J$5:$J$305&gt;=AA$4+2)),SUMPRODUCT((INDEX(Timeline!$P$5:$AN$305,0,MATCH($A21,Timeline!$P$4:$AN$4,0))="x")*(Timeline!$K$5:$K$305="Task")*ISNUMBER(Timeline!$I$5:$I$305)*ISNUMBER(Timeline!$J$5:$J$305)*(Timeline!$I$5:$I$305&lt;=AA$4+3)*(Timeline!$J$5:$J$305&gt;=AA$4+3)),SUMPRODUCT((INDEX(Timeline!$P$5:$AN$305,0,MATCH($A21,Timeline!$P$4:$AN$4,0))="x")*(Timeline!$K$5:$K$305="Task")*ISNUMBER(Timeline!$I$5:$I$305)*ISNUMBER(Timeline!$J$5:$J$305)*(Timeline!$I$5:$I$305&lt;=AA$4+4)*(Timeline!$J$5:$J$305&gt;=AA$4+4)),SUMPRODUCT((INDEX(Timeline!$P$5:$AN$305,0,MATCH($A21,Timeline!$P$4:$AN$4,0))="x")*(Timeline!$K$5:$K$305="Task")*ISNUMBER(Timeline!$I$5:$I$305)*ISNUMBER(Timeline!$J$5:$J$305)*(Timeline!$I$5:$I$305&lt;=AA$4+5)*(Timeline!$J$5:$J$305&gt;=AA$4+5)),SUMPRODUCT((INDEX(Timeline!$P$5:$AN$305,0,MATCH($A21,Timeline!$P$4:$AN$4,0))="x")*(Timeline!$K$5:$K$305="Task")*ISNUMBER(Timeline!$I$5:$I$305)*ISNUMBER(Timeline!$J$5:$J$305)*(Timeline!$I$5:$I$305&lt;=AA$4+6)*(Timeline!$J$5:$J$305&gt;=AA$4+6)))</f>
        <v>0</v>
      </c>
      <c r="AB21" s="67">
        <f>MAX(SUMPRODUCT((INDEX(Timeline!$P$5:$AN$305,0,MATCH($A21,Timeline!$P$4:$AN$4,0))="x")*(Timeline!$K$5:$K$305="Task")*ISNUMBER(Timeline!$I$5:$I$305)*ISNUMBER(Timeline!$J$5:$J$305)*(Timeline!$I$5:$I$305&lt;=AB$4+0)*(Timeline!$J$5:$J$305&gt;=AB$4+0)),SUMPRODUCT((INDEX(Timeline!$P$5:$AN$305,0,MATCH($A21,Timeline!$P$4:$AN$4,0))="x")*(Timeline!$K$5:$K$305="Task")*ISNUMBER(Timeline!$I$5:$I$305)*ISNUMBER(Timeline!$J$5:$J$305)*(Timeline!$I$5:$I$305&lt;=AB$4+1)*(Timeline!$J$5:$J$305&gt;=AB$4+1)),SUMPRODUCT((INDEX(Timeline!$P$5:$AN$305,0,MATCH($A21,Timeline!$P$4:$AN$4,0))="x")*(Timeline!$K$5:$K$305="Task")*ISNUMBER(Timeline!$I$5:$I$305)*ISNUMBER(Timeline!$J$5:$J$305)*(Timeline!$I$5:$I$305&lt;=AB$4+2)*(Timeline!$J$5:$J$305&gt;=AB$4+2)),SUMPRODUCT((INDEX(Timeline!$P$5:$AN$305,0,MATCH($A21,Timeline!$P$4:$AN$4,0))="x")*(Timeline!$K$5:$K$305="Task")*ISNUMBER(Timeline!$I$5:$I$305)*ISNUMBER(Timeline!$J$5:$J$305)*(Timeline!$I$5:$I$305&lt;=AB$4+3)*(Timeline!$J$5:$J$305&gt;=AB$4+3)),SUMPRODUCT((INDEX(Timeline!$P$5:$AN$305,0,MATCH($A21,Timeline!$P$4:$AN$4,0))="x")*(Timeline!$K$5:$K$305="Task")*ISNUMBER(Timeline!$I$5:$I$305)*ISNUMBER(Timeline!$J$5:$J$305)*(Timeline!$I$5:$I$305&lt;=AB$4+4)*(Timeline!$J$5:$J$305&gt;=AB$4+4)),SUMPRODUCT((INDEX(Timeline!$P$5:$AN$305,0,MATCH($A21,Timeline!$P$4:$AN$4,0))="x")*(Timeline!$K$5:$K$305="Task")*ISNUMBER(Timeline!$I$5:$I$305)*ISNUMBER(Timeline!$J$5:$J$305)*(Timeline!$I$5:$I$305&lt;=AB$4+5)*(Timeline!$J$5:$J$305&gt;=AB$4+5)),SUMPRODUCT((INDEX(Timeline!$P$5:$AN$305,0,MATCH($A21,Timeline!$P$4:$AN$4,0))="x")*(Timeline!$K$5:$K$305="Task")*ISNUMBER(Timeline!$I$5:$I$305)*ISNUMBER(Timeline!$J$5:$J$305)*(Timeline!$I$5:$I$305&lt;=AB$4+6)*(Timeline!$J$5:$J$305&gt;=AB$4+6)))</f>
        <v>0</v>
      </c>
      <c r="AC21" s="67">
        <f>MAX(SUMPRODUCT((INDEX(Timeline!$P$5:$AN$305,0,MATCH($A21,Timeline!$P$4:$AN$4,0))="x")*(Timeline!$K$5:$K$305="Task")*ISNUMBER(Timeline!$I$5:$I$305)*ISNUMBER(Timeline!$J$5:$J$305)*(Timeline!$I$5:$I$305&lt;=AC$4+0)*(Timeline!$J$5:$J$305&gt;=AC$4+0)),SUMPRODUCT((INDEX(Timeline!$P$5:$AN$305,0,MATCH($A21,Timeline!$P$4:$AN$4,0))="x")*(Timeline!$K$5:$K$305="Task")*ISNUMBER(Timeline!$I$5:$I$305)*ISNUMBER(Timeline!$J$5:$J$305)*(Timeline!$I$5:$I$305&lt;=AC$4+1)*(Timeline!$J$5:$J$305&gt;=AC$4+1)),SUMPRODUCT((INDEX(Timeline!$P$5:$AN$305,0,MATCH($A21,Timeline!$P$4:$AN$4,0))="x")*(Timeline!$K$5:$K$305="Task")*ISNUMBER(Timeline!$I$5:$I$305)*ISNUMBER(Timeline!$J$5:$J$305)*(Timeline!$I$5:$I$305&lt;=AC$4+2)*(Timeline!$J$5:$J$305&gt;=AC$4+2)),SUMPRODUCT((INDEX(Timeline!$P$5:$AN$305,0,MATCH($A21,Timeline!$P$4:$AN$4,0))="x")*(Timeline!$K$5:$K$305="Task")*ISNUMBER(Timeline!$I$5:$I$305)*ISNUMBER(Timeline!$J$5:$J$305)*(Timeline!$I$5:$I$305&lt;=AC$4+3)*(Timeline!$J$5:$J$305&gt;=AC$4+3)),SUMPRODUCT((INDEX(Timeline!$P$5:$AN$305,0,MATCH($A21,Timeline!$P$4:$AN$4,0))="x")*(Timeline!$K$5:$K$305="Task")*ISNUMBER(Timeline!$I$5:$I$305)*ISNUMBER(Timeline!$J$5:$J$305)*(Timeline!$I$5:$I$305&lt;=AC$4+4)*(Timeline!$J$5:$J$305&gt;=AC$4+4)),SUMPRODUCT((INDEX(Timeline!$P$5:$AN$305,0,MATCH($A21,Timeline!$P$4:$AN$4,0))="x")*(Timeline!$K$5:$K$305="Task")*ISNUMBER(Timeline!$I$5:$I$305)*ISNUMBER(Timeline!$J$5:$J$305)*(Timeline!$I$5:$I$305&lt;=AC$4+5)*(Timeline!$J$5:$J$305&gt;=AC$4+5)),SUMPRODUCT((INDEX(Timeline!$P$5:$AN$305,0,MATCH($A21,Timeline!$P$4:$AN$4,0))="x")*(Timeline!$K$5:$K$305="Task")*ISNUMBER(Timeline!$I$5:$I$305)*ISNUMBER(Timeline!$J$5:$J$305)*(Timeline!$I$5:$I$305&lt;=AC$4+6)*(Timeline!$J$5:$J$305&gt;=AC$4+6)))</f>
        <v>0</v>
      </c>
      <c r="AD21" s="67">
        <f>MAX(SUMPRODUCT((INDEX(Timeline!$P$5:$AN$305,0,MATCH($A21,Timeline!$P$4:$AN$4,0))="x")*(Timeline!$K$5:$K$305="Task")*ISNUMBER(Timeline!$I$5:$I$305)*ISNUMBER(Timeline!$J$5:$J$305)*(Timeline!$I$5:$I$305&lt;=AD$4+0)*(Timeline!$J$5:$J$305&gt;=AD$4+0)),SUMPRODUCT((INDEX(Timeline!$P$5:$AN$305,0,MATCH($A21,Timeline!$P$4:$AN$4,0))="x")*(Timeline!$K$5:$K$305="Task")*ISNUMBER(Timeline!$I$5:$I$305)*ISNUMBER(Timeline!$J$5:$J$305)*(Timeline!$I$5:$I$305&lt;=AD$4+1)*(Timeline!$J$5:$J$305&gt;=AD$4+1)),SUMPRODUCT((INDEX(Timeline!$P$5:$AN$305,0,MATCH($A21,Timeline!$P$4:$AN$4,0))="x")*(Timeline!$K$5:$K$305="Task")*ISNUMBER(Timeline!$I$5:$I$305)*ISNUMBER(Timeline!$J$5:$J$305)*(Timeline!$I$5:$I$305&lt;=AD$4+2)*(Timeline!$J$5:$J$305&gt;=AD$4+2)),SUMPRODUCT((INDEX(Timeline!$P$5:$AN$305,0,MATCH($A21,Timeline!$P$4:$AN$4,0))="x")*(Timeline!$K$5:$K$305="Task")*ISNUMBER(Timeline!$I$5:$I$305)*ISNUMBER(Timeline!$J$5:$J$305)*(Timeline!$I$5:$I$305&lt;=AD$4+3)*(Timeline!$J$5:$J$305&gt;=AD$4+3)),SUMPRODUCT((INDEX(Timeline!$P$5:$AN$305,0,MATCH($A21,Timeline!$P$4:$AN$4,0))="x")*(Timeline!$K$5:$K$305="Task")*ISNUMBER(Timeline!$I$5:$I$305)*ISNUMBER(Timeline!$J$5:$J$305)*(Timeline!$I$5:$I$305&lt;=AD$4+4)*(Timeline!$J$5:$J$305&gt;=AD$4+4)),SUMPRODUCT((INDEX(Timeline!$P$5:$AN$305,0,MATCH($A21,Timeline!$P$4:$AN$4,0))="x")*(Timeline!$K$5:$K$305="Task")*ISNUMBER(Timeline!$I$5:$I$305)*ISNUMBER(Timeline!$J$5:$J$305)*(Timeline!$I$5:$I$305&lt;=AD$4+5)*(Timeline!$J$5:$J$305&gt;=AD$4+5)),SUMPRODUCT((INDEX(Timeline!$P$5:$AN$305,0,MATCH($A21,Timeline!$P$4:$AN$4,0))="x")*(Timeline!$K$5:$K$305="Task")*ISNUMBER(Timeline!$I$5:$I$305)*ISNUMBER(Timeline!$J$5:$J$305)*(Timeline!$I$5:$I$305&lt;=AD$4+6)*(Timeline!$J$5:$J$305&gt;=AD$4+6)))</f>
        <v>1</v>
      </c>
      <c r="AE21" s="67">
        <f>MAX(SUMPRODUCT((INDEX(Timeline!$P$5:$AN$305,0,MATCH($A21,Timeline!$P$4:$AN$4,0))="x")*(Timeline!$K$5:$K$305="Task")*ISNUMBER(Timeline!$I$5:$I$305)*ISNUMBER(Timeline!$J$5:$J$305)*(Timeline!$I$5:$I$305&lt;=AE$4+0)*(Timeline!$J$5:$J$305&gt;=AE$4+0)),SUMPRODUCT((INDEX(Timeline!$P$5:$AN$305,0,MATCH($A21,Timeline!$P$4:$AN$4,0))="x")*(Timeline!$K$5:$K$305="Task")*ISNUMBER(Timeline!$I$5:$I$305)*ISNUMBER(Timeline!$J$5:$J$305)*(Timeline!$I$5:$I$305&lt;=AE$4+1)*(Timeline!$J$5:$J$305&gt;=AE$4+1)),SUMPRODUCT((INDEX(Timeline!$P$5:$AN$305,0,MATCH($A21,Timeline!$P$4:$AN$4,0))="x")*(Timeline!$K$5:$K$305="Task")*ISNUMBER(Timeline!$I$5:$I$305)*ISNUMBER(Timeline!$J$5:$J$305)*(Timeline!$I$5:$I$305&lt;=AE$4+2)*(Timeline!$J$5:$J$305&gt;=AE$4+2)),SUMPRODUCT((INDEX(Timeline!$P$5:$AN$305,0,MATCH($A21,Timeline!$P$4:$AN$4,0))="x")*(Timeline!$K$5:$K$305="Task")*ISNUMBER(Timeline!$I$5:$I$305)*ISNUMBER(Timeline!$J$5:$J$305)*(Timeline!$I$5:$I$305&lt;=AE$4+3)*(Timeline!$J$5:$J$305&gt;=AE$4+3)),SUMPRODUCT((INDEX(Timeline!$P$5:$AN$305,0,MATCH($A21,Timeline!$P$4:$AN$4,0))="x")*(Timeline!$K$5:$K$305="Task")*ISNUMBER(Timeline!$I$5:$I$305)*ISNUMBER(Timeline!$J$5:$J$305)*(Timeline!$I$5:$I$305&lt;=AE$4+4)*(Timeline!$J$5:$J$305&gt;=AE$4+4)),SUMPRODUCT((INDEX(Timeline!$P$5:$AN$305,0,MATCH($A21,Timeline!$P$4:$AN$4,0))="x")*(Timeline!$K$5:$K$305="Task")*ISNUMBER(Timeline!$I$5:$I$305)*ISNUMBER(Timeline!$J$5:$J$305)*(Timeline!$I$5:$I$305&lt;=AE$4+5)*(Timeline!$J$5:$J$305&gt;=AE$4+5)),SUMPRODUCT((INDEX(Timeline!$P$5:$AN$305,0,MATCH($A21,Timeline!$P$4:$AN$4,0))="x")*(Timeline!$K$5:$K$305="Task")*ISNUMBER(Timeline!$I$5:$I$305)*ISNUMBER(Timeline!$J$5:$J$305)*(Timeline!$I$5:$I$305&lt;=AE$4+6)*(Timeline!$J$5:$J$305&gt;=AE$4+6)))</f>
        <v>0</v>
      </c>
      <c r="AF21" s="67">
        <f>MAX(SUMPRODUCT((INDEX(Timeline!$P$5:$AN$305,0,MATCH($A21,Timeline!$P$4:$AN$4,0))="x")*(Timeline!$K$5:$K$305="Task")*ISNUMBER(Timeline!$I$5:$I$305)*ISNUMBER(Timeline!$J$5:$J$305)*(Timeline!$I$5:$I$305&lt;=AF$4+0)*(Timeline!$J$5:$J$305&gt;=AF$4+0)),SUMPRODUCT((INDEX(Timeline!$P$5:$AN$305,0,MATCH($A21,Timeline!$P$4:$AN$4,0))="x")*(Timeline!$K$5:$K$305="Task")*ISNUMBER(Timeline!$I$5:$I$305)*ISNUMBER(Timeline!$J$5:$J$305)*(Timeline!$I$5:$I$305&lt;=AF$4+1)*(Timeline!$J$5:$J$305&gt;=AF$4+1)),SUMPRODUCT((INDEX(Timeline!$P$5:$AN$305,0,MATCH($A21,Timeline!$P$4:$AN$4,0))="x")*(Timeline!$K$5:$K$305="Task")*ISNUMBER(Timeline!$I$5:$I$305)*ISNUMBER(Timeline!$J$5:$J$305)*(Timeline!$I$5:$I$305&lt;=AF$4+2)*(Timeline!$J$5:$J$305&gt;=AF$4+2)),SUMPRODUCT((INDEX(Timeline!$P$5:$AN$305,0,MATCH($A21,Timeline!$P$4:$AN$4,0))="x")*(Timeline!$K$5:$K$305="Task")*ISNUMBER(Timeline!$I$5:$I$305)*ISNUMBER(Timeline!$J$5:$J$305)*(Timeline!$I$5:$I$305&lt;=AF$4+3)*(Timeline!$J$5:$J$305&gt;=AF$4+3)),SUMPRODUCT((INDEX(Timeline!$P$5:$AN$305,0,MATCH($A21,Timeline!$P$4:$AN$4,0))="x")*(Timeline!$K$5:$K$305="Task")*ISNUMBER(Timeline!$I$5:$I$305)*ISNUMBER(Timeline!$J$5:$J$305)*(Timeline!$I$5:$I$305&lt;=AF$4+4)*(Timeline!$J$5:$J$305&gt;=AF$4+4)),SUMPRODUCT((INDEX(Timeline!$P$5:$AN$305,0,MATCH($A21,Timeline!$P$4:$AN$4,0))="x")*(Timeline!$K$5:$K$305="Task")*ISNUMBER(Timeline!$I$5:$I$305)*ISNUMBER(Timeline!$J$5:$J$305)*(Timeline!$I$5:$I$305&lt;=AF$4+5)*(Timeline!$J$5:$J$305&gt;=AF$4+5)),SUMPRODUCT((INDEX(Timeline!$P$5:$AN$305,0,MATCH($A21,Timeline!$P$4:$AN$4,0))="x")*(Timeline!$K$5:$K$305="Task")*ISNUMBER(Timeline!$I$5:$I$305)*ISNUMBER(Timeline!$J$5:$J$305)*(Timeline!$I$5:$I$305&lt;=AF$4+6)*(Timeline!$J$5:$J$305&gt;=AF$4+6)))</f>
        <v>0</v>
      </c>
      <c r="AG21" s="67">
        <f>MAX(SUMPRODUCT((INDEX(Timeline!$P$5:$AN$305,0,MATCH($A21,Timeline!$P$4:$AN$4,0))="x")*(Timeline!$K$5:$K$305="Task")*ISNUMBER(Timeline!$I$5:$I$305)*ISNUMBER(Timeline!$J$5:$J$305)*(Timeline!$I$5:$I$305&lt;=AG$4+0)*(Timeline!$J$5:$J$305&gt;=AG$4+0)),SUMPRODUCT((INDEX(Timeline!$P$5:$AN$305,0,MATCH($A21,Timeline!$P$4:$AN$4,0))="x")*(Timeline!$K$5:$K$305="Task")*ISNUMBER(Timeline!$I$5:$I$305)*ISNUMBER(Timeline!$J$5:$J$305)*(Timeline!$I$5:$I$305&lt;=AG$4+1)*(Timeline!$J$5:$J$305&gt;=AG$4+1)),SUMPRODUCT((INDEX(Timeline!$P$5:$AN$305,0,MATCH($A21,Timeline!$P$4:$AN$4,0))="x")*(Timeline!$K$5:$K$305="Task")*ISNUMBER(Timeline!$I$5:$I$305)*ISNUMBER(Timeline!$J$5:$J$305)*(Timeline!$I$5:$I$305&lt;=AG$4+2)*(Timeline!$J$5:$J$305&gt;=AG$4+2)),SUMPRODUCT((INDEX(Timeline!$P$5:$AN$305,0,MATCH($A21,Timeline!$P$4:$AN$4,0))="x")*(Timeline!$K$5:$K$305="Task")*ISNUMBER(Timeline!$I$5:$I$305)*ISNUMBER(Timeline!$J$5:$J$305)*(Timeline!$I$5:$I$305&lt;=AG$4+3)*(Timeline!$J$5:$J$305&gt;=AG$4+3)),SUMPRODUCT((INDEX(Timeline!$P$5:$AN$305,0,MATCH($A21,Timeline!$P$4:$AN$4,0))="x")*(Timeline!$K$5:$K$305="Task")*ISNUMBER(Timeline!$I$5:$I$305)*ISNUMBER(Timeline!$J$5:$J$305)*(Timeline!$I$5:$I$305&lt;=AG$4+4)*(Timeline!$J$5:$J$305&gt;=AG$4+4)),SUMPRODUCT((INDEX(Timeline!$P$5:$AN$305,0,MATCH($A21,Timeline!$P$4:$AN$4,0))="x")*(Timeline!$K$5:$K$305="Task")*ISNUMBER(Timeline!$I$5:$I$305)*ISNUMBER(Timeline!$J$5:$J$305)*(Timeline!$I$5:$I$305&lt;=AG$4+5)*(Timeline!$J$5:$J$305&gt;=AG$4+5)),SUMPRODUCT((INDEX(Timeline!$P$5:$AN$305,0,MATCH($A21,Timeline!$P$4:$AN$4,0))="x")*(Timeline!$K$5:$K$305="Task")*ISNUMBER(Timeline!$I$5:$I$305)*ISNUMBER(Timeline!$J$5:$J$305)*(Timeline!$I$5:$I$305&lt;=AG$4+6)*(Timeline!$J$5:$J$305&gt;=AG$4+6)))</f>
        <v>0</v>
      </c>
      <c r="AH21" s="67">
        <f>MAX(SUMPRODUCT((INDEX(Timeline!$P$5:$AN$305,0,MATCH($A21,Timeline!$P$4:$AN$4,0))="x")*(Timeline!$K$5:$K$305="Task")*ISNUMBER(Timeline!$I$5:$I$305)*ISNUMBER(Timeline!$J$5:$J$305)*(Timeline!$I$5:$I$305&lt;=AH$4+0)*(Timeline!$J$5:$J$305&gt;=AH$4+0)),SUMPRODUCT((INDEX(Timeline!$P$5:$AN$305,0,MATCH($A21,Timeline!$P$4:$AN$4,0))="x")*(Timeline!$K$5:$K$305="Task")*ISNUMBER(Timeline!$I$5:$I$305)*ISNUMBER(Timeline!$J$5:$J$305)*(Timeline!$I$5:$I$305&lt;=AH$4+1)*(Timeline!$J$5:$J$305&gt;=AH$4+1)),SUMPRODUCT((INDEX(Timeline!$P$5:$AN$305,0,MATCH($A21,Timeline!$P$4:$AN$4,0))="x")*(Timeline!$K$5:$K$305="Task")*ISNUMBER(Timeline!$I$5:$I$305)*ISNUMBER(Timeline!$J$5:$J$305)*(Timeline!$I$5:$I$305&lt;=AH$4+2)*(Timeline!$J$5:$J$305&gt;=AH$4+2)),SUMPRODUCT((INDEX(Timeline!$P$5:$AN$305,0,MATCH($A21,Timeline!$P$4:$AN$4,0))="x")*(Timeline!$K$5:$K$305="Task")*ISNUMBER(Timeline!$I$5:$I$305)*ISNUMBER(Timeline!$J$5:$J$305)*(Timeline!$I$5:$I$305&lt;=AH$4+3)*(Timeline!$J$5:$J$305&gt;=AH$4+3)),SUMPRODUCT((INDEX(Timeline!$P$5:$AN$305,0,MATCH($A21,Timeline!$P$4:$AN$4,0))="x")*(Timeline!$K$5:$K$305="Task")*ISNUMBER(Timeline!$I$5:$I$305)*ISNUMBER(Timeline!$J$5:$J$305)*(Timeline!$I$5:$I$305&lt;=AH$4+4)*(Timeline!$J$5:$J$305&gt;=AH$4+4)),SUMPRODUCT((INDEX(Timeline!$P$5:$AN$305,0,MATCH($A21,Timeline!$P$4:$AN$4,0))="x")*(Timeline!$K$5:$K$305="Task")*ISNUMBER(Timeline!$I$5:$I$305)*ISNUMBER(Timeline!$J$5:$J$305)*(Timeline!$I$5:$I$305&lt;=AH$4+5)*(Timeline!$J$5:$J$305&gt;=AH$4+5)),SUMPRODUCT((INDEX(Timeline!$P$5:$AN$305,0,MATCH($A21,Timeline!$P$4:$AN$4,0))="x")*(Timeline!$K$5:$K$305="Task")*ISNUMBER(Timeline!$I$5:$I$305)*ISNUMBER(Timeline!$J$5:$J$305)*(Timeline!$I$5:$I$305&lt;=AH$4+6)*(Timeline!$J$5:$J$305&gt;=AH$4+6)))</f>
        <v>0</v>
      </c>
      <c r="AI21" s="67">
        <f>MAX(SUMPRODUCT((INDEX(Timeline!$P$5:$AN$305,0,MATCH($A21,Timeline!$P$4:$AN$4,0))="x")*(Timeline!$K$5:$K$305="Task")*ISNUMBER(Timeline!$I$5:$I$305)*ISNUMBER(Timeline!$J$5:$J$305)*(Timeline!$I$5:$I$305&lt;=AI$4+0)*(Timeline!$J$5:$J$305&gt;=AI$4+0)),SUMPRODUCT((INDEX(Timeline!$P$5:$AN$305,0,MATCH($A21,Timeline!$P$4:$AN$4,0))="x")*(Timeline!$K$5:$K$305="Task")*ISNUMBER(Timeline!$I$5:$I$305)*ISNUMBER(Timeline!$J$5:$J$305)*(Timeline!$I$5:$I$305&lt;=AI$4+1)*(Timeline!$J$5:$J$305&gt;=AI$4+1)),SUMPRODUCT((INDEX(Timeline!$P$5:$AN$305,0,MATCH($A21,Timeline!$P$4:$AN$4,0))="x")*(Timeline!$K$5:$K$305="Task")*ISNUMBER(Timeline!$I$5:$I$305)*ISNUMBER(Timeline!$J$5:$J$305)*(Timeline!$I$5:$I$305&lt;=AI$4+2)*(Timeline!$J$5:$J$305&gt;=AI$4+2)),SUMPRODUCT((INDEX(Timeline!$P$5:$AN$305,0,MATCH($A21,Timeline!$P$4:$AN$4,0))="x")*(Timeline!$K$5:$K$305="Task")*ISNUMBER(Timeline!$I$5:$I$305)*ISNUMBER(Timeline!$J$5:$J$305)*(Timeline!$I$5:$I$305&lt;=AI$4+3)*(Timeline!$J$5:$J$305&gt;=AI$4+3)),SUMPRODUCT((INDEX(Timeline!$P$5:$AN$305,0,MATCH($A21,Timeline!$P$4:$AN$4,0))="x")*(Timeline!$K$5:$K$305="Task")*ISNUMBER(Timeline!$I$5:$I$305)*ISNUMBER(Timeline!$J$5:$J$305)*(Timeline!$I$5:$I$305&lt;=AI$4+4)*(Timeline!$J$5:$J$305&gt;=AI$4+4)),SUMPRODUCT((INDEX(Timeline!$P$5:$AN$305,0,MATCH($A21,Timeline!$P$4:$AN$4,0))="x")*(Timeline!$K$5:$K$305="Task")*ISNUMBER(Timeline!$I$5:$I$305)*ISNUMBER(Timeline!$J$5:$J$305)*(Timeline!$I$5:$I$305&lt;=AI$4+5)*(Timeline!$J$5:$J$305&gt;=AI$4+5)),SUMPRODUCT((INDEX(Timeline!$P$5:$AN$305,0,MATCH($A21,Timeline!$P$4:$AN$4,0))="x")*(Timeline!$K$5:$K$305="Task")*ISNUMBER(Timeline!$I$5:$I$305)*ISNUMBER(Timeline!$J$5:$J$305)*(Timeline!$I$5:$I$305&lt;=AI$4+6)*(Timeline!$J$5:$J$305&gt;=AI$4+6)))</f>
        <v>0</v>
      </c>
      <c r="AJ21" s="67">
        <f>MAX(SUMPRODUCT((INDEX(Timeline!$P$5:$AN$305,0,MATCH($A21,Timeline!$P$4:$AN$4,0))="x")*(Timeline!$K$5:$K$305="Task")*ISNUMBER(Timeline!$I$5:$I$305)*ISNUMBER(Timeline!$J$5:$J$305)*(Timeline!$I$5:$I$305&lt;=AJ$4+0)*(Timeline!$J$5:$J$305&gt;=AJ$4+0)),SUMPRODUCT((INDEX(Timeline!$P$5:$AN$305,0,MATCH($A21,Timeline!$P$4:$AN$4,0))="x")*(Timeline!$K$5:$K$305="Task")*ISNUMBER(Timeline!$I$5:$I$305)*ISNUMBER(Timeline!$J$5:$J$305)*(Timeline!$I$5:$I$305&lt;=AJ$4+1)*(Timeline!$J$5:$J$305&gt;=AJ$4+1)),SUMPRODUCT((INDEX(Timeline!$P$5:$AN$305,0,MATCH($A21,Timeline!$P$4:$AN$4,0))="x")*(Timeline!$K$5:$K$305="Task")*ISNUMBER(Timeline!$I$5:$I$305)*ISNUMBER(Timeline!$J$5:$J$305)*(Timeline!$I$5:$I$305&lt;=AJ$4+2)*(Timeline!$J$5:$J$305&gt;=AJ$4+2)),SUMPRODUCT((INDEX(Timeline!$P$5:$AN$305,0,MATCH($A21,Timeline!$P$4:$AN$4,0))="x")*(Timeline!$K$5:$K$305="Task")*ISNUMBER(Timeline!$I$5:$I$305)*ISNUMBER(Timeline!$J$5:$J$305)*(Timeline!$I$5:$I$305&lt;=AJ$4+3)*(Timeline!$J$5:$J$305&gt;=AJ$4+3)),SUMPRODUCT((INDEX(Timeline!$P$5:$AN$305,0,MATCH($A21,Timeline!$P$4:$AN$4,0))="x")*(Timeline!$K$5:$K$305="Task")*ISNUMBER(Timeline!$I$5:$I$305)*ISNUMBER(Timeline!$J$5:$J$305)*(Timeline!$I$5:$I$305&lt;=AJ$4+4)*(Timeline!$J$5:$J$305&gt;=AJ$4+4)),SUMPRODUCT((INDEX(Timeline!$P$5:$AN$305,0,MATCH($A21,Timeline!$P$4:$AN$4,0))="x")*(Timeline!$K$5:$K$305="Task")*ISNUMBER(Timeline!$I$5:$I$305)*ISNUMBER(Timeline!$J$5:$J$305)*(Timeline!$I$5:$I$305&lt;=AJ$4+5)*(Timeline!$J$5:$J$305&gt;=AJ$4+5)),SUMPRODUCT((INDEX(Timeline!$P$5:$AN$305,0,MATCH($A21,Timeline!$P$4:$AN$4,0))="x")*(Timeline!$K$5:$K$305="Task")*ISNUMBER(Timeline!$I$5:$I$305)*ISNUMBER(Timeline!$J$5:$J$305)*(Timeline!$I$5:$I$305&lt;=AJ$4+6)*(Timeline!$J$5:$J$305&gt;=AJ$4+6)))</f>
        <v>0</v>
      </c>
      <c r="AK21" s="67">
        <f>MAX(SUMPRODUCT((INDEX(Timeline!$P$5:$AN$305,0,MATCH($A21,Timeline!$P$4:$AN$4,0))="x")*(Timeline!$K$5:$K$305="Task")*ISNUMBER(Timeline!$I$5:$I$305)*ISNUMBER(Timeline!$J$5:$J$305)*(Timeline!$I$5:$I$305&lt;=AK$4+0)*(Timeline!$J$5:$J$305&gt;=AK$4+0)),SUMPRODUCT((INDEX(Timeline!$P$5:$AN$305,0,MATCH($A21,Timeline!$P$4:$AN$4,0))="x")*(Timeline!$K$5:$K$305="Task")*ISNUMBER(Timeline!$I$5:$I$305)*ISNUMBER(Timeline!$J$5:$J$305)*(Timeline!$I$5:$I$305&lt;=AK$4+1)*(Timeline!$J$5:$J$305&gt;=AK$4+1)),SUMPRODUCT((INDEX(Timeline!$P$5:$AN$305,0,MATCH($A21,Timeline!$P$4:$AN$4,0))="x")*(Timeline!$K$5:$K$305="Task")*ISNUMBER(Timeline!$I$5:$I$305)*ISNUMBER(Timeline!$J$5:$J$305)*(Timeline!$I$5:$I$305&lt;=AK$4+2)*(Timeline!$J$5:$J$305&gt;=AK$4+2)),SUMPRODUCT((INDEX(Timeline!$P$5:$AN$305,0,MATCH($A21,Timeline!$P$4:$AN$4,0))="x")*(Timeline!$K$5:$K$305="Task")*ISNUMBER(Timeline!$I$5:$I$305)*ISNUMBER(Timeline!$J$5:$J$305)*(Timeline!$I$5:$I$305&lt;=AK$4+3)*(Timeline!$J$5:$J$305&gt;=AK$4+3)),SUMPRODUCT((INDEX(Timeline!$P$5:$AN$305,0,MATCH($A21,Timeline!$P$4:$AN$4,0))="x")*(Timeline!$K$5:$K$305="Task")*ISNUMBER(Timeline!$I$5:$I$305)*ISNUMBER(Timeline!$J$5:$J$305)*(Timeline!$I$5:$I$305&lt;=AK$4+4)*(Timeline!$J$5:$J$305&gt;=AK$4+4)),SUMPRODUCT((INDEX(Timeline!$P$5:$AN$305,0,MATCH($A21,Timeline!$P$4:$AN$4,0))="x")*(Timeline!$K$5:$K$305="Task")*ISNUMBER(Timeline!$I$5:$I$305)*ISNUMBER(Timeline!$J$5:$J$305)*(Timeline!$I$5:$I$305&lt;=AK$4+5)*(Timeline!$J$5:$J$305&gt;=AK$4+5)),SUMPRODUCT((INDEX(Timeline!$P$5:$AN$305,0,MATCH($A21,Timeline!$P$4:$AN$4,0))="x")*(Timeline!$K$5:$K$305="Task")*ISNUMBER(Timeline!$I$5:$I$305)*ISNUMBER(Timeline!$J$5:$J$305)*(Timeline!$I$5:$I$305&lt;=AK$4+6)*(Timeline!$J$5:$J$305&gt;=AK$4+6)))</f>
        <v>0</v>
      </c>
      <c r="AL21" s="67">
        <f>MAX(SUMPRODUCT((INDEX(Timeline!$P$5:$AN$305,0,MATCH($A21,Timeline!$P$4:$AN$4,0))="x")*(Timeline!$K$5:$K$305="Task")*ISNUMBER(Timeline!$I$5:$I$305)*ISNUMBER(Timeline!$J$5:$J$305)*(Timeline!$I$5:$I$305&lt;=AL$4+0)*(Timeline!$J$5:$J$305&gt;=AL$4+0)),SUMPRODUCT((INDEX(Timeline!$P$5:$AN$305,0,MATCH($A21,Timeline!$P$4:$AN$4,0))="x")*(Timeline!$K$5:$K$305="Task")*ISNUMBER(Timeline!$I$5:$I$305)*ISNUMBER(Timeline!$J$5:$J$305)*(Timeline!$I$5:$I$305&lt;=AL$4+1)*(Timeline!$J$5:$J$305&gt;=AL$4+1)),SUMPRODUCT((INDEX(Timeline!$P$5:$AN$305,0,MATCH($A21,Timeline!$P$4:$AN$4,0))="x")*(Timeline!$K$5:$K$305="Task")*ISNUMBER(Timeline!$I$5:$I$305)*ISNUMBER(Timeline!$J$5:$J$305)*(Timeline!$I$5:$I$305&lt;=AL$4+2)*(Timeline!$J$5:$J$305&gt;=AL$4+2)),SUMPRODUCT((INDEX(Timeline!$P$5:$AN$305,0,MATCH($A21,Timeline!$P$4:$AN$4,0))="x")*(Timeline!$K$5:$K$305="Task")*ISNUMBER(Timeline!$I$5:$I$305)*ISNUMBER(Timeline!$J$5:$J$305)*(Timeline!$I$5:$I$305&lt;=AL$4+3)*(Timeline!$J$5:$J$305&gt;=AL$4+3)),SUMPRODUCT((INDEX(Timeline!$P$5:$AN$305,0,MATCH($A21,Timeline!$P$4:$AN$4,0))="x")*(Timeline!$K$5:$K$305="Task")*ISNUMBER(Timeline!$I$5:$I$305)*ISNUMBER(Timeline!$J$5:$J$305)*(Timeline!$I$5:$I$305&lt;=AL$4+4)*(Timeline!$J$5:$J$305&gt;=AL$4+4)),SUMPRODUCT((INDEX(Timeline!$P$5:$AN$305,0,MATCH($A21,Timeline!$P$4:$AN$4,0))="x")*(Timeline!$K$5:$K$305="Task")*ISNUMBER(Timeline!$I$5:$I$305)*ISNUMBER(Timeline!$J$5:$J$305)*(Timeline!$I$5:$I$305&lt;=AL$4+5)*(Timeline!$J$5:$J$305&gt;=AL$4+5)),SUMPRODUCT((INDEX(Timeline!$P$5:$AN$305,0,MATCH($A21,Timeline!$P$4:$AN$4,0))="x")*(Timeline!$K$5:$K$305="Task")*ISNUMBER(Timeline!$I$5:$I$305)*ISNUMBER(Timeline!$J$5:$J$305)*(Timeline!$I$5:$I$305&lt;=AL$4+6)*(Timeline!$J$5:$J$305&gt;=AL$4+6)))</f>
        <v>0</v>
      </c>
      <c r="AM21" s="67">
        <f>MAX(SUMPRODUCT((INDEX(Timeline!$P$5:$AN$305,0,MATCH($A21,Timeline!$P$4:$AN$4,0))="x")*(Timeline!$K$5:$K$305="Task")*ISNUMBER(Timeline!$I$5:$I$305)*ISNUMBER(Timeline!$J$5:$J$305)*(Timeline!$I$5:$I$305&lt;=AM$4+0)*(Timeline!$J$5:$J$305&gt;=AM$4+0)),SUMPRODUCT((INDEX(Timeline!$P$5:$AN$305,0,MATCH($A21,Timeline!$P$4:$AN$4,0))="x")*(Timeline!$K$5:$K$305="Task")*ISNUMBER(Timeline!$I$5:$I$305)*ISNUMBER(Timeline!$J$5:$J$305)*(Timeline!$I$5:$I$305&lt;=AM$4+1)*(Timeline!$J$5:$J$305&gt;=AM$4+1)),SUMPRODUCT((INDEX(Timeline!$P$5:$AN$305,0,MATCH($A21,Timeline!$P$4:$AN$4,0))="x")*(Timeline!$K$5:$K$305="Task")*ISNUMBER(Timeline!$I$5:$I$305)*ISNUMBER(Timeline!$J$5:$J$305)*(Timeline!$I$5:$I$305&lt;=AM$4+2)*(Timeline!$J$5:$J$305&gt;=AM$4+2)),SUMPRODUCT((INDEX(Timeline!$P$5:$AN$305,0,MATCH($A21,Timeline!$P$4:$AN$4,0))="x")*(Timeline!$K$5:$K$305="Task")*ISNUMBER(Timeline!$I$5:$I$305)*ISNUMBER(Timeline!$J$5:$J$305)*(Timeline!$I$5:$I$305&lt;=AM$4+3)*(Timeline!$J$5:$J$305&gt;=AM$4+3)),SUMPRODUCT((INDEX(Timeline!$P$5:$AN$305,0,MATCH($A21,Timeline!$P$4:$AN$4,0))="x")*(Timeline!$K$5:$K$305="Task")*ISNUMBER(Timeline!$I$5:$I$305)*ISNUMBER(Timeline!$J$5:$J$305)*(Timeline!$I$5:$I$305&lt;=AM$4+4)*(Timeline!$J$5:$J$305&gt;=AM$4+4)),SUMPRODUCT((INDEX(Timeline!$P$5:$AN$305,0,MATCH($A21,Timeline!$P$4:$AN$4,0))="x")*(Timeline!$K$5:$K$305="Task")*ISNUMBER(Timeline!$I$5:$I$305)*ISNUMBER(Timeline!$J$5:$J$305)*(Timeline!$I$5:$I$305&lt;=AM$4+5)*(Timeline!$J$5:$J$305&gt;=AM$4+5)),SUMPRODUCT((INDEX(Timeline!$P$5:$AN$305,0,MATCH($A21,Timeline!$P$4:$AN$4,0))="x")*(Timeline!$K$5:$K$305="Task")*ISNUMBER(Timeline!$I$5:$I$305)*ISNUMBER(Timeline!$J$5:$J$305)*(Timeline!$I$5:$I$305&lt;=AM$4+6)*(Timeline!$J$5:$J$305&gt;=AM$4+6)))</f>
        <v>0</v>
      </c>
      <c r="AN21" s="67">
        <f>MAX(SUMPRODUCT((INDEX(Timeline!$P$5:$AN$305,0,MATCH($A21,Timeline!$P$4:$AN$4,0))="x")*(Timeline!$K$5:$K$305="Task")*ISNUMBER(Timeline!$I$5:$I$305)*ISNUMBER(Timeline!$J$5:$J$305)*(Timeline!$I$5:$I$305&lt;=AN$4+0)*(Timeline!$J$5:$J$305&gt;=AN$4+0)),SUMPRODUCT((INDEX(Timeline!$P$5:$AN$305,0,MATCH($A21,Timeline!$P$4:$AN$4,0))="x")*(Timeline!$K$5:$K$305="Task")*ISNUMBER(Timeline!$I$5:$I$305)*ISNUMBER(Timeline!$J$5:$J$305)*(Timeline!$I$5:$I$305&lt;=AN$4+1)*(Timeline!$J$5:$J$305&gt;=AN$4+1)),SUMPRODUCT((INDEX(Timeline!$P$5:$AN$305,0,MATCH($A21,Timeline!$P$4:$AN$4,0))="x")*(Timeline!$K$5:$K$305="Task")*ISNUMBER(Timeline!$I$5:$I$305)*ISNUMBER(Timeline!$J$5:$J$305)*(Timeline!$I$5:$I$305&lt;=AN$4+2)*(Timeline!$J$5:$J$305&gt;=AN$4+2)),SUMPRODUCT((INDEX(Timeline!$P$5:$AN$305,0,MATCH($A21,Timeline!$P$4:$AN$4,0))="x")*(Timeline!$K$5:$K$305="Task")*ISNUMBER(Timeline!$I$5:$I$305)*ISNUMBER(Timeline!$J$5:$J$305)*(Timeline!$I$5:$I$305&lt;=AN$4+3)*(Timeline!$J$5:$J$305&gt;=AN$4+3)),SUMPRODUCT((INDEX(Timeline!$P$5:$AN$305,0,MATCH($A21,Timeline!$P$4:$AN$4,0))="x")*(Timeline!$K$5:$K$305="Task")*ISNUMBER(Timeline!$I$5:$I$305)*ISNUMBER(Timeline!$J$5:$J$305)*(Timeline!$I$5:$I$305&lt;=AN$4+4)*(Timeline!$J$5:$J$305&gt;=AN$4+4)),SUMPRODUCT((INDEX(Timeline!$P$5:$AN$305,0,MATCH($A21,Timeline!$P$4:$AN$4,0))="x")*(Timeline!$K$5:$K$305="Task")*ISNUMBER(Timeline!$I$5:$I$305)*ISNUMBER(Timeline!$J$5:$J$305)*(Timeline!$I$5:$I$305&lt;=AN$4+5)*(Timeline!$J$5:$J$305&gt;=AN$4+5)),SUMPRODUCT((INDEX(Timeline!$P$5:$AN$305,0,MATCH($A21,Timeline!$P$4:$AN$4,0))="x")*(Timeline!$K$5:$K$305="Task")*ISNUMBER(Timeline!$I$5:$I$305)*ISNUMBER(Timeline!$J$5:$J$305)*(Timeline!$I$5:$I$305&lt;=AN$4+6)*(Timeline!$J$5:$J$305&gt;=AN$4+6)))</f>
        <v>0</v>
      </c>
      <c r="AO21" s="67">
        <f>MAX(SUMPRODUCT((INDEX(Timeline!$P$5:$AN$305,0,MATCH($A21,Timeline!$P$4:$AN$4,0))="x")*(Timeline!$K$5:$K$305="Task")*ISNUMBER(Timeline!$I$5:$I$305)*ISNUMBER(Timeline!$J$5:$J$305)*(Timeline!$I$5:$I$305&lt;=AO$4+0)*(Timeline!$J$5:$J$305&gt;=AO$4+0)),SUMPRODUCT((INDEX(Timeline!$P$5:$AN$305,0,MATCH($A21,Timeline!$P$4:$AN$4,0))="x")*(Timeline!$K$5:$K$305="Task")*ISNUMBER(Timeline!$I$5:$I$305)*ISNUMBER(Timeline!$J$5:$J$305)*(Timeline!$I$5:$I$305&lt;=AO$4+1)*(Timeline!$J$5:$J$305&gt;=AO$4+1)),SUMPRODUCT((INDEX(Timeline!$P$5:$AN$305,0,MATCH($A21,Timeline!$P$4:$AN$4,0))="x")*(Timeline!$K$5:$K$305="Task")*ISNUMBER(Timeline!$I$5:$I$305)*ISNUMBER(Timeline!$J$5:$J$305)*(Timeline!$I$5:$I$305&lt;=AO$4+2)*(Timeline!$J$5:$J$305&gt;=AO$4+2)),SUMPRODUCT((INDEX(Timeline!$P$5:$AN$305,0,MATCH($A21,Timeline!$P$4:$AN$4,0))="x")*(Timeline!$K$5:$K$305="Task")*ISNUMBER(Timeline!$I$5:$I$305)*ISNUMBER(Timeline!$J$5:$J$305)*(Timeline!$I$5:$I$305&lt;=AO$4+3)*(Timeline!$J$5:$J$305&gt;=AO$4+3)),SUMPRODUCT((INDEX(Timeline!$P$5:$AN$305,0,MATCH($A21,Timeline!$P$4:$AN$4,0))="x")*(Timeline!$K$5:$K$305="Task")*ISNUMBER(Timeline!$I$5:$I$305)*ISNUMBER(Timeline!$J$5:$J$305)*(Timeline!$I$5:$I$305&lt;=AO$4+4)*(Timeline!$J$5:$J$305&gt;=AO$4+4)),SUMPRODUCT((INDEX(Timeline!$P$5:$AN$305,0,MATCH($A21,Timeline!$P$4:$AN$4,0))="x")*(Timeline!$K$5:$K$305="Task")*ISNUMBER(Timeline!$I$5:$I$305)*ISNUMBER(Timeline!$J$5:$J$305)*(Timeline!$I$5:$I$305&lt;=AO$4+5)*(Timeline!$J$5:$J$305&gt;=AO$4+5)),SUMPRODUCT((INDEX(Timeline!$P$5:$AN$305,0,MATCH($A21,Timeline!$P$4:$AN$4,0))="x")*(Timeline!$K$5:$K$305="Task")*ISNUMBER(Timeline!$I$5:$I$305)*ISNUMBER(Timeline!$J$5:$J$305)*(Timeline!$I$5:$I$305&lt;=AO$4+6)*(Timeline!$J$5:$J$305&gt;=AO$4+6)))</f>
        <v>0</v>
      </c>
      <c r="AP21" s="67">
        <f>MAX(SUMPRODUCT((INDEX(Timeline!$P$5:$AN$305,0,MATCH($A21,Timeline!$P$4:$AN$4,0))="x")*(Timeline!$K$5:$K$305="Task")*ISNUMBER(Timeline!$I$5:$I$305)*ISNUMBER(Timeline!$J$5:$J$305)*(Timeline!$I$5:$I$305&lt;=AP$4+0)*(Timeline!$J$5:$J$305&gt;=AP$4+0)),SUMPRODUCT((INDEX(Timeline!$P$5:$AN$305,0,MATCH($A21,Timeline!$P$4:$AN$4,0))="x")*(Timeline!$K$5:$K$305="Task")*ISNUMBER(Timeline!$I$5:$I$305)*ISNUMBER(Timeline!$J$5:$J$305)*(Timeline!$I$5:$I$305&lt;=AP$4+1)*(Timeline!$J$5:$J$305&gt;=AP$4+1)),SUMPRODUCT((INDEX(Timeline!$P$5:$AN$305,0,MATCH($A21,Timeline!$P$4:$AN$4,0))="x")*(Timeline!$K$5:$K$305="Task")*ISNUMBER(Timeline!$I$5:$I$305)*ISNUMBER(Timeline!$J$5:$J$305)*(Timeline!$I$5:$I$305&lt;=AP$4+2)*(Timeline!$J$5:$J$305&gt;=AP$4+2)),SUMPRODUCT((INDEX(Timeline!$P$5:$AN$305,0,MATCH($A21,Timeline!$P$4:$AN$4,0))="x")*(Timeline!$K$5:$K$305="Task")*ISNUMBER(Timeline!$I$5:$I$305)*ISNUMBER(Timeline!$J$5:$J$305)*(Timeline!$I$5:$I$305&lt;=AP$4+3)*(Timeline!$J$5:$J$305&gt;=AP$4+3)),SUMPRODUCT((INDEX(Timeline!$P$5:$AN$305,0,MATCH($A21,Timeline!$P$4:$AN$4,0))="x")*(Timeline!$K$5:$K$305="Task")*ISNUMBER(Timeline!$I$5:$I$305)*ISNUMBER(Timeline!$J$5:$J$305)*(Timeline!$I$5:$I$305&lt;=AP$4+4)*(Timeline!$J$5:$J$305&gt;=AP$4+4)),SUMPRODUCT((INDEX(Timeline!$P$5:$AN$305,0,MATCH($A21,Timeline!$P$4:$AN$4,0))="x")*(Timeline!$K$5:$K$305="Task")*ISNUMBER(Timeline!$I$5:$I$305)*ISNUMBER(Timeline!$J$5:$J$305)*(Timeline!$I$5:$I$305&lt;=AP$4+5)*(Timeline!$J$5:$J$305&gt;=AP$4+5)),SUMPRODUCT((INDEX(Timeline!$P$5:$AN$305,0,MATCH($A21,Timeline!$P$4:$AN$4,0))="x")*(Timeline!$K$5:$K$305="Task")*ISNUMBER(Timeline!$I$5:$I$305)*ISNUMBER(Timeline!$J$5:$J$305)*(Timeline!$I$5:$I$305&lt;=AP$4+6)*(Timeline!$J$5:$J$305&gt;=AP$4+6)))</f>
        <v>0</v>
      </c>
      <c r="AQ21" s="67">
        <f>MAX(SUMPRODUCT((INDEX(Timeline!$P$5:$AN$305,0,MATCH($A21,Timeline!$P$4:$AN$4,0))="x")*(Timeline!$K$5:$K$305="Task")*ISNUMBER(Timeline!$I$5:$I$305)*ISNUMBER(Timeline!$J$5:$J$305)*(Timeline!$I$5:$I$305&lt;=AQ$4+0)*(Timeline!$J$5:$J$305&gt;=AQ$4+0)),SUMPRODUCT((INDEX(Timeline!$P$5:$AN$305,0,MATCH($A21,Timeline!$P$4:$AN$4,0))="x")*(Timeline!$K$5:$K$305="Task")*ISNUMBER(Timeline!$I$5:$I$305)*ISNUMBER(Timeline!$J$5:$J$305)*(Timeline!$I$5:$I$305&lt;=AQ$4+1)*(Timeline!$J$5:$J$305&gt;=AQ$4+1)),SUMPRODUCT((INDEX(Timeline!$P$5:$AN$305,0,MATCH($A21,Timeline!$P$4:$AN$4,0))="x")*(Timeline!$K$5:$K$305="Task")*ISNUMBER(Timeline!$I$5:$I$305)*ISNUMBER(Timeline!$J$5:$J$305)*(Timeline!$I$5:$I$305&lt;=AQ$4+2)*(Timeline!$J$5:$J$305&gt;=AQ$4+2)),SUMPRODUCT((INDEX(Timeline!$P$5:$AN$305,0,MATCH($A21,Timeline!$P$4:$AN$4,0))="x")*(Timeline!$K$5:$K$305="Task")*ISNUMBER(Timeline!$I$5:$I$305)*ISNUMBER(Timeline!$J$5:$J$305)*(Timeline!$I$5:$I$305&lt;=AQ$4+3)*(Timeline!$J$5:$J$305&gt;=AQ$4+3)),SUMPRODUCT((INDEX(Timeline!$P$5:$AN$305,0,MATCH($A21,Timeline!$P$4:$AN$4,0))="x")*(Timeline!$K$5:$K$305="Task")*ISNUMBER(Timeline!$I$5:$I$305)*ISNUMBER(Timeline!$J$5:$J$305)*(Timeline!$I$5:$I$305&lt;=AQ$4+4)*(Timeline!$J$5:$J$305&gt;=AQ$4+4)),SUMPRODUCT((INDEX(Timeline!$P$5:$AN$305,0,MATCH($A21,Timeline!$P$4:$AN$4,0))="x")*(Timeline!$K$5:$K$305="Task")*ISNUMBER(Timeline!$I$5:$I$305)*ISNUMBER(Timeline!$J$5:$J$305)*(Timeline!$I$5:$I$305&lt;=AQ$4+5)*(Timeline!$J$5:$J$305&gt;=AQ$4+5)),SUMPRODUCT((INDEX(Timeline!$P$5:$AN$305,0,MATCH($A21,Timeline!$P$4:$AN$4,0))="x")*(Timeline!$K$5:$K$305="Task")*ISNUMBER(Timeline!$I$5:$I$305)*ISNUMBER(Timeline!$J$5:$J$305)*(Timeline!$I$5:$I$305&lt;=AQ$4+6)*(Timeline!$J$5:$J$305&gt;=AQ$4+6)))</f>
        <v>0</v>
      </c>
      <c r="AR21" s="67">
        <f>MAX(SUMPRODUCT((INDEX(Timeline!$P$5:$AN$305,0,MATCH($A21,Timeline!$P$4:$AN$4,0))="x")*(Timeline!$K$5:$K$305="Task")*ISNUMBER(Timeline!$I$5:$I$305)*ISNUMBER(Timeline!$J$5:$J$305)*(Timeline!$I$5:$I$305&lt;=AR$4+0)*(Timeline!$J$5:$J$305&gt;=AR$4+0)),SUMPRODUCT((INDEX(Timeline!$P$5:$AN$305,0,MATCH($A21,Timeline!$P$4:$AN$4,0))="x")*(Timeline!$K$5:$K$305="Task")*ISNUMBER(Timeline!$I$5:$I$305)*ISNUMBER(Timeline!$J$5:$J$305)*(Timeline!$I$5:$I$305&lt;=AR$4+1)*(Timeline!$J$5:$J$305&gt;=AR$4+1)),SUMPRODUCT((INDEX(Timeline!$P$5:$AN$305,0,MATCH($A21,Timeline!$P$4:$AN$4,0))="x")*(Timeline!$K$5:$K$305="Task")*ISNUMBER(Timeline!$I$5:$I$305)*ISNUMBER(Timeline!$J$5:$J$305)*(Timeline!$I$5:$I$305&lt;=AR$4+2)*(Timeline!$J$5:$J$305&gt;=AR$4+2)),SUMPRODUCT((INDEX(Timeline!$P$5:$AN$305,0,MATCH($A21,Timeline!$P$4:$AN$4,0))="x")*(Timeline!$K$5:$K$305="Task")*ISNUMBER(Timeline!$I$5:$I$305)*ISNUMBER(Timeline!$J$5:$J$305)*(Timeline!$I$5:$I$305&lt;=AR$4+3)*(Timeline!$J$5:$J$305&gt;=AR$4+3)),SUMPRODUCT((INDEX(Timeline!$P$5:$AN$305,0,MATCH($A21,Timeline!$P$4:$AN$4,0))="x")*(Timeline!$K$5:$K$305="Task")*ISNUMBER(Timeline!$I$5:$I$305)*ISNUMBER(Timeline!$J$5:$J$305)*(Timeline!$I$5:$I$305&lt;=AR$4+4)*(Timeline!$J$5:$J$305&gt;=AR$4+4)),SUMPRODUCT((INDEX(Timeline!$P$5:$AN$305,0,MATCH($A21,Timeline!$P$4:$AN$4,0))="x")*(Timeline!$K$5:$K$305="Task")*ISNUMBER(Timeline!$I$5:$I$305)*ISNUMBER(Timeline!$J$5:$J$305)*(Timeline!$I$5:$I$305&lt;=AR$4+5)*(Timeline!$J$5:$J$305&gt;=AR$4+5)),SUMPRODUCT((INDEX(Timeline!$P$5:$AN$305,0,MATCH($A21,Timeline!$P$4:$AN$4,0))="x")*(Timeline!$K$5:$K$305="Task")*ISNUMBER(Timeline!$I$5:$I$305)*ISNUMBER(Timeline!$J$5:$J$305)*(Timeline!$I$5:$I$305&lt;=AR$4+6)*(Timeline!$J$5:$J$305&gt;=AR$4+6)))</f>
        <v>0</v>
      </c>
      <c r="AS21" s="67">
        <f>MAX(SUMPRODUCT((INDEX(Timeline!$P$5:$AN$305,0,MATCH($A21,Timeline!$P$4:$AN$4,0))="x")*(Timeline!$K$5:$K$305="Task")*ISNUMBER(Timeline!$I$5:$I$305)*ISNUMBER(Timeline!$J$5:$J$305)*(Timeline!$I$5:$I$305&lt;=AS$4+0)*(Timeline!$J$5:$J$305&gt;=AS$4+0)),SUMPRODUCT((INDEX(Timeline!$P$5:$AN$305,0,MATCH($A21,Timeline!$P$4:$AN$4,0))="x")*(Timeline!$K$5:$K$305="Task")*ISNUMBER(Timeline!$I$5:$I$305)*ISNUMBER(Timeline!$J$5:$J$305)*(Timeline!$I$5:$I$305&lt;=AS$4+1)*(Timeline!$J$5:$J$305&gt;=AS$4+1)),SUMPRODUCT((INDEX(Timeline!$P$5:$AN$305,0,MATCH($A21,Timeline!$P$4:$AN$4,0))="x")*(Timeline!$K$5:$K$305="Task")*ISNUMBER(Timeline!$I$5:$I$305)*ISNUMBER(Timeline!$J$5:$J$305)*(Timeline!$I$5:$I$305&lt;=AS$4+2)*(Timeline!$J$5:$J$305&gt;=AS$4+2)),SUMPRODUCT((INDEX(Timeline!$P$5:$AN$305,0,MATCH($A21,Timeline!$P$4:$AN$4,0))="x")*(Timeline!$K$5:$K$305="Task")*ISNUMBER(Timeline!$I$5:$I$305)*ISNUMBER(Timeline!$J$5:$J$305)*(Timeline!$I$5:$I$305&lt;=AS$4+3)*(Timeline!$J$5:$J$305&gt;=AS$4+3)),SUMPRODUCT((INDEX(Timeline!$P$5:$AN$305,0,MATCH($A21,Timeline!$P$4:$AN$4,0))="x")*(Timeline!$K$5:$K$305="Task")*ISNUMBER(Timeline!$I$5:$I$305)*ISNUMBER(Timeline!$J$5:$J$305)*(Timeline!$I$5:$I$305&lt;=AS$4+4)*(Timeline!$J$5:$J$305&gt;=AS$4+4)),SUMPRODUCT((INDEX(Timeline!$P$5:$AN$305,0,MATCH($A21,Timeline!$P$4:$AN$4,0))="x")*(Timeline!$K$5:$K$305="Task")*ISNUMBER(Timeline!$I$5:$I$305)*ISNUMBER(Timeline!$J$5:$J$305)*(Timeline!$I$5:$I$305&lt;=AS$4+5)*(Timeline!$J$5:$J$305&gt;=AS$4+5)),SUMPRODUCT((INDEX(Timeline!$P$5:$AN$305,0,MATCH($A21,Timeline!$P$4:$AN$4,0))="x")*(Timeline!$K$5:$K$305="Task")*ISNUMBER(Timeline!$I$5:$I$305)*ISNUMBER(Timeline!$J$5:$J$305)*(Timeline!$I$5:$I$305&lt;=AS$4+6)*(Timeline!$J$5:$J$305&gt;=AS$4+6)))</f>
        <v>0</v>
      </c>
      <c r="AT21" s="67">
        <f>MAX(SUMPRODUCT((INDEX(Timeline!$P$5:$AN$305,0,MATCH($A21,Timeline!$P$4:$AN$4,0))="x")*(Timeline!$K$5:$K$305="Task")*ISNUMBER(Timeline!$I$5:$I$305)*ISNUMBER(Timeline!$J$5:$J$305)*(Timeline!$I$5:$I$305&lt;=AT$4+0)*(Timeline!$J$5:$J$305&gt;=AT$4+0)),SUMPRODUCT((INDEX(Timeline!$P$5:$AN$305,0,MATCH($A21,Timeline!$P$4:$AN$4,0))="x")*(Timeline!$K$5:$K$305="Task")*ISNUMBER(Timeline!$I$5:$I$305)*ISNUMBER(Timeline!$J$5:$J$305)*(Timeline!$I$5:$I$305&lt;=AT$4+1)*(Timeline!$J$5:$J$305&gt;=AT$4+1)),SUMPRODUCT((INDEX(Timeline!$P$5:$AN$305,0,MATCH($A21,Timeline!$P$4:$AN$4,0))="x")*(Timeline!$K$5:$K$305="Task")*ISNUMBER(Timeline!$I$5:$I$305)*ISNUMBER(Timeline!$J$5:$J$305)*(Timeline!$I$5:$I$305&lt;=AT$4+2)*(Timeline!$J$5:$J$305&gt;=AT$4+2)),SUMPRODUCT((INDEX(Timeline!$P$5:$AN$305,0,MATCH($A21,Timeline!$P$4:$AN$4,0))="x")*(Timeline!$K$5:$K$305="Task")*ISNUMBER(Timeline!$I$5:$I$305)*ISNUMBER(Timeline!$J$5:$J$305)*(Timeline!$I$5:$I$305&lt;=AT$4+3)*(Timeline!$J$5:$J$305&gt;=AT$4+3)),SUMPRODUCT((INDEX(Timeline!$P$5:$AN$305,0,MATCH($A21,Timeline!$P$4:$AN$4,0))="x")*(Timeline!$K$5:$K$305="Task")*ISNUMBER(Timeline!$I$5:$I$305)*ISNUMBER(Timeline!$J$5:$J$305)*(Timeline!$I$5:$I$305&lt;=AT$4+4)*(Timeline!$J$5:$J$305&gt;=AT$4+4)),SUMPRODUCT((INDEX(Timeline!$P$5:$AN$305,0,MATCH($A21,Timeline!$P$4:$AN$4,0))="x")*(Timeline!$K$5:$K$305="Task")*ISNUMBER(Timeline!$I$5:$I$305)*ISNUMBER(Timeline!$J$5:$J$305)*(Timeline!$I$5:$I$305&lt;=AT$4+5)*(Timeline!$J$5:$J$305&gt;=AT$4+5)),SUMPRODUCT((INDEX(Timeline!$P$5:$AN$305,0,MATCH($A21,Timeline!$P$4:$AN$4,0))="x")*(Timeline!$K$5:$K$305="Task")*ISNUMBER(Timeline!$I$5:$I$305)*ISNUMBER(Timeline!$J$5:$J$305)*(Timeline!$I$5:$I$305&lt;=AT$4+6)*(Timeline!$J$5:$J$305&gt;=AT$4+6)))</f>
        <v>0</v>
      </c>
      <c r="AU21" s="67">
        <f>MAX(SUMPRODUCT((INDEX(Timeline!$P$5:$AN$305,0,MATCH($A21,Timeline!$P$4:$AN$4,0))="x")*(Timeline!$K$5:$K$305="Task")*ISNUMBER(Timeline!$I$5:$I$305)*ISNUMBER(Timeline!$J$5:$J$305)*(Timeline!$I$5:$I$305&lt;=AU$4+0)*(Timeline!$J$5:$J$305&gt;=AU$4+0)),SUMPRODUCT((INDEX(Timeline!$P$5:$AN$305,0,MATCH($A21,Timeline!$P$4:$AN$4,0))="x")*(Timeline!$K$5:$K$305="Task")*ISNUMBER(Timeline!$I$5:$I$305)*ISNUMBER(Timeline!$J$5:$J$305)*(Timeline!$I$5:$I$305&lt;=AU$4+1)*(Timeline!$J$5:$J$305&gt;=AU$4+1)),SUMPRODUCT((INDEX(Timeline!$P$5:$AN$305,0,MATCH($A21,Timeline!$P$4:$AN$4,0))="x")*(Timeline!$K$5:$K$305="Task")*ISNUMBER(Timeline!$I$5:$I$305)*ISNUMBER(Timeline!$J$5:$J$305)*(Timeline!$I$5:$I$305&lt;=AU$4+2)*(Timeline!$J$5:$J$305&gt;=AU$4+2)),SUMPRODUCT((INDEX(Timeline!$P$5:$AN$305,0,MATCH($A21,Timeline!$P$4:$AN$4,0))="x")*(Timeline!$K$5:$K$305="Task")*ISNUMBER(Timeline!$I$5:$I$305)*ISNUMBER(Timeline!$J$5:$J$305)*(Timeline!$I$5:$I$305&lt;=AU$4+3)*(Timeline!$J$5:$J$305&gt;=AU$4+3)),SUMPRODUCT((INDEX(Timeline!$P$5:$AN$305,0,MATCH($A21,Timeline!$P$4:$AN$4,0))="x")*(Timeline!$K$5:$K$305="Task")*ISNUMBER(Timeline!$I$5:$I$305)*ISNUMBER(Timeline!$J$5:$J$305)*(Timeline!$I$5:$I$305&lt;=AU$4+4)*(Timeline!$J$5:$J$305&gt;=AU$4+4)),SUMPRODUCT((INDEX(Timeline!$P$5:$AN$305,0,MATCH($A21,Timeline!$P$4:$AN$4,0))="x")*(Timeline!$K$5:$K$305="Task")*ISNUMBER(Timeline!$I$5:$I$305)*ISNUMBER(Timeline!$J$5:$J$305)*(Timeline!$I$5:$I$305&lt;=AU$4+5)*(Timeline!$J$5:$J$305&gt;=AU$4+5)),SUMPRODUCT((INDEX(Timeline!$P$5:$AN$305,0,MATCH($A21,Timeline!$P$4:$AN$4,0))="x")*(Timeline!$K$5:$K$305="Task")*ISNUMBER(Timeline!$I$5:$I$305)*ISNUMBER(Timeline!$J$5:$J$305)*(Timeline!$I$5:$I$305&lt;=AU$4+6)*(Timeline!$J$5:$J$305&gt;=AU$4+6)))</f>
        <v>0</v>
      </c>
      <c r="AV21" s="67">
        <f>MAX(SUMPRODUCT((INDEX(Timeline!$P$5:$AN$305,0,MATCH($A21,Timeline!$P$4:$AN$4,0))="x")*(Timeline!$K$5:$K$305="Task")*ISNUMBER(Timeline!$I$5:$I$305)*ISNUMBER(Timeline!$J$5:$J$305)*(Timeline!$I$5:$I$305&lt;=AV$4+0)*(Timeline!$J$5:$J$305&gt;=AV$4+0)),SUMPRODUCT((INDEX(Timeline!$P$5:$AN$305,0,MATCH($A21,Timeline!$P$4:$AN$4,0))="x")*(Timeline!$K$5:$K$305="Task")*ISNUMBER(Timeline!$I$5:$I$305)*ISNUMBER(Timeline!$J$5:$J$305)*(Timeline!$I$5:$I$305&lt;=AV$4+1)*(Timeline!$J$5:$J$305&gt;=AV$4+1)),SUMPRODUCT((INDEX(Timeline!$P$5:$AN$305,0,MATCH($A21,Timeline!$P$4:$AN$4,0))="x")*(Timeline!$K$5:$K$305="Task")*ISNUMBER(Timeline!$I$5:$I$305)*ISNUMBER(Timeline!$J$5:$J$305)*(Timeline!$I$5:$I$305&lt;=AV$4+2)*(Timeline!$J$5:$J$305&gt;=AV$4+2)),SUMPRODUCT((INDEX(Timeline!$P$5:$AN$305,0,MATCH($A21,Timeline!$P$4:$AN$4,0))="x")*(Timeline!$K$5:$K$305="Task")*ISNUMBER(Timeline!$I$5:$I$305)*ISNUMBER(Timeline!$J$5:$J$305)*(Timeline!$I$5:$I$305&lt;=AV$4+3)*(Timeline!$J$5:$J$305&gt;=AV$4+3)),SUMPRODUCT((INDEX(Timeline!$P$5:$AN$305,0,MATCH($A21,Timeline!$P$4:$AN$4,0))="x")*(Timeline!$K$5:$K$305="Task")*ISNUMBER(Timeline!$I$5:$I$305)*ISNUMBER(Timeline!$J$5:$J$305)*(Timeline!$I$5:$I$305&lt;=AV$4+4)*(Timeline!$J$5:$J$305&gt;=AV$4+4)),SUMPRODUCT((INDEX(Timeline!$P$5:$AN$305,0,MATCH($A21,Timeline!$P$4:$AN$4,0))="x")*(Timeline!$K$5:$K$305="Task")*ISNUMBER(Timeline!$I$5:$I$305)*ISNUMBER(Timeline!$J$5:$J$305)*(Timeline!$I$5:$I$305&lt;=AV$4+5)*(Timeline!$J$5:$J$305&gt;=AV$4+5)),SUMPRODUCT((INDEX(Timeline!$P$5:$AN$305,0,MATCH($A21,Timeline!$P$4:$AN$4,0))="x")*(Timeline!$K$5:$K$305="Task")*ISNUMBER(Timeline!$I$5:$I$305)*ISNUMBER(Timeline!$J$5:$J$305)*(Timeline!$I$5:$I$305&lt;=AV$4+6)*(Timeline!$J$5:$J$305&gt;=AV$4+6)))</f>
        <v>0</v>
      </c>
      <c r="AW21" s="67">
        <f>MAX(SUMPRODUCT((INDEX(Timeline!$P$5:$AN$305,0,MATCH($A21,Timeline!$P$4:$AN$4,0))="x")*(Timeline!$K$5:$K$305="Task")*ISNUMBER(Timeline!$I$5:$I$305)*ISNUMBER(Timeline!$J$5:$J$305)*(Timeline!$I$5:$I$305&lt;=AW$4+0)*(Timeline!$J$5:$J$305&gt;=AW$4+0)),SUMPRODUCT((INDEX(Timeline!$P$5:$AN$305,0,MATCH($A21,Timeline!$P$4:$AN$4,0))="x")*(Timeline!$K$5:$K$305="Task")*ISNUMBER(Timeline!$I$5:$I$305)*ISNUMBER(Timeline!$J$5:$J$305)*(Timeline!$I$5:$I$305&lt;=AW$4+1)*(Timeline!$J$5:$J$305&gt;=AW$4+1)),SUMPRODUCT((INDEX(Timeline!$P$5:$AN$305,0,MATCH($A21,Timeline!$P$4:$AN$4,0))="x")*(Timeline!$K$5:$K$305="Task")*ISNUMBER(Timeline!$I$5:$I$305)*ISNUMBER(Timeline!$J$5:$J$305)*(Timeline!$I$5:$I$305&lt;=AW$4+2)*(Timeline!$J$5:$J$305&gt;=AW$4+2)),SUMPRODUCT((INDEX(Timeline!$P$5:$AN$305,0,MATCH($A21,Timeline!$P$4:$AN$4,0))="x")*(Timeline!$K$5:$K$305="Task")*ISNUMBER(Timeline!$I$5:$I$305)*ISNUMBER(Timeline!$J$5:$J$305)*(Timeline!$I$5:$I$305&lt;=AW$4+3)*(Timeline!$J$5:$J$305&gt;=AW$4+3)),SUMPRODUCT((INDEX(Timeline!$P$5:$AN$305,0,MATCH($A21,Timeline!$P$4:$AN$4,0))="x")*(Timeline!$K$5:$K$305="Task")*ISNUMBER(Timeline!$I$5:$I$305)*ISNUMBER(Timeline!$J$5:$J$305)*(Timeline!$I$5:$I$305&lt;=AW$4+4)*(Timeline!$J$5:$J$305&gt;=AW$4+4)),SUMPRODUCT((INDEX(Timeline!$P$5:$AN$305,0,MATCH($A21,Timeline!$P$4:$AN$4,0))="x")*(Timeline!$K$5:$K$305="Task")*ISNUMBER(Timeline!$I$5:$I$305)*ISNUMBER(Timeline!$J$5:$J$305)*(Timeline!$I$5:$I$305&lt;=AW$4+5)*(Timeline!$J$5:$J$305&gt;=AW$4+5)),SUMPRODUCT((INDEX(Timeline!$P$5:$AN$305,0,MATCH($A21,Timeline!$P$4:$AN$4,0))="x")*(Timeline!$K$5:$K$305="Task")*ISNUMBER(Timeline!$I$5:$I$305)*ISNUMBER(Timeline!$J$5:$J$305)*(Timeline!$I$5:$I$305&lt;=AW$4+6)*(Timeline!$J$5:$J$305&gt;=AW$4+6)))</f>
        <v>0</v>
      </c>
      <c r="AX21" s="67">
        <f>MAX(SUMPRODUCT((INDEX(Timeline!$P$5:$AN$305,0,MATCH($A21,Timeline!$P$4:$AN$4,0))="x")*(Timeline!$K$5:$K$305="Task")*ISNUMBER(Timeline!$I$5:$I$305)*ISNUMBER(Timeline!$J$5:$J$305)*(Timeline!$I$5:$I$305&lt;=AX$4+0)*(Timeline!$J$5:$J$305&gt;=AX$4+0)),SUMPRODUCT((INDEX(Timeline!$P$5:$AN$305,0,MATCH($A21,Timeline!$P$4:$AN$4,0))="x")*(Timeline!$K$5:$K$305="Task")*ISNUMBER(Timeline!$I$5:$I$305)*ISNUMBER(Timeline!$J$5:$J$305)*(Timeline!$I$5:$I$305&lt;=AX$4+1)*(Timeline!$J$5:$J$305&gt;=AX$4+1)),SUMPRODUCT((INDEX(Timeline!$P$5:$AN$305,0,MATCH($A21,Timeline!$P$4:$AN$4,0))="x")*(Timeline!$K$5:$K$305="Task")*ISNUMBER(Timeline!$I$5:$I$305)*ISNUMBER(Timeline!$J$5:$J$305)*(Timeline!$I$5:$I$305&lt;=AX$4+2)*(Timeline!$J$5:$J$305&gt;=AX$4+2)),SUMPRODUCT((INDEX(Timeline!$P$5:$AN$305,0,MATCH($A21,Timeline!$P$4:$AN$4,0))="x")*(Timeline!$K$5:$K$305="Task")*ISNUMBER(Timeline!$I$5:$I$305)*ISNUMBER(Timeline!$J$5:$J$305)*(Timeline!$I$5:$I$305&lt;=AX$4+3)*(Timeline!$J$5:$J$305&gt;=AX$4+3)),SUMPRODUCT((INDEX(Timeline!$P$5:$AN$305,0,MATCH($A21,Timeline!$P$4:$AN$4,0))="x")*(Timeline!$K$5:$K$305="Task")*ISNUMBER(Timeline!$I$5:$I$305)*ISNUMBER(Timeline!$J$5:$J$305)*(Timeline!$I$5:$I$305&lt;=AX$4+4)*(Timeline!$J$5:$J$305&gt;=AX$4+4)),SUMPRODUCT((INDEX(Timeline!$P$5:$AN$305,0,MATCH($A21,Timeline!$P$4:$AN$4,0))="x")*(Timeline!$K$5:$K$305="Task")*ISNUMBER(Timeline!$I$5:$I$305)*ISNUMBER(Timeline!$J$5:$J$305)*(Timeline!$I$5:$I$305&lt;=AX$4+5)*(Timeline!$J$5:$J$305&gt;=AX$4+5)),SUMPRODUCT((INDEX(Timeline!$P$5:$AN$305,0,MATCH($A21,Timeline!$P$4:$AN$4,0))="x")*(Timeline!$K$5:$K$305="Task")*ISNUMBER(Timeline!$I$5:$I$305)*ISNUMBER(Timeline!$J$5:$J$305)*(Timeline!$I$5:$I$305&lt;=AX$4+6)*(Timeline!$J$5:$J$305&gt;=AX$4+6)))</f>
        <v>0</v>
      </c>
      <c r="AY21" s="67">
        <f>MAX(SUMPRODUCT((INDEX(Timeline!$P$5:$AN$305,0,MATCH($A21,Timeline!$P$4:$AN$4,0))="x")*(Timeline!$K$5:$K$305="Task")*ISNUMBER(Timeline!$I$5:$I$305)*ISNUMBER(Timeline!$J$5:$J$305)*(Timeline!$I$5:$I$305&lt;=AY$4+0)*(Timeline!$J$5:$J$305&gt;=AY$4+0)),SUMPRODUCT((INDEX(Timeline!$P$5:$AN$305,0,MATCH($A21,Timeline!$P$4:$AN$4,0))="x")*(Timeline!$K$5:$K$305="Task")*ISNUMBER(Timeline!$I$5:$I$305)*ISNUMBER(Timeline!$J$5:$J$305)*(Timeline!$I$5:$I$305&lt;=AY$4+1)*(Timeline!$J$5:$J$305&gt;=AY$4+1)),SUMPRODUCT((INDEX(Timeline!$P$5:$AN$305,0,MATCH($A21,Timeline!$P$4:$AN$4,0))="x")*(Timeline!$K$5:$K$305="Task")*ISNUMBER(Timeline!$I$5:$I$305)*ISNUMBER(Timeline!$J$5:$J$305)*(Timeline!$I$5:$I$305&lt;=AY$4+2)*(Timeline!$J$5:$J$305&gt;=AY$4+2)),SUMPRODUCT((INDEX(Timeline!$P$5:$AN$305,0,MATCH($A21,Timeline!$P$4:$AN$4,0))="x")*(Timeline!$K$5:$K$305="Task")*ISNUMBER(Timeline!$I$5:$I$305)*ISNUMBER(Timeline!$J$5:$J$305)*(Timeline!$I$5:$I$305&lt;=AY$4+3)*(Timeline!$J$5:$J$305&gt;=AY$4+3)),SUMPRODUCT((INDEX(Timeline!$P$5:$AN$305,0,MATCH($A21,Timeline!$P$4:$AN$4,0))="x")*(Timeline!$K$5:$K$305="Task")*ISNUMBER(Timeline!$I$5:$I$305)*ISNUMBER(Timeline!$J$5:$J$305)*(Timeline!$I$5:$I$305&lt;=AY$4+4)*(Timeline!$J$5:$J$305&gt;=AY$4+4)),SUMPRODUCT((INDEX(Timeline!$P$5:$AN$305,0,MATCH($A21,Timeline!$P$4:$AN$4,0))="x")*(Timeline!$K$5:$K$305="Task")*ISNUMBER(Timeline!$I$5:$I$305)*ISNUMBER(Timeline!$J$5:$J$305)*(Timeline!$I$5:$I$305&lt;=AY$4+5)*(Timeline!$J$5:$J$305&gt;=AY$4+5)),SUMPRODUCT((INDEX(Timeline!$P$5:$AN$305,0,MATCH($A21,Timeline!$P$4:$AN$4,0))="x")*(Timeline!$K$5:$K$305="Task")*ISNUMBER(Timeline!$I$5:$I$305)*ISNUMBER(Timeline!$J$5:$J$305)*(Timeline!$I$5:$I$305&lt;=AY$4+6)*(Timeline!$J$5:$J$305&gt;=AY$4+6)))</f>
        <v>0</v>
      </c>
      <c r="AZ21" s="67">
        <f>MAX(SUMPRODUCT((INDEX(Timeline!$P$5:$AN$305,0,MATCH($A21,Timeline!$P$4:$AN$4,0))="x")*(Timeline!$K$5:$K$305="Task")*ISNUMBER(Timeline!$I$5:$I$305)*ISNUMBER(Timeline!$J$5:$J$305)*(Timeline!$I$5:$I$305&lt;=AZ$4+0)*(Timeline!$J$5:$J$305&gt;=AZ$4+0)),SUMPRODUCT((INDEX(Timeline!$P$5:$AN$305,0,MATCH($A21,Timeline!$P$4:$AN$4,0))="x")*(Timeline!$K$5:$K$305="Task")*ISNUMBER(Timeline!$I$5:$I$305)*ISNUMBER(Timeline!$J$5:$J$305)*(Timeline!$I$5:$I$305&lt;=AZ$4+1)*(Timeline!$J$5:$J$305&gt;=AZ$4+1)),SUMPRODUCT((INDEX(Timeline!$P$5:$AN$305,0,MATCH($A21,Timeline!$P$4:$AN$4,0))="x")*(Timeline!$K$5:$K$305="Task")*ISNUMBER(Timeline!$I$5:$I$305)*ISNUMBER(Timeline!$J$5:$J$305)*(Timeline!$I$5:$I$305&lt;=AZ$4+2)*(Timeline!$J$5:$J$305&gt;=AZ$4+2)),SUMPRODUCT((INDEX(Timeline!$P$5:$AN$305,0,MATCH($A21,Timeline!$P$4:$AN$4,0))="x")*(Timeline!$K$5:$K$305="Task")*ISNUMBER(Timeline!$I$5:$I$305)*ISNUMBER(Timeline!$J$5:$J$305)*(Timeline!$I$5:$I$305&lt;=AZ$4+3)*(Timeline!$J$5:$J$305&gt;=AZ$4+3)),SUMPRODUCT((INDEX(Timeline!$P$5:$AN$305,0,MATCH($A21,Timeline!$P$4:$AN$4,0))="x")*(Timeline!$K$5:$K$305="Task")*ISNUMBER(Timeline!$I$5:$I$305)*ISNUMBER(Timeline!$J$5:$J$305)*(Timeline!$I$5:$I$305&lt;=AZ$4+4)*(Timeline!$J$5:$J$305&gt;=AZ$4+4)),SUMPRODUCT((INDEX(Timeline!$P$5:$AN$305,0,MATCH($A21,Timeline!$P$4:$AN$4,0))="x")*(Timeline!$K$5:$K$305="Task")*ISNUMBER(Timeline!$I$5:$I$305)*ISNUMBER(Timeline!$J$5:$J$305)*(Timeline!$I$5:$I$305&lt;=AZ$4+5)*(Timeline!$J$5:$J$305&gt;=AZ$4+5)),SUMPRODUCT((INDEX(Timeline!$P$5:$AN$305,0,MATCH($A21,Timeline!$P$4:$AN$4,0))="x")*(Timeline!$K$5:$K$305="Task")*ISNUMBER(Timeline!$I$5:$I$305)*ISNUMBER(Timeline!$J$5:$J$305)*(Timeline!$I$5:$I$305&lt;=AZ$4+6)*(Timeline!$J$5:$J$305&gt;=AZ$4+6)))</f>
        <v>0</v>
      </c>
      <c r="BA21" s="67">
        <f>MAX(SUMPRODUCT((INDEX(Timeline!$P$5:$AN$305,0,MATCH($A21,Timeline!$P$4:$AN$4,0))="x")*(Timeline!$K$5:$K$305="Task")*ISNUMBER(Timeline!$I$5:$I$305)*ISNUMBER(Timeline!$J$5:$J$305)*(Timeline!$I$5:$I$305&lt;=BA$4+0)*(Timeline!$J$5:$J$305&gt;=BA$4+0)),SUMPRODUCT((INDEX(Timeline!$P$5:$AN$305,0,MATCH($A21,Timeline!$P$4:$AN$4,0))="x")*(Timeline!$K$5:$K$305="Task")*ISNUMBER(Timeline!$I$5:$I$305)*ISNUMBER(Timeline!$J$5:$J$305)*(Timeline!$I$5:$I$305&lt;=BA$4+1)*(Timeline!$J$5:$J$305&gt;=BA$4+1)),SUMPRODUCT((INDEX(Timeline!$P$5:$AN$305,0,MATCH($A21,Timeline!$P$4:$AN$4,0))="x")*(Timeline!$K$5:$K$305="Task")*ISNUMBER(Timeline!$I$5:$I$305)*ISNUMBER(Timeline!$J$5:$J$305)*(Timeline!$I$5:$I$305&lt;=BA$4+2)*(Timeline!$J$5:$J$305&gt;=BA$4+2)),SUMPRODUCT((INDEX(Timeline!$P$5:$AN$305,0,MATCH($A21,Timeline!$P$4:$AN$4,0))="x")*(Timeline!$K$5:$K$305="Task")*ISNUMBER(Timeline!$I$5:$I$305)*ISNUMBER(Timeline!$J$5:$J$305)*(Timeline!$I$5:$I$305&lt;=BA$4+3)*(Timeline!$J$5:$J$305&gt;=BA$4+3)),SUMPRODUCT((INDEX(Timeline!$P$5:$AN$305,0,MATCH($A21,Timeline!$P$4:$AN$4,0))="x")*(Timeline!$K$5:$K$305="Task")*ISNUMBER(Timeline!$I$5:$I$305)*ISNUMBER(Timeline!$J$5:$J$305)*(Timeline!$I$5:$I$305&lt;=BA$4+4)*(Timeline!$J$5:$J$305&gt;=BA$4+4)),SUMPRODUCT((INDEX(Timeline!$P$5:$AN$305,0,MATCH($A21,Timeline!$P$4:$AN$4,0))="x")*(Timeline!$K$5:$K$305="Task")*ISNUMBER(Timeline!$I$5:$I$305)*ISNUMBER(Timeline!$J$5:$J$305)*(Timeline!$I$5:$I$305&lt;=BA$4+5)*(Timeline!$J$5:$J$305&gt;=BA$4+5)),SUMPRODUCT((INDEX(Timeline!$P$5:$AN$305,0,MATCH($A21,Timeline!$P$4:$AN$4,0))="x")*(Timeline!$K$5:$K$305="Task")*ISNUMBER(Timeline!$I$5:$I$305)*ISNUMBER(Timeline!$J$5:$J$305)*(Timeline!$I$5:$I$305&lt;=BA$4+6)*(Timeline!$J$5:$J$305&gt;=BA$4+6)))</f>
        <v>0</v>
      </c>
    </row>
    <row r="22" spans="1:53" ht="15" customHeight="1">
      <c r="A22" s="66" t="s">
        <v>53</v>
      </c>
      <c r="B22" s="66" t="s">
        <v>17</v>
      </c>
      <c r="C22" s="67">
        <f>MAX(SUMPRODUCT((INDEX(Timeline!$P$5:$AN$305,0,MATCH($A22,Timeline!$P$4:$AN$4,0))="x")*(Timeline!$K$5:$K$305="Task")*ISNUMBER(Timeline!$I$5:$I$305)*ISNUMBER(Timeline!$J$5:$J$305)*(Timeline!$I$5:$I$305&lt;=C$4+0)*(Timeline!$J$5:$J$305&gt;=C$4+0)),SUMPRODUCT((INDEX(Timeline!$P$5:$AN$305,0,MATCH($A22,Timeline!$P$4:$AN$4,0))="x")*(Timeline!$K$5:$K$305="Task")*ISNUMBER(Timeline!$I$5:$I$305)*ISNUMBER(Timeline!$J$5:$J$305)*(Timeline!$I$5:$I$305&lt;=C$4+1)*(Timeline!$J$5:$J$305&gt;=C$4+1)),SUMPRODUCT((INDEX(Timeline!$P$5:$AN$305,0,MATCH($A22,Timeline!$P$4:$AN$4,0))="x")*(Timeline!$K$5:$K$305="Task")*ISNUMBER(Timeline!$I$5:$I$305)*ISNUMBER(Timeline!$J$5:$J$305)*(Timeline!$I$5:$I$305&lt;=C$4+2)*(Timeline!$J$5:$J$305&gt;=C$4+2)),SUMPRODUCT((INDEX(Timeline!$P$5:$AN$305,0,MATCH($A22,Timeline!$P$4:$AN$4,0))="x")*(Timeline!$K$5:$K$305="Task")*ISNUMBER(Timeline!$I$5:$I$305)*ISNUMBER(Timeline!$J$5:$J$305)*(Timeline!$I$5:$I$305&lt;=C$4+3)*(Timeline!$J$5:$J$305&gt;=C$4+3)),SUMPRODUCT((INDEX(Timeline!$P$5:$AN$305,0,MATCH($A22,Timeline!$P$4:$AN$4,0))="x")*(Timeline!$K$5:$K$305="Task")*ISNUMBER(Timeline!$I$5:$I$305)*ISNUMBER(Timeline!$J$5:$J$305)*(Timeline!$I$5:$I$305&lt;=C$4+4)*(Timeline!$J$5:$J$305&gt;=C$4+4)),SUMPRODUCT((INDEX(Timeline!$P$5:$AN$305,0,MATCH($A22,Timeline!$P$4:$AN$4,0))="x")*(Timeline!$K$5:$K$305="Task")*ISNUMBER(Timeline!$I$5:$I$305)*ISNUMBER(Timeline!$J$5:$J$305)*(Timeline!$I$5:$I$305&lt;=C$4+5)*(Timeline!$J$5:$J$305&gt;=C$4+5)),SUMPRODUCT((INDEX(Timeline!$P$5:$AN$305,0,MATCH($A22,Timeline!$P$4:$AN$4,0))="x")*(Timeline!$K$5:$K$305="Task")*ISNUMBER(Timeline!$I$5:$I$305)*ISNUMBER(Timeline!$J$5:$J$305)*(Timeline!$I$5:$I$305&lt;=C$4+6)*(Timeline!$J$5:$J$305&gt;=C$4+6)))</f>
        <v>0</v>
      </c>
      <c r="D22" s="67">
        <f>MAX(SUMPRODUCT((INDEX(Timeline!$P$5:$AN$305,0,MATCH($A22,Timeline!$P$4:$AN$4,0))="x")*(Timeline!$K$5:$K$305="Task")*ISNUMBER(Timeline!$I$5:$I$305)*ISNUMBER(Timeline!$J$5:$J$305)*(Timeline!$I$5:$I$305&lt;=D$4+0)*(Timeline!$J$5:$J$305&gt;=D$4+0)),SUMPRODUCT((INDEX(Timeline!$P$5:$AN$305,0,MATCH($A22,Timeline!$P$4:$AN$4,0))="x")*(Timeline!$K$5:$K$305="Task")*ISNUMBER(Timeline!$I$5:$I$305)*ISNUMBER(Timeline!$J$5:$J$305)*(Timeline!$I$5:$I$305&lt;=D$4+1)*(Timeline!$J$5:$J$305&gt;=D$4+1)),SUMPRODUCT((INDEX(Timeline!$P$5:$AN$305,0,MATCH($A22,Timeline!$P$4:$AN$4,0))="x")*(Timeline!$K$5:$K$305="Task")*ISNUMBER(Timeline!$I$5:$I$305)*ISNUMBER(Timeline!$J$5:$J$305)*(Timeline!$I$5:$I$305&lt;=D$4+2)*(Timeline!$J$5:$J$305&gt;=D$4+2)),SUMPRODUCT((INDEX(Timeline!$P$5:$AN$305,0,MATCH($A22,Timeline!$P$4:$AN$4,0))="x")*(Timeline!$K$5:$K$305="Task")*ISNUMBER(Timeline!$I$5:$I$305)*ISNUMBER(Timeline!$J$5:$J$305)*(Timeline!$I$5:$I$305&lt;=D$4+3)*(Timeline!$J$5:$J$305&gt;=D$4+3)),SUMPRODUCT((INDEX(Timeline!$P$5:$AN$305,0,MATCH($A22,Timeline!$P$4:$AN$4,0))="x")*(Timeline!$K$5:$K$305="Task")*ISNUMBER(Timeline!$I$5:$I$305)*ISNUMBER(Timeline!$J$5:$J$305)*(Timeline!$I$5:$I$305&lt;=D$4+4)*(Timeline!$J$5:$J$305&gt;=D$4+4)),SUMPRODUCT((INDEX(Timeline!$P$5:$AN$305,0,MATCH($A22,Timeline!$P$4:$AN$4,0))="x")*(Timeline!$K$5:$K$305="Task")*ISNUMBER(Timeline!$I$5:$I$305)*ISNUMBER(Timeline!$J$5:$J$305)*(Timeline!$I$5:$I$305&lt;=D$4+5)*(Timeline!$J$5:$J$305&gt;=D$4+5)),SUMPRODUCT((INDEX(Timeline!$P$5:$AN$305,0,MATCH($A22,Timeline!$P$4:$AN$4,0))="x")*(Timeline!$K$5:$K$305="Task")*ISNUMBER(Timeline!$I$5:$I$305)*ISNUMBER(Timeline!$J$5:$J$305)*(Timeline!$I$5:$I$305&lt;=D$4+6)*(Timeline!$J$5:$J$305&gt;=D$4+6)))</f>
        <v>0</v>
      </c>
      <c r="E22" s="67">
        <f>MAX(SUMPRODUCT((INDEX(Timeline!$P$5:$AN$305,0,MATCH($A22,Timeline!$P$4:$AN$4,0))="x")*(Timeline!$K$5:$K$305="Task")*ISNUMBER(Timeline!$I$5:$I$305)*ISNUMBER(Timeline!$J$5:$J$305)*(Timeline!$I$5:$I$305&lt;=E$4+0)*(Timeline!$J$5:$J$305&gt;=E$4+0)),SUMPRODUCT((INDEX(Timeline!$P$5:$AN$305,0,MATCH($A22,Timeline!$P$4:$AN$4,0))="x")*(Timeline!$K$5:$K$305="Task")*ISNUMBER(Timeline!$I$5:$I$305)*ISNUMBER(Timeline!$J$5:$J$305)*(Timeline!$I$5:$I$305&lt;=E$4+1)*(Timeline!$J$5:$J$305&gt;=E$4+1)),SUMPRODUCT((INDEX(Timeline!$P$5:$AN$305,0,MATCH($A22,Timeline!$P$4:$AN$4,0))="x")*(Timeline!$K$5:$K$305="Task")*ISNUMBER(Timeline!$I$5:$I$305)*ISNUMBER(Timeline!$J$5:$J$305)*(Timeline!$I$5:$I$305&lt;=E$4+2)*(Timeline!$J$5:$J$305&gt;=E$4+2)),SUMPRODUCT((INDEX(Timeline!$P$5:$AN$305,0,MATCH($A22,Timeline!$P$4:$AN$4,0))="x")*(Timeline!$K$5:$K$305="Task")*ISNUMBER(Timeline!$I$5:$I$305)*ISNUMBER(Timeline!$J$5:$J$305)*(Timeline!$I$5:$I$305&lt;=E$4+3)*(Timeline!$J$5:$J$305&gt;=E$4+3)),SUMPRODUCT((INDEX(Timeline!$P$5:$AN$305,0,MATCH($A22,Timeline!$P$4:$AN$4,0))="x")*(Timeline!$K$5:$K$305="Task")*ISNUMBER(Timeline!$I$5:$I$305)*ISNUMBER(Timeline!$J$5:$J$305)*(Timeline!$I$5:$I$305&lt;=E$4+4)*(Timeline!$J$5:$J$305&gt;=E$4+4)),SUMPRODUCT((INDEX(Timeline!$P$5:$AN$305,0,MATCH($A22,Timeline!$P$4:$AN$4,0))="x")*(Timeline!$K$5:$K$305="Task")*ISNUMBER(Timeline!$I$5:$I$305)*ISNUMBER(Timeline!$J$5:$J$305)*(Timeline!$I$5:$I$305&lt;=E$4+5)*(Timeline!$J$5:$J$305&gt;=E$4+5)),SUMPRODUCT((INDEX(Timeline!$P$5:$AN$305,0,MATCH($A22,Timeline!$P$4:$AN$4,0))="x")*(Timeline!$K$5:$K$305="Task")*ISNUMBER(Timeline!$I$5:$I$305)*ISNUMBER(Timeline!$J$5:$J$305)*(Timeline!$I$5:$I$305&lt;=E$4+6)*(Timeline!$J$5:$J$305&gt;=E$4+6)))</f>
        <v>0</v>
      </c>
      <c r="F22" s="67">
        <f>MAX(SUMPRODUCT((INDEX(Timeline!$P$5:$AN$305,0,MATCH($A22,Timeline!$P$4:$AN$4,0))="x")*(Timeline!$K$5:$K$305="Task")*ISNUMBER(Timeline!$I$5:$I$305)*ISNUMBER(Timeline!$J$5:$J$305)*(Timeline!$I$5:$I$305&lt;=F$4+0)*(Timeline!$J$5:$J$305&gt;=F$4+0)),SUMPRODUCT((INDEX(Timeline!$P$5:$AN$305,0,MATCH($A22,Timeline!$P$4:$AN$4,0))="x")*(Timeline!$K$5:$K$305="Task")*ISNUMBER(Timeline!$I$5:$I$305)*ISNUMBER(Timeline!$J$5:$J$305)*(Timeline!$I$5:$I$305&lt;=F$4+1)*(Timeline!$J$5:$J$305&gt;=F$4+1)),SUMPRODUCT((INDEX(Timeline!$P$5:$AN$305,0,MATCH($A22,Timeline!$P$4:$AN$4,0))="x")*(Timeline!$K$5:$K$305="Task")*ISNUMBER(Timeline!$I$5:$I$305)*ISNUMBER(Timeline!$J$5:$J$305)*(Timeline!$I$5:$I$305&lt;=F$4+2)*(Timeline!$J$5:$J$305&gt;=F$4+2)),SUMPRODUCT((INDEX(Timeline!$P$5:$AN$305,0,MATCH($A22,Timeline!$P$4:$AN$4,0))="x")*(Timeline!$K$5:$K$305="Task")*ISNUMBER(Timeline!$I$5:$I$305)*ISNUMBER(Timeline!$J$5:$J$305)*(Timeline!$I$5:$I$305&lt;=F$4+3)*(Timeline!$J$5:$J$305&gt;=F$4+3)),SUMPRODUCT((INDEX(Timeline!$P$5:$AN$305,0,MATCH($A22,Timeline!$P$4:$AN$4,0))="x")*(Timeline!$K$5:$K$305="Task")*ISNUMBER(Timeline!$I$5:$I$305)*ISNUMBER(Timeline!$J$5:$J$305)*(Timeline!$I$5:$I$305&lt;=F$4+4)*(Timeline!$J$5:$J$305&gt;=F$4+4)),SUMPRODUCT((INDEX(Timeline!$P$5:$AN$305,0,MATCH($A22,Timeline!$P$4:$AN$4,0))="x")*(Timeline!$K$5:$K$305="Task")*ISNUMBER(Timeline!$I$5:$I$305)*ISNUMBER(Timeline!$J$5:$J$305)*(Timeline!$I$5:$I$305&lt;=F$4+5)*(Timeline!$J$5:$J$305&gt;=F$4+5)),SUMPRODUCT((INDEX(Timeline!$P$5:$AN$305,0,MATCH($A22,Timeline!$P$4:$AN$4,0))="x")*(Timeline!$K$5:$K$305="Task")*ISNUMBER(Timeline!$I$5:$I$305)*ISNUMBER(Timeline!$J$5:$J$305)*(Timeline!$I$5:$I$305&lt;=F$4+6)*(Timeline!$J$5:$J$305&gt;=F$4+6)))</f>
        <v>0</v>
      </c>
      <c r="G22" s="67">
        <f>MAX(SUMPRODUCT((INDEX(Timeline!$P$5:$AN$305,0,MATCH($A22,Timeline!$P$4:$AN$4,0))="x")*(Timeline!$K$5:$K$305="Task")*ISNUMBER(Timeline!$I$5:$I$305)*ISNUMBER(Timeline!$J$5:$J$305)*(Timeline!$I$5:$I$305&lt;=G$4+0)*(Timeline!$J$5:$J$305&gt;=G$4+0)),SUMPRODUCT((INDEX(Timeline!$P$5:$AN$305,0,MATCH($A22,Timeline!$P$4:$AN$4,0))="x")*(Timeline!$K$5:$K$305="Task")*ISNUMBER(Timeline!$I$5:$I$305)*ISNUMBER(Timeline!$J$5:$J$305)*(Timeline!$I$5:$I$305&lt;=G$4+1)*(Timeline!$J$5:$J$305&gt;=G$4+1)),SUMPRODUCT((INDEX(Timeline!$P$5:$AN$305,0,MATCH($A22,Timeline!$P$4:$AN$4,0))="x")*(Timeline!$K$5:$K$305="Task")*ISNUMBER(Timeline!$I$5:$I$305)*ISNUMBER(Timeline!$J$5:$J$305)*(Timeline!$I$5:$I$305&lt;=G$4+2)*(Timeline!$J$5:$J$305&gt;=G$4+2)),SUMPRODUCT((INDEX(Timeline!$P$5:$AN$305,0,MATCH($A22,Timeline!$P$4:$AN$4,0))="x")*(Timeline!$K$5:$K$305="Task")*ISNUMBER(Timeline!$I$5:$I$305)*ISNUMBER(Timeline!$J$5:$J$305)*(Timeline!$I$5:$I$305&lt;=G$4+3)*(Timeline!$J$5:$J$305&gt;=G$4+3)),SUMPRODUCT((INDEX(Timeline!$P$5:$AN$305,0,MATCH($A22,Timeline!$P$4:$AN$4,0))="x")*(Timeline!$K$5:$K$305="Task")*ISNUMBER(Timeline!$I$5:$I$305)*ISNUMBER(Timeline!$J$5:$J$305)*(Timeline!$I$5:$I$305&lt;=G$4+4)*(Timeline!$J$5:$J$305&gt;=G$4+4)),SUMPRODUCT((INDEX(Timeline!$P$5:$AN$305,0,MATCH($A22,Timeline!$P$4:$AN$4,0))="x")*(Timeline!$K$5:$K$305="Task")*ISNUMBER(Timeline!$I$5:$I$305)*ISNUMBER(Timeline!$J$5:$J$305)*(Timeline!$I$5:$I$305&lt;=G$4+5)*(Timeline!$J$5:$J$305&gt;=G$4+5)),SUMPRODUCT((INDEX(Timeline!$P$5:$AN$305,0,MATCH($A22,Timeline!$P$4:$AN$4,0))="x")*(Timeline!$K$5:$K$305="Task")*ISNUMBER(Timeline!$I$5:$I$305)*ISNUMBER(Timeline!$J$5:$J$305)*(Timeline!$I$5:$I$305&lt;=G$4+6)*(Timeline!$J$5:$J$305&gt;=G$4+6)))</f>
        <v>0</v>
      </c>
      <c r="H22" s="67">
        <f>MAX(SUMPRODUCT((INDEX(Timeline!$P$5:$AN$305,0,MATCH($A22,Timeline!$P$4:$AN$4,0))="x")*(Timeline!$K$5:$K$305="Task")*ISNUMBER(Timeline!$I$5:$I$305)*ISNUMBER(Timeline!$J$5:$J$305)*(Timeline!$I$5:$I$305&lt;=H$4+0)*(Timeline!$J$5:$J$305&gt;=H$4+0)),SUMPRODUCT((INDEX(Timeline!$P$5:$AN$305,0,MATCH($A22,Timeline!$P$4:$AN$4,0))="x")*(Timeline!$K$5:$K$305="Task")*ISNUMBER(Timeline!$I$5:$I$305)*ISNUMBER(Timeline!$J$5:$J$305)*(Timeline!$I$5:$I$305&lt;=H$4+1)*(Timeline!$J$5:$J$305&gt;=H$4+1)),SUMPRODUCT((INDEX(Timeline!$P$5:$AN$305,0,MATCH($A22,Timeline!$P$4:$AN$4,0))="x")*(Timeline!$K$5:$K$305="Task")*ISNUMBER(Timeline!$I$5:$I$305)*ISNUMBER(Timeline!$J$5:$J$305)*(Timeline!$I$5:$I$305&lt;=H$4+2)*(Timeline!$J$5:$J$305&gt;=H$4+2)),SUMPRODUCT((INDEX(Timeline!$P$5:$AN$305,0,MATCH($A22,Timeline!$P$4:$AN$4,0))="x")*(Timeline!$K$5:$K$305="Task")*ISNUMBER(Timeline!$I$5:$I$305)*ISNUMBER(Timeline!$J$5:$J$305)*(Timeline!$I$5:$I$305&lt;=H$4+3)*(Timeline!$J$5:$J$305&gt;=H$4+3)),SUMPRODUCT((INDEX(Timeline!$P$5:$AN$305,0,MATCH($A22,Timeline!$P$4:$AN$4,0))="x")*(Timeline!$K$5:$K$305="Task")*ISNUMBER(Timeline!$I$5:$I$305)*ISNUMBER(Timeline!$J$5:$J$305)*(Timeline!$I$5:$I$305&lt;=H$4+4)*(Timeline!$J$5:$J$305&gt;=H$4+4)),SUMPRODUCT((INDEX(Timeline!$P$5:$AN$305,0,MATCH($A22,Timeline!$P$4:$AN$4,0))="x")*(Timeline!$K$5:$K$305="Task")*ISNUMBER(Timeline!$I$5:$I$305)*ISNUMBER(Timeline!$J$5:$J$305)*(Timeline!$I$5:$I$305&lt;=H$4+5)*(Timeline!$J$5:$J$305&gt;=H$4+5)),SUMPRODUCT((INDEX(Timeline!$P$5:$AN$305,0,MATCH($A22,Timeline!$P$4:$AN$4,0))="x")*(Timeline!$K$5:$K$305="Task")*ISNUMBER(Timeline!$I$5:$I$305)*ISNUMBER(Timeline!$J$5:$J$305)*(Timeline!$I$5:$I$305&lt;=H$4+6)*(Timeline!$J$5:$J$305&gt;=H$4+6)))</f>
        <v>0</v>
      </c>
      <c r="I22" s="67">
        <f>MAX(SUMPRODUCT((INDEX(Timeline!$P$5:$AN$305,0,MATCH($A22,Timeline!$P$4:$AN$4,0))="x")*(Timeline!$K$5:$K$305="Task")*ISNUMBER(Timeline!$I$5:$I$305)*ISNUMBER(Timeline!$J$5:$J$305)*(Timeline!$I$5:$I$305&lt;=I$4+0)*(Timeline!$J$5:$J$305&gt;=I$4+0)),SUMPRODUCT((INDEX(Timeline!$P$5:$AN$305,0,MATCH($A22,Timeline!$P$4:$AN$4,0))="x")*(Timeline!$K$5:$K$305="Task")*ISNUMBER(Timeline!$I$5:$I$305)*ISNUMBER(Timeline!$J$5:$J$305)*(Timeline!$I$5:$I$305&lt;=I$4+1)*(Timeline!$J$5:$J$305&gt;=I$4+1)),SUMPRODUCT((INDEX(Timeline!$P$5:$AN$305,0,MATCH($A22,Timeline!$P$4:$AN$4,0))="x")*(Timeline!$K$5:$K$305="Task")*ISNUMBER(Timeline!$I$5:$I$305)*ISNUMBER(Timeline!$J$5:$J$305)*(Timeline!$I$5:$I$305&lt;=I$4+2)*(Timeline!$J$5:$J$305&gt;=I$4+2)),SUMPRODUCT((INDEX(Timeline!$P$5:$AN$305,0,MATCH($A22,Timeline!$P$4:$AN$4,0))="x")*(Timeline!$K$5:$K$305="Task")*ISNUMBER(Timeline!$I$5:$I$305)*ISNUMBER(Timeline!$J$5:$J$305)*(Timeline!$I$5:$I$305&lt;=I$4+3)*(Timeline!$J$5:$J$305&gt;=I$4+3)),SUMPRODUCT((INDEX(Timeline!$P$5:$AN$305,0,MATCH($A22,Timeline!$P$4:$AN$4,0))="x")*(Timeline!$K$5:$K$305="Task")*ISNUMBER(Timeline!$I$5:$I$305)*ISNUMBER(Timeline!$J$5:$J$305)*(Timeline!$I$5:$I$305&lt;=I$4+4)*(Timeline!$J$5:$J$305&gt;=I$4+4)),SUMPRODUCT((INDEX(Timeline!$P$5:$AN$305,0,MATCH($A22,Timeline!$P$4:$AN$4,0))="x")*(Timeline!$K$5:$K$305="Task")*ISNUMBER(Timeline!$I$5:$I$305)*ISNUMBER(Timeline!$J$5:$J$305)*(Timeline!$I$5:$I$305&lt;=I$4+5)*(Timeline!$J$5:$J$305&gt;=I$4+5)),SUMPRODUCT((INDEX(Timeline!$P$5:$AN$305,0,MATCH($A22,Timeline!$P$4:$AN$4,0))="x")*(Timeline!$K$5:$K$305="Task")*ISNUMBER(Timeline!$I$5:$I$305)*ISNUMBER(Timeline!$J$5:$J$305)*(Timeline!$I$5:$I$305&lt;=I$4+6)*(Timeline!$J$5:$J$305&gt;=I$4+6)))</f>
        <v>0</v>
      </c>
      <c r="J22" s="67">
        <f>MAX(SUMPRODUCT((INDEX(Timeline!$P$5:$AN$305,0,MATCH($A22,Timeline!$P$4:$AN$4,0))="x")*(Timeline!$K$5:$K$305="Task")*ISNUMBER(Timeline!$I$5:$I$305)*ISNUMBER(Timeline!$J$5:$J$305)*(Timeline!$I$5:$I$305&lt;=J$4+0)*(Timeline!$J$5:$J$305&gt;=J$4+0)),SUMPRODUCT((INDEX(Timeline!$P$5:$AN$305,0,MATCH($A22,Timeline!$P$4:$AN$4,0))="x")*(Timeline!$K$5:$K$305="Task")*ISNUMBER(Timeline!$I$5:$I$305)*ISNUMBER(Timeline!$J$5:$J$305)*(Timeline!$I$5:$I$305&lt;=J$4+1)*(Timeline!$J$5:$J$305&gt;=J$4+1)),SUMPRODUCT((INDEX(Timeline!$P$5:$AN$305,0,MATCH($A22,Timeline!$P$4:$AN$4,0))="x")*(Timeline!$K$5:$K$305="Task")*ISNUMBER(Timeline!$I$5:$I$305)*ISNUMBER(Timeline!$J$5:$J$305)*(Timeline!$I$5:$I$305&lt;=J$4+2)*(Timeline!$J$5:$J$305&gt;=J$4+2)),SUMPRODUCT((INDEX(Timeline!$P$5:$AN$305,0,MATCH($A22,Timeline!$P$4:$AN$4,0))="x")*(Timeline!$K$5:$K$305="Task")*ISNUMBER(Timeline!$I$5:$I$305)*ISNUMBER(Timeline!$J$5:$J$305)*(Timeline!$I$5:$I$305&lt;=J$4+3)*(Timeline!$J$5:$J$305&gt;=J$4+3)),SUMPRODUCT((INDEX(Timeline!$P$5:$AN$305,0,MATCH($A22,Timeline!$P$4:$AN$4,0))="x")*(Timeline!$K$5:$K$305="Task")*ISNUMBER(Timeline!$I$5:$I$305)*ISNUMBER(Timeline!$J$5:$J$305)*(Timeline!$I$5:$I$305&lt;=J$4+4)*(Timeline!$J$5:$J$305&gt;=J$4+4)),SUMPRODUCT((INDEX(Timeline!$P$5:$AN$305,0,MATCH($A22,Timeline!$P$4:$AN$4,0))="x")*(Timeline!$K$5:$K$305="Task")*ISNUMBER(Timeline!$I$5:$I$305)*ISNUMBER(Timeline!$J$5:$J$305)*(Timeline!$I$5:$I$305&lt;=J$4+5)*(Timeline!$J$5:$J$305&gt;=J$4+5)),SUMPRODUCT((INDEX(Timeline!$P$5:$AN$305,0,MATCH($A22,Timeline!$P$4:$AN$4,0))="x")*(Timeline!$K$5:$K$305="Task")*ISNUMBER(Timeline!$I$5:$I$305)*ISNUMBER(Timeline!$J$5:$J$305)*(Timeline!$I$5:$I$305&lt;=J$4+6)*(Timeline!$J$5:$J$305&gt;=J$4+6)))</f>
        <v>1</v>
      </c>
      <c r="K22" s="67">
        <f>MAX(SUMPRODUCT((INDEX(Timeline!$P$5:$AN$305,0,MATCH($A22,Timeline!$P$4:$AN$4,0))="x")*(Timeline!$K$5:$K$305="Task")*ISNUMBER(Timeline!$I$5:$I$305)*ISNUMBER(Timeline!$J$5:$J$305)*(Timeline!$I$5:$I$305&lt;=K$4+0)*(Timeline!$J$5:$J$305&gt;=K$4+0)),SUMPRODUCT((INDEX(Timeline!$P$5:$AN$305,0,MATCH($A22,Timeline!$P$4:$AN$4,0))="x")*(Timeline!$K$5:$K$305="Task")*ISNUMBER(Timeline!$I$5:$I$305)*ISNUMBER(Timeline!$J$5:$J$305)*(Timeline!$I$5:$I$305&lt;=K$4+1)*(Timeline!$J$5:$J$305&gt;=K$4+1)),SUMPRODUCT((INDEX(Timeline!$P$5:$AN$305,0,MATCH($A22,Timeline!$P$4:$AN$4,0))="x")*(Timeline!$K$5:$K$305="Task")*ISNUMBER(Timeline!$I$5:$I$305)*ISNUMBER(Timeline!$J$5:$J$305)*(Timeline!$I$5:$I$305&lt;=K$4+2)*(Timeline!$J$5:$J$305&gt;=K$4+2)),SUMPRODUCT((INDEX(Timeline!$P$5:$AN$305,0,MATCH($A22,Timeline!$P$4:$AN$4,0))="x")*(Timeline!$K$5:$K$305="Task")*ISNUMBER(Timeline!$I$5:$I$305)*ISNUMBER(Timeline!$J$5:$J$305)*(Timeline!$I$5:$I$305&lt;=K$4+3)*(Timeline!$J$5:$J$305&gt;=K$4+3)),SUMPRODUCT((INDEX(Timeline!$P$5:$AN$305,0,MATCH($A22,Timeline!$P$4:$AN$4,0))="x")*(Timeline!$K$5:$K$305="Task")*ISNUMBER(Timeline!$I$5:$I$305)*ISNUMBER(Timeline!$J$5:$J$305)*(Timeline!$I$5:$I$305&lt;=K$4+4)*(Timeline!$J$5:$J$305&gt;=K$4+4)),SUMPRODUCT((INDEX(Timeline!$P$5:$AN$305,0,MATCH($A22,Timeline!$P$4:$AN$4,0))="x")*(Timeline!$K$5:$K$305="Task")*ISNUMBER(Timeline!$I$5:$I$305)*ISNUMBER(Timeline!$J$5:$J$305)*(Timeline!$I$5:$I$305&lt;=K$4+5)*(Timeline!$J$5:$J$305&gt;=K$4+5)),SUMPRODUCT((INDEX(Timeline!$P$5:$AN$305,0,MATCH($A22,Timeline!$P$4:$AN$4,0))="x")*(Timeline!$K$5:$K$305="Task")*ISNUMBER(Timeline!$I$5:$I$305)*ISNUMBER(Timeline!$J$5:$J$305)*(Timeline!$I$5:$I$305&lt;=K$4+6)*(Timeline!$J$5:$J$305&gt;=K$4+6)))</f>
        <v>1</v>
      </c>
      <c r="L22" s="67">
        <f>MAX(SUMPRODUCT((INDEX(Timeline!$P$5:$AN$305,0,MATCH($A22,Timeline!$P$4:$AN$4,0))="x")*(Timeline!$K$5:$K$305="Task")*ISNUMBER(Timeline!$I$5:$I$305)*ISNUMBER(Timeline!$J$5:$J$305)*(Timeline!$I$5:$I$305&lt;=L$4+0)*(Timeline!$J$5:$J$305&gt;=L$4+0)),SUMPRODUCT((INDEX(Timeline!$P$5:$AN$305,0,MATCH($A22,Timeline!$P$4:$AN$4,0))="x")*(Timeline!$K$5:$K$305="Task")*ISNUMBER(Timeline!$I$5:$I$305)*ISNUMBER(Timeline!$J$5:$J$305)*(Timeline!$I$5:$I$305&lt;=L$4+1)*(Timeline!$J$5:$J$305&gt;=L$4+1)),SUMPRODUCT((INDEX(Timeline!$P$5:$AN$305,0,MATCH($A22,Timeline!$P$4:$AN$4,0))="x")*(Timeline!$K$5:$K$305="Task")*ISNUMBER(Timeline!$I$5:$I$305)*ISNUMBER(Timeline!$J$5:$J$305)*(Timeline!$I$5:$I$305&lt;=L$4+2)*(Timeline!$J$5:$J$305&gt;=L$4+2)),SUMPRODUCT((INDEX(Timeline!$P$5:$AN$305,0,MATCH($A22,Timeline!$P$4:$AN$4,0))="x")*(Timeline!$K$5:$K$305="Task")*ISNUMBER(Timeline!$I$5:$I$305)*ISNUMBER(Timeline!$J$5:$J$305)*(Timeline!$I$5:$I$305&lt;=L$4+3)*(Timeline!$J$5:$J$305&gt;=L$4+3)),SUMPRODUCT((INDEX(Timeline!$P$5:$AN$305,0,MATCH($A22,Timeline!$P$4:$AN$4,0))="x")*(Timeline!$K$5:$K$305="Task")*ISNUMBER(Timeline!$I$5:$I$305)*ISNUMBER(Timeline!$J$5:$J$305)*(Timeline!$I$5:$I$305&lt;=L$4+4)*(Timeline!$J$5:$J$305&gt;=L$4+4)),SUMPRODUCT((INDEX(Timeline!$P$5:$AN$305,0,MATCH($A22,Timeline!$P$4:$AN$4,0))="x")*(Timeline!$K$5:$K$305="Task")*ISNUMBER(Timeline!$I$5:$I$305)*ISNUMBER(Timeline!$J$5:$J$305)*(Timeline!$I$5:$I$305&lt;=L$4+5)*(Timeline!$J$5:$J$305&gt;=L$4+5)),SUMPRODUCT((INDEX(Timeline!$P$5:$AN$305,0,MATCH($A22,Timeline!$P$4:$AN$4,0))="x")*(Timeline!$K$5:$K$305="Task")*ISNUMBER(Timeline!$I$5:$I$305)*ISNUMBER(Timeline!$J$5:$J$305)*(Timeline!$I$5:$I$305&lt;=L$4+6)*(Timeline!$J$5:$J$305&gt;=L$4+6)))</f>
        <v>1</v>
      </c>
      <c r="M22" s="67">
        <f>MAX(SUMPRODUCT((INDEX(Timeline!$P$5:$AN$305,0,MATCH($A22,Timeline!$P$4:$AN$4,0))="x")*(Timeline!$K$5:$K$305="Task")*ISNUMBER(Timeline!$I$5:$I$305)*ISNUMBER(Timeline!$J$5:$J$305)*(Timeline!$I$5:$I$305&lt;=M$4+0)*(Timeline!$J$5:$J$305&gt;=M$4+0)),SUMPRODUCT((INDEX(Timeline!$P$5:$AN$305,0,MATCH($A22,Timeline!$P$4:$AN$4,0))="x")*(Timeline!$K$5:$K$305="Task")*ISNUMBER(Timeline!$I$5:$I$305)*ISNUMBER(Timeline!$J$5:$J$305)*(Timeline!$I$5:$I$305&lt;=M$4+1)*(Timeline!$J$5:$J$305&gt;=M$4+1)),SUMPRODUCT((INDEX(Timeline!$P$5:$AN$305,0,MATCH($A22,Timeline!$P$4:$AN$4,0))="x")*(Timeline!$K$5:$K$305="Task")*ISNUMBER(Timeline!$I$5:$I$305)*ISNUMBER(Timeline!$J$5:$J$305)*(Timeline!$I$5:$I$305&lt;=M$4+2)*(Timeline!$J$5:$J$305&gt;=M$4+2)),SUMPRODUCT((INDEX(Timeline!$P$5:$AN$305,0,MATCH($A22,Timeline!$P$4:$AN$4,0))="x")*(Timeline!$K$5:$K$305="Task")*ISNUMBER(Timeline!$I$5:$I$305)*ISNUMBER(Timeline!$J$5:$J$305)*(Timeline!$I$5:$I$305&lt;=M$4+3)*(Timeline!$J$5:$J$305&gt;=M$4+3)),SUMPRODUCT((INDEX(Timeline!$P$5:$AN$305,0,MATCH($A22,Timeline!$P$4:$AN$4,0))="x")*(Timeline!$K$5:$K$305="Task")*ISNUMBER(Timeline!$I$5:$I$305)*ISNUMBER(Timeline!$J$5:$J$305)*(Timeline!$I$5:$I$305&lt;=M$4+4)*(Timeline!$J$5:$J$305&gt;=M$4+4)),SUMPRODUCT((INDEX(Timeline!$P$5:$AN$305,0,MATCH($A22,Timeline!$P$4:$AN$4,0))="x")*(Timeline!$K$5:$K$305="Task")*ISNUMBER(Timeline!$I$5:$I$305)*ISNUMBER(Timeline!$J$5:$J$305)*(Timeline!$I$5:$I$305&lt;=M$4+5)*(Timeline!$J$5:$J$305&gt;=M$4+5)),SUMPRODUCT((INDEX(Timeline!$P$5:$AN$305,0,MATCH($A22,Timeline!$P$4:$AN$4,0))="x")*(Timeline!$K$5:$K$305="Task")*ISNUMBER(Timeline!$I$5:$I$305)*ISNUMBER(Timeline!$J$5:$J$305)*(Timeline!$I$5:$I$305&lt;=M$4+6)*(Timeline!$J$5:$J$305&gt;=M$4+6)))</f>
        <v>1</v>
      </c>
      <c r="N22" s="67">
        <f>MAX(SUMPRODUCT((INDEX(Timeline!$P$5:$AN$305,0,MATCH($A22,Timeline!$P$4:$AN$4,0))="x")*(Timeline!$K$5:$K$305="Task")*ISNUMBER(Timeline!$I$5:$I$305)*ISNUMBER(Timeline!$J$5:$J$305)*(Timeline!$I$5:$I$305&lt;=N$4+0)*(Timeline!$J$5:$J$305&gt;=N$4+0)),SUMPRODUCT((INDEX(Timeline!$P$5:$AN$305,0,MATCH($A22,Timeline!$P$4:$AN$4,0))="x")*(Timeline!$K$5:$K$305="Task")*ISNUMBER(Timeline!$I$5:$I$305)*ISNUMBER(Timeline!$J$5:$J$305)*(Timeline!$I$5:$I$305&lt;=N$4+1)*(Timeline!$J$5:$J$305&gt;=N$4+1)),SUMPRODUCT((INDEX(Timeline!$P$5:$AN$305,0,MATCH($A22,Timeline!$P$4:$AN$4,0))="x")*(Timeline!$K$5:$K$305="Task")*ISNUMBER(Timeline!$I$5:$I$305)*ISNUMBER(Timeline!$J$5:$J$305)*(Timeline!$I$5:$I$305&lt;=N$4+2)*(Timeline!$J$5:$J$305&gt;=N$4+2)),SUMPRODUCT((INDEX(Timeline!$P$5:$AN$305,0,MATCH($A22,Timeline!$P$4:$AN$4,0))="x")*(Timeline!$K$5:$K$305="Task")*ISNUMBER(Timeline!$I$5:$I$305)*ISNUMBER(Timeline!$J$5:$J$305)*(Timeline!$I$5:$I$305&lt;=N$4+3)*(Timeline!$J$5:$J$305&gt;=N$4+3)),SUMPRODUCT((INDEX(Timeline!$P$5:$AN$305,0,MATCH($A22,Timeline!$P$4:$AN$4,0))="x")*(Timeline!$K$5:$K$305="Task")*ISNUMBER(Timeline!$I$5:$I$305)*ISNUMBER(Timeline!$J$5:$J$305)*(Timeline!$I$5:$I$305&lt;=N$4+4)*(Timeline!$J$5:$J$305&gt;=N$4+4)),SUMPRODUCT((INDEX(Timeline!$P$5:$AN$305,0,MATCH($A22,Timeline!$P$4:$AN$4,0))="x")*(Timeline!$K$5:$K$305="Task")*ISNUMBER(Timeline!$I$5:$I$305)*ISNUMBER(Timeline!$J$5:$J$305)*(Timeline!$I$5:$I$305&lt;=N$4+5)*(Timeline!$J$5:$J$305&gt;=N$4+5)),SUMPRODUCT((INDEX(Timeline!$P$5:$AN$305,0,MATCH($A22,Timeline!$P$4:$AN$4,0))="x")*(Timeline!$K$5:$K$305="Task")*ISNUMBER(Timeline!$I$5:$I$305)*ISNUMBER(Timeline!$J$5:$J$305)*(Timeline!$I$5:$I$305&lt;=N$4+6)*(Timeline!$J$5:$J$305&gt;=N$4+6)))</f>
        <v>0</v>
      </c>
      <c r="O22" s="67">
        <f>MAX(SUMPRODUCT((INDEX(Timeline!$P$5:$AN$305,0,MATCH($A22,Timeline!$P$4:$AN$4,0))="x")*(Timeline!$K$5:$K$305="Task")*ISNUMBER(Timeline!$I$5:$I$305)*ISNUMBER(Timeline!$J$5:$J$305)*(Timeline!$I$5:$I$305&lt;=O$4+0)*(Timeline!$J$5:$J$305&gt;=O$4+0)),SUMPRODUCT((INDEX(Timeline!$P$5:$AN$305,0,MATCH($A22,Timeline!$P$4:$AN$4,0))="x")*(Timeline!$K$5:$K$305="Task")*ISNUMBER(Timeline!$I$5:$I$305)*ISNUMBER(Timeline!$J$5:$J$305)*(Timeline!$I$5:$I$305&lt;=O$4+1)*(Timeline!$J$5:$J$305&gt;=O$4+1)),SUMPRODUCT((INDEX(Timeline!$P$5:$AN$305,0,MATCH($A22,Timeline!$P$4:$AN$4,0))="x")*(Timeline!$K$5:$K$305="Task")*ISNUMBER(Timeline!$I$5:$I$305)*ISNUMBER(Timeline!$J$5:$J$305)*(Timeline!$I$5:$I$305&lt;=O$4+2)*(Timeline!$J$5:$J$305&gt;=O$4+2)),SUMPRODUCT((INDEX(Timeline!$P$5:$AN$305,0,MATCH($A22,Timeline!$P$4:$AN$4,0))="x")*(Timeline!$K$5:$K$305="Task")*ISNUMBER(Timeline!$I$5:$I$305)*ISNUMBER(Timeline!$J$5:$J$305)*(Timeline!$I$5:$I$305&lt;=O$4+3)*(Timeline!$J$5:$J$305&gt;=O$4+3)),SUMPRODUCT((INDEX(Timeline!$P$5:$AN$305,0,MATCH($A22,Timeline!$P$4:$AN$4,0))="x")*(Timeline!$K$5:$K$305="Task")*ISNUMBER(Timeline!$I$5:$I$305)*ISNUMBER(Timeline!$J$5:$J$305)*(Timeline!$I$5:$I$305&lt;=O$4+4)*(Timeline!$J$5:$J$305&gt;=O$4+4)),SUMPRODUCT((INDEX(Timeline!$P$5:$AN$305,0,MATCH($A22,Timeline!$P$4:$AN$4,0))="x")*(Timeline!$K$5:$K$305="Task")*ISNUMBER(Timeline!$I$5:$I$305)*ISNUMBER(Timeline!$J$5:$J$305)*(Timeline!$I$5:$I$305&lt;=O$4+5)*(Timeline!$J$5:$J$305&gt;=O$4+5)),SUMPRODUCT((INDEX(Timeline!$P$5:$AN$305,0,MATCH($A22,Timeline!$P$4:$AN$4,0))="x")*(Timeline!$K$5:$K$305="Task")*ISNUMBER(Timeline!$I$5:$I$305)*ISNUMBER(Timeline!$J$5:$J$305)*(Timeline!$I$5:$I$305&lt;=O$4+6)*(Timeline!$J$5:$J$305&gt;=O$4+6)))</f>
        <v>1</v>
      </c>
      <c r="P22" s="67">
        <f>MAX(SUMPRODUCT((INDEX(Timeline!$P$5:$AN$305,0,MATCH($A22,Timeline!$P$4:$AN$4,0))="x")*(Timeline!$K$5:$K$305="Task")*ISNUMBER(Timeline!$I$5:$I$305)*ISNUMBER(Timeline!$J$5:$J$305)*(Timeline!$I$5:$I$305&lt;=P$4+0)*(Timeline!$J$5:$J$305&gt;=P$4+0)),SUMPRODUCT((INDEX(Timeline!$P$5:$AN$305,0,MATCH($A22,Timeline!$P$4:$AN$4,0))="x")*(Timeline!$K$5:$K$305="Task")*ISNUMBER(Timeline!$I$5:$I$305)*ISNUMBER(Timeline!$J$5:$J$305)*(Timeline!$I$5:$I$305&lt;=P$4+1)*(Timeline!$J$5:$J$305&gt;=P$4+1)),SUMPRODUCT((INDEX(Timeline!$P$5:$AN$305,0,MATCH($A22,Timeline!$P$4:$AN$4,0))="x")*(Timeline!$K$5:$K$305="Task")*ISNUMBER(Timeline!$I$5:$I$305)*ISNUMBER(Timeline!$J$5:$J$305)*(Timeline!$I$5:$I$305&lt;=P$4+2)*(Timeline!$J$5:$J$305&gt;=P$4+2)),SUMPRODUCT((INDEX(Timeline!$P$5:$AN$305,0,MATCH($A22,Timeline!$P$4:$AN$4,0))="x")*(Timeline!$K$5:$K$305="Task")*ISNUMBER(Timeline!$I$5:$I$305)*ISNUMBER(Timeline!$J$5:$J$305)*(Timeline!$I$5:$I$305&lt;=P$4+3)*(Timeline!$J$5:$J$305&gt;=P$4+3)),SUMPRODUCT((INDEX(Timeline!$P$5:$AN$305,0,MATCH($A22,Timeline!$P$4:$AN$4,0))="x")*(Timeline!$K$5:$K$305="Task")*ISNUMBER(Timeline!$I$5:$I$305)*ISNUMBER(Timeline!$J$5:$J$305)*(Timeline!$I$5:$I$305&lt;=P$4+4)*(Timeline!$J$5:$J$305&gt;=P$4+4)),SUMPRODUCT((INDEX(Timeline!$P$5:$AN$305,0,MATCH($A22,Timeline!$P$4:$AN$4,0))="x")*(Timeline!$K$5:$K$305="Task")*ISNUMBER(Timeline!$I$5:$I$305)*ISNUMBER(Timeline!$J$5:$J$305)*(Timeline!$I$5:$I$305&lt;=P$4+5)*(Timeline!$J$5:$J$305&gt;=P$4+5)),SUMPRODUCT((INDEX(Timeline!$P$5:$AN$305,0,MATCH($A22,Timeline!$P$4:$AN$4,0))="x")*(Timeline!$K$5:$K$305="Task")*ISNUMBER(Timeline!$I$5:$I$305)*ISNUMBER(Timeline!$J$5:$J$305)*(Timeline!$I$5:$I$305&lt;=P$4+6)*(Timeline!$J$5:$J$305&gt;=P$4+6)))</f>
        <v>1</v>
      </c>
      <c r="Q22" s="67">
        <f>MAX(SUMPRODUCT((INDEX(Timeline!$P$5:$AN$305,0,MATCH($A22,Timeline!$P$4:$AN$4,0))="x")*(Timeline!$K$5:$K$305="Task")*ISNUMBER(Timeline!$I$5:$I$305)*ISNUMBER(Timeline!$J$5:$J$305)*(Timeline!$I$5:$I$305&lt;=Q$4+0)*(Timeline!$J$5:$J$305&gt;=Q$4+0)),SUMPRODUCT((INDEX(Timeline!$P$5:$AN$305,0,MATCH($A22,Timeline!$P$4:$AN$4,0))="x")*(Timeline!$K$5:$K$305="Task")*ISNUMBER(Timeline!$I$5:$I$305)*ISNUMBER(Timeline!$J$5:$J$305)*(Timeline!$I$5:$I$305&lt;=Q$4+1)*(Timeline!$J$5:$J$305&gt;=Q$4+1)),SUMPRODUCT((INDEX(Timeline!$P$5:$AN$305,0,MATCH($A22,Timeline!$P$4:$AN$4,0))="x")*(Timeline!$K$5:$K$305="Task")*ISNUMBER(Timeline!$I$5:$I$305)*ISNUMBER(Timeline!$J$5:$J$305)*(Timeline!$I$5:$I$305&lt;=Q$4+2)*(Timeline!$J$5:$J$305&gt;=Q$4+2)),SUMPRODUCT((INDEX(Timeline!$P$5:$AN$305,0,MATCH($A22,Timeline!$P$4:$AN$4,0))="x")*(Timeline!$K$5:$K$305="Task")*ISNUMBER(Timeline!$I$5:$I$305)*ISNUMBER(Timeline!$J$5:$J$305)*(Timeline!$I$5:$I$305&lt;=Q$4+3)*(Timeline!$J$5:$J$305&gt;=Q$4+3)),SUMPRODUCT((INDEX(Timeline!$P$5:$AN$305,0,MATCH($A22,Timeline!$P$4:$AN$4,0))="x")*(Timeline!$K$5:$K$305="Task")*ISNUMBER(Timeline!$I$5:$I$305)*ISNUMBER(Timeline!$J$5:$J$305)*(Timeline!$I$5:$I$305&lt;=Q$4+4)*(Timeline!$J$5:$J$305&gt;=Q$4+4)),SUMPRODUCT((INDEX(Timeline!$P$5:$AN$305,0,MATCH($A22,Timeline!$P$4:$AN$4,0))="x")*(Timeline!$K$5:$K$305="Task")*ISNUMBER(Timeline!$I$5:$I$305)*ISNUMBER(Timeline!$J$5:$J$305)*(Timeline!$I$5:$I$305&lt;=Q$4+5)*(Timeline!$J$5:$J$305&gt;=Q$4+5)),SUMPRODUCT((INDEX(Timeline!$P$5:$AN$305,0,MATCH($A22,Timeline!$P$4:$AN$4,0))="x")*(Timeline!$K$5:$K$305="Task")*ISNUMBER(Timeline!$I$5:$I$305)*ISNUMBER(Timeline!$J$5:$J$305)*(Timeline!$I$5:$I$305&lt;=Q$4+6)*(Timeline!$J$5:$J$305&gt;=Q$4+6)))</f>
        <v>0</v>
      </c>
      <c r="R22" s="67">
        <f>MAX(SUMPRODUCT((INDEX(Timeline!$P$5:$AN$305,0,MATCH($A22,Timeline!$P$4:$AN$4,0))="x")*(Timeline!$K$5:$K$305="Task")*ISNUMBER(Timeline!$I$5:$I$305)*ISNUMBER(Timeline!$J$5:$J$305)*(Timeline!$I$5:$I$305&lt;=R$4+0)*(Timeline!$J$5:$J$305&gt;=R$4+0)),SUMPRODUCT((INDEX(Timeline!$P$5:$AN$305,0,MATCH($A22,Timeline!$P$4:$AN$4,0))="x")*(Timeline!$K$5:$K$305="Task")*ISNUMBER(Timeline!$I$5:$I$305)*ISNUMBER(Timeline!$J$5:$J$305)*(Timeline!$I$5:$I$305&lt;=R$4+1)*(Timeline!$J$5:$J$305&gt;=R$4+1)),SUMPRODUCT((INDEX(Timeline!$P$5:$AN$305,0,MATCH($A22,Timeline!$P$4:$AN$4,0))="x")*(Timeline!$K$5:$K$305="Task")*ISNUMBER(Timeline!$I$5:$I$305)*ISNUMBER(Timeline!$J$5:$J$305)*(Timeline!$I$5:$I$305&lt;=R$4+2)*(Timeline!$J$5:$J$305&gt;=R$4+2)),SUMPRODUCT((INDEX(Timeline!$P$5:$AN$305,0,MATCH($A22,Timeline!$P$4:$AN$4,0))="x")*(Timeline!$K$5:$K$305="Task")*ISNUMBER(Timeline!$I$5:$I$305)*ISNUMBER(Timeline!$J$5:$J$305)*(Timeline!$I$5:$I$305&lt;=R$4+3)*(Timeline!$J$5:$J$305&gt;=R$4+3)),SUMPRODUCT((INDEX(Timeline!$P$5:$AN$305,0,MATCH($A22,Timeline!$P$4:$AN$4,0))="x")*(Timeline!$K$5:$K$305="Task")*ISNUMBER(Timeline!$I$5:$I$305)*ISNUMBER(Timeline!$J$5:$J$305)*(Timeline!$I$5:$I$305&lt;=R$4+4)*(Timeline!$J$5:$J$305&gt;=R$4+4)),SUMPRODUCT((INDEX(Timeline!$P$5:$AN$305,0,MATCH($A22,Timeline!$P$4:$AN$4,0))="x")*(Timeline!$K$5:$K$305="Task")*ISNUMBER(Timeline!$I$5:$I$305)*ISNUMBER(Timeline!$J$5:$J$305)*(Timeline!$I$5:$I$305&lt;=R$4+5)*(Timeline!$J$5:$J$305&gt;=R$4+5)),SUMPRODUCT((INDEX(Timeline!$P$5:$AN$305,0,MATCH($A22,Timeline!$P$4:$AN$4,0))="x")*(Timeline!$K$5:$K$305="Task")*ISNUMBER(Timeline!$I$5:$I$305)*ISNUMBER(Timeline!$J$5:$J$305)*(Timeline!$I$5:$I$305&lt;=R$4+6)*(Timeline!$J$5:$J$305&gt;=R$4+6)))</f>
        <v>1</v>
      </c>
      <c r="S22" s="67">
        <f>MAX(SUMPRODUCT((INDEX(Timeline!$P$5:$AN$305,0,MATCH($A22,Timeline!$P$4:$AN$4,0))="x")*(Timeline!$K$5:$K$305="Task")*ISNUMBER(Timeline!$I$5:$I$305)*ISNUMBER(Timeline!$J$5:$J$305)*(Timeline!$I$5:$I$305&lt;=S$4+0)*(Timeline!$J$5:$J$305&gt;=S$4+0)),SUMPRODUCT((INDEX(Timeline!$P$5:$AN$305,0,MATCH($A22,Timeline!$P$4:$AN$4,0))="x")*(Timeline!$K$5:$K$305="Task")*ISNUMBER(Timeline!$I$5:$I$305)*ISNUMBER(Timeline!$J$5:$J$305)*(Timeline!$I$5:$I$305&lt;=S$4+1)*(Timeline!$J$5:$J$305&gt;=S$4+1)),SUMPRODUCT((INDEX(Timeline!$P$5:$AN$305,0,MATCH($A22,Timeline!$P$4:$AN$4,0))="x")*(Timeline!$K$5:$K$305="Task")*ISNUMBER(Timeline!$I$5:$I$305)*ISNUMBER(Timeline!$J$5:$J$305)*(Timeline!$I$5:$I$305&lt;=S$4+2)*(Timeline!$J$5:$J$305&gt;=S$4+2)),SUMPRODUCT((INDEX(Timeline!$P$5:$AN$305,0,MATCH($A22,Timeline!$P$4:$AN$4,0))="x")*(Timeline!$K$5:$K$305="Task")*ISNUMBER(Timeline!$I$5:$I$305)*ISNUMBER(Timeline!$J$5:$J$305)*(Timeline!$I$5:$I$305&lt;=S$4+3)*(Timeline!$J$5:$J$305&gt;=S$4+3)),SUMPRODUCT((INDEX(Timeline!$P$5:$AN$305,0,MATCH($A22,Timeline!$P$4:$AN$4,0))="x")*(Timeline!$K$5:$K$305="Task")*ISNUMBER(Timeline!$I$5:$I$305)*ISNUMBER(Timeline!$J$5:$J$305)*(Timeline!$I$5:$I$305&lt;=S$4+4)*(Timeline!$J$5:$J$305&gt;=S$4+4)),SUMPRODUCT((INDEX(Timeline!$P$5:$AN$305,0,MATCH($A22,Timeline!$P$4:$AN$4,0))="x")*(Timeline!$K$5:$K$305="Task")*ISNUMBER(Timeline!$I$5:$I$305)*ISNUMBER(Timeline!$J$5:$J$305)*(Timeline!$I$5:$I$305&lt;=S$4+5)*(Timeline!$J$5:$J$305&gt;=S$4+5)),SUMPRODUCT((INDEX(Timeline!$P$5:$AN$305,0,MATCH($A22,Timeline!$P$4:$AN$4,0))="x")*(Timeline!$K$5:$K$305="Task")*ISNUMBER(Timeline!$I$5:$I$305)*ISNUMBER(Timeline!$J$5:$J$305)*(Timeline!$I$5:$I$305&lt;=S$4+6)*(Timeline!$J$5:$J$305&gt;=S$4+6)))</f>
        <v>1</v>
      </c>
      <c r="T22" s="67">
        <f>MAX(SUMPRODUCT((INDEX(Timeline!$P$5:$AN$305,0,MATCH($A22,Timeline!$P$4:$AN$4,0))="x")*(Timeline!$K$5:$K$305="Task")*ISNUMBER(Timeline!$I$5:$I$305)*ISNUMBER(Timeline!$J$5:$J$305)*(Timeline!$I$5:$I$305&lt;=T$4+0)*(Timeline!$J$5:$J$305&gt;=T$4+0)),SUMPRODUCT((INDEX(Timeline!$P$5:$AN$305,0,MATCH($A22,Timeline!$P$4:$AN$4,0))="x")*(Timeline!$K$5:$K$305="Task")*ISNUMBER(Timeline!$I$5:$I$305)*ISNUMBER(Timeline!$J$5:$J$305)*(Timeline!$I$5:$I$305&lt;=T$4+1)*(Timeline!$J$5:$J$305&gt;=T$4+1)),SUMPRODUCT((INDEX(Timeline!$P$5:$AN$305,0,MATCH($A22,Timeline!$P$4:$AN$4,0))="x")*(Timeline!$K$5:$K$305="Task")*ISNUMBER(Timeline!$I$5:$I$305)*ISNUMBER(Timeline!$J$5:$J$305)*(Timeline!$I$5:$I$305&lt;=T$4+2)*(Timeline!$J$5:$J$305&gt;=T$4+2)),SUMPRODUCT((INDEX(Timeline!$P$5:$AN$305,0,MATCH($A22,Timeline!$P$4:$AN$4,0))="x")*(Timeline!$K$5:$K$305="Task")*ISNUMBER(Timeline!$I$5:$I$305)*ISNUMBER(Timeline!$J$5:$J$305)*(Timeline!$I$5:$I$305&lt;=T$4+3)*(Timeline!$J$5:$J$305&gt;=T$4+3)),SUMPRODUCT((INDEX(Timeline!$P$5:$AN$305,0,MATCH($A22,Timeline!$P$4:$AN$4,0))="x")*(Timeline!$K$5:$K$305="Task")*ISNUMBER(Timeline!$I$5:$I$305)*ISNUMBER(Timeline!$J$5:$J$305)*(Timeline!$I$5:$I$305&lt;=T$4+4)*(Timeline!$J$5:$J$305&gt;=T$4+4)),SUMPRODUCT((INDEX(Timeline!$P$5:$AN$305,0,MATCH($A22,Timeline!$P$4:$AN$4,0))="x")*(Timeline!$K$5:$K$305="Task")*ISNUMBER(Timeline!$I$5:$I$305)*ISNUMBER(Timeline!$J$5:$J$305)*(Timeline!$I$5:$I$305&lt;=T$4+5)*(Timeline!$J$5:$J$305&gt;=T$4+5)),SUMPRODUCT((INDEX(Timeline!$P$5:$AN$305,0,MATCH($A22,Timeline!$P$4:$AN$4,0))="x")*(Timeline!$K$5:$K$305="Task")*ISNUMBER(Timeline!$I$5:$I$305)*ISNUMBER(Timeline!$J$5:$J$305)*(Timeline!$I$5:$I$305&lt;=T$4+6)*(Timeline!$J$5:$J$305&gt;=T$4+6)))</f>
        <v>1</v>
      </c>
      <c r="U22" s="67">
        <f>MAX(SUMPRODUCT((INDEX(Timeline!$P$5:$AN$305,0,MATCH($A22,Timeline!$P$4:$AN$4,0))="x")*(Timeline!$K$5:$K$305="Task")*ISNUMBER(Timeline!$I$5:$I$305)*ISNUMBER(Timeline!$J$5:$J$305)*(Timeline!$I$5:$I$305&lt;=U$4+0)*(Timeline!$J$5:$J$305&gt;=U$4+0)),SUMPRODUCT((INDEX(Timeline!$P$5:$AN$305,0,MATCH($A22,Timeline!$P$4:$AN$4,0))="x")*(Timeline!$K$5:$K$305="Task")*ISNUMBER(Timeline!$I$5:$I$305)*ISNUMBER(Timeline!$J$5:$J$305)*(Timeline!$I$5:$I$305&lt;=U$4+1)*(Timeline!$J$5:$J$305&gt;=U$4+1)),SUMPRODUCT((INDEX(Timeline!$P$5:$AN$305,0,MATCH($A22,Timeline!$P$4:$AN$4,0))="x")*(Timeline!$K$5:$K$305="Task")*ISNUMBER(Timeline!$I$5:$I$305)*ISNUMBER(Timeline!$J$5:$J$305)*(Timeline!$I$5:$I$305&lt;=U$4+2)*(Timeline!$J$5:$J$305&gt;=U$4+2)),SUMPRODUCT((INDEX(Timeline!$P$5:$AN$305,0,MATCH($A22,Timeline!$P$4:$AN$4,0))="x")*(Timeline!$K$5:$K$305="Task")*ISNUMBER(Timeline!$I$5:$I$305)*ISNUMBER(Timeline!$J$5:$J$305)*(Timeline!$I$5:$I$305&lt;=U$4+3)*(Timeline!$J$5:$J$305&gt;=U$4+3)),SUMPRODUCT((INDEX(Timeline!$P$5:$AN$305,0,MATCH($A22,Timeline!$P$4:$AN$4,0))="x")*(Timeline!$K$5:$K$305="Task")*ISNUMBER(Timeline!$I$5:$I$305)*ISNUMBER(Timeline!$J$5:$J$305)*(Timeline!$I$5:$I$305&lt;=U$4+4)*(Timeline!$J$5:$J$305&gt;=U$4+4)),SUMPRODUCT((INDEX(Timeline!$P$5:$AN$305,0,MATCH($A22,Timeline!$P$4:$AN$4,0))="x")*(Timeline!$K$5:$K$305="Task")*ISNUMBER(Timeline!$I$5:$I$305)*ISNUMBER(Timeline!$J$5:$J$305)*(Timeline!$I$5:$I$305&lt;=U$4+5)*(Timeline!$J$5:$J$305&gt;=U$4+5)),SUMPRODUCT((INDEX(Timeline!$P$5:$AN$305,0,MATCH($A22,Timeline!$P$4:$AN$4,0))="x")*(Timeline!$K$5:$K$305="Task")*ISNUMBER(Timeline!$I$5:$I$305)*ISNUMBER(Timeline!$J$5:$J$305)*(Timeline!$I$5:$I$305&lt;=U$4+6)*(Timeline!$J$5:$J$305&gt;=U$4+6)))</f>
        <v>1</v>
      </c>
      <c r="V22" s="67">
        <f>MAX(SUMPRODUCT((INDEX(Timeline!$P$5:$AN$305,0,MATCH($A22,Timeline!$P$4:$AN$4,0))="x")*(Timeline!$K$5:$K$305="Task")*ISNUMBER(Timeline!$I$5:$I$305)*ISNUMBER(Timeline!$J$5:$J$305)*(Timeline!$I$5:$I$305&lt;=V$4+0)*(Timeline!$J$5:$J$305&gt;=V$4+0)),SUMPRODUCT((INDEX(Timeline!$P$5:$AN$305,0,MATCH($A22,Timeline!$P$4:$AN$4,0))="x")*(Timeline!$K$5:$K$305="Task")*ISNUMBER(Timeline!$I$5:$I$305)*ISNUMBER(Timeline!$J$5:$J$305)*(Timeline!$I$5:$I$305&lt;=V$4+1)*(Timeline!$J$5:$J$305&gt;=V$4+1)),SUMPRODUCT((INDEX(Timeline!$P$5:$AN$305,0,MATCH($A22,Timeline!$P$4:$AN$4,0))="x")*(Timeline!$K$5:$K$305="Task")*ISNUMBER(Timeline!$I$5:$I$305)*ISNUMBER(Timeline!$J$5:$J$305)*(Timeline!$I$5:$I$305&lt;=V$4+2)*(Timeline!$J$5:$J$305&gt;=V$4+2)),SUMPRODUCT((INDEX(Timeline!$P$5:$AN$305,0,MATCH($A22,Timeline!$P$4:$AN$4,0))="x")*(Timeline!$K$5:$K$305="Task")*ISNUMBER(Timeline!$I$5:$I$305)*ISNUMBER(Timeline!$J$5:$J$305)*(Timeline!$I$5:$I$305&lt;=V$4+3)*(Timeline!$J$5:$J$305&gt;=V$4+3)),SUMPRODUCT((INDEX(Timeline!$P$5:$AN$305,0,MATCH($A22,Timeline!$P$4:$AN$4,0))="x")*(Timeline!$K$5:$K$305="Task")*ISNUMBER(Timeline!$I$5:$I$305)*ISNUMBER(Timeline!$J$5:$J$305)*(Timeline!$I$5:$I$305&lt;=V$4+4)*(Timeline!$J$5:$J$305&gt;=V$4+4)),SUMPRODUCT((INDEX(Timeline!$P$5:$AN$305,0,MATCH($A22,Timeline!$P$4:$AN$4,0))="x")*(Timeline!$K$5:$K$305="Task")*ISNUMBER(Timeline!$I$5:$I$305)*ISNUMBER(Timeline!$J$5:$J$305)*(Timeline!$I$5:$I$305&lt;=V$4+5)*(Timeline!$J$5:$J$305&gt;=V$4+5)),SUMPRODUCT((INDEX(Timeline!$P$5:$AN$305,0,MATCH($A22,Timeline!$P$4:$AN$4,0))="x")*(Timeline!$K$5:$K$305="Task")*ISNUMBER(Timeline!$I$5:$I$305)*ISNUMBER(Timeline!$J$5:$J$305)*(Timeline!$I$5:$I$305&lt;=V$4+6)*(Timeline!$J$5:$J$305&gt;=V$4+6)))</f>
        <v>1</v>
      </c>
      <c r="W22" s="67">
        <f>MAX(SUMPRODUCT((INDEX(Timeline!$P$5:$AN$305,0,MATCH($A22,Timeline!$P$4:$AN$4,0))="x")*(Timeline!$K$5:$K$305="Task")*ISNUMBER(Timeline!$I$5:$I$305)*ISNUMBER(Timeline!$J$5:$J$305)*(Timeline!$I$5:$I$305&lt;=W$4+0)*(Timeline!$J$5:$J$305&gt;=W$4+0)),SUMPRODUCT((INDEX(Timeline!$P$5:$AN$305,0,MATCH($A22,Timeline!$P$4:$AN$4,0))="x")*(Timeline!$K$5:$K$305="Task")*ISNUMBER(Timeline!$I$5:$I$305)*ISNUMBER(Timeline!$J$5:$J$305)*(Timeline!$I$5:$I$305&lt;=W$4+1)*(Timeline!$J$5:$J$305&gt;=W$4+1)),SUMPRODUCT((INDEX(Timeline!$P$5:$AN$305,0,MATCH($A22,Timeline!$P$4:$AN$4,0))="x")*(Timeline!$K$5:$K$305="Task")*ISNUMBER(Timeline!$I$5:$I$305)*ISNUMBER(Timeline!$J$5:$J$305)*(Timeline!$I$5:$I$305&lt;=W$4+2)*(Timeline!$J$5:$J$305&gt;=W$4+2)),SUMPRODUCT((INDEX(Timeline!$P$5:$AN$305,0,MATCH($A22,Timeline!$P$4:$AN$4,0))="x")*(Timeline!$K$5:$K$305="Task")*ISNUMBER(Timeline!$I$5:$I$305)*ISNUMBER(Timeline!$J$5:$J$305)*(Timeline!$I$5:$I$305&lt;=W$4+3)*(Timeline!$J$5:$J$305&gt;=W$4+3)),SUMPRODUCT((INDEX(Timeline!$P$5:$AN$305,0,MATCH($A22,Timeline!$P$4:$AN$4,0))="x")*(Timeline!$K$5:$K$305="Task")*ISNUMBER(Timeline!$I$5:$I$305)*ISNUMBER(Timeline!$J$5:$J$305)*(Timeline!$I$5:$I$305&lt;=W$4+4)*(Timeline!$J$5:$J$305&gt;=W$4+4)),SUMPRODUCT((INDEX(Timeline!$P$5:$AN$305,0,MATCH($A22,Timeline!$P$4:$AN$4,0))="x")*(Timeline!$K$5:$K$305="Task")*ISNUMBER(Timeline!$I$5:$I$305)*ISNUMBER(Timeline!$J$5:$J$305)*(Timeline!$I$5:$I$305&lt;=W$4+5)*(Timeline!$J$5:$J$305&gt;=W$4+5)),SUMPRODUCT((INDEX(Timeline!$P$5:$AN$305,0,MATCH($A22,Timeline!$P$4:$AN$4,0))="x")*(Timeline!$K$5:$K$305="Task")*ISNUMBER(Timeline!$I$5:$I$305)*ISNUMBER(Timeline!$J$5:$J$305)*(Timeline!$I$5:$I$305&lt;=W$4+6)*(Timeline!$J$5:$J$305&gt;=W$4+6)))</f>
        <v>1</v>
      </c>
      <c r="X22" s="67">
        <f>MAX(SUMPRODUCT((INDEX(Timeline!$P$5:$AN$305,0,MATCH($A22,Timeline!$P$4:$AN$4,0))="x")*(Timeline!$K$5:$K$305="Task")*ISNUMBER(Timeline!$I$5:$I$305)*ISNUMBER(Timeline!$J$5:$J$305)*(Timeline!$I$5:$I$305&lt;=X$4+0)*(Timeline!$J$5:$J$305&gt;=X$4+0)),SUMPRODUCT((INDEX(Timeline!$P$5:$AN$305,0,MATCH($A22,Timeline!$P$4:$AN$4,0))="x")*(Timeline!$K$5:$K$305="Task")*ISNUMBER(Timeline!$I$5:$I$305)*ISNUMBER(Timeline!$J$5:$J$305)*(Timeline!$I$5:$I$305&lt;=X$4+1)*(Timeline!$J$5:$J$305&gt;=X$4+1)),SUMPRODUCT((INDEX(Timeline!$P$5:$AN$305,0,MATCH($A22,Timeline!$P$4:$AN$4,0))="x")*(Timeline!$K$5:$K$305="Task")*ISNUMBER(Timeline!$I$5:$I$305)*ISNUMBER(Timeline!$J$5:$J$305)*(Timeline!$I$5:$I$305&lt;=X$4+2)*(Timeline!$J$5:$J$305&gt;=X$4+2)),SUMPRODUCT((INDEX(Timeline!$P$5:$AN$305,0,MATCH($A22,Timeline!$P$4:$AN$4,0))="x")*(Timeline!$K$5:$K$305="Task")*ISNUMBER(Timeline!$I$5:$I$305)*ISNUMBER(Timeline!$J$5:$J$305)*(Timeline!$I$5:$I$305&lt;=X$4+3)*(Timeline!$J$5:$J$305&gt;=X$4+3)),SUMPRODUCT((INDEX(Timeline!$P$5:$AN$305,0,MATCH($A22,Timeline!$P$4:$AN$4,0))="x")*(Timeline!$K$5:$K$305="Task")*ISNUMBER(Timeline!$I$5:$I$305)*ISNUMBER(Timeline!$J$5:$J$305)*(Timeline!$I$5:$I$305&lt;=X$4+4)*(Timeline!$J$5:$J$305&gt;=X$4+4)),SUMPRODUCT((INDEX(Timeline!$P$5:$AN$305,0,MATCH($A22,Timeline!$P$4:$AN$4,0))="x")*(Timeline!$K$5:$K$305="Task")*ISNUMBER(Timeline!$I$5:$I$305)*ISNUMBER(Timeline!$J$5:$J$305)*(Timeline!$I$5:$I$305&lt;=X$4+5)*(Timeline!$J$5:$J$305&gt;=X$4+5)),SUMPRODUCT((INDEX(Timeline!$P$5:$AN$305,0,MATCH($A22,Timeline!$P$4:$AN$4,0))="x")*(Timeline!$K$5:$K$305="Task")*ISNUMBER(Timeline!$I$5:$I$305)*ISNUMBER(Timeline!$J$5:$J$305)*(Timeline!$I$5:$I$305&lt;=X$4+6)*(Timeline!$J$5:$J$305&gt;=X$4+6)))</f>
        <v>1</v>
      </c>
      <c r="Y22" s="67">
        <f>MAX(SUMPRODUCT((INDEX(Timeline!$P$5:$AN$305,0,MATCH($A22,Timeline!$P$4:$AN$4,0))="x")*(Timeline!$K$5:$K$305="Task")*ISNUMBER(Timeline!$I$5:$I$305)*ISNUMBER(Timeline!$J$5:$J$305)*(Timeline!$I$5:$I$305&lt;=Y$4+0)*(Timeline!$J$5:$J$305&gt;=Y$4+0)),SUMPRODUCT((INDEX(Timeline!$P$5:$AN$305,0,MATCH($A22,Timeline!$P$4:$AN$4,0))="x")*(Timeline!$K$5:$K$305="Task")*ISNUMBER(Timeline!$I$5:$I$305)*ISNUMBER(Timeline!$J$5:$J$305)*(Timeline!$I$5:$I$305&lt;=Y$4+1)*(Timeline!$J$5:$J$305&gt;=Y$4+1)),SUMPRODUCT((INDEX(Timeline!$P$5:$AN$305,0,MATCH($A22,Timeline!$P$4:$AN$4,0))="x")*(Timeline!$K$5:$K$305="Task")*ISNUMBER(Timeline!$I$5:$I$305)*ISNUMBER(Timeline!$J$5:$J$305)*(Timeline!$I$5:$I$305&lt;=Y$4+2)*(Timeline!$J$5:$J$305&gt;=Y$4+2)),SUMPRODUCT((INDEX(Timeline!$P$5:$AN$305,0,MATCH($A22,Timeline!$P$4:$AN$4,0))="x")*(Timeline!$K$5:$K$305="Task")*ISNUMBER(Timeline!$I$5:$I$305)*ISNUMBER(Timeline!$J$5:$J$305)*(Timeline!$I$5:$I$305&lt;=Y$4+3)*(Timeline!$J$5:$J$305&gt;=Y$4+3)),SUMPRODUCT((INDEX(Timeline!$P$5:$AN$305,0,MATCH($A22,Timeline!$P$4:$AN$4,0))="x")*(Timeline!$K$5:$K$305="Task")*ISNUMBER(Timeline!$I$5:$I$305)*ISNUMBER(Timeline!$J$5:$J$305)*(Timeline!$I$5:$I$305&lt;=Y$4+4)*(Timeline!$J$5:$J$305&gt;=Y$4+4)),SUMPRODUCT((INDEX(Timeline!$P$5:$AN$305,0,MATCH($A22,Timeline!$P$4:$AN$4,0))="x")*(Timeline!$K$5:$K$305="Task")*ISNUMBER(Timeline!$I$5:$I$305)*ISNUMBER(Timeline!$J$5:$J$305)*(Timeline!$I$5:$I$305&lt;=Y$4+5)*(Timeline!$J$5:$J$305&gt;=Y$4+5)),SUMPRODUCT((INDEX(Timeline!$P$5:$AN$305,0,MATCH($A22,Timeline!$P$4:$AN$4,0))="x")*(Timeline!$K$5:$K$305="Task")*ISNUMBER(Timeline!$I$5:$I$305)*ISNUMBER(Timeline!$J$5:$J$305)*(Timeline!$I$5:$I$305&lt;=Y$4+6)*(Timeline!$J$5:$J$305&gt;=Y$4+6)))</f>
        <v>1</v>
      </c>
      <c r="Z22" s="67">
        <f>MAX(SUMPRODUCT((INDEX(Timeline!$P$5:$AN$305,0,MATCH($A22,Timeline!$P$4:$AN$4,0))="x")*(Timeline!$K$5:$K$305="Task")*ISNUMBER(Timeline!$I$5:$I$305)*ISNUMBER(Timeline!$J$5:$J$305)*(Timeline!$I$5:$I$305&lt;=Z$4+0)*(Timeline!$J$5:$J$305&gt;=Z$4+0)),SUMPRODUCT((INDEX(Timeline!$P$5:$AN$305,0,MATCH($A22,Timeline!$P$4:$AN$4,0))="x")*(Timeline!$K$5:$K$305="Task")*ISNUMBER(Timeline!$I$5:$I$305)*ISNUMBER(Timeline!$J$5:$J$305)*(Timeline!$I$5:$I$305&lt;=Z$4+1)*(Timeline!$J$5:$J$305&gt;=Z$4+1)),SUMPRODUCT((INDEX(Timeline!$P$5:$AN$305,0,MATCH($A22,Timeline!$P$4:$AN$4,0))="x")*(Timeline!$K$5:$K$305="Task")*ISNUMBER(Timeline!$I$5:$I$305)*ISNUMBER(Timeline!$J$5:$J$305)*(Timeline!$I$5:$I$305&lt;=Z$4+2)*(Timeline!$J$5:$J$305&gt;=Z$4+2)),SUMPRODUCT((INDEX(Timeline!$P$5:$AN$305,0,MATCH($A22,Timeline!$P$4:$AN$4,0))="x")*(Timeline!$K$5:$K$305="Task")*ISNUMBER(Timeline!$I$5:$I$305)*ISNUMBER(Timeline!$J$5:$J$305)*(Timeline!$I$5:$I$305&lt;=Z$4+3)*(Timeline!$J$5:$J$305&gt;=Z$4+3)),SUMPRODUCT((INDEX(Timeline!$P$5:$AN$305,0,MATCH($A22,Timeline!$P$4:$AN$4,0))="x")*(Timeline!$K$5:$K$305="Task")*ISNUMBER(Timeline!$I$5:$I$305)*ISNUMBER(Timeline!$J$5:$J$305)*(Timeline!$I$5:$I$305&lt;=Z$4+4)*(Timeline!$J$5:$J$305&gt;=Z$4+4)),SUMPRODUCT((INDEX(Timeline!$P$5:$AN$305,0,MATCH($A22,Timeline!$P$4:$AN$4,0))="x")*(Timeline!$K$5:$K$305="Task")*ISNUMBER(Timeline!$I$5:$I$305)*ISNUMBER(Timeline!$J$5:$J$305)*(Timeline!$I$5:$I$305&lt;=Z$4+5)*(Timeline!$J$5:$J$305&gt;=Z$4+5)),SUMPRODUCT((INDEX(Timeline!$P$5:$AN$305,0,MATCH($A22,Timeline!$P$4:$AN$4,0))="x")*(Timeline!$K$5:$K$305="Task")*ISNUMBER(Timeline!$I$5:$I$305)*ISNUMBER(Timeline!$J$5:$J$305)*(Timeline!$I$5:$I$305&lt;=Z$4+6)*(Timeline!$J$5:$J$305&gt;=Z$4+6)))</f>
        <v>1</v>
      </c>
      <c r="AA22" s="67">
        <f>MAX(SUMPRODUCT((INDEX(Timeline!$P$5:$AN$305,0,MATCH($A22,Timeline!$P$4:$AN$4,0))="x")*(Timeline!$K$5:$K$305="Task")*ISNUMBER(Timeline!$I$5:$I$305)*ISNUMBER(Timeline!$J$5:$J$305)*(Timeline!$I$5:$I$305&lt;=AA$4+0)*(Timeline!$J$5:$J$305&gt;=AA$4+0)),SUMPRODUCT((INDEX(Timeline!$P$5:$AN$305,0,MATCH($A22,Timeline!$P$4:$AN$4,0))="x")*(Timeline!$K$5:$K$305="Task")*ISNUMBER(Timeline!$I$5:$I$305)*ISNUMBER(Timeline!$J$5:$J$305)*(Timeline!$I$5:$I$305&lt;=AA$4+1)*(Timeline!$J$5:$J$305&gt;=AA$4+1)),SUMPRODUCT((INDEX(Timeline!$P$5:$AN$305,0,MATCH($A22,Timeline!$P$4:$AN$4,0))="x")*(Timeline!$K$5:$K$305="Task")*ISNUMBER(Timeline!$I$5:$I$305)*ISNUMBER(Timeline!$J$5:$J$305)*(Timeline!$I$5:$I$305&lt;=AA$4+2)*(Timeline!$J$5:$J$305&gt;=AA$4+2)),SUMPRODUCT((INDEX(Timeline!$P$5:$AN$305,0,MATCH($A22,Timeline!$P$4:$AN$4,0))="x")*(Timeline!$K$5:$K$305="Task")*ISNUMBER(Timeline!$I$5:$I$305)*ISNUMBER(Timeline!$J$5:$J$305)*(Timeline!$I$5:$I$305&lt;=AA$4+3)*(Timeline!$J$5:$J$305&gt;=AA$4+3)),SUMPRODUCT((INDEX(Timeline!$P$5:$AN$305,0,MATCH($A22,Timeline!$P$4:$AN$4,0))="x")*(Timeline!$K$5:$K$305="Task")*ISNUMBER(Timeline!$I$5:$I$305)*ISNUMBER(Timeline!$J$5:$J$305)*(Timeline!$I$5:$I$305&lt;=AA$4+4)*(Timeline!$J$5:$J$305&gt;=AA$4+4)),SUMPRODUCT((INDEX(Timeline!$P$5:$AN$305,0,MATCH($A22,Timeline!$P$4:$AN$4,0))="x")*(Timeline!$K$5:$K$305="Task")*ISNUMBER(Timeline!$I$5:$I$305)*ISNUMBER(Timeline!$J$5:$J$305)*(Timeline!$I$5:$I$305&lt;=AA$4+5)*(Timeline!$J$5:$J$305&gt;=AA$4+5)),SUMPRODUCT((INDEX(Timeline!$P$5:$AN$305,0,MATCH($A22,Timeline!$P$4:$AN$4,0))="x")*(Timeline!$K$5:$K$305="Task")*ISNUMBER(Timeline!$I$5:$I$305)*ISNUMBER(Timeline!$J$5:$J$305)*(Timeline!$I$5:$I$305&lt;=AA$4+6)*(Timeline!$J$5:$J$305&gt;=AA$4+6)))</f>
        <v>1</v>
      </c>
      <c r="AB22" s="67">
        <f>MAX(SUMPRODUCT((INDEX(Timeline!$P$5:$AN$305,0,MATCH($A22,Timeline!$P$4:$AN$4,0))="x")*(Timeline!$K$5:$K$305="Task")*ISNUMBER(Timeline!$I$5:$I$305)*ISNUMBER(Timeline!$J$5:$J$305)*(Timeline!$I$5:$I$305&lt;=AB$4+0)*(Timeline!$J$5:$J$305&gt;=AB$4+0)),SUMPRODUCT((INDEX(Timeline!$P$5:$AN$305,0,MATCH($A22,Timeline!$P$4:$AN$4,0))="x")*(Timeline!$K$5:$K$305="Task")*ISNUMBER(Timeline!$I$5:$I$305)*ISNUMBER(Timeline!$J$5:$J$305)*(Timeline!$I$5:$I$305&lt;=AB$4+1)*(Timeline!$J$5:$J$305&gt;=AB$4+1)),SUMPRODUCT((INDEX(Timeline!$P$5:$AN$305,0,MATCH($A22,Timeline!$P$4:$AN$4,0))="x")*(Timeline!$K$5:$K$305="Task")*ISNUMBER(Timeline!$I$5:$I$305)*ISNUMBER(Timeline!$J$5:$J$305)*(Timeline!$I$5:$I$305&lt;=AB$4+2)*(Timeline!$J$5:$J$305&gt;=AB$4+2)),SUMPRODUCT((INDEX(Timeline!$P$5:$AN$305,0,MATCH($A22,Timeline!$P$4:$AN$4,0))="x")*(Timeline!$K$5:$K$305="Task")*ISNUMBER(Timeline!$I$5:$I$305)*ISNUMBER(Timeline!$J$5:$J$305)*(Timeline!$I$5:$I$305&lt;=AB$4+3)*(Timeline!$J$5:$J$305&gt;=AB$4+3)),SUMPRODUCT((INDEX(Timeline!$P$5:$AN$305,0,MATCH($A22,Timeline!$P$4:$AN$4,0))="x")*(Timeline!$K$5:$K$305="Task")*ISNUMBER(Timeline!$I$5:$I$305)*ISNUMBER(Timeline!$J$5:$J$305)*(Timeline!$I$5:$I$305&lt;=AB$4+4)*(Timeline!$J$5:$J$305&gt;=AB$4+4)),SUMPRODUCT((INDEX(Timeline!$P$5:$AN$305,0,MATCH($A22,Timeline!$P$4:$AN$4,0))="x")*(Timeline!$K$5:$K$305="Task")*ISNUMBER(Timeline!$I$5:$I$305)*ISNUMBER(Timeline!$J$5:$J$305)*(Timeline!$I$5:$I$305&lt;=AB$4+5)*(Timeline!$J$5:$J$305&gt;=AB$4+5)),SUMPRODUCT((INDEX(Timeline!$P$5:$AN$305,0,MATCH($A22,Timeline!$P$4:$AN$4,0))="x")*(Timeline!$K$5:$K$305="Task")*ISNUMBER(Timeline!$I$5:$I$305)*ISNUMBER(Timeline!$J$5:$J$305)*(Timeline!$I$5:$I$305&lt;=AB$4+6)*(Timeline!$J$5:$J$305&gt;=AB$4+6)))</f>
        <v>0</v>
      </c>
      <c r="AC22" s="67">
        <f>MAX(SUMPRODUCT((INDEX(Timeline!$P$5:$AN$305,0,MATCH($A22,Timeline!$P$4:$AN$4,0))="x")*(Timeline!$K$5:$K$305="Task")*ISNUMBER(Timeline!$I$5:$I$305)*ISNUMBER(Timeline!$J$5:$J$305)*(Timeline!$I$5:$I$305&lt;=AC$4+0)*(Timeline!$J$5:$J$305&gt;=AC$4+0)),SUMPRODUCT((INDEX(Timeline!$P$5:$AN$305,0,MATCH($A22,Timeline!$P$4:$AN$4,0))="x")*(Timeline!$K$5:$K$305="Task")*ISNUMBER(Timeline!$I$5:$I$305)*ISNUMBER(Timeline!$J$5:$J$305)*(Timeline!$I$5:$I$305&lt;=AC$4+1)*(Timeline!$J$5:$J$305&gt;=AC$4+1)),SUMPRODUCT((INDEX(Timeline!$P$5:$AN$305,0,MATCH($A22,Timeline!$P$4:$AN$4,0))="x")*(Timeline!$K$5:$K$305="Task")*ISNUMBER(Timeline!$I$5:$I$305)*ISNUMBER(Timeline!$J$5:$J$305)*(Timeline!$I$5:$I$305&lt;=AC$4+2)*(Timeline!$J$5:$J$305&gt;=AC$4+2)),SUMPRODUCT((INDEX(Timeline!$P$5:$AN$305,0,MATCH($A22,Timeline!$P$4:$AN$4,0))="x")*(Timeline!$K$5:$K$305="Task")*ISNUMBER(Timeline!$I$5:$I$305)*ISNUMBER(Timeline!$J$5:$J$305)*(Timeline!$I$5:$I$305&lt;=AC$4+3)*(Timeline!$J$5:$J$305&gt;=AC$4+3)),SUMPRODUCT((INDEX(Timeline!$P$5:$AN$305,0,MATCH($A22,Timeline!$P$4:$AN$4,0))="x")*(Timeline!$K$5:$K$305="Task")*ISNUMBER(Timeline!$I$5:$I$305)*ISNUMBER(Timeline!$J$5:$J$305)*(Timeline!$I$5:$I$305&lt;=AC$4+4)*(Timeline!$J$5:$J$305&gt;=AC$4+4)),SUMPRODUCT((INDEX(Timeline!$P$5:$AN$305,0,MATCH($A22,Timeline!$P$4:$AN$4,0))="x")*(Timeline!$K$5:$K$305="Task")*ISNUMBER(Timeline!$I$5:$I$305)*ISNUMBER(Timeline!$J$5:$J$305)*(Timeline!$I$5:$I$305&lt;=AC$4+5)*(Timeline!$J$5:$J$305&gt;=AC$4+5)),SUMPRODUCT((INDEX(Timeline!$P$5:$AN$305,0,MATCH($A22,Timeline!$P$4:$AN$4,0))="x")*(Timeline!$K$5:$K$305="Task")*ISNUMBER(Timeline!$I$5:$I$305)*ISNUMBER(Timeline!$J$5:$J$305)*(Timeline!$I$5:$I$305&lt;=AC$4+6)*(Timeline!$J$5:$J$305&gt;=AC$4+6)))</f>
        <v>0</v>
      </c>
      <c r="AD22" s="67">
        <f>MAX(SUMPRODUCT((INDEX(Timeline!$P$5:$AN$305,0,MATCH($A22,Timeline!$P$4:$AN$4,0))="x")*(Timeline!$K$5:$K$305="Task")*ISNUMBER(Timeline!$I$5:$I$305)*ISNUMBER(Timeline!$J$5:$J$305)*(Timeline!$I$5:$I$305&lt;=AD$4+0)*(Timeline!$J$5:$J$305&gt;=AD$4+0)),SUMPRODUCT((INDEX(Timeline!$P$5:$AN$305,0,MATCH($A22,Timeline!$P$4:$AN$4,0))="x")*(Timeline!$K$5:$K$305="Task")*ISNUMBER(Timeline!$I$5:$I$305)*ISNUMBER(Timeline!$J$5:$J$305)*(Timeline!$I$5:$I$305&lt;=AD$4+1)*(Timeline!$J$5:$J$305&gt;=AD$4+1)),SUMPRODUCT((INDEX(Timeline!$P$5:$AN$305,0,MATCH($A22,Timeline!$P$4:$AN$4,0))="x")*(Timeline!$K$5:$K$305="Task")*ISNUMBER(Timeline!$I$5:$I$305)*ISNUMBER(Timeline!$J$5:$J$305)*(Timeline!$I$5:$I$305&lt;=AD$4+2)*(Timeline!$J$5:$J$305&gt;=AD$4+2)),SUMPRODUCT((INDEX(Timeline!$P$5:$AN$305,0,MATCH($A22,Timeline!$P$4:$AN$4,0))="x")*(Timeline!$K$5:$K$305="Task")*ISNUMBER(Timeline!$I$5:$I$305)*ISNUMBER(Timeline!$J$5:$J$305)*(Timeline!$I$5:$I$305&lt;=AD$4+3)*(Timeline!$J$5:$J$305&gt;=AD$4+3)),SUMPRODUCT((INDEX(Timeline!$P$5:$AN$305,0,MATCH($A22,Timeline!$P$4:$AN$4,0))="x")*(Timeline!$K$5:$K$305="Task")*ISNUMBER(Timeline!$I$5:$I$305)*ISNUMBER(Timeline!$J$5:$J$305)*(Timeline!$I$5:$I$305&lt;=AD$4+4)*(Timeline!$J$5:$J$305&gt;=AD$4+4)),SUMPRODUCT((INDEX(Timeline!$P$5:$AN$305,0,MATCH($A22,Timeline!$P$4:$AN$4,0))="x")*(Timeline!$K$5:$K$305="Task")*ISNUMBER(Timeline!$I$5:$I$305)*ISNUMBER(Timeline!$J$5:$J$305)*(Timeline!$I$5:$I$305&lt;=AD$4+5)*(Timeline!$J$5:$J$305&gt;=AD$4+5)),SUMPRODUCT((INDEX(Timeline!$P$5:$AN$305,0,MATCH($A22,Timeline!$P$4:$AN$4,0))="x")*(Timeline!$K$5:$K$305="Task")*ISNUMBER(Timeline!$I$5:$I$305)*ISNUMBER(Timeline!$J$5:$J$305)*(Timeline!$I$5:$I$305&lt;=AD$4+6)*(Timeline!$J$5:$J$305&gt;=AD$4+6)))</f>
        <v>0</v>
      </c>
      <c r="AE22" s="67">
        <f>MAX(SUMPRODUCT((INDEX(Timeline!$P$5:$AN$305,0,MATCH($A22,Timeline!$P$4:$AN$4,0))="x")*(Timeline!$K$5:$K$305="Task")*ISNUMBER(Timeline!$I$5:$I$305)*ISNUMBER(Timeline!$J$5:$J$305)*(Timeline!$I$5:$I$305&lt;=AE$4+0)*(Timeline!$J$5:$J$305&gt;=AE$4+0)),SUMPRODUCT((INDEX(Timeline!$P$5:$AN$305,0,MATCH($A22,Timeline!$P$4:$AN$4,0))="x")*(Timeline!$K$5:$K$305="Task")*ISNUMBER(Timeline!$I$5:$I$305)*ISNUMBER(Timeline!$J$5:$J$305)*(Timeline!$I$5:$I$305&lt;=AE$4+1)*(Timeline!$J$5:$J$305&gt;=AE$4+1)),SUMPRODUCT((INDEX(Timeline!$P$5:$AN$305,0,MATCH($A22,Timeline!$P$4:$AN$4,0))="x")*(Timeline!$K$5:$K$305="Task")*ISNUMBER(Timeline!$I$5:$I$305)*ISNUMBER(Timeline!$J$5:$J$305)*(Timeline!$I$5:$I$305&lt;=AE$4+2)*(Timeline!$J$5:$J$305&gt;=AE$4+2)),SUMPRODUCT((INDEX(Timeline!$P$5:$AN$305,0,MATCH($A22,Timeline!$P$4:$AN$4,0))="x")*(Timeline!$K$5:$K$305="Task")*ISNUMBER(Timeline!$I$5:$I$305)*ISNUMBER(Timeline!$J$5:$J$305)*(Timeline!$I$5:$I$305&lt;=AE$4+3)*(Timeline!$J$5:$J$305&gt;=AE$4+3)),SUMPRODUCT((INDEX(Timeline!$P$5:$AN$305,0,MATCH($A22,Timeline!$P$4:$AN$4,0))="x")*(Timeline!$K$5:$K$305="Task")*ISNUMBER(Timeline!$I$5:$I$305)*ISNUMBER(Timeline!$J$5:$J$305)*(Timeline!$I$5:$I$305&lt;=AE$4+4)*(Timeline!$J$5:$J$305&gt;=AE$4+4)),SUMPRODUCT((INDEX(Timeline!$P$5:$AN$305,0,MATCH($A22,Timeline!$P$4:$AN$4,0))="x")*(Timeline!$K$5:$K$305="Task")*ISNUMBER(Timeline!$I$5:$I$305)*ISNUMBER(Timeline!$J$5:$J$305)*(Timeline!$I$5:$I$305&lt;=AE$4+5)*(Timeline!$J$5:$J$305&gt;=AE$4+5)),SUMPRODUCT((INDEX(Timeline!$P$5:$AN$305,0,MATCH($A22,Timeline!$P$4:$AN$4,0))="x")*(Timeline!$K$5:$K$305="Task")*ISNUMBER(Timeline!$I$5:$I$305)*ISNUMBER(Timeline!$J$5:$J$305)*(Timeline!$I$5:$I$305&lt;=AE$4+6)*(Timeline!$J$5:$J$305&gt;=AE$4+6)))</f>
        <v>0</v>
      </c>
      <c r="AF22" s="67">
        <f>MAX(SUMPRODUCT((INDEX(Timeline!$P$5:$AN$305,0,MATCH($A22,Timeline!$P$4:$AN$4,0))="x")*(Timeline!$K$5:$K$305="Task")*ISNUMBER(Timeline!$I$5:$I$305)*ISNUMBER(Timeline!$J$5:$J$305)*(Timeline!$I$5:$I$305&lt;=AF$4+0)*(Timeline!$J$5:$J$305&gt;=AF$4+0)),SUMPRODUCT((INDEX(Timeline!$P$5:$AN$305,0,MATCH($A22,Timeline!$P$4:$AN$4,0))="x")*(Timeline!$K$5:$K$305="Task")*ISNUMBER(Timeline!$I$5:$I$305)*ISNUMBER(Timeline!$J$5:$J$305)*(Timeline!$I$5:$I$305&lt;=AF$4+1)*(Timeline!$J$5:$J$305&gt;=AF$4+1)),SUMPRODUCT((INDEX(Timeline!$P$5:$AN$305,0,MATCH($A22,Timeline!$P$4:$AN$4,0))="x")*(Timeline!$K$5:$K$305="Task")*ISNUMBER(Timeline!$I$5:$I$305)*ISNUMBER(Timeline!$J$5:$J$305)*(Timeline!$I$5:$I$305&lt;=AF$4+2)*(Timeline!$J$5:$J$305&gt;=AF$4+2)),SUMPRODUCT((INDEX(Timeline!$P$5:$AN$305,0,MATCH($A22,Timeline!$P$4:$AN$4,0))="x")*(Timeline!$K$5:$K$305="Task")*ISNUMBER(Timeline!$I$5:$I$305)*ISNUMBER(Timeline!$J$5:$J$305)*(Timeline!$I$5:$I$305&lt;=AF$4+3)*(Timeline!$J$5:$J$305&gt;=AF$4+3)),SUMPRODUCT((INDEX(Timeline!$P$5:$AN$305,0,MATCH($A22,Timeline!$P$4:$AN$4,0))="x")*(Timeline!$K$5:$K$305="Task")*ISNUMBER(Timeline!$I$5:$I$305)*ISNUMBER(Timeline!$J$5:$J$305)*(Timeline!$I$5:$I$305&lt;=AF$4+4)*(Timeline!$J$5:$J$305&gt;=AF$4+4)),SUMPRODUCT((INDEX(Timeline!$P$5:$AN$305,0,MATCH($A22,Timeline!$P$4:$AN$4,0))="x")*(Timeline!$K$5:$K$305="Task")*ISNUMBER(Timeline!$I$5:$I$305)*ISNUMBER(Timeline!$J$5:$J$305)*(Timeline!$I$5:$I$305&lt;=AF$4+5)*(Timeline!$J$5:$J$305&gt;=AF$4+5)),SUMPRODUCT((INDEX(Timeline!$P$5:$AN$305,0,MATCH($A22,Timeline!$P$4:$AN$4,0))="x")*(Timeline!$K$5:$K$305="Task")*ISNUMBER(Timeline!$I$5:$I$305)*ISNUMBER(Timeline!$J$5:$J$305)*(Timeline!$I$5:$I$305&lt;=AF$4+6)*(Timeline!$J$5:$J$305&gt;=AF$4+6)))</f>
        <v>0</v>
      </c>
      <c r="AG22" s="67">
        <f>MAX(SUMPRODUCT((INDEX(Timeline!$P$5:$AN$305,0,MATCH($A22,Timeline!$P$4:$AN$4,0))="x")*(Timeline!$K$5:$K$305="Task")*ISNUMBER(Timeline!$I$5:$I$305)*ISNUMBER(Timeline!$J$5:$J$305)*(Timeline!$I$5:$I$305&lt;=AG$4+0)*(Timeline!$J$5:$J$305&gt;=AG$4+0)),SUMPRODUCT((INDEX(Timeline!$P$5:$AN$305,0,MATCH($A22,Timeline!$P$4:$AN$4,0))="x")*(Timeline!$K$5:$K$305="Task")*ISNUMBER(Timeline!$I$5:$I$305)*ISNUMBER(Timeline!$J$5:$J$305)*(Timeline!$I$5:$I$305&lt;=AG$4+1)*(Timeline!$J$5:$J$305&gt;=AG$4+1)),SUMPRODUCT((INDEX(Timeline!$P$5:$AN$305,0,MATCH($A22,Timeline!$P$4:$AN$4,0))="x")*(Timeline!$K$5:$K$305="Task")*ISNUMBER(Timeline!$I$5:$I$305)*ISNUMBER(Timeline!$J$5:$J$305)*(Timeline!$I$5:$I$305&lt;=AG$4+2)*(Timeline!$J$5:$J$305&gt;=AG$4+2)),SUMPRODUCT((INDEX(Timeline!$P$5:$AN$305,0,MATCH($A22,Timeline!$P$4:$AN$4,0))="x")*(Timeline!$K$5:$K$305="Task")*ISNUMBER(Timeline!$I$5:$I$305)*ISNUMBER(Timeline!$J$5:$J$305)*(Timeline!$I$5:$I$305&lt;=AG$4+3)*(Timeline!$J$5:$J$305&gt;=AG$4+3)),SUMPRODUCT((INDEX(Timeline!$P$5:$AN$305,0,MATCH($A22,Timeline!$P$4:$AN$4,0))="x")*(Timeline!$K$5:$K$305="Task")*ISNUMBER(Timeline!$I$5:$I$305)*ISNUMBER(Timeline!$J$5:$J$305)*(Timeline!$I$5:$I$305&lt;=AG$4+4)*(Timeline!$J$5:$J$305&gt;=AG$4+4)),SUMPRODUCT((INDEX(Timeline!$P$5:$AN$305,0,MATCH($A22,Timeline!$P$4:$AN$4,0))="x")*(Timeline!$K$5:$K$305="Task")*ISNUMBER(Timeline!$I$5:$I$305)*ISNUMBER(Timeline!$J$5:$J$305)*(Timeline!$I$5:$I$305&lt;=AG$4+5)*(Timeline!$J$5:$J$305&gt;=AG$4+5)),SUMPRODUCT((INDEX(Timeline!$P$5:$AN$305,0,MATCH($A22,Timeline!$P$4:$AN$4,0))="x")*(Timeline!$K$5:$K$305="Task")*ISNUMBER(Timeline!$I$5:$I$305)*ISNUMBER(Timeline!$J$5:$J$305)*(Timeline!$I$5:$I$305&lt;=AG$4+6)*(Timeline!$J$5:$J$305&gt;=AG$4+6)))</f>
        <v>0</v>
      </c>
      <c r="AH22" s="67">
        <f>MAX(SUMPRODUCT((INDEX(Timeline!$P$5:$AN$305,0,MATCH($A22,Timeline!$P$4:$AN$4,0))="x")*(Timeline!$K$5:$K$305="Task")*ISNUMBER(Timeline!$I$5:$I$305)*ISNUMBER(Timeline!$J$5:$J$305)*(Timeline!$I$5:$I$305&lt;=AH$4+0)*(Timeline!$J$5:$J$305&gt;=AH$4+0)),SUMPRODUCT((INDEX(Timeline!$P$5:$AN$305,0,MATCH($A22,Timeline!$P$4:$AN$4,0))="x")*(Timeline!$K$5:$K$305="Task")*ISNUMBER(Timeline!$I$5:$I$305)*ISNUMBER(Timeline!$J$5:$J$305)*(Timeline!$I$5:$I$305&lt;=AH$4+1)*(Timeline!$J$5:$J$305&gt;=AH$4+1)),SUMPRODUCT((INDEX(Timeline!$P$5:$AN$305,0,MATCH($A22,Timeline!$P$4:$AN$4,0))="x")*(Timeline!$K$5:$K$305="Task")*ISNUMBER(Timeline!$I$5:$I$305)*ISNUMBER(Timeline!$J$5:$J$305)*(Timeline!$I$5:$I$305&lt;=AH$4+2)*(Timeline!$J$5:$J$305&gt;=AH$4+2)),SUMPRODUCT((INDEX(Timeline!$P$5:$AN$305,0,MATCH($A22,Timeline!$P$4:$AN$4,0))="x")*(Timeline!$K$5:$K$305="Task")*ISNUMBER(Timeline!$I$5:$I$305)*ISNUMBER(Timeline!$J$5:$J$305)*(Timeline!$I$5:$I$305&lt;=AH$4+3)*(Timeline!$J$5:$J$305&gt;=AH$4+3)),SUMPRODUCT((INDEX(Timeline!$P$5:$AN$305,0,MATCH($A22,Timeline!$P$4:$AN$4,0))="x")*(Timeline!$K$5:$K$305="Task")*ISNUMBER(Timeline!$I$5:$I$305)*ISNUMBER(Timeline!$J$5:$J$305)*(Timeline!$I$5:$I$305&lt;=AH$4+4)*(Timeline!$J$5:$J$305&gt;=AH$4+4)),SUMPRODUCT((INDEX(Timeline!$P$5:$AN$305,0,MATCH($A22,Timeline!$P$4:$AN$4,0))="x")*(Timeline!$K$5:$K$305="Task")*ISNUMBER(Timeline!$I$5:$I$305)*ISNUMBER(Timeline!$J$5:$J$305)*(Timeline!$I$5:$I$305&lt;=AH$4+5)*(Timeline!$J$5:$J$305&gt;=AH$4+5)),SUMPRODUCT((INDEX(Timeline!$P$5:$AN$305,0,MATCH($A22,Timeline!$P$4:$AN$4,0))="x")*(Timeline!$K$5:$K$305="Task")*ISNUMBER(Timeline!$I$5:$I$305)*ISNUMBER(Timeline!$J$5:$J$305)*(Timeline!$I$5:$I$305&lt;=AH$4+6)*(Timeline!$J$5:$J$305&gt;=AH$4+6)))</f>
        <v>0</v>
      </c>
      <c r="AI22" s="67">
        <f>MAX(SUMPRODUCT((INDEX(Timeline!$P$5:$AN$305,0,MATCH($A22,Timeline!$P$4:$AN$4,0))="x")*(Timeline!$K$5:$K$305="Task")*ISNUMBER(Timeline!$I$5:$I$305)*ISNUMBER(Timeline!$J$5:$J$305)*(Timeline!$I$5:$I$305&lt;=AI$4+0)*(Timeline!$J$5:$J$305&gt;=AI$4+0)),SUMPRODUCT((INDEX(Timeline!$P$5:$AN$305,0,MATCH($A22,Timeline!$P$4:$AN$4,0))="x")*(Timeline!$K$5:$K$305="Task")*ISNUMBER(Timeline!$I$5:$I$305)*ISNUMBER(Timeline!$J$5:$J$305)*(Timeline!$I$5:$I$305&lt;=AI$4+1)*(Timeline!$J$5:$J$305&gt;=AI$4+1)),SUMPRODUCT((INDEX(Timeline!$P$5:$AN$305,0,MATCH($A22,Timeline!$P$4:$AN$4,0))="x")*(Timeline!$K$5:$K$305="Task")*ISNUMBER(Timeline!$I$5:$I$305)*ISNUMBER(Timeline!$J$5:$J$305)*(Timeline!$I$5:$I$305&lt;=AI$4+2)*(Timeline!$J$5:$J$305&gt;=AI$4+2)),SUMPRODUCT((INDEX(Timeline!$P$5:$AN$305,0,MATCH($A22,Timeline!$P$4:$AN$4,0))="x")*(Timeline!$K$5:$K$305="Task")*ISNUMBER(Timeline!$I$5:$I$305)*ISNUMBER(Timeline!$J$5:$J$305)*(Timeline!$I$5:$I$305&lt;=AI$4+3)*(Timeline!$J$5:$J$305&gt;=AI$4+3)),SUMPRODUCT((INDEX(Timeline!$P$5:$AN$305,0,MATCH($A22,Timeline!$P$4:$AN$4,0))="x")*(Timeline!$K$5:$K$305="Task")*ISNUMBER(Timeline!$I$5:$I$305)*ISNUMBER(Timeline!$J$5:$J$305)*(Timeline!$I$5:$I$305&lt;=AI$4+4)*(Timeline!$J$5:$J$305&gt;=AI$4+4)),SUMPRODUCT((INDEX(Timeline!$P$5:$AN$305,0,MATCH($A22,Timeline!$P$4:$AN$4,0))="x")*(Timeline!$K$5:$K$305="Task")*ISNUMBER(Timeline!$I$5:$I$305)*ISNUMBER(Timeline!$J$5:$J$305)*(Timeline!$I$5:$I$305&lt;=AI$4+5)*(Timeline!$J$5:$J$305&gt;=AI$4+5)),SUMPRODUCT((INDEX(Timeline!$P$5:$AN$305,0,MATCH($A22,Timeline!$P$4:$AN$4,0))="x")*(Timeline!$K$5:$K$305="Task")*ISNUMBER(Timeline!$I$5:$I$305)*ISNUMBER(Timeline!$J$5:$J$305)*(Timeline!$I$5:$I$305&lt;=AI$4+6)*(Timeline!$J$5:$J$305&gt;=AI$4+6)))</f>
        <v>0</v>
      </c>
      <c r="AJ22" s="67">
        <f>MAX(SUMPRODUCT((INDEX(Timeline!$P$5:$AN$305,0,MATCH($A22,Timeline!$P$4:$AN$4,0))="x")*(Timeline!$K$5:$K$305="Task")*ISNUMBER(Timeline!$I$5:$I$305)*ISNUMBER(Timeline!$J$5:$J$305)*(Timeline!$I$5:$I$305&lt;=AJ$4+0)*(Timeline!$J$5:$J$305&gt;=AJ$4+0)),SUMPRODUCT((INDEX(Timeline!$P$5:$AN$305,0,MATCH($A22,Timeline!$P$4:$AN$4,0))="x")*(Timeline!$K$5:$K$305="Task")*ISNUMBER(Timeline!$I$5:$I$305)*ISNUMBER(Timeline!$J$5:$J$305)*(Timeline!$I$5:$I$305&lt;=AJ$4+1)*(Timeline!$J$5:$J$305&gt;=AJ$4+1)),SUMPRODUCT((INDEX(Timeline!$P$5:$AN$305,0,MATCH($A22,Timeline!$P$4:$AN$4,0))="x")*(Timeline!$K$5:$K$305="Task")*ISNUMBER(Timeline!$I$5:$I$305)*ISNUMBER(Timeline!$J$5:$J$305)*(Timeline!$I$5:$I$305&lt;=AJ$4+2)*(Timeline!$J$5:$J$305&gt;=AJ$4+2)),SUMPRODUCT((INDEX(Timeline!$P$5:$AN$305,0,MATCH($A22,Timeline!$P$4:$AN$4,0))="x")*(Timeline!$K$5:$K$305="Task")*ISNUMBER(Timeline!$I$5:$I$305)*ISNUMBER(Timeline!$J$5:$J$305)*(Timeline!$I$5:$I$305&lt;=AJ$4+3)*(Timeline!$J$5:$J$305&gt;=AJ$4+3)),SUMPRODUCT((INDEX(Timeline!$P$5:$AN$305,0,MATCH($A22,Timeline!$P$4:$AN$4,0))="x")*(Timeline!$K$5:$K$305="Task")*ISNUMBER(Timeline!$I$5:$I$305)*ISNUMBER(Timeline!$J$5:$J$305)*(Timeline!$I$5:$I$305&lt;=AJ$4+4)*(Timeline!$J$5:$J$305&gt;=AJ$4+4)),SUMPRODUCT((INDEX(Timeline!$P$5:$AN$305,0,MATCH($A22,Timeline!$P$4:$AN$4,0))="x")*(Timeline!$K$5:$K$305="Task")*ISNUMBER(Timeline!$I$5:$I$305)*ISNUMBER(Timeline!$J$5:$J$305)*(Timeline!$I$5:$I$305&lt;=AJ$4+5)*(Timeline!$J$5:$J$305&gt;=AJ$4+5)),SUMPRODUCT((INDEX(Timeline!$P$5:$AN$305,0,MATCH($A22,Timeline!$P$4:$AN$4,0))="x")*(Timeline!$K$5:$K$305="Task")*ISNUMBER(Timeline!$I$5:$I$305)*ISNUMBER(Timeline!$J$5:$J$305)*(Timeline!$I$5:$I$305&lt;=AJ$4+6)*(Timeline!$J$5:$J$305&gt;=AJ$4+6)))</f>
        <v>0</v>
      </c>
      <c r="AK22" s="67">
        <f>MAX(SUMPRODUCT((INDEX(Timeline!$P$5:$AN$305,0,MATCH($A22,Timeline!$P$4:$AN$4,0))="x")*(Timeline!$K$5:$K$305="Task")*ISNUMBER(Timeline!$I$5:$I$305)*ISNUMBER(Timeline!$J$5:$J$305)*(Timeline!$I$5:$I$305&lt;=AK$4+0)*(Timeline!$J$5:$J$305&gt;=AK$4+0)),SUMPRODUCT((INDEX(Timeline!$P$5:$AN$305,0,MATCH($A22,Timeline!$P$4:$AN$4,0))="x")*(Timeline!$K$5:$K$305="Task")*ISNUMBER(Timeline!$I$5:$I$305)*ISNUMBER(Timeline!$J$5:$J$305)*(Timeline!$I$5:$I$305&lt;=AK$4+1)*(Timeline!$J$5:$J$305&gt;=AK$4+1)),SUMPRODUCT((INDEX(Timeline!$P$5:$AN$305,0,MATCH($A22,Timeline!$P$4:$AN$4,0))="x")*(Timeline!$K$5:$K$305="Task")*ISNUMBER(Timeline!$I$5:$I$305)*ISNUMBER(Timeline!$J$5:$J$305)*(Timeline!$I$5:$I$305&lt;=AK$4+2)*(Timeline!$J$5:$J$305&gt;=AK$4+2)),SUMPRODUCT((INDEX(Timeline!$P$5:$AN$305,0,MATCH($A22,Timeline!$P$4:$AN$4,0))="x")*(Timeline!$K$5:$K$305="Task")*ISNUMBER(Timeline!$I$5:$I$305)*ISNUMBER(Timeline!$J$5:$J$305)*(Timeline!$I$5:$I$305&lt;=AK$4+3)*(Timeline!$J$5:$J$305&gt;=AK$4+3)),SUMPRODUCT((INDEX(Timeline!$P$5:$AN$305,0,MATCH($A22,Timeline!$P$4:$AN$4,0))="x")*(Timeline!$K$5:$K$305="Task")*ISNUMBER(Timeline!$I$5:$I$305)*ISNUMBER(Timeline!$J$5:$J$305)*(Timeline!$I$5:$I$305&lt;=AK$4+4)*(Timeline!$J$5:$J$305&gt;=AK$4+4)),SUMPRODUCT((INDEX(Timeline!$P$5:$AN$305,0,MATCH($A22,Timeline!$P$4:$AN$4,0))="x")*(Timeline!$K$5:$K$305="Task")*ISNUMBER(Timeline!$I$5:$I$305)*ISNUMBER(Timeline!$J$5:$J$305)*(Timeline!$I$5:$I$305&lt;=AK$4+5)*(Timeline!$J$5:$J$305&gt;=AK$4+5)),SUMPRODUCT((INDEX(Timeline!$P$5:$AN$305,0,MATCH($A22,Timeline!$P$4:$AN$4,0))="x")*(Timeline!$K$5:$K$305="Task")*ISNUMBER(Timeline!$I$5:$I$305)*ISNUMBER(Timeline!$J$5:$J$305)*(Timeline!$I$5:$I$305&lt;=AK$4+6)*(Timeline!$J$5:$J$305&gt;=AK$4+6)))</f>
        <v>0</v>
      </c>
      <c r="AL22" s="67">
        <f>MAX(SUMPRODUCT((INDEX(Timeline!$P$5:$AN$305,0,MATCH($A22,Timeline!$P$4:$AN$4,0))="x")*(Timeline!$K$5:$K$305="Task")*ISNUMBER(Timeline!$I$5:$I$305)*ISNUMBER(Timeline!$J$5:$J$305)*(Timeline!$I$5:$I$305&lt;=AL$4+0)*(Timeline!$J$5:$J$305&gt;=AL$4+0)),SUMPRODUCT((INDEX(Timeline!$P$5:$AN$305,0,MATCH($A22,Timeline!$P$4:$AN$4,0))="x")*(Timeline!$K$5:$K$305="Task")*ISNUMBER(Timeline!$I$5:$I$305)*ISNUMBER(Timeline!$J$5:$J$305)*(Timeline!$I$5:$I$305&lt;=AL$4+1)*(Timeline!$J$5:$J$305&gt;=AL$4+1)),SUMPRODUCT((INDEX(Timeline!$P$5:$AN$305,0,MATCH($A22,Timeline!$P$4:$AN$4,0))="x")*(Timeline!$K$5:$K$305="Task")*ISNUMBER(Timeline!$I$5:$I$305)*ISNUMBER(Timeline!$J$5:$J$305)*(Timeline!$I$5:$I$305&lt;=AL$4+2)*(Timeline!$J$5:$J$305&gt;=AL$4+2)),SUMPRODUCT((INDEX(Timeline!$P$5:$AN$305,0,MATCH($A22,Timeline!$P$4:$AN$4,0))="x")*(Timeline!$K$5:$K$305="Task")*ISNUMBER(Timeline!$I$5:$I$305)*ISNUMBER(Timeline!$J$5:$J$305)*(Timeline!$I$5:$I$305&lt;=AL$4+3)*(Timeline!$J$5:$J$305&gt;=AL$4+3)),SUMPRODUCT((INDEX(Timeline!$P$5:$AN$305,0,MATCH($A22,Timeline!$P$4:$AN$4,0))="x")*(Timeline!$K$5:$K$305="Task")*ISNUMBER(Timeline!$I$5:$I$305)*ISNUMBER(Timeline!$J$5:$J$305)*(Timeline!$I$5:$I$305&lt;=AL$4+4)*(Timeline!$J$5:$J$305&gt;=AL$4+4)),SUMPRODUCT((INDEX(Timeline!$P$5:$AN$305,0,MATCH($A22,Timeline!$P$4:$AN$4,0))="x")*(Timeline!$K$5:$K$305="Task")*ISNUMBER(Timeline!$I$5:$I$305)*ISNUMBER(Timeline!$J$5:$J$305)*(Timeline!$I$5:$I$305&lt;=AL$4+5)*(Timeline!$J$5:$J$305&gt;=AL$4+5)),SUMPRODUCT((INDEX(Timeline!$P$5:$AN$305,0,MATCH($A22,Timeline!$P$4:$AN$4,0))="x")*(Timeline!$K$5:$K$305="Task")*ISNUMBER(Timeline!$I$5:$I$305)*ISNUMBER(Timeline!$J$5:$J$305)*(Timeline!$I$5:$I$305&lt;=AL$4+6)*(Timeline!$J$5:$J$305&gt;=AL$4+6)))</f>
        <v>0</v>
      </c>
      <c r="AM22" s="67">
        <f>MAX(SUMPRODUCT((INDEX(Timeline!$P$5:$AN$305,0,MATCH($A22,Timeline!$P$4:$AN$4,0))="x")*(Timeline!$K$5:$K$305="Task")*ISNUMBER(Timeline!$I$5:$I$305)*ISNUMBER(Timeline!$J$5:$J$305)*(Timeline!$I$5:$I$305&lt;=AM$4+0)*(Timeline!$J$5:$J$305&gt;=AM$4+0)),SUMPRODUCT((INDEX(Timeline!$P$5:$AN$305,0,MATCH($A22,Timeline!$P$4:$AN$4,0))="x")*(Timeline!$K$5:$K$305="Task")*ISNUMBER(Timeline!$I$5:$I$305)*ISNUMBER(Timeline!$J$5:$J$305)*(Timeline!$I$5:$I$305&lt;=AM$4+1)*(Timeline!$J$5:$J$305&gt;=AM$4+1)),SUMPRODUCT((INDEX(Timeline!$P$5:$AN$305,0,MATCH($A22,Timeline!$P$4:$AN$4,0))="x")*(Timeline!$K$5:$K$305="Task")*ISNUMBER(Timeline!$I$5:$I$305)*ISNUMBER(Timeline!$J$5:$J$305)*(Timeline!$I$5:$I$305&lt;=AM$4+2)*(Timeline!$J$5:$J$305&gt;=AM$4+2)),SUMPRODUCT((INDEX(Timeline!$P$5:$AN$305,0,MATCH($A22,Timeline!$P$4:$AN$4,0))="x")*(Timeline!$K$5:$K$305="Task")*ISNUMBER(Timeline!$I$5:$I$305)*ISNUMBER(Timeline!$J$5:$J$305)*(Timeline!$I$5:$I$305&lt;=AM$4+3)*(Timeline!$J$5:$J$305&gt;=AM$4+3)),SUMPRODUCT((INDEX(Timeline!$P$5:$AN$305,0,MATCH($A22,Timeline!$P$4:$AN$4,0))="x")*(Timeline!$K$5:$K$305="Task")*ISNUMBER(Timeline!$I$5:$I$305)*ISNUMBER(Timeline!$J$5:$J$305)*(Timeline!$I$5:$I$305&lt;=AM$4+4)*(Timeline!$J$5:$J$305&gt;=AM$4+4)),SUMPRODUCT((INDEX(Timeline!$P$5:$AN$305,0,MATCH($A22,Timeline!$P$4:$AN$4,0))="x")*(Timeline!$K$5:$K$305="Task")*ISNUMBER(Timeline!$I$5:$I$305)*ISNUMBER(Timeline!$J$5:$J$305)*(Timeline!$I$5:$I$305&lt;=AM$4+5)*(Timeline!$J$5:$J$305&gt;=AM$4+5)),SUMPRODUCT((INDEX(Timeline!$P$5:$AN$305,0,MATCH($A22,Timeline!$P$4:$AN$4,0))="x")*(Timeline!$K$5:$K$305="Task")*ISNUMBER(Timeline!$I$5:$I$305)*ISNUMBER(Timeline!$J$5:$J$305)*(Timeline!$I$5:$I$305&lt;=AM$4+6)*(Timeline!$J$5:$J$305&gt;=AM$4+6)))</f>
        <v>0</v>
      </c>
      <c r="AN22" s="67">
        <f>MAX(SUMPRODUCT((INDEX(Timeline!$P$5:$AN$305,0,MATCH($A22,Timeline!$P$4:$AN$4,0))="x")*(Timeline!$K$5:$K$305="Task")*ISNUMBER(Timeline!$I$5:$I$305)*ISNUMBER(Timeline!$J$5:$J$305)*(Timeline!$I$5:$I$305&lt;=AN$4+0)*(Timeline!$J$5:$J$305&gt;=AN$4+0)),SUMPRODUCT((INDEX(Timeline!$P$5:$AN$305,0,MATCH($A22,Timeline!$P$4:$AN$4,0))="x")*(Timeline!$K$5:$K$305="Task")*ISNUMBER(Timeline!$I$5:$I$305)*ISNUMBER(Timeline!$J$5:$J$305)*(Timeline!$I$5:$I$305&lt;=AN$4+1)*(Timeline!$J$5:$J$305&gt;=AN$4+1)),SUMPRODUCT((INDEX(Timeline!$P$5:$AN$305,0,MATCH($A22,Timeline!$P$4:$AN$4,0))="x")*(Timeline!$K$5:$K$305="Task")*ISNUMBER(Timeline!$I$5:$I$305)*ISNUMBER(Timeline!$J$5:$J$305)*(Timeline!$I$5:$I$305&lt;=AN$4+2)*(Timeline!$J$5:$J$305&gt;=AN$4+2)),SUMPRODUCT((INDEX(Timeline!$P$5:$AN$305,0,MATCH($A22,Timeline!$P$4:$AN$4,0))="x")*(Timeline!$K$5:$K$305="Task")*ISNUMBER(Timeline!$I$5:$I$305)*ISNUMBER(Timeline!$J$5:$J$305)*(Timeline!$I$5:$I$305&lt;=AN$4+3)*(Timeline!$J$5:$J$305&gt;=AN$4+3)),SUMPRODUCT((INDEX(Timeline!$P$5:$AN$305,0,MATCH($A22,Timeline!$P$4:$AN$4,0))="x")*(Timeline!$K$5:$K$305="Task")*ISNUMBER(Timeline!$I$5:$I$305)*ISNUMBER(Timeline!$J$5:$J$305)*(Timeline!$I$5:$I$305&lt;=AN$4+4)*(Timeline!$J$5:$J$305&gt;=AN$4+4)),SUMPRODUCT((INDEX(Timeline!$P$5:$AN$305,0,MATCH($A22,Timeline!$P$4:$AN$4,0))="x")*(Timeline!$K$5:$K$305="Task")*ISNUMBER(Timeline!$I$5:$I$305)*ISNUMBER(Timeline!$J$5:$J$305)*(Timeline!$I$5:$I$305&lt;=AN$4+5)*(Timeline!$J$5:$J$305&gt;=AN$4+5)),SUMPRODUCT((INDEX(Timeline!$P$5:$AN$305,0,MATCH($A22,Timeline!$P$4:$AN$4,0))="x")*(Timeline!$K$5:$K$305="Task")*ISNUMBER(Timeline!$I$5:$I$305)*ISNUMBER(Timeline!$J$5:$J$305)*(Timeline!$I$5:$I$305&lt;=AN$4+6)*(Timeline!$J$5:$J$305&gt;=AN$4+6)))</f>
        <v>0</v>
      </c>
      <c r="AO22" s="67">
        <f>MAX(SUMPRODUCT((INDEX(Timeline!$P$5:$AN$305,0,MATCH($A22,Timeline!$P$4:$AN$4,0))="x")*(Timeline!$K$5:$K$305="Task")*ISNUMBER(Timeline!$I$5:$I$305)*ISNUMBER(Timeline!$J$5:$J$305)*(Timeline!$I$5:$I$305&lt;=AO$4+0)*(Timeline!$J$5:$J$305&gt;=AO$4+0)),SUMPRODUCT((INDEX(Timeline!$P$5:$AN$305,0,MATCH($A22,Timeline!$P$4:$AN$4,0))="x")*(Timeline!$K$5:$K$305="Task")*ISNUMBER(Timeline!$I$5:$I$305)*ISNUMBER(Timeline!$J$5:$J$305)*(Timeline!$I$5:$I$305&lt;=AO$4+1)*(Timeline!$J$5:$J$305&gt;=AO$4+1)),SUMPRODUCT((INDEX(Timeline!$P$5:$AN$305,0,MATCH($A22,Timeline!$P$4:$AN$4,0))="x")*(Timeline!$K$5:$K$305="Task")*ISNUMBER(Timeline!$I$5:$I$305)*ISNUMBER(Timeline!$J$5:$J$305)*(Timeline!$I$5:$I$305&lt;=AO$4+2)*(Timeline!$J$5:$J$305&gt;=AO$4+2)),SUMPRODUCT((INDEX(Timeline!$P$5:$AN$305,0,MATCH($A22,Timeline!$P$4:$AN$4,0))="x")*(Timeline!$K$5:$K$305="Task")*ISNUMBER(Timeline!$I$5:$I$305)*ISNUMBER(Timeline!$J$5:$J$305)*(Timeline!$I$5:$I$305&lt;=AO$4+3)*(Timeline!$J$5:$J$305&gt;=AO$4+3)),SUMPRODUCT((INDEX(Timeline!$P$5:$AN$305,0,MATCH($A22,Timeline!$P$4:$AN$4,0))="x")*(Timeline!$K$5:$K$305="Task")*ISNUMBER(Timeline!$I$5:$I$305)*ISNUMBER(Timeline!$J$5:$J$305)*(Timeline!$I$5:$I$305&lt;=AO$4+4)*(Timeline!$J$5:$J$305&gt;=AO$4+4)),SUMPRODUCT((INDEX(Timeline!$P$5:$AN$305,0,MATCH($A22,Timeline!$P$4:$AN$4,0))="x")*(Timeline!$K$5:$K$305="Task")*ISNUMBER(Timeline!$I$5:$I$305)*ISNUMBER(Timeline!$J$5:$J$305)*(Timeline!$I$5:$I$305&lt;=AO$4+5)*(Timeline!$J$5:$J$305&gt;=AO$4+5)),SUMPRODUCT((INDEX(Timeline!$P$5:$AN$305,0,MATCH($A22,Timeline!$P$4:$AN$4,0))="x")*(Timeline!$K$5:$K$305="Task")*ISNUMBER(Timeline!$I$5:$I$305)*ISNUMBER(Timeline!$J$5:$J$305)*(Timeline!$I$5:$I$305&lt;=AO$4+6)*(Timeline!$J$5:$J$305&gt;=AO$4+6)))</f>
        <v>0</v>
      </c>
      <c r="AP22" s="67">
        <f>MAX(SUMPRODUCT((INDEX(Timeline!$P$5:$AN$305,0,MATCH($A22,Timeline!$P$4:$AN$4,0))="x")*(Timeline!$K$5:$K$305="Task")*ISNUMBER(Timeline!$I$5:$I$305)*ISNUMBER(Timeline!$J$5:$J$305)*(Timeline!$I$5:$I$305&lt;=AP$4+0)*(Timeline!$J$5:$J$305&gt;=AP$4+0)),SUMPRODUCT((INDEX(Timeline!$P$5:$AN$305,0,MATCH($A22,Timeline!$P$4:$AN$4,0))="x")*(Timeline!$K$5:$K$305="Task")*ISNUMBER(Timeline!$I$5:$I$305)*ISNUMBER(Timeline!$J$5:$J$305)*(Timeline!$I$5:$I$305&lt;=AP$4+1)*(Timeline!$J$5:$J$305&gt;=AP$4+1)),SUMPRODUCT((INDEX(Timeline!$P$5:$AN$305,0,MATCH($A22,Timeline!$P$4:$AN$4,0))="x")*(Timeline!$K$5:$K$305="Task")*ISNUMBER(Timeline!$I$5:$I$305)*ISNUMBER(Timeline!$J$5:$J$305)*(Timeline!$I$5:$I$305&lt;=AP$4+2)*(Timeline!$J$5:$J$305&gt;=AP$4+2)),SUMPRODUCT((INDEX(Timeline!$P$5:$AN$305,0,MATCH($A22,Timeline!$P$4:$AN$4,0))="x")*(Timeline!$K$5:$K$305="Task")*ISNUMBER(Timeline!$I$5:$I$305)*ISNUMBER(Timeline!$J$5:$J$305)*(Timeline!$I$5:$I$305&lt;=AP$4+3)*(Timeline!$J$5:$J$305&gt;=AP$4+3)),SUMPRODUCT((INDEX(Timeline!$P$5:$AN$305,0,MATCH($A22,Timeline!$P$4:$AN$4,0))="x")*(Timeline!$K$5:$K$305="Task")*ISNUMBER(Timeline!$I$5:$I$305)*ISNUMBER(Timeline!$J$5:$J$305)*(Timeline!$I$5:$I$305&lt;=AP$4+4)*(Timeline!$J$5:$J$305&gt;=AP$4+4)),SUMPRODUCT((INDEX(Timeline!$P$5:$AN$305,0,MATCH($A22,Timeline!$P$4:$AN$4,0))="x")*(Timeline!$K$5:$K$305="Task")*ISNUMBER(Timeline!$I$5:$I$305)*ISNUMBER(Timeline!$J$5:$J$305)*(Timeline!$I$5:$I$305&lt;=AP$4+5)*(Timeline!$J$5:$J$305&gt;=AP$4+5)),SUMPRODUCT((INDEX(Timeline!$P$5:$AN$305,0,MATCH($A22,Timeline!$P$4:$AN$4,0))="x")*(Timeline!$K$5:$K$305="Task")*ISNUMBER(Timeline!$I$5:$I$305)*ISNUMBER(Timeline!$J$5:$J$305)*(Timeline!$I$5:$I$305&lt;=AP$4+6)*(Timeline!$J$5:$J$305&gt;=AP$4+6)))</f>
        <v>0</v>
      </c>
      <c r="AQ22" s="67">
        <f>MAX(SUMPRODUCT((INDEX(Timeline!$P$5:$AN$305,0,MATCH($A22,Timeline!$P$4:$AN$4,0))="x")*(Timeline!$K$5:$K$305="Task")*ISNUMBER(Timeline!$I$5:$I$305)*ISNUMBER(Timeline!$J$5:$J$305)*(Timeline!$I$5:$I$305&lt;=AQ$4+0)*(Timeline!$J$5:$J$305&gt;=AQ$4+0)),SUMPRODUCT((INDEX(Timeline!$P$5:$AN$305,0,MATCH($A22,Timeline!$P$4:$AN$4,0))="x")*(Timeline!$K$5:$K$305="Task")*ISNUMBER(Timeline!$I$5:$I$305)*ISNUMBER(Timeline!$J$5:$J$305)*(Timeline!$I$5:$I$305&lt;=AQ$4+1)*(Timeline!$J$5:$J$305&gt;=AQ$4+1)),SUMPRODUCT((INDEX(Timeline!$P$5:$AN$305,0,MATCH($A22,Timeline!$P$4:$AN$4,0))="x")*(Timeline!$K$5:$K$305="Task")*ISNUMBER(Timeline!$I$5:$I$305)*ISNUMBER(Timeline!$J$5:$J$305)*(Timeline!$I$5:$I$305&lt;=AQ$4+2)*(Timeline!$J$5:$J$305&gt;=AQ$4+2)),SUMPRODUCT((INDEX(Timeline!$P$5:$AN$305,0,MATCH($A22,Timeline!$P$4:$AN$4,0))="x")*(Timeline!$K$5:$K$305="Task")*ISNUMBER(Timeline!$I$5:$I$305)*ISNUMBER(Timeline!$J$5:$J$305)*(Timeline!$I$5:$I$305&lt;=AQ$4+3)*(Timeline!$J$5:$J$305&gt;=AQ$4+3)),SUMPRODUCT((INDEX(Timeline!$P$5:$AN$305,0,MATCH($A22,Timeline!$P$4:$AN$4,0))="x")*(Timeline!$K$5:$K$305="Task")*ISNUMBER(Timeline!$I$5:$I$305)*ISNUMBER(Timeline!$J$5:$J$305)*(Timeline!$I$5:$I$305&lt;=AQ$4+4)*(Timeline!$J$5:$J$305&gt;=AQ$4+4)),SUMPRODUCT((INDEX(Timeline!$P$5:$AN$305,0,MATCH($A22,Timeline!$P$4:$AN$4,0))="x")*(Timeline!$K$5:$K$305="Task")*ISNUMBER(Timeline!$I$5:$I$305)*ISNUMBER(Timeline!$J$5:$J$305)*(Timeline!$I$5:$I$305&lt;=AQ$4+5)*(Timeline!$J$5:$J$305&gt;=AQ$4+5)),SUMPRODUCT((INDEX(Timeline!$P$5:$AN$305,0,MATCH($A22,Timeline!$P$4:$AN$4,0))="x")*(Timeline!$K$5:$K$305="Task")*ISNUMBER(Timeline!$I$5:$I$305)*ISNUMBER(Timeline!$J$5:$J$305)*(Timeline!$I$5:$I$305&lt;=AQ$4+6)*(Timeline!$J$5:$J$305&gt;=AQ$4+6)))</f>
        <v>0</v>
      </c>
      <c r="AR22" s="67">
        <f>MAX(SUMPRODUCT((INDEX(Timeline!$P$5:$AN$305,0,MATCH($A22,Timeline!$P$4:$AN$4,0))="x")*(Timeline!$K$5:$K$305="Task")*ISNUMBER(Timeline!$I$5:$I$305)*ISNUMBER(Timeline!$J$5:$J$305)*(Timeline!$I$5:$I$305&lt;=AR$4+0)*(Timeline!$J$5:$J$305&gt;=AR$4+0)),SUMPRODUCT((INDEX(Timeline!$P$5:$AN$305,0,MATCH($A22,Timeline!$P$4:$AN$4,0))="x")*(Timeline!$K$5:$K$305="Task")*ISNUMBER(Timeline!$I$5:$I$305)*ISNUMBER(Timeline!$J$5:$J$305)*(Timeline!$I$5:$I$305&lt;=AR$4+1)*(Timeline!$J$5:$J$305&gt;=AR$4+1)),SUMPRODUCT((INDEX(Timeline!$P$5:$AN$305,0,MATCH($A22,Timeline!$P$4:$AN$4,0))="x")*(Timeline!$K$5:$K$305="Task")*ISNUMBER(Timeline!$I$5:$I$305)*ISNUMBER(Timeline!$J$5:$J$305)*(Timeline!$I$5:$I$305&lt;=AR$4+2)*(Timeline!$J$5:$J$305&gt;=AR$4+2)),SUMPRODUCT((INDEX(Timeline!$P$5:$AN$305,0,MATCH($A22,Timeline!$P$4:$AN$4,0))="x")*(Timeline!$K$5:$K$305="Task")*ISNUMBER(Timeline!$I$5:$I$305)*ISNUMBER(Timeline!$J$5:$J$305)*(Timeline!$I$5:$I$305&lt;=AR$4+3)*(Timeline!$J$5:$J$305&gt;=AR$4+3)),SUMPRODUCT((INDEX(Timeline!$P$5:$AN$305,0,MATCH($A22,Timeline!$P$4:$AN$4,0))="x")*(Timeline!$K$5:$K$305="Task")*ISNUMBER(Timeline!$I$5:$I$305)*ISNUMBER(Timeline!$J$5:$J$305)*(Timeline!$I$5:$I$305&lt;=AR$4+4)*(Timeline!$J$5:$J$305&gt;=AR$4+4)),SUMPRODUCT((INDEX(Timeline!$P$5:$AN$305,0,MATCH($A22,Timeline!$P$4:$AN$4,0))="x")*(Timeline!$K$5:$K$305="Task")*ISNUMBER(Timeline!$I$5:$I$305)*ISNUMBER(Timeline!$J$5:$J$305)*(Timeline!$I$5:$I$305&lt;=AR$4+5)*(Timeline!$J$5:$J$305&gt;=AR$4+5)),SUMPRODUCT((INDEX(Timeline!$P$5:$AN$305,0,MATCH($A22,Timeline!$P$4:$AN$4,0))="x")*(Timeline!$K$5:$K$305="Task")*ISNUMBER(Timeline!$I$5:$I$305)*ISNUMBER(Timeline!$J$5:$J$305)*(Timeline!$I$5:$I$305&lt;=AR$4+6)*(Timeline!$J$5:$J$305&gt;=AR$4+6)))</f>
        <v>0</v>
      </c>
      <c r="AS22" s="67">
        <f>MAX(SUMPRODUCT((INDEX(Timeline!$P$5:$AN$305,0,MATCH($A22,Timeline!$P$4:$AN$4,0))="x")*(Timeline!$K$5:$K$305="Task")*ISNUMBER(Timeline!$I$5:$I$305)*ISNUMBER(Timeline!$J$5:$J$305)*(Timeline!$I$5:$I$305&lt;=AS$4+0)*(Timeline!$J$5:$J$305&gt;=AS$4+0)),SUMPRODUCT((INDEX(Timeline!$P$5:$AN$305,0,MATCH($A22,Timeline!$P$4:$AN$4,0))="x")*(Timeline!$K$5:$K$305="Task")*ISNUMBER(Timeline!$I$5:$I$305)*ISNUMBER(Timeline!$J$5:$J$305)*(Timeline!$I$5:$I$305&lt;=AS$4+1)*(Timeline!$J$5:$J$305&gt;=AS$4+1)),SUMPRODUCT((INDEX(Timeline!$P$5:$AN$305,0,MATCH($A22,Timeline!$P$4:$AN$4,0))="x")*(Timeline!$K$5:$K$305="Task")*ISNUMBER(Timeline!$I$5:$I$305)*ISNUMBER(Timeline!$J$5:$J$305)*(Timeline!$I$5:$I$305&lt;=AS$4+2)*(Timeline!$J$5:$J$305&gt;=AS$4+2)),SUMPRODUCT((INDEX(Timeline!$P$5:$AN$305,0,MATCH($A22,Timeline!$P$4:$AN$4,0))="x")*(Timeline!$K$5:$K$305="Task")*ISNUMBER(Timeline!$I$5:$I$305)*ISNUMBER(Timeline!$J$5:$J$305)*(Timeline!$I$5:$I$305&lt;=AS$4+3)*(Timeline!$J$5:$J$305&gt;=AS$4+3)),SUMPRODUCT((INDEX(Timeline!$P$5:$AN$305,0,MATCH($A22,Timeline!$P$4:$AN$4,0))="x")*(Timeline!$K$5:$K$305="Task")*ISNUMBER(Timeline!$I$5:$I$305)*ISNUMBER(Timeline!$J$5:$J$305)*(Timeline!$I$5:$I$305&lt;=AS$4+4)*(Timeline!$J$5:$J$305&gt;=AS$4+4)),SUMPRODUCT((INDEX(Timeline!$P$5:$AN$305,0,MATCH($A22,Timeline!$P$4:$AN$4,0))="x")*(Timeline!$K$5:$K$305="Task")*ISNUMBER(Timeline!$I$5:$I$305)*ISNUMBER(Timeline!$J$5:$J$305)*(Timeline!$I$5:$I$305&lt;=AS$4+5)*(Timeline!$J$5:$J$305&gt;=AS$4+5)),SUMPRODUCT((INDEX(Timeline!$P$5:$AN$305,0,MATCH($A22,Timeline!$P$4:$AN$4,0))="x")*(Timeline!$K$5:$K$305="Task")*ISNUMBER(Timeline!$I$5:$I$305)*ISNUMBER(Timeline!$J$5:$J$305)*(Timeline!$I$5:$I$305&lt;=AS$4+6)*(Timeline!$J$5:$J$305&gt;=AS$4+6)))</f>
        <v>0</v>
      </c>
      <c r="AT22" s="67">
        <f>MAX(SUMPRODUCT((INDEX(Timeline!$P$5:$AN$305,0,MATCH($A22,Timeline!$P$4:$AN$4,0))="x")*(Timeline!$K$5:$K$305="Task")*ISNUMBER(Timeline!$I$5:$I$305)*ISNUMBER(Timeline!$J$5:$J$305)*(Timeline!$I$5:$I$305&lt;=AT$4+0)*(Timeline!$J$5:$J$305&gt;=AT$4+0)),SUMPRODUCT((INDEX(Timeline!$P$5:$AN$305,0,MATCH($A22,Timeline!$P$4:$AN$4,0))="x")*(Timeline!$K$5:$K$305="Task")*ISNUMBER(Timeline!$I$5:$I$305)*ISNUMBER(Timeline!$J$5:$J$305)*(Timeline!$I$5:$I$305&lt;=AT$4+1)*(Timeline!$J$5:$J$305&gt;=AT$4+1)),SUMPRODUCT((INDEX(Timeline!$P$5:$AN$305,0,MATCH($A22,Timeline!$P$4:$AN$4,0))="x")*(Timeline!$K$5:$K$305="Task")*ISNUMBER(Timeline!$I$5:$I$305)*ISNUMBER(Timeline!$J$5:$J$305)*(Timeline!$I$5:$I$305&lt;=AT$4+2)*(Timeline!$J$5:$J$305&gt;=AT$4+2)),SUMPRODUCT((INDEX(Timeline!$P$5:$AN$305,0,MATCH($A22,Timeline!$P$4:$AN$4,0))="x")*(Timeline!$K$5:$K$305="Task")*ISNUMBER(Timeline!$I$5:$I$305)*ISNUMBER(Timeline!$J$5:$J$305)*(Timeline!$I$5:$I$305&lt;=AT$4+3)*(Timeline!$J$5:$J$305&gt;=AT$4+3)),SUMPRODUCT((INDEX(Timeline!$P$5:$AN$305,0,MATCH($A22,Timeline!$P$4:$AN$4,0))="x")*(Timeline!$K$5:$K$305="Task")*ISNUMBER(Timeline!$I$5:$I$305)*ISNUMBER(Timeline!$J$5:$J$305)*(Timeline!$I$5:$I$305&lt;=AT$4+4)*(Timeline!$J$5:$J$305&gt;=AT$4+4)),SUMPRODUCT((INDEX(Timeline!$P$5:$AN$305,0,MATCH($A22,Timeline!$P$4:$AN$4,0))="x")*(Timeline!$K$5:$K$305="Task")*ISNUMBER(Timeline!$I$5:$I$305)*ISNUMBER(Timeline!$J$5:$J$305)*(Timeline!$I$5:$I$305&lt;=AT$4+5)*(Timeline!$J$5:$J$305&gt;=AT$4+5)),SUMPRODUCT((INDEX(Timeline!$P$5:$AN$305,0,MATCH($A22,Timeline!$P$4:$AN$4,0))="x")*(Timeline!$K$5:$K$305="Task")*ISNUMBER(Timeline!$I$5:$I$305)*ISNUMBER(Timeline!$J$5:$J$305)*(Timeline!$I$5:$I$305&lt;=AT$4+6)*(Timeline!$J$5:$J$305&gt;=AT$4+6)))</f>
        <v>0</v>
      </c>
      <c r="AU22" s="67">
        <f>MAX(SUMPRODUCT((INDEX(Timeline!$P$5:$AN$305,0,MATCH($A22,Timeline!$P$4:$AN$4,0))="x")*(Timeline!$K$5:$K$305="Task")*ISNUMBER(Timeline!$I$5:$I$305)*ISNUMBER(Timeline!$J$5:$J$305)*(Timeline!$I$5:$I$305&lt;=AU$4+0)*(Timeline!$J$5:$J$305&gt;=AU$4+0)),SUMPRODUCT((INDEX(Timeline!$P$5:$AN$305,0,MATCH($A22,Timeline!$P$4:$AN$4,0))="x")*(Timeline!$K$5:$K$305="Task")*ISNUMBER(Timeline!$I$5:$I$305)*ISNUMBER(Timeline!$J$5:$J$305)*(Timeline!$I$5:$I$305&lt;=AU$4+1)*(Timeline!$J$5:$J$305&gt;=AU$4+1)),SUMPRODUCT((INDEX(Timeline!$P$5:$AN$305,0,MATCH($A22,Timeline!$P$4:$AN$4,0))="x")*(Timeline!$K$5:$K$305="Task")*ISNUMBER(Timeline!$I$5:$I$305)*ISNUMBER(Timeline!$J$5:$J$305)*(Timeline!$I$5:$I$305&lt;=AU$4+2)*(Timeline!$J$5:$J$305&gt;=AU$4+2)),SUMPRODUCT((INDEX(Timeline!$P$5:$AN$305,0,MATCH($A22,Timeline!$P$4:$AN$4,0))="x")*(Timeline!$K$5:$K$305="Task")*ISNUMBER(Timeline!$I$5:$I$305)*ISNUMBER(Timeline!$J$5:$J$305)*(Timeline!$I$5:$I$305&lt;=AU$4+3)*(Timeline!$J$5:$J$305&gt;=AU$4+3)),SUMPRODUCT((INDEX(Timeline!$P$5:$AN$305,0,MATCH($A22,Timeline!$P$4:$AN$4,0))="x")*(Timeline!$K$5:$K$305="Task")*ISNUMBER(Timeline!$I$5:$I$305)*ISNUMBER(Timeline!$J$5:$J$305)*(Timeline!$I$5:$I$305&lt;=AU$4+4)*(Timeline!$J$5:$J$305&gt;=AU$4+4)),SUMPRODUCT((INDEX(Timeline!$P$5:$AN$305,0,MATCH($A22,Timeline!$P$4:$AN$4,0))="x")*(Timeline!$K$5:$K$305="Task")*ISNUMBER(Timeline!$I$5:$I$305)*ISNUMBER(Timeline!$J$5:$J$305)*(Timeline!$I$5:$I$305&lt;=AU$4+5)*(Timeline!$J$5:$J$305&gt;=AU$4+5)),SUMPRODUCT((INDEX(Timeline!$P$5:$AN$305,0,MATCH($A22,Timeline!$P$4:$AN$4,0))="x")*(Timeline!$K$5:$K$305="Task")*ISNUMBER(Timeline!$I$5:$I$305)*ISNUMBER(Timeline!$J$5:$J$305)*(Timeline!$I$5:$I$305&lt;=AU$4+6)*(Timeline!$J$5:$J$305&gt;=AU$4+6)))</f>
        <v>0</v>
      </c>
      <c r="AV22" s="67">
        <f>MAX(SUMPRODUCT((INDEX(Timeline!$P$5:$AN$305,0,MATCH($A22,Timeline!$P$4:$AN$4,0))="x")*(Timeline!$K$5:$K$305="Task")*ISNUMBER(Timeline!$I$5:$I$305)*ISNUMBER(Timeline!$J$5:$J$305)*(Timeline!$I$5:$I$305&lt;=AV$4+0)*(Timeline!$J$5:$J$305&gt;=AV$4+0)),SUMPRODUCT((INDEX(Timeline!$P$5:$AN$305,0,MATCH($A22,Timeline!$P$4:$AN$4,0))="x")*(Timeline!$K$5:$K$305="Task")*ISNUMBER(Timeline!$I$5:$I$305)*ISNUMBER(Timeline!$J$5:$J$305)*(Timeline!$I$5:$I$305&lt;=AV$4+1)*(Timeline!$J$5:$J$305&gt;=AV$4+1)),SUMPRODUCT((INDEX(Timeline!$P$5:$AN$305,0,MATCH($A22,Timeline!$P$4:$AN$4,0))="x")*(Timeline!$K$5:$K$305="Task")*ISNUMBER(Timeline!$I$5:$I$305)*ISNUMBER(Timeline!$J$5:$J$305)*(Timeline!$I$5:$I$305&lt;=AV$4+2)*(Timeline!$J$5:$J$305&gt;=AV$4+2)),SUMPRODUCT((INDEX(Timeline!$P$5:$AN$305,0,MATCH($A22,Timeline!$P$4:$AN$4,0))="x")*(Timeline!$K$5:$K$305="Task")*ISNUMBER(Timeline!$I$5:$I$305)*ISNUMBER(Timeline!$J$5:$J$305)*(Timeline!$I$5:$I$305&lt;=AV$4+3)*(Timeline!$J$5:$J$305&gt;=AV$4+3)),SUMPRODUCT((INDEX(Timeline!$P$5:$AN$305,0,MATCH($A22,Timeline!$P$4:$AN$4,0))="x")*(Timeline!$K$5:$K$305="Task")*ISNUMBER(Timeline!$I$5:$I$305)*ISNUMBER(Timeline!$J$5:$J$305)*(Timeline!$I$5:$I$305&lt;=AV$4+4)*(Timeline!$J$5:$J$305&gt;=AV$4+4)),SUMPRODUCT((INDEX(Timeline!$P$5:$AN$305,0,MATCH($A22,Timeline!$P$4:$AN$4,0))="x")*(Timeline!$K$5:$K$305="Task")*ISNUMBER(Timeline!$I$5:$I$305)*ISNUMBER(Timeline!$J$5:$J$305)*(Timeline!$I$5:$I$305&lt;=AV$4+5)*(Timeline!$J$5:$J$305&gt;=AV$4+5)),SUMPRODUCT((INDEX(Timeline!$P$5:$AN$305,0,MATCH($A22,Timeline!$P$4:$AN$4,0))="x")*(Timeline!$K$5:$K$305="Task")*ISNUMBER(Timeline!$I$5:$I$305)*ISNUMBER(Timeline!$J$5:$J$305)*(Timeline!$I$5:$I$305&lt;=AV$4+6)*(Timeline!$J$5:$J$305&gt;=AV$4+6)))</f>
        <v>0</v>
      </c>
      <c r="AW22" s="67">
        <f>MAX(SUMPRODUCT((INDEX(Timeline!$P$5:$AN$305,0,MATCH($A22,Timeline!$P$4:$AN$4,0))="x")*(Timeline!$K$5:$K$305="Task")*ISNUMBER(Timeline!$I$5:$I$305)*ISNUMBER(Timeline!$J$5:$J$305)*(Timeline!$I$5:$I$305&lt;=AW$4+0)*(Timeline!$J$5:$J$305&gt;=AW$4+0)),SUMPRODUCT((INDEX(Timeline!$P$5:$AN$305,0,MATCH($A22,Timeline!$P$4:$AN$4,0))="x")*(Timeline!$K$5:$K$305="Task")*ISNUMBER(Timeline!$I$5:$I$305)*ISNUMBER(Timeline!$J$5:$J$305)*(Timeline!$I$5:$I$305&lt;=AW$4+1)*(Timeline!$J$5:$J$305&gt;=AW$4+1)),SUMPRODUCT((INDEX(Timeline!$P$5:$AN$305,0,MATCH($A22,Timeline!$P$4:$AN$4,0))="x")*(Timeline!$K$5:$K$305="Task")*ISNUMBER(Timeline!$I$5:$I$305)*ISNUMBER(Timeline!$J$5:$J$305)*(Timeline!$I$5:$I$305&lt;=AW$4+2)*(Timeline!$J$5:$J$305&gt;=AW$4+2)),SUMPRODUCT((INDEX(Timeline!$P$5:$AN$305,0,MATCH($A22,Timeline!$P$4:$AN$4,0))="x")*(Timeline!$K$5:$K$305="Task")*ISNUMBER(Timeline!$I$5:$I$305)*ISNUMBER(Timeline!$J$5:$J$305)*(Timeline!$I$5:$I$305&lt;=AW$4+3)*(Timeline!$J$5:$J$305&gt;=AW$4+3)),SUMPRODUCT((INDEX(Timeline!$P$5:$AN$305,0,MATCH($A22,Timeline!$P$4:$AN$4,0))="x")*(Timeline!$K$5:$K$305="Task")*ISNUMBER(Timeline!$I$5:$I$305)*ISNUMBER(Timeline!$J$5:$J$305)*(Timeline!$I$5:$I$305&lt;=AW$4+4)*(Timeline!$J$5:$J$305&gt;=AW$4+4)),SUMPRODUCT((INDEX(Timeline!$P$5:$AN$305,0,MATCH($A22,Timeline!$P$4:$AN$4,0))="x")*(Timeline!$K$5:$K$305="Task")*ISNUMBER(Timeline!$I$5:$I$305)*ISNUMBER(Timeline!$J$5:$J$305)*(Timeline!$I$5:$I$305&lt;=AW$4+5)*(Timeline!$J$5:$J$305&gt;=AW$4+5)),SUMPRODUCT((INDEX(Timeline!$P$5:$AN$305,0,MATCH($A22,Timeline!$P$4:$AN$4,0))="x")*(Timeline!$K$5:$K$305="Task")*ISNUMBER(Timeline!$I$5:$I$305)*ISNUMBER(Timeline!$J$5:$J$305)*(Timeline!$I$5:$I$305&lt;=AW$4+6)*(Timeline!$J$5:$J$305&gt;=AW$4+6)))</f>
        <v>0</v>
      </c>
      <c r="AX22" s="67">
        <f>MAX(SUMPRODUCT((INDEX(Timeline!$P$5:$AN$305,0,MATCH($A22,Timeline!$P$4:$AN$4,0))="x")*(Timeline!$K$5:$K$305="Task")*ISNUMBER(Timeline!$I$5:$I$305)*ISNUMBER(Timeline!$J$5:$J$305)*(Timeline!$I$5:$I$305&lt;=AX$4+0)*(Timeline!$J$5:$J$305&gt;=AX$4+0)),SUMPRODUCT((INDEX(Timeline!$P$5:$AN$305,0,MATCH($A22,Timeline!$P$4:$AN$4,0))="x")*(Timeline!$K$5:$K$305="Task")*ISNUMBER(Timeline!$I$5:$I$305)*ISNUMBER(Timeline!$J$5:$J$305)*(Timeline!$I$5:$I$305&lt;=AX$4+1)*(Timeline!$J$5:$J$305&gt;=AX$4+1)),SUMPRODUCT((INDEX(Timeline!$P$5:$AN$305,0,MATCH($A22,Timeline!$P$4:$AN$4,0))="x")*(Timeline!$K$5:$K$305="Task")*ISNUMBER(Timeline!$I$5:$I$305)*ISNUMBER(Timeline!$J$5:$J$305)*(Timeline!$I$5:$I$305&lt;=AX$4+2)*(Timeline!$J$5:$J$305&gt;=AX$4+2)),SUMPRODUCT((INDEX(Timeline!$P$5:$AN$305,0,MATCH($A22,Timeline!$P$4:$AN$4,0))="x")*(Timeline!$K$5:$K$305="Task")*ISNUMBER(Timeline!$I$5:$I$305)*ISNUMBER(Timeline!$J$5:$J$305)*(Timeline!$I$5:$I$305&lt;=AX$4+3)*(Timeline!$J$5:$J$305&gt;=AX$4+3)),SUMPRODUCT((INDEX(Timeline!$P$5:$AN$305,0,MATCH($A22,Timeline!$P$4:$AN$4,0))="x")*(Timeline!$K$5:$K$305="Task")*ISNUMBER(Timeline!$I$5:$I$305)*ISNUMBER(Timeline!$J$5:$J$305)*(Timeline!$I$5:$I$305&lt;=AX$4+4)*(Timeline!$J$5:$J$305&gt;=AX$4+4)),SUMPRODUCT((INDEX(Timeline!$P$5:$AN$305,0,MATCH($A22,Timeline!$P$4:$AN$4,0))="x")*(Timeline!$K$5:$K$305="Task")*ISNUMBER(Timeline!$I$5:$I$305)*ISNUMBER(Timeline!$J$5:$J$305)*(Timeline!$I$5:$I$305&lt;=AX$4+5)*(Timeline!$J$5:$J$305&gt;=AX$4+5)),SUMPRODUCT((INDEX(Timeline!$P$5:$AN$305,0,MATCH($A22,Timeline!$P$4:$AN$4,0))="x")*(Timeline!$K$5:$K$305="Task")*ISNUMBER(Timeline!$I$5:$I$305)*ISNUMBER(Timeline!$J$5:$J$305)*(Timeline!$I$5:$I$305&lt;=AX$4+6)*(Timeline!$J$5:$J$305&gt;=AX$4+6)))</f>
        <v>0</v>
      </c>
      <c r="AY22" s="67">
        <f>MAX(SUMPRODUCT((INDEX(Timeline!$P$5:$AN$305,0,MATCH($A22,Timeline!$P$4:$AN$4,0))="x")*(Timeline!$K$5:$K$305="Task")*ISNUMBER(Timeline!$I$5:$I$305)*ISNUMBER(Timeline!$J$5:$J$305)*(Timeline!$I$5:$I$305&lt;=AY$4+0)*(Timeline!$J$5:$J$305&gt;=AY$4+0)),SUMPRODUCT((INDEX(Timeline!$P$5:$AN$305,0,MATCH($A22,Timeline!$P$4:$AN$4,0))="x")*(Timeline!$K$5:$K$305="Task")*ISNUMBER(Timeline!$I$5:$I$305)*ISNUMBER(Timeline!$J$5:$J$305)*(Timeline!$I$5:$I$305&lt;=AY$4+1)*(Timeline!$J$5:$J$305&gt;=AY$4+1)),SUMPRODUCT((INDEX(Timeline!$P$5:$AN$305,0,MATCH($A22,Timeline!$P$4:$AN$4,0))="x")*(Timeline!$K$5:$K$305="Task")*ISNUMBER(Timeline!$I$5:$I$305)*ISNUMBER(Timeline!$J$5:$J$305)*(Timeline!$I$5:$I$305&lt;=AY$4+2)*(Timeline!$J$5:$J$305&gt;=AY$4+2)),SUMPRODUCT((INDEX(Timeline!$P$5:$AN$305,0,MATCH($A22,Timeline!$P$4:$AN$4,0))="x")*(Timeline!$K$5:$K$305="Task")*ISNUMBER(Timeline!$I$5:$I$305)*ISNUMBER(Timeline!$J$5:$J$305)*(Timeline!$I$5:$I$305&lt;=AY$4+3)*(Timeline!$J$5:$J$305&gt;=AY$4+3)),SUMPRODUCT((INDEX(Timeline!$P$5:$AN$305,0,MATCH($A22,Timeline!$P$4:$AN$4,0))="x")*(Timeline!$K$5:$K$305="Task")*ISNUMBER(Timeline!$I$5:$I$305)*ISNUMBER(Timeline!$J$5:$J$305)*(Timeline!$I$5:$I$305&lt;=AY$4+4)*(Timeline!$J$5:$J$305&gt;=AY$4+4)),SUMPRODUCT((INDEX(Timeline!$P$5:$AN$305,0,MATCH($A22,Timeline!$P$4:$AN$4,0))="x")*(Timeline!$K$5:$K$305="Task")*ISNUMBER(Timeline!$I$5:$I$305)*ISNUMBER(Timeline!$J$5:$J$305)*(Timeline!$I$5:$I$305&lt;=AY$4+5)*(Timeline!$J$5:$J$305&gt;=AY$4+5)),SUMPRODUCT((INDEX(Timeline!$P$5:$AN$305,0,MATCH($A22,Timeline!$P$4:$AN$4,0))="x")*(Timeline!$K$5:$K$305="Task")*ISNUMBER(Timeline!$I$5:$I$305)*ISNUMBER(Timeline!$J$5:$J$305)*(Timeline!$I$5:$I$305&lt;=AY$4+6)*(Timeline!$J$5:$J$305&gt;=AY$4+6)))</f>
        <v>0</v>
      </c>
      <c r="AZ22" s="67">
        <f>MAX(SUMPRODUCT((INDEX(Timeline!$P$5:$AN$305,0,MATCH($A22,Timeline!$P$4:$AN$4,0))="x")*(Timeline!$K$5:$K$305="Task")*ISNUMBER(Timeline!$I$5:$I$305)*ISNUMBER(Timeline!$J$5:$J$305)*(Timeline!$I$5:$I$305&lt;=AZ$4+0)*(Timeline!$J$5:$J$305&gt;=AZ$4+0)),SUMPRODUCT((INDEX(Timeline!$P$5:$AN$305,0,MATCH($A22,Timeline!$P$4:$AN$4,0))="x")*(Timeline!$K$5:$K$305="Task")*ISNUMBER(Timeline!$I$5:$I$305)*ISNUMBER(Timeline!$J$5:$J$305)*(Timeline!$I$5:$I$305&lt;=AZ$4+1)*(Timeline!$J$5:$J$305&gt;=AZ$4+1)),SUMPRODUCT((INDEX(Timeline!$P$5:$AN$305,0,MATCH($A22,Timeline!$P$4:$AN$4,0))="x")*(Timeline!$K$5:$K$305="Task")*ISNUMBER(Timeline!$I$5:$I$305)*ISNUMBER(Timeline!$J$5:$J$305)*(Timeline!$I$5:$I$305&lt;=AZ$4+2)*(Timeline!$J$5:$J$305&gt;=AZ$4+2)),SUMPRODUCT((INDEX(Timeline!$P$5:$AN$305,0,MATCH($A22,Timeline!$P$4:$AN$4,0))="x")*(Timeline!$K$5:$K$305="Task")*ISNUMBER(Timeline!$I$5:$I$305)*ISNUMBER(Timeline!$J$5:$J$305)*(Timeline!$I$5:$I$305&lt;=AZ$4+3)*(Timeline!$J$5:$J$305&gt;=AZ$4+3)),SUMPRODUCT((INDEX(Timeline!$P$5:$AN$305,0,MATCH($A22,Timeline!$P$4:$AN$4,0))="x")*(Timeline!$K$5:$K$305="Task")*ISNUMBER(Timeline!$I$5:$I$305)*ISNUMBER(Timeline!$J$5:$J$305)*(Timeline!$I$5:$I$305&lt;=AZ$4+4)*(Timeline!$J$5:$J$305&gt;=AZ$4+4)),SUMPRODUCT((INDEX(Timeline!$P$5:$AN$305,0,MATCH($A22,Timeline!$P$4:$AN$4,0))="x")*(Timeline!$K$5:$K$305="Task")*ISNUMBER(Timeline!$I$5:$I$305)*ISNUMBER(Timeline!$J$5:$J$305)*(Timeline!$I$5:$I$305&lt;=AZ$4+5)*(Timeline!$J$5:$J$305&gt;=AZ$4+5)),SUMPRODUCT((INDEX(Timeline!$P$5:$AN$305,0,MATCH($A22,Timeline!$P$4:$AN$4,0))="x")*(Timeline!$K$5:$K$305="Task")*ISNUMBER(Timeline!$I$5:$I$305)*ISNUMBER(Timeline!$J$5:$J$305)*(Timeline!$I$5:$I$305&lt;=AZ$4+6)*(Timeline!$J$5:$J$305&gt;=AZ$4+6)))</f>
        <v>0</v>
      </c>
      <c r="BA22" s="67">
        <f>MAX(SUMPRODUCT((INDEX(Timeline!$P$5:$AN$305,0,MATCH($A22,Timeline!$P$4:$AN$4,0))="x")*(Timeline!$K$5:$K$305="Task")*ISNUMBER(Timeline!$I$5:$I$305)*ISNUMBER(Timeline!$J$5:$J$305)*(Timeline!$I$5:$I$305&lt;=BA$4+0)*(Timeline!$J$5:$J$305&gt;=BA$4+0)),SUMPRODUCT((INDEX(Timeline!$P$5:$AN$305,0,MATCH($A22,Timeline!$P$4:$AN$4,0))="x")*(Timeline!$K$5:$K$305="Task")*ISNUMBER(Timeline!$I$5:$I$305)*ISNUMBER(Timeline!$J$5:$J$305)*(Timeline!$I$5:$I$305&lt;=BA$4+1)*(Timeline!$J$5:$J$305&gt;=BA$4+1)),SUMPRODUCT((INDEX(Timeline!$P$5:$AN$305,0,MATCH($A22,Timeline!$P$4:$AN$4,0))="x")*(Timeline!$K$5:$K$305="Task")*ISNUMBER(Timeline!$I$5:$I$305)*ISNUMBER(Timeline!$J$5:$J$305)*(Timeline!$I$5:$I$305&lt;=BA$4+2)*(Timeline!$J$5:$J$305&gt;=BA$4+2)),SUMPRODUCT((INDEX(Timeline!$P$5:$AN$305,0,MATCH($A22,Timeline!$P$4:$AN$4,0))="x")*(Timeline!$K$5:$K$305="Task")*ISNUMBER(Timeline!$I$5:$I$305)*ISNUMBER(Timeline!$J$5:$J$305)*(Timeline!$I$5:$I$305&lt;=BA$4+3)*(Timeline!$J$5:$J$305&gt;=BA$4+3)),SUMPRODUCT((INDEX(Timeline!$P$5:$AN$305,0,MATCH($A22,Timeline!$P$4:$AN$4,0))="x")*(Timeline!$K$5:$K$305="Task")*ISNUMBER(Timeline!$I$5:$I$305)*ISNUMBER(Timeline!$J$5:$J$305)*(Timeline!$I$5:$I$305&lt;=BA$4+4)*(Timeline!$J$5:$J$305&gt;=BA$4+4)),SUMPRODUCT((INDEX(Timeline!$P$5:$AN$305,0,MATCH($A22,Timeline!$P$4:$AN$4,0))="x")*(Timeline!$K$5:$K$305="Task")*ISNUMBER(Timeline!$I$5:$I$305)*ISNUMBER(Timeline!$J$5:$J$305)*(Timeline!$I$5:$I$305&lt;=BA$4+5)*(Timeline!$J$5:$J$305&gt;=BA$4+5)),SUMPRODUCT((INDEX(Timeline!$P$5:$AN$305,0,MATCH($A22,Timeline!$P$4:$AN$4,0))="x")*(Timeline!$K$5:$K$305="Task")*ISNUMBER(Timeline!$I$5:$I$305)*ISNUMBER(Timeline!$J$5:$J$305)*(Timeline!$I$5:$I$305&lt;=BA$4+6)*(Timeline!$J$5:$J$305&gt;=BA$4+6)))</f>
        <v>0</v>
      </c>
    </row>
    <row r="23" spans="1:53" ht="15" customHeight="1">
      <c r="A23" s="66" t="s">
        <v>54</v>
      </c>
      <c r="B23" s="66" t="s">
        <v>18</v>
      </c>
      <c r="C23" s="67">
        <f>MAX(SUMPRODUCT((INDEX(Timeline!$P$5:$AN$305,0,MATCH($A23,Timeline!$P$4:$AN$4,0))="x")*(Timeline!$K$5:$K$305="Task")*ISNUMBER(Timeline!$I$5:$I$305)*ISNUMBER(Timeline!$J$5:$J$305)*(Timeline!$I$5:$I$305&lt;=C$4+0)*(Timeline!$J$5:$J$305&gt;=C$4+0)),SUMPRODUCT((INDEX(Timeline!$P$5:$AN$305,0,MATCH($A23,Timeline!$P$4:$AN$4,0))="x")*(Timeline!$K$5:$K$305="Task")*ISNUMBER(Timeline!$I$5:$I$305)*ISNUMBER(Timeline!$J$5:$J$305)*(Timeline!$I$5:$I$305&lt;=C$4+1)*(Timeline!$J$5:$J$305&gt;=C$4+1)),SUMPRODUCT((INDEX(Timeline!$P$5:$AN$305,0,MATCH($A23,Timeline!$P$4:$AN$4,0))="x")*(Timeline!$K$5:$K$305="Task")*ISNUMBER(Timeline!$I$5:$I$305)*ISNUMBER(Timeline!$J$5:$J$305)*(Timeline!$I$5:$I$305&lt;=C$4+2)*(Timeline!$J$5:$J$305&gt;=C$4+2)),SUMPRODUCT((INDEX(Timeline!$P$5:$AN$305,0,MATCH($A23,Timeline!$P$4:$AN$4,0))="x")*(Timeline!$K$5:$K$305="Task")*ISNUMBER(Timeline!$I$5:$I$305)*ISNUMBER(Timeline!$J$5:$J$305)*(Timeline!$I$5:$I$305&lt;=C$4+3)*(Timeline!$J$5:$J$305&gt;=C$4+3)),SUMPRODUCT((INDEX(Timeline!$P$5:$AN$305,0,MATCH($A23,Timeline!$P$4:$AN$4,0))="x")*(Timeline!$K$5:$K$305="Task")*ISNUMBER(Timeline!$I$5:$I$305)*ISNUMBER(Timeline!$J$5:$J$305)*(Timeline!$I$5:$I$305&lt;=C$4+4)*(Timeline!$J$5:$J$305&gt;=C$4+4)),SUMPRODUCT((INDEX(Timeline!$P$5:$AN$305,0,MATCH($A23,Timeline!$P$4:$AN$4,0))="x")*(Timeline!$K$5:$K$305="Task")*ISNUMBER(Timeline!$I$5:$I$305)*ISNUMBER(Timeline!$J$5:$J$305)*(Timeline!$I$5:$I$305&lt;=C$4+5)*(Timeline!$J$5:$J$305&gt;=C$4+5)),SUMPRODUCT((INDEX(Timeline!$P$5:$AN$305,0,MATCH($A23,Timeline!$P$4:$AN$4,0))="x")*(Timeline!$K$5:$K$305="Task")*ISNUMBER(Timeline!$I$5:$I$305)*ISNUMBER(Timeline!$J$5:$J$305)*(Timeline!$I$5:$I$305&lt;=C$4+6)*(Timeline!$J$5:$J$305&gt;=C$4+6)))</f>
        <v>0</v>
      </c>
      <c r="D23" s="67">
        <f>MAX(SUMPRODUCT((INDEX(Timeline!$P$5:$AN$305,0,MATCH($A23,Timeline!$P$4:$AN$4,0))="x")*(Timeline!$K$5:$K$305="Task")*ISNUMBER(Timeline!$I$5:$I$305)*ISNUMBER(Timeline!$J$5:$J$305)*(Timeline!$I$5:$I$305&lt;=D$4+0)*(Timeline!$J$5:$J$305&gt;=D$4+0)),SUMPRODUCT((INDEX(Timeline!$P$5:$AN$305,0,MATCH($A23,Timeline!$P$4:$AN$4,0))="x")*(Timeline!$K$5:$K$305="Task")*ISNUMBER(Timeline!$I$5:$I$305)*ISNUMBER(Timeline!$J$5:$J$305)*(Timeline!$I$5:$I$305&lt;=D$4+1)*(Timeline!$J$5:$J$305&gt;=D$4+1)),SUMPRODUCT((INDEX(Timeline!$P$5:$AN$305,0,MATCH($A23,Timeline!$P$4:$AN$4,0))="x")*(Timeline!$K$5:$K$305="Task")*ISNUMBER(Timeline!$I$5:$I$305)*ISNUMBER(Timeline!$J$5:$J$305)*(Timeline!$I$5:$I$305&lt;=D$4+2)*(Timeline!$J$5:$J$305&gt;=D$4+2)),SUMPRODUCT((INDEX(Timeline!$P$5:$AN$305,0,MATCH($A23,Timeline!$P$4:$AN$4,0))="x")*(Timeline!$K$5:$K$305="Task")*ISNUMBER(Timeline!$I$5:$I$305)*ISNUMBER(Timeline!$J$5:$J$305)*(Timeline!$I$5:$I$305&lt;=D$4+3)*(Timeline!$J$5:$J$305&gt;=D$4+3)),SUMPRODUCT((INDEX(Timeline!$P$5:$AN$305,0,MATCH($A23,Timeline!$P$4:$AN$4,0))="x")*(Timeline!$K$5:$K$305="Task")*ISNUMBER(Timeline!$I$5:$I$305)*ISNUMBER(Timeline!$J$5:$J$305)*(Timeline!$I$5:$I$305&lt;=D$4+4)*(Timeline!$J$5:$J$305&gt;=D$4+4)),SUMPRODUCT((INDEX(Timeline!$P$5:$AN$305,0,MATCH($A23,Timeline!$P$4:$AN$4,0))="x")*(Timeline!$K$5:$K$305="Task")*ISNUMBER(Timeline!$I$5:$I$305)*ISNUMBER(Timeline!$J$5:$J$305)*(Timeline!$I$5:$I$305&lt;=D$4+5)*(Timeline!$J$5:$J$305&gt;=D$4+5)),SUMPRODUCT((INDEX(Timeline!$P$5:$AN$305,0,MATCH($A23,Timeline!$P$4:$AN$4,0))="x")*(Timeline!$K$5:$K$305="Task")*ISNUMBER(Timeline!$I$5:$I$305)*ISNUMBER(Timeline!$J$5:$J$305)*(Timeline!$I$5:$I$305&lt;=D$4+6)*(Timeline!$J$5:$J$305&gt;=D$4+6)))</f>
        <v>0</v>
      </c>
      <c r="E23" s="67">
        <f>MAX(SUMPRODUCT((INDEX(Timeline!$P$5:$AN$305,0,MATCH($A23,Timeline!$P$4:$AN$4,0))="x")*(Timeline!$K$5:$K$305="Task")*ISNUMBER(Timeline!$I$5:$I$305)*ISNUMBER(Timeline!$J$5:$J$305)*(Timeline!$I$5:$I$305&lt;=E$4+0)*(Timeline!$J$5:$J$305&gt;=E$4+0)),SUMPRODUCT((INDEX(Timeline!$P$5:$AN$305,0,MATCH($A23,Timeline!$P$4:$AN$4,0))="x")*(Timeline!$K$5:$K$305="Task")*ISNUMBER(Timeline!$I$5:$I$305)*ISNUMBER(Timeline!$J$5:$J$305)*(Timeline!$I$5:$I$305&lt;=E$4+1)*(Timeline!$J$5:$J$305&gt;=E$4+1)),SUMPRODUCT((INDEX(Timeline!$P$5:$AN$305,0,MATCH($A23,Timeline!$P$4:$AN$4,0))="x")*(Timeline!$K$5:$K$305="Task")*ISNUMBER(Timeline!$I$5:$I$305)*ISNUMBER(Timeline!$J$5:$J$305)*(Timeline!$I$5:$I$305&lt;=E$4+2)*(Timeline!$J$5:$J$305&gt;=E$4+2)),SUMPRODUCT((INDEX(Timeline!$P$5:$AN$305,0,MATCH($A23,Timeline!$P$4:$AN$4,0))="x")*(Timeline!$K$5:$K$305="Task")*ISNUMBER(Timeline!$I$5:$I$305)*ISNUMBER(Timeline!$J$5:$J$305)*(Timeline!$I$5:$I$305&lt;=E$4+3)*(Timeline!$J$5:$J$305&gt;=E$4+3)),SUMPRODUCT((INDEX(Timeline!$P$5:$AN$305,0,MATCH($A23,Timeline!$P$4:$AN$4,0))="x")*(Timeline!$K$5:$K$305="Task")*ISNUMBER(Timeline!$I$5:$I$305)*ISNUMBER(Timeline!$J$5:$J$305)*(Timeline!$I$5:$I$305&lt;=E$4+4)*(Timeline!$J$5:$J$305&gt;=E$4+4)),SUMPRODUCT((INDEX(Timeline!$P$5:$AN$305,0,MATCH($A23,Timeline!$P$4:$AN$4,0))="x")*(Timeline!$K$5:$K$305="Task")*ISNUMBER(Timeline!$I$5:$I$305)*ISNUMBER(Timeline!$J$5:$J$305)*(Timeline!$I$5:$I$305&lt;=E$4+5)*(Timeline!$J$5:$J$305&gt;=E$4+5)),SUMPRODUCT((INDEX(Timeline!$P$5:$AN$305,0,MATCH($A23,Timeline!$P$4:$AN$4,0))="x")*(Timeline!$K$5:$K$305="Task")*ISNUMBER(Timeline!$I$5:$I$305)*ISNUMBER(Timeline!$J$5:$J$305)*(Timeline!$I$5:$I$305&lt;=E$4+6)*(Timeline!$J$5:$J$305&gt;=E$4+6)))</f>
        <v>0</v>
      </c>
      <c r="F23" s="67">
        <f>MAX(SUMPRODUCT((INDEX(Timeline!$P$5:$AN$305,0,MATCH($A23,Timeline!$P$4:$AN$4,0))="x")*(Timeline!$K$5:$K$305="Task")*ISNUMBER(Timeline!$I$5:$I$305)*ISNUMBER(Timeline!$J$5:$J$305)*(Timeline!$I$5:$I$305&lt;=F$4+0)*(Timeline!$J$5:$J$305&gt;=F$4+0)),SUMPRODUCT((INDEX(Timeline!$P$5:$AN$305,0,MATCH($A23,Timeline!$P$4:$AN$4,0))="x")*(Timeline!$K$5:$K$305="Task")*ISNUMBER(Timeline!$I$5:$I$305)*ISNUMBER(Timeline!$J$5:$J$305)*(Timeline!$I$5:$I$305&lt;=F$4+1)*(Timeline!$J$5:$J$305&gt;=F$4+1)),SUMPRODUCT((INDEX(Timeline!$P$5:$AN$305,0,MATCH($A23,Timeline!$P$4:$AN$4,0))="x")*(Timeline!$K$5:$K$305="Task")*ISNUMBER(Timeline!$I$5:$I$305)*ISNUMBER(Timeline!$J$5:$J$305)*(Timeline!$I$5:$I$305&lt;=F$4+2)*(Timeline!$J$5:$J$305&gt;=F$4+2)),SUMPRODUCT((INDEX(Timeline!$P$5:$AN$305,0,MATCH($A23,Timeline!$P$4:$AN$4,0))="x")*(Timeline!$K$5:$K$305="Task")*ISNUMBER(Timeline!$I$5:$I$305)*ISNUMBER(Timeline!$J$5:$J$305)*(Timeline!$I$5:$I$305&lt;=F$4+3)*(Timeline!$J$5:$J$305&gt;=F$4+3)),SUMPRODUCT((INDEX(Timeline!$P$5:$AN$305,0,MATCH($A23,Timeline!$P$4:$AN$4,0))="x")*(Timeline!$K$5:$K$305="Task")*ISNUMBER(Timeline!$I$5:$I$305)*ISNUMBER(Timeline!$J$5:$J$305)*(Timeline!$I$5:$I$305&lt;=F$4+4)*(Timeline!$J$5:$J$305&gt;=F$4+4)),SUMPRODUCT((INDEX(Timeline!$P$5:$AN$305,0,MATCH($A23,Timeline!$P$4:$AN$4,0))="x")*(Timeline!$K$5:$K$305="Task")*ISNUMBER(Timeline!$I$5:$I$305)*ISNUMBER(Timeline!$J$5:$J$305)*(Timeline!$I$5:$I$305&lt;=F$4+5)*(Timeline!$J$5:$J$305&gt;=F$4+5)),SUMPRODUCT((INDEX(Timeline!$P$5:$AN$305,0,MATCH($A23,Timeline!$P$4:$AN$4,0))="x")*(Timeline!$K$5:$K$305="Task")*ISNUMBER(Timeline!$I$5:$I$305)*ISNUMBER(Timeline!$J$5:$J$305)*(Timeline!$I$5:$I$305&lt;=F$4+6)*(Timeline!$J$5:$J$305&gt;=F$4+6)))</f>
        <v>0</v>
      </c>
      <c r="G23" s="67">
        <f>MAX(SUMPRODUCT((INDEX(Timeline!$P$5:$AN$305,0,MATCH($A23,Timeline!$P$4:$AN$4,0))="x")*(Timeline!$K$5:$K$305="Task")*ISNUMBER(Timeline!$I$5:$I$305)*ISNUMBER(Timeline!$J$5:$J$305)*(Timeline!$I$5:$I$305&lt;=G$4+0)*(Timeline!$J$5:$J$305&gt;=G$4+0)),SUMPRODUCT((INDEX(Timeline!$P$5:$AN$305,0,MATCH($A23,Timeline!$P$4:$AN$4,0))="x")*(Timeline!$K$5:$K$305="Task")*ISNUMBER(Timeline!$I$5:$I$305)*ISNUMBER(Timeline!$J$5:$J$305)*(Timeline!$I$5:$I$305&lt;=G$4+1)*(Timeline!$J$5:$J$305&gt;=G$4+1)),SUMPRODUCT((INDEX(Timeline!$P$5:$AN$305,0,MATCH($A23,Timeline!$P$4:$AN$4,0))="x")*(Timeline!$K$5:$K$305="Task")*ISNUMBER(Timeline!$I$5:$I$305)*ISNUMBER(Timeline!$J$5:$J$305)*(Timeline!$I$5:$I$305&lt;=G$4+2)*(Timeline!$J$5:$J$305&gt;=G$4+2)),SUMPRODUCT((INDEX(Timeline!$P$5:$AN$305,0,MATCH($A23,Timeline!$P$4:$AN$4,0))="x")*(Timeline!$K$5:$K$305="Task")*ISNUMBER(Timeline!$I$5:$I$305)*ISNUMBER(Timeline!$J$5:$J$305)*(Timeline!$I$5:$I$305&lt;=G$4+3)*(Timeline!$J$5:$J$305&gt;=G$4+3)),SUMPRODUCT((INDEX(Timeline!$P$5:$AN$305,0,MATCH($A23,Timeline!$P$4:$AN$4,0))="x")*(Timeline!$K$5:$K$305="Task")*ISNUMBER(Timeline!$I$5:$I$305)*ISNUMBER(Timeline!$J$5:$J$305)*(Timeline!$I$5:$I$305&lt;=G$4+4)*(Timeline!$J$5:$J$305&gt;=G$4+4)),SUMPRODUCT((INDEX(Timeline!$P$5:$AN$305,0,MATCH($A23,Timeline!$P$4:$AN$4,0))="x")*(Timeline!$K$5:$K$305="Task")*ISNUMBER(Timeline!$I$5:$I$305)*ISNUMBER(Timeline!$J$5:$J$305)*(Timeline!$I$5:$I$305&lt;=G$4+5)*(Timeline!$J$5:$J$305&gt;=G$4+5)),SUMPRODUCT((INDEX(Timeline!$P$5:$AN$305,0,MATCH($A23,Timeline!$P$4:$AN$4,0))="x")*(Timeline!$K$5:$K$305="Task")*ISNUMBER(Timeline!$I$5:$I$305)*ISNUMBER(Timeline!$J$5:$J$305)*(Timeline!$I$5:$I$305&lt;=G$4+6)*(Timeline!$J$5:$J$305&gt;=G$4+6)))</f>
        <v>0</v>
      </c>
      <c r="H23" s="67">
        <f>MAX(SUMPRODUCT((INDEX(Timeline!$P$5:$AN$305,0,MATCH($A23,Timeline!$P$4:$AN$4,0))="x")*(Timeline!$K$5:$K$305="Task")*ISNUMBER(Timeline!$I$5:$I$305)*ISNUMBER(Timeline!$J$5:$J$305)*(Timeline!$I$5:$I$305&lt;=H$4+0)*(Timeline!$J$5:$J$305&gt;=H$4+0)),SUMPRODUCT((INDEX(Timeline!$P$5:$AN$305,0,MATCH($A23,Timeline!$P$4:$AN$4,0))="x")*(Timeline!$K$5:$K$305="Task")*ISNUMBER(Timeline!$I$5:$I$305)*ISNUMBER(Timeline!$J$5:$J$305)*(Timeline!$I$5:$I$305&lt;=H$4+1)*(Timeline!$J$5:$J$305&gt;=H$4+1)),SUMPRODUCT((INDEX(Timeline!$P$5:$AN$305,0,MATCH($A23,Timeline!$P$4:$AN$4,0))="x")*(Timeline!$K$5:$K$305="Task")*ISNUMBER(Timeline!$I$5:$I$305)*ISNUMBER(Timeline!$J$5:$J$305)*(Timeline!$I$5:$I$305&lt;=H$4+2)*(Timeline!$J$5:$J$305&gt;=H$4+2)),SUMPRODUCT((INDEX(Timeline!$P$5:$AN$305,0,MATCH($A23,Timeline!$P$4:$AN$4,0))="x")*(Timeline!$K$5:$K$305="Task")*ISNUMBER(Timeline!$I$5:$I$305)*ISNUMBER(Timeline!$J$5:$J$305)*(Timeline!$I$5:$I$305&lt;=H$4+3)*(Timeline!$J$5:$J$305&gt;=H$4+3)),SUMPRODUCT((INDEX(Timeline!$P$5:$AN$305,0,MATCH($A23,Timeline!$P$4:$AN$4,0))="x")*(Timeline!$K$5:$K$305="Task")*ISNUMBER(Timeline!$I$5:$I$305)*ISNUMBER(Timeline!$J$5:$J$305)*(Timeline!$I$5:$I$305&lt;=H$4+4)*(Timeline!$J$5:$J$305&gt;=H$4+4)),SUMPRODUCT((INDEX(Timeline!$P$5:$AN$305,0,MATCH($A23,Timeline!$P$4:$AN$4,0))="x")*(Timeline!$K$5:$K$305="Task")*ISNUMBER(Timeline!$I$5:$I$305)*ISNUMBER(Timeline!$J$5:$J$305)*(Timeline!$I$5:$I$305&lt;=H$4+5)*(Timeline!$J$5:$J$305&gt;=H$4+5)),SUMPRODUCT((INDEX(Timeline!$P$5:$AN$305,0,MATCH($A23,Timeline!$P$4:$AN$4,0))="x")*(Timeline!$K$5:$K$305="Task")*ISNUMBER(Timeline!$I$5:$I$305)*ISNUMBER(Timeline!$J$5:$J$305)*(Timeline!$I$5:$I$305&lt;=H$4+6)*(Timeline!$J$5:$J$305&gt;=H$4+6)))</f>
        <v>0</v>
      </c>
      <c r="I23" s="67">
        <f>MAX(SUMPRODUCT((INDEX(Timeline!$P$5:$AN$305,0,MATCH($A23,Timeline!$P$4:$AN$4,0))="x")*(Timeline!$K$5:$K$305="Task")*ISNUMBER(Timeline!$I$5:$I$305)*ISNUMBER(Timeline!$J$5:$J$305)*(Timeline!$I$5:$I$305&lt;=I$4+0)*(Timeline!$J$5:$J$305&gt;=I$4+0)),SUMPRODUCT((INDEX(Timeline!$P$5:$AN$305,0,MATCH($A23,Timeline!$P$4:$AN$4,0))="x")*(Timeline!$K$5:$K$305="Task")*ISNUMBER(Timeline!$I$5:$I$305)*ISNUMBER(Timeline!$J$5:$J$305)*(Timeline!$I$5:$I$305&lt;=I$4+1)*(Timeline!$J$5:$J$305&gt;=I$4+1)),SUMPRODUCT((INDEX(Timeline!$P$5:$AN$305,0,MATCH($A23,Timeline!$P$4:$AN$4,0))="x")*(Timeline!$K$5:$K$305="Task")*ISNUMBER(Timeline!$I$5:$I$305)*ISNUMBER(Timeline!$J$5:$J$305)*(Timeline!$I$5:$I$305&lt;=I$4+2)*(Timeline!$J$5:$J$305&gt;=I$4+2)),SUMPRODUCT((INDEX(Timeline!$P$5:$AN$305,0,MATCH($A23,Timeline!$P$4:$AN$4,0))="x")*(Timeline!$K$5:$K$305="Task")*ISNUMBER(Timeline!$I$5:$I$305)*ISNUMBER(Timeline!$J$5:$J$305)*(Timeline!$I$5:$I$305&lt;=I$4+3)*(Timeline!$J$5:$J$305&gt;=I$4+3)),SUMPRODUCT((INDEX(Timeline!$P$5:$AN$305,0,MATCH($A23,Timeline!$P$4:$AN$4,0))="x")*(Timeline!$K$5:$K$305="Task")*ISNUMBER(Timeline!$I$5:$I$305)*ISNUMBER(Timeline!$J$5:$J$305)*(Timeline!$I$5:$I$305&lt;=I$4+4)*(Timeline!$J$5:$J$305&gt;=I$4+4)),SUMPRODUCT((INDEX(Timeline!$P$5:$AN$305,0,MATCH($A23,Timeline!$P$4:$AN$4,0))="x")*(Timeline!$K$5:$K$305="Task")*ISNUMBER(Timeline!$I$5:$I$305)*ISNUMBER(Timeline!$J$5:$J$305)*(Timeline!$I$5:$I$305&lt;=I$4+5)*(Timeline!$J$5:$J$305&gt;=I$4+5)),SUMPRODUCT((INDEX(Timeline!$P$5:$AN$305,0,MATCH($A23,Timeline!$P$4:$AN$4,0))="x")*(Timeline!$K$5:$K$305="Task")*ISNUMBER(Timeline!$I$5:$I$305)*ISNUMBER(Timeline!$J$5:$J$305)*(Timeline!$I$5:$I$305&lt;=I$4+6)*(Timeline!$J$5:$J$305&gt;=I$4+6)))</f>
        <v>0</v>
      </c>
      <c r="J23" s="67">
        <f>MAX(SUMPRODUCT((INDEX(Timeline!$P$5:$AN$305,0,MATCH($A23,Timeline!$P$4:$AN$4,0))="x")*(Timeline!$K$5:$K$305="Task")*ISNUMBER(Timeline!$I$5:$I$305)*ISNUMBER(Timeline!$J$5:$J$305)*(Timeline!$I$5:$I$305&lt;=J$4+0)*(Timeline!$J$5:$J$305&gt;=J$4+0)),SUMPRODUCT((INDEX(Timeline!$P$5:$AN$305,0,MATCH($A23,Timeline!$P$4:$AN$4,0))="x")*(Timeline!$K$5:$K$305="Task")*ISNUMBER(Timeline!$I$5:$I$305)*ISNUMBER(Timeline!$J$5:$J$305)*(Timeline!$I$5:$I$305&lt;=J$4+1)*(Timeline!$J$5:$J$305&gt;=J$4+1)),SUMPRODUCT((INDEX(Timeline!$P$5:$AN$305,0,MATCH($A23,Timeline!$P$4:$AN$4,0))="x")*(Timeline!$K$5:$K$305="Task")*ISNUMBER(Timeline!$I$5:$I$305)*ISNUMBER(Timeline!$J$5:$J$305)*(Timeline!$I$5:$I$305&lt;=J$4+2)*(Timeline!$J$5:$J$305&gt;=J$4+2)),SUMPRODUCT((INDEX(Timeline!$P$5:$AN$305,0,MATCH($A23,Timeline!$P$4:$AN$4,0))="x")*(Timeline!$K$5:$K$305="Task")*ISNUMBER(Timeline!$I$5:$I$305)*ISNUMBER(Timeline!$J$5:$J$305)*(Timeline!$I$5:$I$305&lt;=J$4+3)*(Timeline!$J$5:$J$305&gt;=J$4+3)),SUMPRODUCT((INDEX(Timeline!$P$5:$AN$305,0,MATCH($A23,Timeline!$P$4:$AN$4,0))="x")*(Timeline!$K$5:$K$305="Task")*ISNUMBER(Timeline!$I$5:$I$305)*ISNUMBER(Timeline!$J$5:$J$305)*(Timeline!$I$5:$I$305&lt;=J$4+4)*(Timeline!$J$5:$J$305&gt;=J$4+4)),SUMPRODUCT((INDEX(Timeline!$P$5:$AN$305,0,MATCH($A23,Timeline!$P$4:$AN$4,0))="x")*(Timeline!$K$5:$K$305="Task")*ISNUMBER(Timeline!$I$5:$I$305)*ISNUMBER(Timeline!$J$5:$J$305)*(Timeline!$I$5:$I$305&lt;=J$4+5)*(Timeline!$J$5:$J$305&gt;=J$4+5)),SUMPRODUCT((INDEX(Timeline!$P$5:$AN$305,0,MATCH($A23,Timeline!$P$4:$AN$4,0))="x")*(Timeline!$K$5:$K$305="Task")*ISNUMBER(Timeline!$I$5:$I$305)*ISNUMBER(Timeline!$J$5:$J$305)*(Timeline!$I$5:$I$305&lt;=J$4+6)*(Timeline!$J$5:$J$305&gt;=J$4+6)))</f>
        <v>1</v>
      </c>
      <c r="K23" s="67">
        <f>MAX(SUMPRODUCT((INDEX(Timeline!$P$5:$AN$305,0,MATCH($A23,Timeline!$P$4:$AN$4,0))="x")*(Timeline!$K$5:$K$305="Task")*ISNUMBER(Timeline!$I$5:$I$305)*ISNUMBER(Timeline!$J$5:$J$305)*(Timeline!$I$5:$I$305&lt;=K$4+0)*(Timeline!$J$5:$J$305&gt;=K$4+0)),SUMPRODUCT((INDEX(Timeline!$P$5:$AN$305,0,MATCH($A23,Timeline!$P$4:$AN$4,0))="x")*(Timeline!$K$5:$K$305="Task")*ISNUMBER(Timeline!$I$5:$I$305)*ISNUMBER(Timeline!$J$5:$J$305)*(Timeline!$I$5:$I$305&lt;=K$4+1)*(Timeline!$J$5:$J$305&gt;=K$4+1)),SUMPRODUCT((INDEX(Timeline!$P$5:$AN$305,0,MATCH($A23,Timeline!$P$4:$AN$4,0))="x")*(Timeline!$K$5:$K$305="Task")*ISNUMBER(Timeline!$I$5:$I$305)*ISNUMBER(Timeline!$J$5:$J$305)*(Timeline!$I$5:$I$305&lt;=K$4+2)*(Timeline!$J$5:$J$305&gt;=K$4+2)),SUMPRODUCT((INDEX(Timeline!$P$5:$AN$305,0,MATCH($A23,Timeline!$P$4:$AN$4,0))="x")*(Timeline!$K$5:$K$305="Task")*ISNUMBER(Timeline!$I$5:$I$305)*ISNUMBER(Timeline!$J$5:$J$305)*(Timeline!$I$5:$I$305&lt;=K$4+3)*(Timeline!$J$5:$J$305&gt;=K$4+3)),SUMPRODUCT((INDEX(Timeline!$P$5:$AN$305,0,MATCH($A23,Timeline!$P$4:$AN$4,0))="x")*(Timeline!$K$5:$K$305="Task")*ISNUMBER(Timeline!$I$5:$I$305)*ISNUMBER(Timeline!$J$5:$J$305)*(Timeline!$I$5:$I$305&lt;=K$4+4)*(Timeline!$J$5:$J$305&gt;=K$4+4)),SUMPRODUCT((INDEX(Timeline!$P$5:$AN$305,0,MATCH($A23,Timeline!$P$4:$AN$4,0))="x")*(Timeline!$K$5:$K$305="Task")*ISNUMBER(Timeline!$I$5:$I$305)*ISNUMBER(Timeline!$J$5:$J$305)*(Timeline!$I$5:$I$305&lt;=K$4+5)*(Timeline!$J$5:$J$305&gt;=K$4+5)),SUMPRODUCT((INDEX(Timeline!$P$5:$AN$305,0,MATCH($A23,Timeline!$P$4:$AN$4,0))="x")*(Timeline!$K$5:$K$305="Task")*ISNUMBER(Timeline!$I$5:$I$305)*ISNUMBER(Timeline!$J$5:$J$305)*(Timeline!$I$5:$I$305&lt;=K$4+6)*(Timeline!$J$5:$J$305&gt;=K$4+6)))</f>
        <v>1</v>
      </c>
      <c r="L23" s="67">
        <f>MAX(SUMPRODUCT((INDEX(Timeline!$P$5:$AN$305,0,MATCH($A23,Timeline!$P$4:$AN$4,0))="x")*(Timeline!$K$5:$K$305="Task")*ISNUMBER(Timeline!$I$5:$I$305)*ISNUMBER(Timeline!$J$5:$J$305)*(Timeline!$I$5:$I$305&lt;=L$4+0)*(Timeline!$J$5:$J$305&gt;=L$4+0)),SUMPRODUCT((INDEX(Timeline!$P$5:$AN$305,0,MATCH($A23,Timeline!$P$4:$AN$4,0))="x")*(Timeline!$K$5:$K$305="Task")*ISNUMBER(Timeline!$I$5:$I$305)*ISNUMBER(Timeline!$J$5:$J$305)*(Timeline!$I$5:$I$305&lt;=L$4+1)*(Timeline!$J$5:$J$305&gt;=L$4+1)),SUMPRODUCT((INDEX(Timeline!$P$5:$AN$305,0,MATCH($A23,Timeline!$P$4:$AN$4,0))="x")*(Timeline!$K$5:$K$305="Task")*ISNUMBER(Timeline!$I$5:$I$305)*ISNUMBER(Timeline!$J$5:$J$305)*(Timeline!$I$5:$I$305&lt;=L$4+2)*(Timeline!$J$5:$J$305&gt;=L$4+2)),SUMPRODUCT((INDEX(Timeline!$P$5:$AN$305,0,MATCH($A23,Timeline!$P$4:$AN$4,0))="x")*(Timeline!$K$5:$K$305="Task")*ISNUMBER(Timeline!$I$5:$I$305)*ISNUMBER(Timeline!$J$5:$J$305)*(Timeline!$I$5:$I$305&lt;=L$4+3)*(Timeline!$J$5:$J$305&gt;=L$4+3)),SUMPRODUCT((INDEX(Timeline!$P$5:$AN$305,0,MATCH($A23,Timeline!$P$4:$AN$4,0))="x")*(Timeline!$K$5:$K$305="Task")*ISNUMBER(Timeline!$I$5:$I$305)*ISNUMBER(Timeline!$J$5:$J$305)*(Timeline!$I$5:$I$305&lt;=L$4+4)*(Timeline!$J$5:$J$305&gt;=L$4+4)),SUMPRODUCT((INDEX(Timeline!$P$5:$AN$305,0,MATCH($A23,Timeline!$P$4:$AN$4,0))="x")*(Timeline!$K$5:$K$305="Task")*ISNUMBER(Timeline!$I$5:$I$305)*ISNUMBER(Timeline!$J$5:$J$305)*(Timeline!$I$5:$I$305&lt;=L$4+5)*(Timeline!$J$5:$J$305&gt;=L$4+5)),SUMPRODUCT((INDEX(Timeline!$P$5:$AN$305,0,MATCH($A23,Timeline!$P$4:$AN$4,0))="x")*(Timeline!$K$5:$K$305="Task")*ISNUMBER(Timeline!$I$5:$I$305)*ISNUMBER(Timeline!$J$5:$J$305)*(Timeline!$I$5:$I$305&lt;=L$4+6)*(Timeline!$J$5:$J$305&gt;=L$4+6)))</f>
        <v>1</v>
      </c>
      <c r="M23" s="67">
        <f>MAX(SUMPRODUCT((INDEX(Timeline!$P$5:$AN$305,0,MATCH($A23,Timeline!$P$4:$AN$4,0))="x")*(Timeline!$K$5:$K$305="Task")*ISNUMBER(Timeline!$I$5:$I$305)*ISNUMBER(Timeline!$J$5:$J$305)*(Timeline!$I$5:$I$305&lt;=M$4+0)*(Timeline!$J$5:$J$305&gt;=M$4+0)),SUMPRODUCT((INDEX(Timeline!$P$5:$AN$305,0,MATCH($A23,Timeline!$P$4:$AN$4,0))="x")*(Timeline!$K$5:$K$305="Task")*ISNUMBER(Timeline!$I$5:$I$305)*ISNUMBER(Timeline!$J$5:$J$305)*(Timeline!$I$5:$I$305&lt;=M$4+1)*(Timeline!$J$5:$J$305&gt;=M$4+1)),SUMPRODUCT((INDEX(Timeline!$P$5:$AN$305,0,MATCH($A23,Timeline!$P$4:$AN$4,0))="x")*(Timeline!$K$5:$K$305="Task")*ISNUMBER(Timeline!$I$5:$I$305)*ISNUMBER(Timeline!$J$5:$J$305)*(Timeline!$I$5:$I$305&lt;=M$4+2)*(Timeline!$J$5:$J$305&gt;=M$4+2)),SUMPRODUCT((INDEX(Timeline!$P$5:$AN$305,0,MATCH($A23,Timeline!$P$4:$AN$4,0))="x")*(Timeline!$K$5:$K$305="Task")*ISNUMBER(Timeline!$I$5:$I$305)*ISNUMBER(Timeline!$J$5:$J$305)*(Timeline!$I$5:$I$305&lt;=M$4+3)*(Timeline!$J$5:$J$305&gt;=M$4+3)),SUMPRODUCT((INDEX(Timeline!$P$5:$AN$305,0,MATCH($A23,Timeline!$P$4:$AN$4,0))="x")*(Timeline!$K$5:$K$305="Task")*ISNUMBER(Timeline!$I$5:$I$305)*ISNUMBER(Timeline!$J$5:$J$305)*(Timeline!$I$5:$I$305&lt;=M$4+4)*(Timeline!$J$5:$J$305&gt;=M$4+4)),SUMPRODUCT((INDEX(Timeline!$P$5:$AN$305,0,MATCH($A23,Timeline!$P$4:$AN$4,0))="x")*(Timeline!$K$5:$K$305="Task")*ISNUMBER(Timeline!$I$5:$I$305)*ISNUMBER(Timeline!$J$5:$J$305)*(Timeline!$I$5:$I$305&lt;=M$4+5)*(Timeline!$J$5:$J$305&gt;=M$4+5)),SUMPRODUCT((INDEX(Timeline!$P$5:$AN$305,0,MATCH($A23,Timeline!$P$4:$AN$4,0))="x")*(Timeline!$K$5:$K$305="Task")*ISNUMBER(Timeline!$I$5:$I$305)*ISNUMBER(Timeline!$J$5:$J$305)*(Timeline!$I$5:$I$305&lt;=M$4+6)*(Timeline!$J$5:$J$305&gt;=M$4+6)))</f>
        <v>1</v>
      </c>
      <c r="N23" s="67">
        <f>MAX(SUMPRODUCT((INDEX(Timeline!$P$5:$AN$305,0,MATCH($A23,Timeline!$P$4:$AN$4,0))="x")*(Timeline!$K$5:$K$305="Task")*ISNUMBER(Timeline!$I$5:$I$305)*ISNUMBER(Timeline!$J$5:$J$305)*(Timeline!$I$5:$I$305&lt;=N$4+0)*(Timeline!$J$5:$J$305&gt;=N$4+0)),SUMPRODUCT((INDEX(Timeline!$P$5:$AN$305,0,MATCH($A23,Timeline!$P$4:$AN$4,0))="x")*(Timeline!$K$5:$K$305="Task")*ISNUMBER(Timeline!$I$5:$I$305)*ISNUMBER(Timeline!$J$5:$J$305)*(Timeline!$I$5:$I$305&lt;=N$4+1)*(Timeline!$J$5:$J$305&gt;=N$4+1)),SUMPRODUCT((INDEX(Timeline!$P$5:$AN$305,0,MATCH($A23,Timeline!$P$4:$AN$4,0))="x")*(Timeline!$K$5:$K$305="Task")*ISNUMBER(Timeline!$I$5:$I$305)*ISNUMBER(Timeline!$J$5:$J$305)*(Timeline!$I$5:$I$305&lt;=N$4+2)*(Timeline!$J$5:$J$305&gt;=N$4+2)),SUMPRODUCT((INDEX(Timeline!$P$5:$AN$305,0,MATCH($A23,Timeline!$P$4:$AN$4,0))="x")*(Timeline!$K$5:$K$305="Task")*ISNUMBER(Timeline!$I$5:$I$305)*ISNUMBER(Timeline!$J$5:$J$305)*(Timeline!$I$5:$I$305&lt;=N$4+3)*(Timeline!$J$5:$J$305&gt;=N$4+3)),SUMPRODUCT((INDEX(Timeline!$P$5:$AN$305,0,MATCH($A23,Timeline!$P$4:$AN$4,0))="x")*(Timeline!$K$5:$K$305="Task")*ISNUMBER(Timeline!$I$5:$I$305)*ISNUMBER(Timeline!$J$5:$J$305)*(Timeline!$I$5:$I$305&lt;=N$4+4)*(Timeline!$J$5:$J$305&gt;=N$4+4)),SUMPRODUCT((INDEX(Timeline!$P$5:$AN$305,0,MATCH($A23,Timeline!$P$4:$AN$4,0))="x")*(Timeline!$K$5:$K$305="Task")*ISNUMBER(Timeline!$I$5:$I$305)*ISNUMBER(Timeline!$J$5:$J$305)*(Timeline!$I$5:$I$305&lt;=N$4+5)*(Timeline!$J$5:$J$305&gt;=N$4+5)),SUMPRODUCT((INDEX(Timeline!$P$5:$AN$305,0,MATCH($A23,Timeline!$P$4:$AN$4,0))="x")*(Timeline!$K$5:$K$305="Task")*ISNUMBER(Timeline!$I$5:$I$305)*ISNUMBER(Timeline!$J$5:$J$305)*(Timeline!$I$5:$I$305&lt;=N$4+6)*(Timeline!$J$5:$J$305&gt;=N$4+6)))</f>
        <v>1</v>
      </c>
      <c r="O23" s="67">
        <f>MAX(SUMPRODUCT((INDEX(Timeline!$P$5:$AN$305,0,MATCH($A23,Timeline!$P$4:$AN$4,0))="x")*(Timeline!$K$5:$K$305="Task")*ISNUMBER(Timeline!$I$5:$I$305)*ISNUMBER(Timeline!$J$5:$J$305)*(Timeline!$I$5:$I$305&lt;=O$4+0)*(Timeline!$J$5:$J$305&gt;=O$4+0)),SUMPRODUCT((INDEX(Timeline!$P$5:$AN$305,0,MATCH($A23,Timeline!$P$4:$AN$4,0))="x")*(Timeline!$K$5:$K$305="Task")*ISNUMBER(Timeline!$I$5:$I$305)*ISNUMBER(Timeline!$J$5:$J$305)*(Timeline!$I$5:$I$305&lt;=O$4+1)*(Timeline!$J$5:$J$305&gt;=O$4+1)),SUMPRODUCT((INDEX(Timeline!$P$5:$AN$305,0,MATCH($A23,Timeline!$P$4:$AN$4,0))="x")*(Timeline!$K$5:$K$305="Task")*ISNUMBER(Timeline!$I$5:$I$305)*ISNUMBER(Timeline!$J$5:$J$305)*(Timeline!$I$5:$I$305&lt;=O$4+2)*(Timeline!$J$5:$J$305&gt;=O$4+2)),SUMPRODUCT((INDEX(Timeline!$P$5:$AN$305,0,MATCH($A23,Timeline!$P$4:$AN$4,0))="x")*(Timeline!$K$5:$K$305="Task")*ISNUMBER(Timeline!$I$5:$I$305)*ISNUMBER(Timeline!$J$5:$J$305)*(Timeline!$I$5:$I$305&lt;=O$4+3)*(Timeline!$J$5:$J$305&gt;=O$4+3)),SUMPRODUCT((INDEX(Timeline!$P$5:$AN$305,0,MATCH($A23,Timeline!$P$4:$AN$4,0))="x")*(Timeline!$K$5:$K$305="Task")*ISNUMBER(Timeline!$I$5:$I$305)*ISNUMBER(Timeline!$J$5:$J$305)*(Timeline!$I$5:$I$305&lt;=O$4+4)*(Timeline!$J$5:$J$305&gt;=O$4+4)),SUMPRODUCT((INDEX(Timeline!$P$5:$AN$305,0,MATCH($A23,Timeline!$P$4:$AN$4,0))="x")*(Timeline!$K$5:$K$305="Task")*ISNUMBER(Timeline!$I$5:$I$305)*ISNUMBER(Timeline!$J$5:$J$305)*(Timeline!$I$5:$I$305&lt;=O$4+5)*(Timeline!$J$5:$J$305&gt;=O$4+5)),SUMPRODUCT((INDEX(Timeline!$P$5:$AN$305,0,MATCH($A23,Timeline!$P$4:$AN$4,0))="x")*(Timeline!$K$5:$K$305="Task")*ISNUMBER(Timeline!$I$5:$I$305)*ISNUMBER(Timeline!$J$5:$J$305)*(Timeline!$I$5:$I$305&lt;=O$4+6)*(Timeline!$J$5:$J$305&gt;=O$4+6)))</f>
        <v>0</v>
      </c>
      <c r="P23" s="67">
        <f>MAX(SUMPRODUCT((INDEX(Timeline!$P$5:$AN$305,0,MATCH($A23,Timeline!$P$4:$AN$4,0))="x")*(Timeline!$K$5:$K$305="Task")*ISNUMBER(Timeline!$I$5:$I$305)*ISNUMBER(Timeline!$J$5:$J$305)*(Timeline!$I$5:$I$305&lt;=P$4+0)*(Timeline!$J$5:$J$305&gt;=P$4+0)),SUMPRODUCT((INDEX(Timeline!$P$5:$AN$305,0,MATCH($A23,Timeline!$P$4:$AN$4,0))="x")*(Timeline!$K$5:$K$305="Task")*ISNUMBER(Timeline!$I$5:$I$305)*ISNUMBER(Timeline!$J$5:$J$305)*(Timeline!$I$5:$I$305&lt;=P$4+1)*(Timeline!$J$5:$J$305&gt;=P$4+1)),SUMPRODUCT((INDEX(Timeline!$P$5:$AN$305,0,MATCH($A23,Timeline!$P$4:$AN$4,0))="x")*(Timeline!$K$5:$K$305="Task")*ISNUMBER(Timeline!$I$5:$I$305)*ISNUMBER(Timeline!$J$5:$J$305)*(Timeline!$I$5:$I$305&lt;=P$4+2)*(Timeline!$J$5:$J$305&gt;=P$4+2)),SUMPRODUCT((INDEX(Timeline!$P$5:$AN$305,0,MATCH($A23,Timeline!$P$4:$AN$4,0))="x")*(Timeline!$K$5:$K$305="Task")*ISNUMBER(Timeline!$I$5:$I$305)*ISNUMBER(Timeline!$J$5:$J$305)*(Timeline!$I$5:$I$305&lt;=P$4+3)*(Timeline!$J$5:$J$305&gt;=P$4+3)),SUMPRODUCT((INDEX(Timeline!$P$5:$AN$305,0,MATCH($A23,Timeline!$P$4:$AN$4,0))="x")*(Timeline!$K$5:$K$305="Task")*ISNUMBER(Timeline!$I$5:$I$305)*ISNUMBER(Timeline!$J$5:$J$305)*(Timeline!$I$5:$I$305&lt;=P$4+4)*(Timeline!$J$5:$J$305&gt;=P$4+4)),SUMPRODUCT((INDEX(Timeline!$P$5:$AN$305,0,MATCH($A23,Timeline!$P$4:$AN$4,0))="x")*(Timeline!$K$5:$K$305="Task")*ISNUMBER(Timeline!$I$5:$I$305)*ISNUMBER(Timeline!$J$5:$J$305)*(Timeline!$I$5:$I$305&lt;=P$4+5)*(Timeline!$J$5:$J$305&gt;=P$4+5)),SUMPRODUCT((INDEX(Timeline!$P$5:$AN$305,0,MATCH($A23,Timeline!$P$4:$AN$4,0))="x")*(Timeline!$K$5:$K$305="Task")*ISNUMBER(Timeline!$I$5:$I$305)*ISNUMBER(Timeline!$J$5:$J$305)*(Timeline!$I$5:$I$305&lt;=P$4+6)*(Timeline!$J$5:$J$305&gt;=P$4+6)))</f>
        <v>1</v>
      </c>
      <c r="Q23" s="67">
        <f>MAX(SUMPRODUCT((INDEX(Timeline!$P$5:$AN$305,0,MATCH($A23,Timeline!$P$4:$AN$4,0))="x")*(Timeline!$K$5:$K$305="Task")*ISNUMBER(Timeline!$I$5:$I$305)*ISNUMBER(Timeline!$J$5:$J$305)*(Timeline!$I$5:$I$305&lt;=Q$4+0)*(Timeline!$J$5:$J$305&gt;=Q$4+0)),SUMPRODUCT((INDEX(Timeline!$P$5:$AN$305,0,MATCH($A23,Timeline!$P$4:$AN$4,0))="x")*(Timeline!$K$5:$K$305="Task")*ISNUMBER(Timeline!$I$5:$I$305)*ISNUMBER(Timeline!$J$5:$J$305)*(Timeline!$I$5:$I$305&lt;=Q$4+1)*(Timeline!$J$5:$J$305&gt;=Q$4+1)),SUMPRODUCT((INDEX(Timeline!$P$5:$AN$305,0,MATCH($A23,Timeline!$P$4:$AN$4,0))="x")*(Timeline!$K$5:$K$305="Task")*ISNUMBER(Timeline!$I$5:$I$305)*ISNUMBER(Timeline!$J$5:$J$305)*(Timeline!$I$5:$I$305&lt;=Q$4+2)*(Timeline!$J$5:$J$305&gt;=Q$4+2)),SUMPRODUCT((INDEX(Timeline!$P$5:$AN$305,0,MATCH($A23,Timeline!$P$4:$AN$4,0))="x")*(Timeline!$K$5:$K$305="Task")*ISNUMBER(Timeline!$I$5:$I$305)*ISNUMBER(Timeline!$J$5:$J$305)*(Timeline!$I$5:$I$305&lt;=Q$4+3)*(Timeline!$J$5:$J$305&gt;=Q$4+3)),SUMPRODUCT((INDEX(Timeline!$P$5:$AN$305,0,MATCH($A23,Timeline!$P$4:$AN$4,0))="x")*(Timeline!$K$5:$K$305="Task")*ISNUMBER(Timeline!$I$5:$I$305)*ISNUMBER(Timeline!$J$5:$J$305)*(Timeline!$I$5:$I$305&lt;=Q$4+4)*(Timeline!$J$5:$J$305&gt;=Q$4+4)),SUMPRODUCT((INDEX(Timeline!$P$5:$AN$305,0,MATCH($A23,Timeline!$P$4:$AN$4,0))="x")*(Timeline!$K$5:$K$305="Task")*ISNUMBER(Timeline!$I$5:$I$305)*ISNUMBER(Timeline!$J$5:$J$305)*(Timeline!$I$5:$I$305&lt;=Q$4+5)*(Timeline!$J$5:$J$305&gt;=Q$4+5)),SUMPRODUCT((INDEX(Timeline!$P$5:$AN$305,0,MATCH($A23,Timeline!$P$4:$AN$4,0))="x")*(Timeline!$K$5:$K$305="Task")*ISNUMBER(Timeline!$I$5:$I$305)*ISNUMBER(Timeline!$J$5:$J$305)*(Timeline!$I$5:$I$305&lt;=Q$4+6)*(Timeline!$J$5:$J$305&gt;=Q$4+6)))</f>
        <v>1</v>
      </c>
      <c r="R23" s="67">
        <f>MAX(SUMPRODUCT((INDEX(Timeline!$P$5:$AN$305,0,MATCH($A23,Timeline!$P$4:$AN$4,0))="x")*(Timeline!$K$5:$K$305="Task")*ISNUMBER(Timeline!$I$5:$I$305)*ISNUMBER(Timeline!$J$5:$J$305)*(Timeline!$I$5:$I$305&lt;=R$4+0)*(Timeline!$J$5:$J$305&gt;=R$4+0)),SUMPRODUCT((INDEX(Timeline!$P$5:$AN$305,0,MATCH($A23,Timeline!$P$4:$AN$4,0))="x")*(Timeline!$K$5:$K$305="Task")*ISNUMBER(Timeline!$I$5:$I$305)*ISNUMBER(Timeline!$J$5:$J$305)*(Timeline!$I$5:$I$305&lt;=R$4+1)*(Timeline!$J$5:$J$305&gt;=R$4+1)),SUMPRODUCT((INDEX(Timeline!$P$5:$AN$305,0,MATCH($A23,Timeline!$P$4:$AN$4,0))="x")*(Timeline!$K$5:$K$305="Task")*ISNUMBER(Timeline!$I$5:$I$305)*ISNUMBER(Timeline!$J$5:$J$305)*(Timeline!$I$5:$I$305&lt;=R$4+2)*(Timeline!$J$5:$J$305&gt;=R$4+2)),SUMPRODUCT((INDEX(Timeline!$P$5:$AN$305,0,MATCH($A23,Timeline!$P$4:$AN$4,0))="x")*(Timeline!$K$5:$K$305="Task")*ISNUMBER(Timeline!$I$5:$I$305)*ISNUMBER(Timeline!$J$5:$J$305)*(Timeline!$I$5:$I$305&lt;=R$4+3)*(Timeline!$J$5:$J$305&gt;=R$4+3)),SUMPRODUCT((INDEX(Timeline!$P$5:$AN$305,0,MATCH($A23,Timeline!$P$4:$AN$4,0))="x")*(Timeline!$K$5:$K$305="Task")*ISNUMBER(Timeline!$I$5:$I$305)*ISNUMBER(Timeline!$J$5:$J$305)*(Timeline!$I$5:$I$305&lt;=R$4+4)*(Timeline!$J$5:$J$305&gt;=R$4+4)),SUMPRODUCT((INDEX(Timeline!$P$5:$AN$305,0,MATCH($A23,Timeline!$P$4:$AN$4,0))="x")*(Timeline!$K$5:$K$305="Task")*ISNUMBER(Timeline!$I$5:$I$305)*ISNUMBER(Timeline!$J$5:$J$305)*(Timeline!$I$5:$I$305&lt;=R$4+5)*(Timeline!$J$5:$J$305&gt;=R$4+5)),SUMPRODUCT((INDEX(Timeline!$P$5:$AN$305,0,MATCH($A23,Timeline!$P$4:$AN$4,0))="x")*(Timeline!$K$5:$K$305="Task")*ISNUMBER(Timeline!$I$5:$I$305)*ISNUMBER(Timeline!$J$5:$J$305)*(Timeline!$I$5:$I$305&lt;=R$4+6)*(Timeline!$J$5:$J$305&gt;=R$4+6)))</f>
        <v>1</v>
      </c>
      <c r="S23" s="67">
        <f>MAX(SUMPRODUCT((INDEX(Timeline!$P$5:$AN$305,0,MATCH($A23,Timeline!$P$4:$AN$4,0))="x")*(Timeline!$K$5:$K$305="Task")*ISNUMBER(Timeline!$I$5:$I$305)*ISNUMBER(Timeline!$J$5:$J$305)*(Timeline!$I$5:$I$305&lt;=S$4+0)*(Timeline!$J$5:$J$305&gt;=S$4+0)),SUMPRODUCT((INDEX(Timeline!$P$5:$AN$305,0,MATCH($A23,Timeline!$P$4:$AN$4,0))="x")*(Timeline!$K$5:$K$305="Task")*ISNUMBER(Timeline!$I$5:$I$305)*ISNUMBER(Timeline!$J$5:$J$305)*(Timeline!$I$5:$I$305&lt;=S$4+1)*(Timeline!$J$5:$J$305&gt;=S$4+1)),SUMPRODUCT((INDEX(Timeline!$P$5:$AN$305,0,MATCH($A23,Timeline!$P$4:$AN$4,0))="x")*(Timeline!$K$5:$K$305="Task")*ISNUMBER(Timeline!$I$5:$I$305)*ISNUMBER(Timeline!$J$5:$J$305)*(Timeline!$I$5:$I$305&lt;=S$4+2)*(Timeline!$J$5:$J$305&gt;=S$4+2)),SUMPRODUCT((INDEX(Timeline!$P$5:$AN$305,0,MATCH($A23,Timeline!$P$4:$AN$4,0))="x")*(Timeline!$K$5:$K$305="Task")*ISNUMBER(Timeline!$I$5:$I$305)*ISNUMBER(Timeline!$J$5:$J$305)*(Timeline!$I$5:$I$305&lt;=S$4+3)*(Timeline!$J$5:$J$305&gt;=S$4+3)),SUMPRODUCT((INDEX(Timeline!$P$5:$AN$305,0,MATCH($A23,Timeline!$P$4:$AN$4,0))="x")*(Timeline!$K$5:$K$305="Task")*ISNUMBER(Timeline!$I$5:$I$305)*ISNUMBER(Timeline!$J$5:$J$305)*(Timeline!$I$5:$I$305&lt;=S$4+4)*(Timeline!$J$5:$J$305&gt;=S$4+4)),SUMPRODUCT((INDEX(Timeline!$P$5:$AN$305,0,MATCH($A23,Timeline!$P$4:$AN$4,0))="x")*(Timeline!$K$5:$K$305="Task")*ISNUMBER(Timeline!$I$5:$I$305)*ISNUMBER(Timeline!$J$5:$J$305)*(Timeline!$I$5:$I$305&lt;=S$4+5)*(Timeline!$J$5:$J$305&gt;=S$4+5)),SUMPRODUCT((INDEX(Timeline!$P$5:$AN$305,0,MATCH($A23,Timeline!$P$4:$AN$4,0))="x")*(Timeline!$K$5:$K$305="Task")*ISNUMBER(Timeline!$I$5:$I$305)*ISNUMBER(Timeline!$J$5:$J$305)*(Timeline!$I$5:$I$305&lt;=S$4+6)*(Timeline!$J$5:$J$305&gt;=S$4+6)))</f>
        <v>1</v>
      </c>
      <c r="T23" s="67">
        <f>MAX(SUMPRODUCT((INDEX(Timeline!$P$5:$AN$305,0,MATCH($A23,Timeline!$P$4:$AN$4,0))="x")*(Timeline!$K$5:$K$305="Task")*ISNUMBER(Timeline!$I$5:$I$305)*ISNUMBER(Timeline!$J$5:$J$305)*(Timeline!$I$5:$I$305&lt;=T$4+0)*(Timeline!$J$5:$J$305&gt;=T$4+0)),SUMPRODUCT((INDEX(Timeline!$P$5:$AN$305,0,MATCH($A23,Timeline!$P$4:$AN$4,0))="x")*(Timeline!$K$5:$K$305="Task")*ISNUMBER(Timeline!$I$5:$I$305)*ISNUMBER(Timeline!$J$5:$J$305)*(Timeline!$I$5:$I$305&lt;=T$4+1)*(Timeline!$J$5:$J$305&gt;=T$4+1)),SUMPRODUCT((INDEX(Timeline!$P$5:$AN$305,0,MATCH($A23,Timeline!$P$4:$AN$4,0))="x")*(Timeline!$K$5:$K$305="Task")*ISNUMBER(Timeline!$I$5:$I$305)*ISNUMBER(Timeline!$J$5:$J$305)*(Timeline!$I$5:$I$305&lt;=T$4+2)*(Timeline!$J$5:$J$305&gt;=T$4+2)),SUMPRODUCT((INDEX(Timeline!$P$5:$AN$305,0,MATCH($A23,Timeline!$P$4:$AN$4,0))="x")*(Timeline!$K$5:$K$305="Task")*ISNUMBER(Timeline!$I$5:$I$305)*ISNUMBER(Timeline!$J$5:$J$305)*(Timeline!$I$5:$I$305&lt;=T$4+3)*(Timeline!$J$5:$J$305&gt;=T$4+3)),SUMPRODUCT((INDEX(Timeline!$P$5:$AN$305,0,MATCH($A23,Timeline!$P$4:$AN$4,0))="x")*(Timeline!$K$5:$K$305="Task")*ISNUMBER(Timeline!$I$5:$I$305)*ISNUMBER(Timeline!$J$5:$J$305)*(Timeline!$I$5:$I$305&lt;=T$4+4)*(Timeline!$J$5:$J$305&gt;=T$4+4)),SUMPRODUCT((INDEX(Timeline!$P$5:$AN$305,0,MATCH($A23,Timeline!$P$4:$AN$4,0))="x")*(Timeline!$K$5:$K$305="Task")*ISNUMBER(Timeline!$I$5:$I$305)*ISNUMBER(Timeline!$J$5:$J$305)*(Timeline!$I$5:$I$305&lt;=T$4+5)*(Timeline!$J$5:$J$305&gt;=T$4+5)),SUMPRODUCT((INDEX(Timeline!$P$5:$AN$305,0,MATCH($A23,Timeline!$P$4:$AN$4,0))="x")*(Timeline!$K$5:$K$305="Task")*ISNUMBER(Timeline!$I$5:$I$305)*ISNUMBER(Timeline!$J$5:$J$305)*(Timeline!$I$5:$I$305&lt;=T$4+6)*(Timeline!$J$5:$J$305&gt;=T$4+6)))</f>
        <v>1</v>
      </c>
      <c r="U23" s="67">
        <f>MAX(SUMPRODUCT((INDEX(Timeline!$P$5:$AN$305,0,MATCH($A23,Timeline!$P$4:$AN$4,0))="x")*(Timeline!$K$5:$K$305="Task")*ISNUMBER(Timeline!$I$5:$I$305)*ISNUMBER(Timeline!$J$5:$J$305)*(Timeline!$I$5:$I$305&lt;=U$4+0)*(Timeline!$J$5:$J$305&gt;=U$4+0)),SUMPRODUCT((INDEX(Timeline!$P$5:$AN$305,0,MATCH($A23,Timeline!$P$4:$AN$4,0))="x")*(Timeline!$K$5:$K$305="Task")*ISNUMBER(Timeline!$I$5:$I$305)*ISNUMBER(Timeline!$J$5:$J$305)*(Timeline!$I$5:$I$305&lt;=U$4+1)*(Timeline!$J$5:$J$305&gt;=U$4+1)),SUMPRODUCT((INDEX(Timeline!$P$5:$AN$305,0,MATCH($A23,Timeline!$P$4:$AN$4,0))="x")*(Timeline!$K$5:$K$305="Task")*ISNUMBER(Timeline!$I$5:$I$305)*ISNUMBER(Timeline!$J$5:$J$305)*(Timeline!$I$5:$I$305&lt;=U$4+2)*(Timeline!$J$5:$J$305&gt;=U$4+2)),SUMPRODUCT((INDEX(Timeline!$P$5:$AN$305,0,MATCH($A23,Timeline!$P$4:$AN$4,0))="x")*(Timeline!$K$5:$K$305="Task")*ISNUMBER(Timeline!$I$5:$I$305)*ISNUMBER(Timeline!$J$5:$J$305)*(Timeline!$I$5:$I$305&lt;=U$4+3)*(Timeline!$J$5:$J$305&gt;=U$4+3)),SUMPRODUCT((INDEX(Timeline!$P$5:$AN$305,0,MATCH($A23,Timeline!$P$4:$AN$4,0))="x")*(Timeline!$K$5:$K$305="Task")*ISNUMBER(Timeline!$I$5:$I$305)*ISNUMBER(Timeline!$J$5:$J$305)*(Timeline!$I$5:$I$305&lt;=U$4+4)*(Timeline!$J$5:$J$305&gt;=U$4+4)),SUMPRODUCT((INDEX(Timeline!$P$5:$AN$305,0,MATCH($A23,Timeline!$P$4:$AN$4,0))="x")*(Timeline!$K$5:$K$305="Task")*ISNUMBER(Timeline!$I$5:$I$305)*ISNUMBER(Timeline!$J$5:$J$305)*(Timeline!$I$5:$I$305&lt;=U$4+5)*(Timeline!$J$5:$J$305&gt;=U$4+5)),SUMPRODUCT((INDEX(Timeline!$P$5:$AN$305,0,MATCH($A23,Timeline!$P$4:$AN$4,0))="x")*(Timeline!$K$5:$K$305="Task")*ISNUMBER(Timeline!$I$5:$I$305)*ISNUMBER(Timeline!$J$5:$J$305)*(Timeline!$I$5:$I$305&lt;=U$4+6)*(Timeline!$J$5:$J$305&gt;=U$4+6)))</f>
        <v>1</v>
      </c>
      <c r="V23" s="67">
        <f>MAX(SUMPRODUCT((INDEX(Timeline!$P$5:$AN$305,0,MATCH($A23,Timeline!$P$4:$AN$4,0))="x")*(Timeline!$K$5:$K$305="Task")*ISNUMBER(Timeline!$I$5:$I$305)*ISNUMBER(Timeline!$J$5:$J$305)*(Timeline!$I$5:$I$305&lt;=V$4+0)*(Timeline!$J$5:$J$305&gt;=V$4+0)),SUMPRODUCT((INDEX(Timeline!$P$5:$AN$305,0,MATCH($A23,Timeline!$P$4:$AN$4,0))="x")*(Timeline!$K$5:$K$305="Task")*ISNUMBER(Timeline!$I$5:$I$305)*ISNUMBER(Timeline!$J$5:$J$305)*(Timeline!$I$5:$I$305&lt;=V$4+1)*(Timeline!$J$5:$J$305&gt;=V$4+1)),SUMPRODUCT((INDEX(Timeline!$P$5:$AN$305,0,MATCH($A23,Timeline!$P$4:$AN$4,0))="x")*(Timeline!$K$5:$K$305="Task")*ISNUMBER(Timeline!$I$5:$I$305)*ISNUMBER(Timeline!$J$5:$J$305)*(Timeline!$I$5:$I$305&lt;=V$4+2)*(Timeline!$J$5:$J$305&gt;=V$4+2)),SUMPRODUCT((INDEX(Timeline!$P$5:$AN$305,0,MATCH($A23,Timeline!$P$4:$AN$4,0))="x")*(Timeline!$K$5:$K$305="Task")*ISNUMBER(Timeline!$I$5:$I$305)*ISNUMBER(Timeline!$J$5:$J$305)*(Timeline!$I$5:$I$305&lt;=V$4+3)*(Timeline!$J$5:$J$305&gt;=V$4+3)),SUMPRODUCT((INDEX(Timeline!$P$5:$AN$305,0,MATCH($A23,Timeline!$P$4:$AN$4,0))="x")*(Timeline!$K$5:$K$305="Task")*ISNUMBER(Timeline!$I$5:$I$305)*ISNUMBER(Timeline!$J$5:$J$305)*(Timeline!$I$5:$I$305&lt;=V$4+4)*(Timeline!$J$5:$J$305&gt;=V$4+4)),SUMPRODUCT((INDEX(Timeline!$P$5:$AN$305,0,MATCH($A23,Timeline!$P$4:$AN$4,0))="x")*(Timeline!$K$5:$K$305="Task")*ISNUMBER(Timeline!$I$5:$I$305)*ISNUMBER(Timeline!$J$5:$J$305)*(Timeline!$I$5:$I$305&lt;=V$4+5)*(Timeline!$J$5:$J$305&gt;=V$4+5)),SUMPRODUCT((INDEX(Timeline!$P$5:$AN$305,0,MATCH($A23,Timeline!$P$4:$AN$4,0))="x")*(Timeline!$K$5:$K$305="Task")*ISNUMBER(Timeline!$I$5:$I$305)*ISNUMBER(Timeline!$J$5:$J$305)*(Timeline!$I$5:$I$305&lt;=V$4+6)*(Timeline!$J$5:$J$305&gt;=V$4+6)))</f>
        <v>1</v>
      </c>
      <c r="W23" s="67">
        <f>MAX(SUMPRODUCT((INDEX(Timeline!$P$5:$AN$305,0,MATCH($A23,Timeline!$P$4:$AN$4,0))="x")*(Timeline!$K$5:$K$305="Task")*ISNUMBER(Timeline!$I$5:$I$305)*ISNUMBER(Timeline!$J$5:$J$305)*(Timeline!$I$5:$I$305&lt;=W$4+0)*(Timeline!$J$5:$J$305&gt;=W$4+0)),SUMPRODUCT((INDEX(Timeline!$P$5:$AN$305,0,MATCH($A23,Timeline!$P$4:$AN$4,0))="x")*(Timeline!$K$5:$K$305="Task")*ISNUMBER(Timeline!$I$5:$I$305)*ISNUMBER(Timeline!$J$5:$J$305)*(Timeline!$I$5:$I$305&lt;=W$4+1)*(Timeline!$J$5:$J$305&gt;=W$4+1)),SUMPRODUCT((INDEX(Timeline!$P$5:$AN$305,0,MATCH($A23,Timeline!$P$4:$AN$4,0))="x")*(Timeline!$K$5:$K$305="Task")*ISNUMBER(Timeline!$I$5:$I$305)*ISNUMBER(Timeline!$J$5:$J$305)*(Timeline!$I$5:$I$305&lt;=W$4+2)*(Timeline!$J$5:$J$305&gt;=W$4+2)),SUMPRODUCT((INDEX(Timeline!$P$5:$AN$305,0,MATCH($A23,Timeline!$P$4:$AN$4,0))="x")*(Timeline!$K$5:$K$305="Task")*ISNUMBER(Timeline!$I$5:$I$305)*ISNUMBER(Timeline!$J$5:$J$305)*(Timeline!$I$5:$I$305&lt;=W$4+3)*(Timeline!$J$5:$J$305&gt;=W$4+3)),SUMPRODUCT((INDEX(Timeline!$P$5:$AN$305,0,MATCH($A23,Timeline!$P$4:$AN$4,0))="x")*(Timeline!$K$5:$K$305="Task")*ISNUMBER(Timeline!$I$5:$I$305)*ISNUMBER(Timeline!$J$5:$J$305)*(Timeline!$I$5:$I$305&lt;=W$4+4)*(Timeline!$J$5:$J$305&gt;=W$4+4)),SUMPRODUCT((INDEX(Timeline!$P$5:$AN$305,0,MATCH($A23,Timeline!$P$4:$AN$4,0))="x")*(Timeline!$K$5:$K$305="Task")*ISNUMBER(Timeline!$I$5:$I$305)*ISNUMBER(Timeline!$J$5:$J$305)*(Timeline!$I$5:$I$305&lt;=W$4+5)*(Timeline!$J$5:$J$305&gt;=W$4+5)),SUMPRODUCT((INDEX(Timeline!$P$5:$AN$305,0,MATCH($A23,Timeline!$P$4:$AN$4,0))="x")*(Timeline!$K$5:$K$305="Task")*ISNUMBER(Timeline!$I$5:$I$305)*ISNUMBER(Timeline!$J$5:$J$305)*(Timeline!$I$5:$I$305&lt;=W$4+6)*(Timeline!$J$5:$J$305&gt;=W$4+6)))</f>
        <v>1</v>
      </c>
      <c r="X23" s="67">
        <f>MAX(SUMPRODUCT((INDEX(Timeline!$P$5:$AN$305,0,MATCH($A23,Timeline!$P$4:$AN$4,0))="x")*(Timeline!$K$5:$K$305="Task")*ISNUMBER(Timeline!$I$5:$I$305)*ISNUMBER(Timeline!$J$5:$J$305)*(Timeline!$I$5:$I$305&lt;=X$4+0)*(Timeline!$J$5:$J$305&gt;=X$4+0)),SUMPRODUCT((INDEX(Timeline!$P$5:$AN$305,0,MATCH($A23,Timeline!$P$4:$AN$4,0))="x")*(Timeline!$K$5:$K$305="Task")*ISNUMBER(Timeline!$I$5:$I$305)*ISNUMBER(Timeline!$J$5:$J$305)*(Timeline!$I$5:$I$305&lt;=X$4+1)*(Timeline!$J$5:$J$305&gt;=X$4+1)),SUMPRODUCT((INDEX(Timeline!$P$5:$AN$305,0,MATCH($A23,Timeline!$P$4:$AN$4,0))="x")*(Timeline!$K$5:$K$305="Task")*ISNUMBER(Timeline!$I$5:$I$305)*ISNUMBER(Timeline!$J$5:$J$305)*(Timeline!$I$5:$I$305&lt;=X$4+2)*(Timeline!$J$5:$J$305&gt;=X$4+2)),SUMPRODUCT((INDEX(Timeline!$P$5:$AN$305,0,MATCH($A23,Timeline!$P$4:$AN$4,0))="x")*(Timeline!$K$5:$K$305="Task")*ISNUMBER(Timeline!$I$5:$I$305)*ISNUMBER(Timeline!$J$5:$J$305)*(Timeline!$I$5:$I$305&lt;=X$4+3)*(Timeline!$J$5:$J$305&gt;=X$4+3)),SUMPRODUCT((INDEX(Timeline!$P$5:$AN$305,0,MATCH($A23,Timeline!$P$4:$AN$4,0))="x")*(Timeline!$K$5:$K$305="Task")*ISNUMBER(Timeline!$I$5:$I$305)*ISNUMBER(Timeline!$J$5:$J$305)*(Timeline!$I$5:$I$305&lt;=X$4+4)*(Timeline!$J$5:$J$305&gt;=X$4+4)),SUMPRODUCT((INDEX(Timeline!$P$5:$AN$305,0,MATCH($A23,Timeline!$P$4:$AN$4,0))="x")*(Timeline!$K$5:$K$305="Task")*ISNUMBER(Timeline!$I$5:$I$305)*ISNUMBER(Timeline!$J$5:$J$305)*(Timeline!$I$5:$I$305&lt;=X$4+5)*(Timeline!$J$5:$J$305&gt;=X$4+5)),SUMPRODUCT((INDEX(Timeline!$P$5:$AN$305,0,MATCH($A23,Timeline!$P$4:$AN$4,0))="x")*(Timeline!$K$5:$K$305="Task")*ISNUMBER(Timeline!$I$5:$I$305)*ISNUMBER(Timeline!$J$5:$J$305)*(Timeline!$I$5:$I$305&lt;=X$4+6)*(Timeline!$J$5:$J$305&gt;=X$4+6)))</f>
        <v>1</v>
      </c>
      <c r="Y23" s="67">
        <f>MAX(SUMPRODUCT((INDEX(Timeline!$P$5:$AN$305,0,MATCH($A23,Timeline!$P$4:$AN$4,0))="x")*(Timeline!$K$5:$K$305="Task")*ISNUMBER(Timeline!$I$5:$I$305)*ISNUMBER(Timeline!$J$5:$J$305)*(Timeline!$I$5:$I$305&lt;=Y$4+0)*(Timeline!$J$5:$J$305&gt;=Y$4+0)),SUMPRODUCT((INDEX(Timeline!$P$5:$AN$305,0,MATCH($A23,Timeline!$P$4:$AN$4,0))="x")*(Timeline!$K$5:$K$305="Task")*ISNUMBER(Timeline!$I$5:$I$305)*ISNUMBER(Timeline!$J$5:$J$305)*(Timeline!$I$5:$I$305&lt;=Y$4+1)*(Timeline!$J$5:$J$305&gt;=Y$4+1)),SUMPRODUCT((INDEX(Timeline!$P$5:$AN$305,0,MATCH($A23,Timeline!$P$4:$AN$4,0))="x")*(Timeline!$K$5:$K$305="Task")*ISNUMBER(Timeline!$I$5:$I$305)*ISNUMBER(Timeline!$J$5:$J$305)*(Timeline!$I$5:$I$305&lt;=Y$4+2)*(Timeline!$J$5:$J$305&gt;=Y$4+2)),SUMPRODUCT((INDEX(Timeline!$P$5:$AN$305,0,MATCH($A23,Timeline!$P$4:$AN$4,0))="x")*(Timeline!$K$5:$K$305="Task")*ISNUMBER(Timeline!$I$5:$I$305)*ISNUMBER(Timeline!$J$5:$J$305)*(Timeline!$I$5:$I$305&lt;=Y$4+3)*(Timeline!$J$5:$J$305&gt;=Y$4+3)),SUMPRODUCT((INDEX(Timeline!$P$5:$AN$305,0,MATCH($A23,Timeline!$P$4:$AN$4,0))="x")*(Timeline!$K$5:$K$305="Task")*ISNUMBER(Timeline!$I$5:$I$305)*ISNUMBER(Timeline!$J$5:$J$305)*(Timeline!$I$5:$I$305&lt;=Y$4+4)*(Timeline!$J$5:$J$305&gt;=Y$4+4)),SUMPRODUCT((INDEX(Timeline!$P$5:$AN$305,0,MATCH($A23,Timeline!$P$4:$AN$4,0))="x")*(Timeline!$K$5:$K$305="Task")*ISNUMBER(Timeline!$I$5:$I$305)*ISNUMBER(Timeline!$J$5:$J$305)*(Timeline!$I$5:$I$305&lt;=Y$4+5)*(Timeline!$J$5:$J$305&gt;=Y$4+5)),SUMPRODUCT((INDEX(Timeline!$P$5:$AN$305,0,MATCH($A23,Timeline!$P$4:$AN$4,0))="x")*(Timeline!$K$5:$K$305="Task")*ISNUMBER(Timeline!$I$5:$I$305)*ISNUMBER(Timeline!$J$5:$J$305)*(Timeline!$I$5:$I$305&lt;=Y$4+6)*(Timeline!$J$5:$J$305&gt;=Y$4+6)))</f>
        <v>1</v>
      </c>
      <c r="Z23" s="67">
        <f>MAX(SUMPRODUCT((INDEX(Timeline!$P$5:$AN$305,0,MATCH($A23,Timeline!$P$4:$AN$4,0))="x")*(Timeline!$K$5:$K$305="Task")*ISNUMBER(Timeline!$I$5:$I$305)*ISNUMBER(Timeline!$J$5:$J$305)*(Timeline!$I$5:$I$305&lt;=Z$4+0)*(Timeline!$J$5:$J$305&gt;=Z$4+0)),SUMPRODUCT((INDEX(Timeline!$P$5:$AN$305,0,MATCH($A23,Timeline!$P$4:$AN$4,0))="x")*(Timeline!$K$5:$K$305="Task")*ISNUMBER(Timeline!$I$5:$I$305)*ISNUMBER(Timeline!$J$5:$J$305)*(Timeline!$I$5:$I$305&lt;=Z$4+1)*(Timeline!$J$5:$J$305&gt;=Z$4+1)),SUMPRODUCT((INDEX(Timeline!$P$5:$AN$305,0,MATCH($A23,Timeline!$P$4:$AN$4,0))="x")*(Timeline!$K$5:$K$305="Task")*ISNUMBER(Timeline!$I$5:$I$305)*ISNUMBER(Timeline!$J$5:$J$305)*(Timeline!$I$5:$I$305&lt;=Z$4+2)*(Timeline!$J$5:$J$305&gt;=Z$4+2)),SUMPRODUCT((INDEX(Timeline!$P$5:$AN$305,0,MATCH($A23,Timeline!$P$4:$AN$4,0))="x")*(Timeline!$K$5:$K$305="Task")*ISNUMBER(Timeline!$I$5:$I$305)*ISNUMBER(Timeline!$J$5:$J$305)*(Timeline!$I$5:$I$305&lt;=Z$4+3)*(Timeline!$J$5:$J$305&gt;=Z$4+3)),SUMPRODUCT((INDEX(Timeline!$P$5:$AN$305,0,MATCH($A23,Timeline!$P$4:$AN$4,0))="x")*(Timeline!$K$5:$K$305="Task")*ISNUMBER(Timeline!$I$5:$I$305)*ISNUMBER(Timeline!$J$5:$J$305)*(Timeline!$I$5:$I$305&lt;=Z$4+4)*(Timeline!$J$5:$J$305&gt;=Z$4+4)),SUMPRODUCT((INDEX(Timeline!$P$5:$AN$305,0,MATCH($A23,Timeline!$P$4:$AN$4,0))="x")*(Timeline!$K$5:$K$305="Task")*ISNUMBER(Timeline!$I$5:$I$305)*ISNUMBER(Timeline!$J$5:$J$305)*(Timeline!$I$5:$I$305&lt;=Z$4+5)*(Timeline!$J$5:$J$305&gt;=Z$4+5)),SUMPRODUCT((INDEX(Timeline!$P$5:$AN$305,0,MATCH($A23,Timeline!$P$4:$AN$4,0))="x")*(Timeline!$K$5:$K$305="Task")*ISNUMBER(Timeline!$I$5:$I$305)*ISNUMBER(Timeline!$J$5:$J$305)*(Timeline!$I$5:$I$305&lt;=Z$4+6)*(Timeline!$J$5:$J$305&gt;=Z$4+6)))</f>
        <v>1</v>
      </c>
      <c r="AA23" s="67">
        <f>MAX(SUMPRODUCT((INDEX(Timeline!$P$5:$AN$305,0,MATCH($A23,Timeline!$P$4:$AN$4,0))="x")*(Timeline!$K$5:$K$305="Task")*ISNUMBER(Timeline!$I$5:$I$305)*ISNUMBER(Timeline!$J$5:$J$305)*(Timeline!$I$5:$I$305&lt;=AA$4+0)*(Timeline!$J$5:$J$305&gt;=AA$4+0)),SUMPRODUCT((INDEX(Timeline!$P$5:$AN$305,0,MATCH($A23,Timeline!$P$4:$AN$4,0))="x")*(Timeline!$K$5:$K$305="Task")*ISNUMBER(Timeline!$I$5:$I$305)*ISNUMBER(Timeline!$J$5:$J$305)*(Timeline!$I$5:$I$305&lt;=AA$4+1)*(Timeline!$J$5:$J$305&gt;=AA$4+1)),SUMPRODUCT((INDEX(Timeline!$P$5:$AN$305,0,MATCH($A23,Timeline!$P$4:$AN$4,0))="x")*(Timeline!$K$5:$K$305="Task")*ISNUMBER(Timeline!$I$5:$I$305)*ISNUMBER(Timeline!$J$5:$J$305)*(Timeline!$I$5:$I$305&lt;=AA$4+2)*(Timeline!$J$5:$J$305&gt;=AA$4+2)),SUMPRODUCT((INDEX(Timeline!$P$5:$AN$305,0,MATCH($A23,Timeline!$P$4:$AN$4,0))="x")*(Timeline!$K$5:$K$305="Task")*ISNUMBER(Timeline!$I$5:$I$305)*ISNUMBER(Timeline!$J$5:$J$305)*(Timeline!$I$5:$I$305&lt;=AA$4+3)*(Timeline!$J$5:$J$305&gt;=AA$4+3)),SUMPRODUCT((INDEX(Timeline!$P$5:$AN$305,0,MATCH($A23,Timeline!$P$4:$AN$4,0))="x")*(Timeline!$K$5:$K$305="Task")*ISNUMBER(Timeline!$I$5:$I$305)*ISNUMBER(Timeline!$J$5:$J$305)*(Timeline!$I$5:$I$305&lt;=AA$4+4)*(Timeline!$J$5:$J$305&gt;=AA$4+4)),SUMPRODUCT((INDEX(Timeline!$P$5:$AN$305,0,MATCH($A23,Timeline!$P$4:$AN$4,0))="x")*(Timeline!$K$5:$K$305="Task")*ISNUMBER(Timeline!$I$5:$I$305)*ISNUMBER(Timeline!$J$5:$J$305)*(Timeline!$I$5:$I$305&lt;=AA$4+5)*(Timeline!$J$5:$J$305&gt;=AA$4+5)),SUMPRODUCT((INDEX(Timeline!$P$5:$AN$305,0,MATCH($A23,Timeline!$P$4:$AN$4,0))="x")*(Timeline!$K$5:$K$305="Task")*ISNUMBER(Timeline!$I$5:$I$305)*ISNUMBER(Timeline!$J$5:$J$305)*(Timeline!$I$5:$I$305&lt;=AA$4+6)*(Timeline!$J$5:$J$305&gt;=AA$4+6)))</f>
        <v>0</v>
      </c>
      <c r="AB23" s="67">
        <f>MAX(SUMPRODUCT((INDEX(Timeline!$P$5:$AN$305,0,MATCH($A23,Timeline!$P$4:$AN$4,0))="x")*(Timeline!$K$5:$K$305="Task")*ISNUMBER(Timeline!$I$5:$I$305)*ISNUMBER(Timeline!$J$5:$J$305)*(Timeline!$I$5:$I$305&lt;=AB$4+0)*(Timeline!$J$5:$J$305&gt;=AB$4+0)),SUMPRODUCT((INDEX(Timeline!$P$5:$AN$305,0,MATCH($A23,Timeline!$P$4:$AN$4,0))="x")*(Timeline!$K$5:$K$305="Task")*ISNUMBER(Timeline!$I$5:$I$305)*ISNUMBER(Timeline!$J$5:$J$305)*(Timeline!$I$5:$I$305&lt;=AB$4+1)*(Timeline!$J$5:$J$305&gt;=AB$4+1)),SUMPRODUCT((INDEX(Timeline!$P$5:$AN$305,0,MATCH($A23,Timeline!$P$4:$AN$4,0))="x")*(Timeline!$K$5:$K$305="Task")*ISNUMBER(Timeline!$I$5:$I$305)*ISNUMBER(Timeline!$J$5:$J$305)*(Timeline!$I$5:$I$305&lt;=AB$4+2)*(Timeline!$J$5:$J$305&gt;=AB$4+2)),SUMPRODUCT((INDEX(Timeline!$P$5:$AN$305,0,MATCH($A23,Timeline!$P$4:$AN$4,0))="x")*(Timeline!$K$5:$K$305="Task")*ISNUMBER(Timeline!$I$5:$I$305)*ISNUMBER(Timeline!$J$5:$J$305)*(Timeline!$I$5:$I$305&lt;=AB$4+3)*(Timeline!$J$5:$J$305&gt;=AB$4+3)),SUMPRODUCT((INDEX(Timeline!$P$5:$AN$305,0,MATCH($A23,Timeline!$P$4:$AN$4,0))="x")*(Timeline!$K$5:$K$305="Task")*ISNUMBER(Timeline!$I$5:$I$305)*ISNUMBER(Timeline!$J$5:$J$305)*(Timeline!$I$5:$I$305&lt;=AB$4+4)*(Timeline!$J$5:$J$305&gt;=AB$4+4)),SUMPRODUCT((INDEX(Timeline!$P$5:$AN$305,0,MATCH($A23,Timeline!$P$4:$AN$4,0))="x")*(Timeline!$K$5:$K$305="Task")*ISNUMBER(Timeline!$I$5:$I$305)*ISNUMBER(Timeline!$J$5:$J$305)*(Timeline!$I$5:$I$305&lt;=AB$4+5)*(Timeline!$J$5:$J$305&gt;=AB$4+5)),SUMPRODUCT((INDEX(Timeline!$P$5:$AN$305,0,MATCH($A23,Timeline!$P$4:$AN$4,0))="x")*(Timeline!$K$5:$K$305="Task")*ISNUMBER(Timeline!$I$5:$I$305)*ISNUMBER(Timeline!$J$5:$J$305)*(Timeline!$I$5:$I$305&lt;=AB$4+6)*(Timeline!$J$5:$J$305&gt;=AB$4+6)))</f>
        <v>0</v>
      </c>
      <c r="AC23" s="67">
        <f>MAX(SUMPRODUCT((INDEX(Timeline!$P$5:$AN$305,0,MATCH($A23,Timeline!$P$4:$AN$4,0))="x")*(Timeline!$K$5:$K$305="Task")*ISNUMBER(Timeline!$I$5:$I$305)*ISNUMBER(Timeline!$J$5:$J$305)*(Timeline!$I$5:$I$305&lt;=AC$4+0)*(Timeline!$J$5:$J$305&gt;=AC$4+0)),SUMPRODUCT((INDEX(Timeline!$P$5:$AN$305,0,MATCH($A23,Timeline!$P$4:$AN$4,0))="x")*(Timeline!$K$5:$K$305="Task")*ISNUMBER(Timeline!$I$5:$I$305)*ISNUMBER(Timeline!$J$5:$J$305)*(Timeline!$I$5:$I$305&lt;=AC$4+1)*(Timeline!$J$5:$J$305&gt;=AC$4+1)),SUMPRODUCT((INDEX(Timeline!$P$5:$AN$305,0,MATCH($A23,Timeline!$P$4:$AN$4,0))="x")*(Timeline!$K$5:$K$305="Task")*ISNUMBER(Timeline!$I$5:$I$305)*ISNUMBER(Timeline!$J$5:$J$305)*(Timeline!$I$5:$I$305&lt;=AC$4+2)*(Timeline!$J$5:$J$305&gt;=AC$4+2)),SUMPRODUCT((INDEX(Timeline!$P$5:$AN$305,0,MATCH($A23,Timeline!$P$4:$AN$4,0))="x")*(Timeline!$K$5:$K$305="Task")*ISNUMBER(Timeline!$I$5:$I$305)*ISNUMBER(Timeline!$J$5:$J$305)*(Timeline!$I$5:$I$305&lt;=AC$4+3)*(Timeline!$J$5:$J$305&gt;=AC$4+3)),SUMPRODUCT((INDEX(Timeline!$P$5:$AN$305,0,MATCH($A23,Timeline!$P$4:$AN$4,0))="x")*(Timeline!$K$5:$K$305="Task")*ISNUMBER(Timeline!$I$5:$I$305)*ISNUMBER(Timeline!$J$5:$J$305)*(Timeline!$I$5:$I$305&lt;=AC$4+4)*(Timeline!$J$5:$J$305&gt;=AC$4+4)),SUMPRODUCT((INDEX(Timeline!$P$5:$AN$305,0,MATCH($A23,Timeline!$P$4:$AN$4,0))="x")*(Timeline!$K$5:$K$305="Task")*ISNUMBER(Timeline!$I$5:$I$305)*ISNUMBER(Timeline!$J$5:$J$305)*(Timeline!$I$5:$I$305&lt;=AC$4+5)*(Timeline!$J$5:$J$305&gt;=AC$4+5)),SUMPRODUCT((INDEX(Timeline!$P$5:$AN$305,0,MATCH($A23,Timeline!$P$4:$AN$4,0))="x")*(Timeline!$K$5:$K$305="Task")*ISNUMBER(Timeline!$I$5:$I$305)*ISNUMBER(Timeline!$J$5:$J$305)*(Timeline!$I$5:$I$305&lt;=AC$4+6)*(Timeline!$J$5:$J$305&gt;=AC$4+6)))</f>
        <v>0</v>
      </c>
      <c r="AD23" s="67">
        <f>MAX(SUMPRODUCT((INDEX(Timeline!$P$5:$AN$305,0,MATCH($A23,Timeline!$P$4:$AN$4,0))="x")*(Timeline!$K$5:$K$305="Task")*ISNUMBER(Timeline!$I$5:$I$305)*ISNUMBER(Timeline!$J$5:$J$305)*(Timeline!$I$5:$I$305&lt;=AD$4+0)*(Timeline!$J$5:$J$305&gt;=AD$4+0)),SUMPRODUCT((INDEX(Timeline!$P$5:$AN$305,0,MATCH($A23,Timeline!$P$4:$AN$4,0))="x")*(Timeline!$K$5:$K$305="Task")*ISNUMBER(Timeline!$I$5:$I$305)*ISNUMBER(Timeline!$J$5:$J$305)*(Timeline!$I$5:$I$305&lt;=AD$4+1)*(Timeline!$J$5:$J$305&gt;=AD$4+1)),SUMPRODUCT((INDEX(Timeline!$P$5:$AN$305,0,MATCH($A23,Timeline!$P$4:$AN$4,0))="x")*(Timeline!$K$5:$K$305="Task")*ISNUMBER(Timeline!$I$5:$I$305)*ISNUMBER(Timeline!$J$5:$J$305)*(Timeline!$I$5:$I$305&lt;=AD$4+2)*(Timeline!$J$5:$J$305&gt;=AD$4+2)),SUMPRODUCT((INDEX(Timeline!$P$5:$AN$305,0,MATCH($A23,Timeline!$P$4:$AN$4,0))="x")*(Timeline!$K$5:$K$305="Task")*ISNUMBER(Timeline!$I$5:$I$305)*ISNUMBER(Timeline!$J$5:$J$305)*(Timeline!$I$5:$I$305&lt;=AD$4+3)*(Timeline!$J$5:$J$305&gt;=AD$4+3)),SUMPRODUCT((INDEX(Timeline!$P$5:$AN$305,0,MATCH($A23,Timeline!$P$4:$AN$4,0))="x")*(Timeline!$K$5:$K$305="Task")*ISNUMBER(Timeline!$I$5:$I$305)*ISNUMBER(Timeline!$J$5:$J$305)*(Timeline!$I$5:$I$305&lt;=AD$4+4)*(Timeline!$J$5:$J$305&gt;=AD$4+4)),SUMPRODUCT((INDEX(Timeline!$P$5:$AN$305,0,MATCH($A23,Timeline!$P$4:$AN$4,0))="x")*(Timeline!$K$5:$K$305="Task")*ISNUMBER(Timeline!$I$5:$I$305)*ISNUMBER(Timeline!$J$5:$J$305)*(Timeline!$I$5:$I$305&lt;=AD$4+5)*(Timeline!$J$5:$J$305&gt;=AD$4+5)),SUMPRODUCT((INDEX(Timeline!$P$5:$AN$305,0,MATCH($A23,Timeline!$P$4:$AN$4,0))="x")*(Timeline!$K$5:$K$305="Task")*ISNUMBER(Timeline!$I$5:$I$305)*ISNUMBER(Timeline!$J$5:$J$305)*(Timeline!$I$5:$I$305&lt;=AD$4+6)*(Timeline!$J$5:$J$305&gt;=AD$4+6)))</f>
        <v>0</v>
      </c>
      <c r="AE23" s="67">
        <f>MAX(SUMPRODUCT((INDEX(Timeline!$P$5:$AN$305,0,MATCH($A23,Timeline!$P$4:$AN$4,0))="x")*(Timeline!$K$5:$K$305="Task")*ISNUMBER(Timeline!$I$5:$I$305)*ISNUMBER(Timeline!$J$5:$J$305)*(Timeline!$I$5:$I$305&lt;=AE$4+0)*(Timeline!$J$5:$J$305&gt;=AE$4+0)),SUMPRODUCT((INDEX(Timeline!$P$5:$AN$305,0,MATCH($A23,Timeline!$P$4:$AN$4,0))="x")*(Timeline!$K$5:$K$305="Task")*ISNUMBER(Timeline!$I$5:$I$305)*ISNUMBER(Timeline!$J$5:$J$305)*(Timeline!$I$5:$I$305&lt;=AE$4+1)*(Timeline!$J$5:$J$305&gt;=AE$4+1)),SUMPRODUCT((INDEX(Timeline!$P$5:$AN$305,0,MATCH($A23,Timeline!$P$4:$AN$4,0))="x")*(Timeline!$K$5:$K$305="Task")*ISNUMBER(Timeline!$I$5:$I$305)*ISNUMBER(Timeline!$J$5:$J$305)*(Timeline!$I$5:$I$305&lt;=AE$4+2)*(Timeline!$J$5:$J$305&gt;=AE$4+2)),SUMPRODUCT((INDEX(Timeline!$P$5:$AN$305,0,MATCH($A23,Timeline!$P$4:$AN$4,0))="x")*(Timeline!$K$5:$K$305="Task")*ISNUMBER(Timeline!$I$5:$I$305)*ISNUMBER(Timeline!$J$5:$J$305)*(Timeline!$I$5:$I$305&lt;=AE$4+3)*(Timeline!$J$5:$J$305&gt;=AE$4+3)),SUMPRODUCT((INDEX(Timeline!$P$5:$AN$305,0,MATCH($A23,Timeline!$P$4:$AN$4,0))="x")*(Timeline!$K$5:$K$305="Task")*ISNUMBER(Timeline!$I$5:$I$305)*ISNUMBER(Timeline!$J$5:$J$305)*(Timeline!$I$5:$I$305&lt;=AE$4+4)*(Timeline!$J$5:$J$305&gt;=AE$4+4)),SUMPRODUCT((INDEX(Timeline!$P$5:$AN$305,0,MATCH($A23,Timeline!$P$4:$AN$4,0))="x")*(Timeline!$K$5:$K$305="Task")*ISNUMBER(Timeline!$I$5:$I$305)*ISNUMBER(Timeline!$J$5:$J$305)*(Timeline!$I$5:$I$305&lt;=AE$4+5)*(Timeline!$J$5:$J$305&gt;=AE$4+5)),SUMPRODUCT((INDEX(Timeline!$P$5:$AN$305,0,MATCH($A23,Timeline!$P$4:$AN$4,0))="x")*(Timeline!$K$5:$K$305="Task")*ISNUMBER(Timeline!$I$5:$I$305)*ISNUMBER(Timeline!$J$5:$J$305)*(Timeline!$I$5:$I$305&lt;=AE$4+6)*(Timeline!$J$5:$J$305&gt;=AE$4+6)))</f>
        <v>1</v>
      </c>
      <c r="AF23" s="67">
        <f>MAX(SUMPRODUCT((INDEX(Timeline!$P$5:$AN$305,0,MATCH($A23,Timeline!$P$4:$AN$4,0))="x")*(Timeline!$K$5:$K$305="Task")*ISNUMBER(Timeline!$I$5:$I$305)*ISNUMBER(Timeline!$J$5:$J$305)*(Timeline!$I$5:$I$305&lt;=AF$4+0)*(Timeline!$J$5:$J$305&gt;=AF$4+0)),SUMPRODUCT((INDEX(Timeline!$P$5:$AN$305,0,MATCH($A23,Timeline!$P$4:$AN$4,0))="x")*(Timeline!$K$5:$K$305="Task")*ISNUMBER(Timeline!$I$5:$I$305)*ISNUMBER(Timeline!$J$5:$J$305)*(Timeline!$I$5:$I$305&lt;=AF$4+1)*(Timeline!$J$5:$J$305&gt;=AF$4+1)),SUMPRODUCT((INDEX(Timeline!$P$5:$AN$305,0,MATCH($A23,Timeline!$P$4:$AN$4,0))="x")*(Timeline!$K$5:$K$305="Task")*ISNUMBER(Timeline!$I$5:$I$305)*ISNUMBER(Timeline!$J$5:$J$305)*(Timeline!$I$5:$I$305&lt;=AF$4+2)*(Timeline!$J$5:$J$305&gt;=AF$4+2)),SUMPRODUCT((INDEX(Timeline!$P$5:$AN$305,0,MATCH($A23,Timeline!$P$4:$AN$4,0))="x")*(Timeline!$K$5:$K$305="Task")*ISNUMBER(Timeline!$I$5:$I$305)*ISNUMBER(Timeline!$J$5:$J$305)*(Timeline!$I$5:$I$305&lt;=AF$4+3)*(Timeline!$J$5:$J$305&gt;=AF$4+3)),SUMPRODUCT((INDEX(Timeline!$P$5:$AN$305,0,MATCH($A23,Timeline!$P$4:$AN$4,0))="x")*(Timeline!$K$5:$K$305="Task")*ISNUMBER(Timeline!$I$5:$I$305)*ISNUMBER(Timeline!$J$5:$J$305)*(Timeline!$I$5:$I$305&lt;=AF$4+4)*(Timeline!$J$5:$J$305&gt;=AF$4+4)),SUMPRODUCT((INDEX(Timeline!$P$5:$AN$305,0,MATCH($A23,Timeline!$P$4:$AN$4,0))="x")*(Timeline!$K$5:$K$305="Task")*ISNUMBER(Timeline!$I$5:$I$305)*ISNUMBER(Timeline!$J$5:$J$305)*(Timeline!$I$5:$I$305&lt;=AF$4+5)*(Timeline!$J$5:$J$305&gt;=AF$4+5)),SUMPRODUCT((INDEX(Timeline!$P$5:$AN$305,0,MATCH($A23,Timeline!$P$4:$AN$4,0))="x")*(Timeline!$K$5:$K$305="Task")*ISNUMBER(Timeline!$I$5:$I$305)*ISNUMBER(Timeline!$J$5:$J$305)*(Timeline!$I$5:$I$305&lt;=AF$4+6)*(Timeline!$J$5:$J$305&gt;=AF$4+6)))</f>
        <v>0</v>
      </c>
      <c r="AG23" s="67">
        <f>MAX(SUMPRODUCT((INDEX(Timeline!$P$5:$AN$305,0,MATCH($A23,Timeline!$P$4:$AN$4,0))="x")*(Timeline!$K$5:$K$305="Task")*ISNUMBER(Timeline!$I$5:$I$305)*ISNUMBER(Timeline!$J$5:$J$305)*(Timeline!$I$5:$I$305&lt;=AG$4+0)*(Timeline!$J$5:$J$305&gt;=AG$4+0)),SUMPRODUCT((INDEX(Timeline!$P$5:$AN$305,0,MATCH($A23,Timeline!$P$4:$AN$4,0))="x")*(Timeline!$K$5:$K$305="Task")*ISNUMBER(Timeline!$I$5:$I$305)*ISNUMBER(Timeline!$J$5:$J$305)*(Timeline!$I$5:$I$305&lt;=AG$4+1)*(Timeline!$J$5:$J$305&gt;=AG$4+1)),SUMPRODUCT((INDEX(Timeline!$P$5:$AN$305,0,MATCH($A23,Timeline!$P$4:$AN$4,0))="x")*(Timeline!$K$5:$K$305="Task")*ISNUMBER(Timeline!$I$5:$I$305)*ISNUMBER(Timeline!$J$5:$J$305)*(Timeline!$I$5:$I$305&lt;=AG$4+2)*(Timeline!$J$5:$J$305&gt;=AG$4+2)),SUMPRODUCT((INDEX(Timeline!$P$5:$AN$305,0,MATCH($A23,Timeline!$P$4:$AN$4,0))="x")*(Timeline!$K$5:$K$305="Task")*ISNUMBER(Timeline!$I$5:$I$305)*ISNUMBER(Timeline!$J$5:$J$305)*(Timeline!$I$5:$I$305&lt;=AG$4+3)*(Timeline!$J$5:$J$305&gt;=AG$4+3)),SUMPRODUCT((INDEX(Timeline!$P$5:$AN$305,0,MATCH($A23,Timeline!$P$4:$AN$4,0))="x")*(Timeline!$K$5:$K$305="Task")*ISNUMBER(Timeline!$I$5:$I$305)*ISNUMBER(Timeline!$J$5:$J$305)*(Timeline!$I$5:$I$305&lt;=AG$4+4)*(Timeline!$J$5:$J$305&gt;=AG$4+4)),SUMPRODUCT((INDEX(Timeline!$P$5:$AN$305,0,MATCH($A23,Timeline!$P$4:$AN$4,0))="x")*(Timeline!$K$5:$K$305="Task")*ISNUMBER(Timeline!$I$5:$I$305)*ISNUMBER(Timeline!$J$5:$J$305)*(Timeline!$I$5:$I$305&lt;=AG$4+5)*(Timeline!$J$5:$J$305&gt;=AG$4+5)),SUMPRODUCT((INDEX(Timeline!$P$5:$AN$305,0,MATCH($A23,Timeline!$P$4:$AN$4,0))="x")*(Timeline!$K$5:$K$305="Task")*ISNUMBER(Timeline!$I$5:$I$305)*ISNUMBER(Timeline!$J$5:$J$305)*(Timeline!$I$5:$I$305&lt;=AG$4+6)*(Timeline!$J$5:$J$305&gt;=AG$4+6)))</f>
        <v>0</v>
      </c>
      <c r="AH23" s="67">
        <f>MAX(SUMPRODUCT((INDEX(Timeline!$P$5:$AN$305,0,MATCH($A23,Timeline!$P$4:$AN$4,0))="x")*(Timeline!$K$5:$K$305="Task")*ISNUMBER(Timeline!$I$5:$I$305)*ISNUMBER(Timeline!$J$5:$J$305)*(Timeline!$I$5:$I$305&lt;=AH$4+0)*(Timeline!$J$5:$J$305&gt;=AH$4+0)),SUMPRODUCT((INDEX(Timeline!$P$5:$AN$305,0,MATCH($A23,Timeline!$P$4:$AN$4,0))="x")*(Timeline!$K$5:$K$305="Task")*ISNUMBER(Timeline!$I$5:$I$305)*ISNUMBER(Timeline!$J$5:$J$305)*(Timeline!$I$5:$I$305&lt;=AH$4+1)*(Timeline!$J$5:$J$305&gt;=AH$4+1)),SUMPRODUCT((INDEX(Timeline!$P$5:$AN$305,0,MATCH($A23,Timeline!$P$4:$AN$4,0))="x")*(Timeline!$K$5:$K$305="Task")*ISNUMBER(Timeline!$I$5:$I$305)*ISNUMBER(Timeline!$J$5:$J$305)*(Timeline!$I$5:$I$305&lt;=AH$4+2)*(Timeline!$J$5:$J$305&gt;=AH$4+2)),SUMPRODUCT((INDEX(Timeline!$P$5:$AN$305,0,MATCH($A23,Timeline!$P$4:$AN$4,0))="x")*(Timeline!$K$5:$K$305="Task")*ISNUMBER(Timeline!$I$5:$I$305)*ISNUMBER(Timeline!$J$5:$J$305)*(Timeline!$I$5:$I$305&lt;=AH$4+3)*(Timeline!$J$5:$J$305&gt;=AH$4+3)),SUMPRODUCT((INDEX(Timeline!$P$5:$AN$305,0,MATCH($A23,Timeline!$P$4:$AN$4,0))="x")*(Timeline!$K$5:$K$305="Task")*ISNUMBER(Timeline!$I$5:$I$305)*ISNUMBER(Timeline!$J$5:$J$305)*(Timeline!$I$5:$I$305&lt;=AH$4+4)*(Timeline!$J$5:$J$305&gt;=AH$4+4)),SUMPRODUCT((INDEX(Timeline!$P$5:$AN$305,0,MATCH($A23,Timeline!$P$4:$AN$4,0))="x")*(Timeline!$K$5:$K$305="Task")*ISNUMBER(Timeline!$I$5:$I$305)*ISNUMBER(Timeline!$J$5:$J$305)*(Timeline!$I$5:$I$305&lt;=AH$4+5)*(Timeline!$J$5:$J$305&gt;=AH$4+5)),SUMPRODUCT((INDEX(Timeline!$P$5:$AN$305,0,MATCH($A23,Timeline!$P$4:$AN$4,0))="x")*(Timeline!$K$5:$K$305="Task")*ISNUMBER(Timeline!$I$5:$I$305)*ISNUMBER(Timeline!$J$5:$J$305)*(Timeline!$I$5:$I$305&lt;=AH$4+6)*(Timeline!$J$5:$J$305&gt;=AH$4+6)))</f>
        <v>0</v>
      </c>
      <c r="AI23" s="67">
        <f>MAX(SUMPRODUCT((INDEX(Timeline!$P$5:$AN$305,0,MATCH($A23,Timeline!$P$4:$AN$4,0))="x")*(Timeline!$K$5:$K$305="Task")*ISNUMBER(Timeline!$I$5:$I$305)*ISNUMBER(Timeline!$J$5:$J$305)*(Timeline!$I$5:$I$305&lt;=AI$4+0)*(Timeline!$J$5:$J$305&gt;=AI$4+0)),SUMPRODUCT((INDEX(Timeline!$P$5:$AN$305,0,MATCH($A23,Timeline!$P$4:$AN$4,0))="x")*(Timeline!$K$5:$K$305="Task")*ISNUMBER(Timeline!$I$5:$I$305)*ISNUMBER(Timeline!$J$5:$J$305)*(Timeline!$I$5:$I$305&lt;=AI$4+1)*(Timeline!$J$5:$J$305&gt;=AI$4+1)),SUMPRODUCT((INDEX(Timeline!$P$5:$AN$305,0,MATCH($A23,Timeline!$P$4:$AN$4,0))="x")*(Timeline!$K$5:$K$305="Task")*ISNUMBER(Timeline!$I$5:$I$305)*ISNUMBER(Timeline!$J$5:$J$305)*(Timeline!$I$5:$I$305&lt;=AI$4+2)*(Timeline!$J$5:$J$305&gt;=AI$4+2)),SUMPRODUCT((INDEX(Timeline!$P$5:$AN$305,0,MATCH($A23,Timeline!$P$4:$AN$4,0))="x")*(Timeline!$K$5:$K$305="Task")*ISNUMBER(Timeline!$I$5:$I$305)*ISNUMBER(Timeline!$J$5:$J$305)*(Timeline!$I$5:$I$305&lt;=AI$4+3)*(Timeline!$J$5:$J$305&gt;=AI$4+3)),SUMPRODUCT((INDEX(Timeline!$P$5:$AN$305,0,MATCH($A23,Timeline!$P$4:$AN$4,0))="x")*(Timeline!$K$5:$K$305="Task")*ISNUMBER(Timeline!$I$5:$I$305)*ISNUMBER(Timeline!$J$5:$J$305)*(Timeline!$I$5:$I$305&lt;=AI$4+4)*(Timeline!$J$5:$J$305&gt;=AI$4+4)),SUMPRODUCT((INDEX(Timeline!$P$5:$AN$305,0,MATCH($A23,Timeline!$P$4:$AN$4,0))="x")*(Timeline!$K$5:$K$305="Task")*ISNUMBER(Timeline!$I$5:$I$305)*ISNUMBER(Timeline!$J$5:$J$305)*(Timeline!$I$5:$I$305&lt;=AI$4+5)*(Timeline!$J$5:$J$305&gt;=AI$4+5)),SUMPRODUCT((INDEX(Timeline!$P$5:$AN$305,0,MATCH($A23,Timeline!$P$4:$AN$4,0))="x")*(Timeline!$K$5:$K$305="Task")*ISNUMBER(Timeline!$I$5:$I$305)*ISNUMBER(Timeline!$J$5:$J$305)*(Timeline!$I$5:$I$305&lt;=AI$4+6)*(Timeline!$J$5:$J$305&gt;=AI$4+6)))</f>
        <v>0</v>
      </c>
      <c r="AJ23" s="67">
        <f>MAX(SUMPRODUCT((INDEX(Timeline!$P$5:$AN$305,0,MATCH($A23,Timeline!$P$4:$AN$4,0))="x")*(Timeline!$K$5:$K$305="Task")*ISNUMBER(Timeline!$I$5:$I$305)*ISNUMBER(Timeline!$J$5:$J$305)*(Timeline!$I$5:$I$305&lt;=AJ$4+0)*(Timeline!$J$5:$J$305&gt;=AJ$4+0)),SUMPRODUCT((INDEX(Timeline!$P$5:$AN$305,0,MATCH($A23,Timeline!$P$4:$AN$4,0))="x")*(Timeline!$K$5:$K$305="Task")*ISNUMBER(Timeline!$I$5:$I$305)*ISNUMBER(Timeline!$J$5:$J$305)*(Timeline!$I$5:$I$305&lt;=AJ$4+1)*(Timeline!$J$5:$J$305&gt;=AJ$4+1)),SUMPRODUCT((INDEX(Timeline!$P$5:$AN$305,0,MATCH($A23,Timeline!$P$4:$AN$4,0))="x")*(Timeline!$K$5:$K$305="Task")*ISNUMBER(Timeline!$I$5:$I$305)*ISNUMBER(Timeline!$J$5:$J$305)*(Timeline!$I$5:$I$305&lt;=AJ$4+2)*(Timeline!$J$5:$J$305&gt;=AJ$4+2)),SUMPRODUCT((INDEX(Timeline!$P$5:$AN$305,0,MATCH($A23,Timeline!$P$4:$AN$4,0))="x")*(Timeline!$K$5:$K$305="Task")*ISNUMBER(Timeline!$I$5:$I$305)*ISNUMBER(Timeline!$J$5:$J$305)*(Timeline!$I$5:$I$305&lt;=AJ$4+3)*(Timeline!$J$5:$J$305&gt;=AJ$4+3)),SUMPRODUCT((INDEX(Timeline!$P$5:$AN$305,0,MATCH($A23,Timeline!$P$4:$AN$4,0))="x")*(Timeline!$K$5:$K$305="Task")*ISNUMBER(Timeline!$I$5:$I$305)*ISNUMBER(Timeline!$J$5:$J$305)*(Timeline!$I$5:$I$305&lt;=AJ$4+4)*(Timeline!$J$5:$J$305&gt;=AJ$4+4)),SUMPRODUCT((INDEX(Timeline!$P$5:$AN$305,0,MATCH($A23,Timeline!$P$4:$AN$4,0))="x")*(Timeline!$K$5:$K$305="Task")*ISNUMBER(Timeline!$I$5:$I$305)*ISNUMBER(Timeline!$J$5:$J$305)*(Timeline!$I$5:$I$305&lt;=AJ$4+5)*(Timeline!$J$5:$J$305&gt;=AJ$4+5)),SUMPRODUCT((INDEX(Timeline!$P$5:$AN$305,0,MATCH($A23,Timeline!$P$4:$AN$4,0))="x")*(Timeline!$K$5:$K$305="Task")*ISNUMBER(Timeline!$I$5:$I$305)*ISNUMBER(Timeline!$J$5:$J$305)*(Timeline!$I$5:$I$305&lt;=AJ$4+6)*(Timeline!$J$5:$J$305&gt;=AJ$4+6)))</f>
        <v>0</v>
      </c>
      <c r="AK23" s="67">
        <f>MAX(SUMPRODUCT((INDEX(Timeline!$P$5:$AN$305,0,MATCH($A23,Timeline!$P$4:$AN$4,0))="x")*(Timeline!$K$5:$K$305="Task")*ISNUMBER(Timeline!$I$5:$I$305)*ISNUMBER(Timeline!$J$5:$J$305)*(Timeline!$I$5:$I$305&lt;=AK$4+0)*(Timeline!$J$5:$J$305&gt;=AK$4+0)),SUMPRODUCT((INDEX(Timeline!$P$5:$AN$305,0,MATCH($A23,Timeline!$P$4:$AN$4,0))="x")*(Timeline!$K$5:$K$305="Task")*ISNUMBER(Timeline!$I$5:$I$305)*ISNUMBER(Timeline!$J$5:$J$305)*(Timeline!$I$5:$I$305&lt;=AK$4+1)*(Timeline!$J$5:$J$305&gt;=AK$4+1)),SUMPRODUCT((INDEX(Timeline!$P$5:$AN$305,0,MATCH($A23,Timeline!$P$4:$AN$4,0))="x")*(Timeline!$K$5:$K$305="Task")*ISNUMBER(Timeline!$I$5:$I$305)*ISNUMBER(Timeline!$J$5:$J$305)*(Timeline!$I$5:$I$305&lt;=AK$4+2)*(Timeline!$J$5:$J$305&gt;=AK$4+2)),SUMPRODUCT((INDEX(Timeline!$P$5:$AN$305,0,MATCH($A23,Timeline!$P$4:$AN$4,0))="x")*(Timeline!$K$5:$K$305="Task")*ISNUMBER(Timeline!$I$5:$I$305)*ISNUMBER(Timeline!$J$5:$J$305)*(Timeline!$I$5:$I$305&lt;=AK$4+3)*(Timeline!$J$5:$J$305&gt;=AK$4+3)),SUMPRODUCT((INDEX(Timeline!$P$5:$AN$305,0,MATCH($A23,Timeline!$P$4:$AN$4,0))="x")*(Timeline!$K$5:$K$305="Task")*ISNUMBER(Timeline!$I$5:$I$305)*ISNUMBER(Timeline!$J$5:$J$305)*(Timeline!$I$5:$I$305&lt;=AK$4+4)*(Timeline!$J$5:$J$305&gt;=AK$4+4)),SUMPRODUCT((INDEX(Timeline!$P$5:$AN$305,0,MATCH($A23,Timeline!$P$4:$AN$4,0))="x")*(Timeline!$K$5:$K$305="Task")*ISNUMBER(Timeline!$I$5:$I$305)*ISNUMBER(Timeline!$J$5:$J$305)*(Timeline!$I$5:$I$305&lt;=AK$4+5)*(Timeline!$J$5:$J$305&gt;=AK$4+5)),SUMPRODUCT((INDEX(Timeline!$P$5:$AN$305,0,MATCH($A23,Timeline!$P$4:$AN$4,0))="x")*(Timeline!$K$5:$K$305="Task")*ISNUMBER(Timeline!$I$5:$I$305)*ISNUMBER(Timeline!$J$5:$J$305)*(Timeline!$I$5:$I$305&lt;=AK$4+6)*(Timeline!$J$5:$J$305&gt;=AK$4+6)))</f>
        <v>0</v>
      </c>
      <c r="AL23" s="67">
        <f>MAX(SUMPRODUCT((INDEX(Timeline!$P$5:$AN$305,0,MATCH($A23,Timeline!$P$4:$AN$4,0))="x")*(Timeline!$K$5:$K$305="Task")*ISNUMBER(Timeline!$I$5:$I$305)*ISNUMBER(Timeline!$J$5:$J$305)*(Timeline!$I$5:$I$305&lt;=AL$4+0)*(Timeline!$J$5:$J$305&gt;=AL$4+0)),SUMPRODUCT((INDEX(Timeline!$P$5:$AN$305,0,MATCH($A23,Timeline!$P$4:$AN$4,0))="x")*(Timeline!$K$5:$K$305="Task")*ISNUMBER(Timeline!$I$5:$I$305)*ISNUMBER(Timeline!$J$5:$J$305)*(Timeline!$I$5:$I$305&lt;=AL$4+1)*(Timeline!$J$5:$J$305&gt;=AL$4+1)),SUMPRODUCT((INDEX(Timeline!$P$5:$AN$305,0,MATCH($A23,Timeline!$P$4:$AN$4,0))="x")*(Timeline!$K$5:$K$305="Task")*ISNUMBER(Timeline!$I$5:$I$305)*ISNUMBER(Timeline!$J$5:$J$305)*(Timeline!$I$5:$I$305&lt;=AL$4+2)*(Timeline!$J$5:$J$305&gt;=AL$4+2)),SUMPRODUCT((INDEX(Timeline!$P$5:$AN$305,0,MATCH($A23,Timeline!$P$4:$AN$4,0))="x")*(Timeline!$K$5:$K$305="Task")*ISNUMBER(Timeline!$I$5:$I$305)*ISNUMBER(Timeline!$J$5:$J$305)*(Timeline!$I$5:$I$305&lt;=AL$4+3)*(Timeline!$J$5:$J$305&gt;=AL$4+3)),SUMPRODUCT((INDEX(Timeline!$P$5:$AN$305,0,MATCH($A23,Timeline!$P$4:$AN$4,0))="x")*(Timeline!$K$5:$K$305="Task")*ISNUMBER(Timeline!$I$5:$I$305)*ISNUMBER(Timeline!$J$5:$J$305)*(Timeline!$I$5:$I$305&lt;=AL$4+4)*(Timeline!$J$5:$J$305&gt;=AL$4+4)),SUMPRODUCT((INDEX(Timeline!$P$5:$AN$305,0,MATCH($A23,Timeline!$P$4:$AN$4,0))="x")*(Timeline!$K$5:$K$305="Task")*ISNUMBER(Timeline!$I$5:$I$305)*ISNUMBER(Timeline!$J$5:$J$305)*(Timeline!$I$5:$I$305&lt;=AL$4+5)*(Timeline!$J$5:$J$305&gt;=AL$4+5)),SUMPRODUCT((INDEX(Timeline!$P$5:$AN$305,0,MATCH($A23,Timeline!$P$4:$AN$4,0))="x")*(Timeline!$K$5:$K$305="Task")*ISNUMBER(Timeline!$I$5:$I$305)*ISNUMBER(Timeline!$J$5:$J$305)*(Timeline!$I$5:$I$305&lt;=AL$4+6)*(Timeline!$J$5:$J$305&gt;=AL$4+6)))</f>
        <v>0</v>
      </c>
      <c r="AM23" s="67">
        <f>MAX(SUMPRODUCT((INDEX(Timeline!$P$5:$AN$305,0,MATCH($A23,Timeline!$P$4:$AN$4,0))="x")*(Timeline!$K$5:$K$305="Task")*ISNUMBER(Timeline!$I$5:$I$305)*ISNUMBER(Timeline!$J$5:$J$305)*(Timeline!$I$5:$I$305&lt;=AM$4+0)*(Timeline!$J$5:$J$305&gt;=AM$4+0)),SUMPRODUCT((INDEX(Timeline!$P$5:$AN$305,0,MATCH($A23,Timeline!$P$4:$AN$4,0))="x")*(Timeline!$K$5:$K$305="Task")*ISNUMBER(Timeline!$I$5:$I$305)*ISNUMBER(Timeline!$J$5:$J$305)*(Timeline!$I$5:$I$305&lt;=AM$4+1)*(Timeline!$J$5:$J$305&gt;=AM$4+1)),SUMPRODUCT((INDEX(Timeline!$P$5:$AN$305,0,MATCH($A23,Timeline!$P$4:$AN$4,0))="x")*(Timeline!$K$5:$K$305="Task")*ISNUMBER(Timeline!$I$5:$I$305)*ISNUMBER(Timeline!$J$5:$J$305)*(Timeline!$I$5:$I$305&lt;=AM$4+2)*(Timeline!$J$5:$J$305&gt;=AM$4+2)),SUMPRODUCT((INDEX(Timeline!$P$5:$AN$305,0,MATCH($A23,Timeline!$P$4:$AN$4,0))="x")*(Timeline!$K$5:$K$305="Task")*ISNUMBER(Timeline!$I$5:$I$305)*ISNUMBER(Timeline!$J$5:$J$305)*(Timeline!$I$5:$I$305&lt;=AM$4+3)*(Timeline!$J$5:$J$305&gt;=AM$4+3)),SUMPRODUCT((INDEX(Timeline!$P$5:$AN$305,0,MATCH($A23,Timeline!$P$4:$AN$4,0))="x")*(Timeline!$K$5:$K$305="Task")*ISNUMBER(Timeline!$I$5:$I$305)*ISNUMBER(Timeline!$J$5:$J$305)*(Timeline!$I$5:$I$305&lt;=AM$4+4)*(Timeline!$J$5:$J$305&gt;=AM$4+4)),SUMPRODUCT((INDEX(Timeline!$P$5:$AN$305,0,MATCH($A23,Timeline!$P$4:$AN$4,0))="x")*(Timeline!$K$5:$K$305="Task")*ISNUMBER(Timeline!$I$5:$I$305)*ISNUMBER(Timeline!$J$5:$J$305)*(Timeline!$I$5:$I$305&lt;=AM$4+5)*(Timeline!$J$5:$J$305&gt;=AM$4+5)),SUMPRODUCT((INDEX(Timeline!$P$5:$AN$305,0,MATCH($A23,Timeline!$P$4:$AN$4,0))="x")*(Timeline!$K$5:$K$305="Task")*ISNUMBER(Timeline!$I$5:$I$305)*ISNUMBER(Timeline!$J$5:$J$305)*(Timeline!$I$5:$I$305&lt;=AM$4+6)*(Timeline!$J$5:$J$305&gt;=AM$4+6)))</f>
        <v>0</v>
      </c>
      <c r="AN23" s="67">
        <f>MAX(SUMPRODUCT((INDEX(Timeline!$P$5:$AN$305,0,MATCH($A23,Timeline!$P$4:$AN$4,0))="x")*(Timeline!$K$5:$K$305="Task")*ISNUMBER(Timeline!$I$5:$I$305)*ISNUMBER(Timeline!$J$5:$J$305)*(Timeline!$I$5:$I$305&lt;=AN$4+0)*(Timeline!$J$5:$J$305&gt;=AN$4+0)),SUMPRODUCT((INDEX(Timeline!$P$5:$AN$305,0,MATCH($A23,Timeline!$P$4:$AN$4,0))="x")*(Timeline!$K$5:$K$305="Task")*ISNUMBER(Timeline!$I$5:$I$305)*ISNUMBER(Timeline!$J$5:$J$305)*(Timeline!$I$5:$I$305&lt;=AN$4+1)*(Timeline!$J$5:$J$305&gt;=AN$4+1)),SUMPRODUCT((INDEX(Timeline!$P$5:$AN$305,0,MATCH($A23,Timeline!$P$4:$AN$4,0))="x")*(Timeline!$K$5:$K$305="Task")*ISNUMBER(Timeline!$I$5:$I$305)*ISNUMBER(Timeline!$J$5:$J$305)*(Timeline!$I$5:$I$305&lt;=AN$4+2)*(Timeline!$J$5:$J$305&gt;=AN$4+2)),SUMPRODUCT((INDEX(Timeline!$P$5:$AN$305,0,MATCH($A23,Timeline!$P$4:$AN$4,0))="x")*(Timeline!$K$5:$K$305="Task")*ISNUMBER(Timeline!$I$5:$I$305)*ISNUMBER(Timeline!$J$5:$J$305)*(Timeline!$I$5:$I$305&lt;=AN$4+3)*(Timeline!$J$5:$J$305&gt;=AN$4+3)),SUMPRODUCT((INDEX(Timeline!$P$5:$AN$305,0,MATCH($A23,Timeline!$P$4:$AN$4,0))="x")*(Timeline!$K$5:$K$305="Task")*ISNUMBER(Timeline!$I$5:$I$305)*ISNUMBER(Timeline!$J$5:$J$305)*(Timeline!$I$5:$I$305&lt;=AN$4+4)*(Timeline!$J$5:$J$305&gt;=AN$4+4)),SUMPRODUCT((INDEX(Timeline!$P$5:$AN$305,0,MATCH($A23,Timeline!$P$4:$AN$4,0))="x")*(Timeline!$K$5:$K$305="Task")*ISNUMBER(Timeline!$I$5:$I$305)*ISNUMBER(Timeline!$J$5:$J$305)*(Timeline!$I$5:$I$305&lt;=AN$4+5)*(Timeline!$J$5:$J$305&gt;=AN$4+5)),SUMPRODUCT((INDEX(Timeline!$P$5:$AN$305,0,MATCH($A23,Timeline!$P$4:$AN$4,0))="x")*(Timeline!$K$5:$K$305="Task")*ISNUMBER(Timeline!$I$5:$I$305)*ISNUMBER(Timeline!$J$5:$J$305)*(Timeline!$I$5:$I$305&lt;=AN$4+6)*(Timeline!$J$5:$J$305&gt;=AN$4+6)))</f>
        <v>0</v>
      </c>
      <c r="AO23" s="67">
        <f>MAX(SUMPRODUCT((INDEX(Timeline!$P$5:$AN$305,0,MATCH($A23,Timeline!$P$4:$AN$4,0))="x")*(Timeline!$K$5:$K$305="Task")*ISNUMBER(Timeline!$I$5:$I$305)*ISNUMBER(Timeline!$J$5:$J$305)*(Timeline!$I$5:$I$305&lt;=AO$4+0)*(Timeline!$J$5:$J$305&gt;=AO$4+0)),SUMPRODUCT((INDEX(Timeline!$P$5:$AN$305,0,MATCH($A23,Timeline!$P$4:$AN$4,0))="x")*(Timeline!$K$5:$K$305="Task")*ISNUMBER(Timeline!$I$5:$I$305)*ISNUMBER(Timeline!$J$5:$J$305)*(Timeline!$I$5:$I$305&lt;=AO$4+1)*(Timeline!$J$5:$J$305&gt;=AO$4+1)),SUMPRODUCT((INDEX(Timeline!$P$5:$AN$305,0,MATCH($A23,Timeline!$P$4:$AN$4,0))="x")*(Timeline!$K$5:$K$305="Task")*ISNUMBER(Timeline!$I$5:$I$305)*ISNUMBER(Timeline!$J$5:$J$305)*(Timeline!$I$5:$I$305&lt;=AO$4+2)*(Timeline!$J$5:$J$305&gt;=AO$4+2)),SUMPRODUCT((INDEX(Timeline!$P$5:$AN$305,0,MATCH($A23,Timeline!$P$4:$AN$4,0))="x")*(Timeline!$K$5:$K$305="Task")*ISNUMBER(Timeline!$I$5:$I$305)*ISNUMBER(Timeline!$J$5:$J$305)*(Timeline!$I$5:$I$305&lt;=AO$4+3)*(Timeline!$J$5:$J$305&gt;=AO$4+3)),SUMPRODUCT((INDEX(Timeline!$P$5:$AN$305,0,MATCH($A23,Timeline!$P$4:$AN$4,0))="x")*(Timeline!$K$5:$K$305="Task")*ISNUMBER(Timeline!$I$5:$I$305)*ISNUMBER(Timeline!$J$5:$J$305)*(Timeline!$I$5:$I$305&lt;=AO$4+4)*(Timeline!$J$5:$J$305&gt;=AO$4+4)),SUMPRODUCT((INDEX(Timeline!$P$5:$AN$305,0,MATCH($A23,Timeline!$P$4:$AN$4,0))="x")*(Timeline!$K$5:$K$305="Task")*ISNUMBER(Timeline!$I$5:$I$305)*ISNUMBER(Timeline!$J$5:$J$305)*(Timeline!$I$5:$I$305&lt;=AO$4+5)*(Timeline!$J$5:$J$305&gt;=AO$4+5)),SUMPRODUCT((INDEX(Timeline!$P$5:$AN$305,0,MATCH($A23,Timeline!$P$4:$AN$4,0))="x")*(Timeline!$K$5:$K$305="Task")*ISNUMBER(Timeline!$I$5:$I$305)*ISNUMBER(Timeline!$J$5:$J$305)*(Timeline!$I$5:$I$305&lt;=AO$4+6)*(Timeline!$J$5:$J$305&gt;=AO$4+6)))</f>
        <v>0</v>
      </c>
      <c r="AP23" s="67">
        <f>MAX(SUMPRODUCT((INDEX(Timeline!$P$5:$AN$305,0,MATCH($A23,Timeline!$P$4:$AN$4,0))="x")*(Timeline!$K$5:$K$305="Task")*ISNUMBER(Timeline!$I$5:$I$305)*ISNUMBER(Timeline!$J$5:$J$305)*(Timeline!$I$5:$I$305&lt;=AP$4+0)*(Timeline!$J$5:$J$305&gt;=AP$4+0)),SUMPRODUCT((INDEX(Timeline!$P$5:$AN$305,0,MATCH($A23,Timeline!$P$4:$AN$4,0))="x")*(Timeline!$K$5:$K$305="Task")*ISNUMBER(Timeline!$I$5:$I$305)*ISNUMBER(Timeline!$J$5:$J$305)*(Timeline!$I$5:$I$305&lt;=AP$4+1)*(Timeline!$J$5:$J$305&gt;=AP$4+1)),SUMPRODUCT((INDEX(Timeline!$P$5:$AN$305,0,MATCH($A23,Timeline!$P$4:$AN$4,0))="x")*(Timeline!$K$5:$K$305="Task")*ISNUMBER(Timeline!$I$5:$I$305)*ISNUMBER(Timeline!$J$5:$J$305)*(Timeline!$I$5:$I$305&lt;=AP$4+2)*(Timeline!$J$5:$J$305&gt;=AP$4+2)),SUMPRODUCT((INDEX(Timeline!$P$5:$AN$305,0,MATCH($A23,Timeline!$P$4:$AN$4,0))="x")*(Timeline!$K$5:$K$305="Task")*ISNUMBER(Timeline!$I$5:$I$305)*ISNUMBER(Timeline!$J$5:$J$305)*(Timeline!$I$5:$I$305&lt;=AP$4+3)*(Timeline!$J$5:$J$305&gt;=AP$4+3)),SUMPRODUCT((INDEX(Timeline!$P$5:$AN$305,0,MATCH($A23,Timeline!$P$4:$AN$4,0))="x")*(Timeline!$K$5:$K$305="Task")*ISNUMBER(Timeline!$I$5:$I$305)*ISNUMBER(Timeline!$J$5:$J$305)*(Timeline!$I$5:$I$305&lt;=AP$4+4)*(Timeline!$J$5:$J$305&gt;=AP$4+4)),SUMPRODUCT((INDEX(Timeline!$P$5:$AN$305,0,MATCH($A23,Timeline!$P$4:$AN$4,0))="x")*(Timeline!$K$5:$K$305="Task")*ISNUMBER(Timeline!$I$5:$I$305)*ISNUMBER(Timeline!$J$5:$J$305)*(Timeline!$I$5:$I$305&lt;=AP$4+5)*(Timeline!$J$5:$J$305&gt;=AP$4+5)),SUMPRODUCT((INDEX(Timeline!$P$5:$AN$305,0,MATCH($A23,Timeline!$P$4:$AN$4,0))="x")*(Timeline!$K$5:$K$305="Task")*ISNUMBER(Timeline!$I$5:$I$305)*ISNUMBER(Timeline!$J$5:$J$305)*(Timeline!$I$5:$I$305&lt;=AP$4+6)*(Timeline!$J$5:$J$305&gt;=AP$4+6)))</f>
        <v>0</v>
      </c>
      <c r="AQ23" s="67">
        <f>MAX(SUMPRODUCT((INDEX(Timeline!$P$5:$AN$305,0,MATCH($A23,Timeline!$P$4:$AN$4,0))="x")*(Timeline!$K$5:$K$305="Task")*ISNUMBER(Timeline!$I$5:$I$305)*ISNUMBER(Timeline!$J$5:$J$305)*(Timeline!$I$5:$I$305&lt;=AQ$4+0)*(Timeline!$J$5:$J$305&gt;=AQ$4+0)),SUMPRODUCT((INDEX(Timeline!$P$5:$AN$305,0,MATCH($A23,Timeline!$P$4:$AN$4,0))="x")*(Timeline!$K$5:$K$305="Task")*ISNUMBER(Timeline!$I$5:$I$305)*ISNUMBER(Timeline!$J$5:$J$305)*(Timeline!$I$5:$I$305&lt;=AQ$4+1)*(Timeline!$J$5:$J$305&gt;=AQ$4+1)),SUMPRODUCT((INDEX(Timeline!$P$5:$AN$305,0,MATCH($A23,Timeline!$P$4:$AN$4,0))="x")*(Timeline!$K$5:$K$305="Task")*ISNUMBER(Timeline!$I$5:$I$305)*ISNUMBER(Timeline!$J$5:$J$305)*(Timeline!$I$5:$I$305&lt;=AQ$4+2)*(Timeline!$J$5:$J$305&gt;=AQ$4+2)),SUMPRODUCT((INDEX(Timeline!$P$5:$AN$305,0,MATCH($A23,Timeline!$P$4:$AN$4,0))="x")*(Timeline!$K$5:$K$305="Task")*ISNUMBER(Timeline!$I$5:$I$305)*ISNUMBER(Timeline!$J$5:$J$305)*(Timeline!$I$5:$I$305&lt;=AQ$4+3)*(Timeline!$J$5:$J$305&gt;=AQ$4+3)),SUMPRODUCT((INDEX(Timeline!$P$5:$AN$305,0,MATCH($A23,Timeline!$P$4:$AN$4,0))="x")*(Timeline!$K$5:$K$305="Task")*ISNUMBER(Timeline!$I$5:$I$305)*ISNUMBER(Timeline!$J$5:$J$305)*(Timeline!$I$5:$I$305&lt;=AQ$4+4)*(Timeline!$J$5:$J$305&gt;=AQ$4+4)),SUMPRODUCT((INDEX(Timeline!$P$5:$AN$305,0,MATCH($A23,Timeline!$P$4:$AN$4,0))="x")*(Timeline!$K$5:$K$305="Task")*ISNUMBER(Timeline!$I$5:$I$305)*ISNUMBER(Timeline!$J$5:$J$305)*(Timeline!$I$5:$I$305&lt;=AQ$4+5)*(Timeline!$J$5:$J$305&gt;=AQ$4+5)),SUMPRODUCT((INDEX(Timeline!$P$5:$AN$305,0,MATCH($A23,Timeline!$P$4:$AN$4,0))="x")*(Timeline!$K$5:$K$305="Task")*ISNUMBER(Timeline!$I$5:$I$305)*ISNUMBER(Timeline!$J$5:$J$305)*(Timeline!$I$5:$I$305&lt;=AQ$4+6)*(Timeline!$J$5:$J$305&gt;=AQ$4+6)))</f>
        <v>0</v>
      </c>
      <c r="AR23" s="67">
        <f>MAX(SUMPRODUCT((INDEX(Timeline!$P$5:$AN$305,0,MATCH($A23,Timeline!$P$4:$AN$4,0))="x")*(Timeline!$K$5:$K$305="Task")*ISNUMBER(Timeline!$I$5:$I$305)*ISNUMBER(Timeline!$J$5:$J$305)*(Timeline!$I$5:$I$305&lt;=AR$4+0)*(Timeline!$J$5:$J$305&gt;=AR$4+0)),SUMPRODUCT((INDEX(Timeline!$P$5:$AN$305,0,MATCH($A23,Timeline!$P$4:$AN$4,0))="x")*(Timeline!$K$5:$K$305="Task")*ISNUMBER(Timeline!$I$5:$I$305)*ISNUMBER(Timeline!$J$5:$J$305)*(Timeline!$I$5:$I$305&lt;=AR$4+1)*(Timeline!$J$5:$J$305&gt;=AR$4+1)),SUMPRODUCT((INDEX(Timeline!$P$5:$AN$305,0,MATCH($A23,Timeline!$P$4:$AN$4,0))="x")*(Timeline!$K$5:$K$305="Task")*ISNUMBER(Timeline!$I$5:$I$305)*ISNUMBER(Timeline!$J$5:$J$305)*(Timeline!$I$5:$I$305&lt;=AR$4+2)*(Timeline!$J$5:$J$305&gt;=AR$4+2)),SUMPRODUCT((INDEX(Timeline!$P$5:$AN$305,0,MATCH($A23,Timeline!$P$4:$AN$4,0))="x")*(Timeline!$K$5:$K$305="Task")*ISNUMBER(Timeline!$I$5:$I$305)*ISNUMBER(Timeline!$J$5:$J$305)*(Timeline!$I$5:$I$305&lt;=AR$4+3)*(Timeline!$J$5:$J$305&gt;=AR$4+3)),SUMPRODUCT((INDEX(Timeline!$P$5:$AN$305,0,MATCH($A23,Timeline!$P$4:$AN$4,0))="x")*(Timeline!$K$5:$K$305="Task")*ISNUMBER(Timeline!$I$5:$I$305)*ISNUMBER(Timeline!$J$5:$J$305)*(Timeline!$I$5:$I$305&lt;=AR$4+4)*(Timeline!$J$5:$J$305&gt;=AR$4+4)),SUMPRODUCT((INDEX(Timeline!$P$5:$AN$305,0,MATCH($A23,Timeline!$P$4:$AN$4,0))="x")*(Timeline!$K$5:$K$305="Task")*ISNUMBER(Timeline!$I$5:$I$305)*ISNUMBER(Timeline!$J$5:$J$305)*(Timeline!$I$5:$I$305&lt;=AR$4+5)*(Timeline!$J$5:$J$305&gt;=AR$4+5)),SUMPRODUCT((INDEX(Timeline!$P$5:$AN$305,0,MATCH($A23,Timeline!$P$4:$AN$4,0))="x")*(Timeline!$K$5:$K$305="Task")*ISNUMBER(Timeline!$I$5:$I$305)*ISNUMBER(Timeline!$J$5:$J$305)*(Timeline!$I$5:$I$305&lt;=AR$4+6)*(Timeline!$J$5:$J$305&gt;=AR$4+6)))</f>
        <v>0</v>
      </c>
      <c r="AS23" s="67">
        <f>MAX(SUMPRODUCT((INDEX(Timeline!$P$5:$AN$305,0,MATCH($A23,Timeline!$P$4:$AN$4,0))="x")*(Timeline!$K$5:$K$305="Task")*ISNUMBER(Timeline!$I$5:$I$305)*ISNUMBER(Timeline!$J$5:$J$305)*(Timeline!$I$5:$I$305&lt;=AS$4+0)*(Timeline!$J$5:$J$305&gt;=AS$4+0)),SUMPRODUCT((INDEX(Timeline!$P$5:$AN$305,0,MATCH($A23,Timeline!$P$4:$AN$4,0))="x")*(Timeline!$K$5:$K$305="Task")*ISNUMBER(Timeline!$I$5:$I$305)*ISNUMBER(Timeline!$J$5:$J$305)*(Timeline!$I$5:$I$305&lt;=AS$4+1)*(Timeline!$J$5:$J$305&gt;=AS$4+1)),SUMPRODUCT((INDEX(Timeline!$P$5:$AN$305,0,MATCH($A23,Timeline!$P$4:$AN$4,0))="x")*(Timeline!$K$5:$K$305="Task")*ISNUMBER(Timeline!$I$5:$I$305)*ISNUMBER(Timeline!$J$5:$J$305)*(Timeline!$I$5:$I$305&lt;=AS$4+2)*(Timeline!$J$5:$J$305&gt;=AS$4+2)),SUMPRODUCT((INDEX(Timeline!$P$5:$AN$305,0,MATCH($A23,Timeline!$P$4:$AN$4,0))="x")*(Timeline!$K$5:$K$305="Task")*ISNUMBER(Timeline!$I$5:$I$305)*ISNUMBER(Timeline!$J$5:$J$305)*(Timeline!$I$5:$I$305&lt;=AS$4+3)*(Timeline!$J$5:$J$305&gt;=AS$4+3)),SUMPRODUCT((INDEX(Timeline!$P$5:$AN$305,0,MATCH($A23,Timeline!$P$4:$AN$4,0))="x")*(Timeline!$K$5:$K$305="Task")*ISNUMBER(Timeline!$I$5:$I$305)*ISNUMBER(Timeline!$J$5:$J$305)*(Timeline!$I$5:$I$305&lt;=AS$4+4)*(Timeline!$J$5:$J$305&gt;=AS$4+4)),SUMPRODUCT((INDEX(Timeline!$P$5:$AN$305,0,MATCH($A23,Timeline!$P$4:$AN$4,0))="x")*(Timeline!$K$5:$K$305="Task")*ISNUMBER(Timeline!$I$5:$I$305)*ISNUMBER(Timeline!$J$5:$J$305)*(Timeline!$I$5:$I$305&lt;=AS$4+5)*(Timeline!$J$5:$J$305&gt;=AS$4+5)),SUMPRODUCT((INDEX(Timeline!$P$5:$AN$305,0,MATCH($A23,Timeline!$P$4:$AN$4,0))="x")*(Timeline!$K$5:$K$305="Task")*ISNUMBER(Timeline!$I$5:$I$305)*ISNUMBER(Timeline!$J$5:$J$305)*(Timeline!$I$5:$I$305&lt;=AS$4+6)*(Timeline!$J$5:$J$305&gt;=AS$4+6)))</f>
        <v>0</v>
      </c>
      <c r="AT23" s="67">
        <f>MAX(SUMPRODUCT((INDEX(Timeline!$P$5:$AN$305,0,MATCH($A23,Timeline!$P$4:$AN$4,0))="x")*(Timeline!$K$5:$K$305="Task")*ISNUMBER(Timeline!$I$5:$I$305)*ISNUMBER(Timeline!$J$5:$J$305)*(Timeline!$I$5:$I$305&lt;=AT$4+0)*(Timeline!$J$5:$J$305&gt;=AT$4+0)),SUMPRODUCT((INDEX(Timeline!$P$5:$AN$305,0,MATCH($A23,Timeline!$P$4:$AN$4,0))="x")*(Timeline!$K$5:$K$305="Task")*ISNUMBER(Timeline!$I$5:$I$305)*ISNUMBER(Timeline!$J$5:$J$305)*(Timeline!$I$5:$I$305&lt;=AT$4+1)*(Timeline!$J$5:$J$305&gt;=AT$4+1)),SUMPRODUCT((INDEX(Timeline!$P$5:$AN$305,0,MATCH($A23,Timeline!$P$4:$AN$4,0))="x")*(Timeline!$K$5:$K$305="Task")*ISNUMBER(Timeline!$I$5:$I$305)*ISNUMBER(Timeline!$J$5:$J$305)*(Timeline!$I$5:$I$305&lt;=AT$4+2)*(Timeline!$J$5:$J$305&gt;=AT$4+2)),SUMPRODUCT((INDEX(Timeline!$P$5:$AN$305,0,MATCH($A23,Timeline!$P$4:$AN$4,0))="x")*(Timeline!$K$5:$K$305="Task")*ISNUMBER(Timeline!$I$5:$I$305)*ISNUMBER(Timeline!$J$5:$J$305)*(Timeline!$I$5:$I$305&lt;=AT$4+3)*(Timeline!$J$5:$J$305&gt;=AT$4+3)),SUMPRODUCT((INDEX(Timeline!$P$5:$AN$305,0,MATCH($A23,Timeline!$P$4:$AN$4,0))="x")*(Timeline!$K$5:$K$305="Task")*ISNUMBER(Timeline!$I$5:$I$305)*ISNUMBER(Timeline!$J$5:$J$305)*(Timeline!$I$5:$I$305&lt;=AT$4+4)*(Timeline!$J$5:$J$305&gt;=AT$4+4)),SUMPRODUCT((INDEX(Timeline!$P$5:$AN$305,0,MATCH($A23,Timeline!$P$4:$AN$4,0))="x")*(Timeline!$K$5:$K$305="Task")*ISNUMBER(Timeline!$I$5:$I$305)*ISNUMBER(Timeline!$J$5:$J$305)*(Timeline!$I$5:$I$305&lt;=AT$4+5)*(Timeline!$J$5:$J$305&gt;=AT$4+5)),SUMPRODUCT((INDEX(Timeline!$P$5:$AN$305,0,MATCH($A23,Timeline!$P$4:$AN$4,0))="x")*(Timeline!$K$5:$K$305="Task")*ISNUMBER(Timeline!$I$5:$I$305)*ISNUMBER(Timeline!$J$5:$J$305)*(Timeline!$I$5:$I$305&lt;=AT$4+6)*(Timeline!$J$5:$J$305&gt;=AT$4+6)))</f>
        <v>0</v>
      </c>
      <c r="AU23" s="67">
        <f>MAX(SUMPRODUCT((INDEX(Timeline!$P$5:$AN$305,0,MATCH($A23,Timeline!$P$4:$AN$4,0))="x")*(Timeline!$K$5:$K$305="Task")*ISNUMBER(Timeline!$I$5:$I$305)*ISNUMBER(Timeline!$J$5:$J$305)*(Timeline!$I$5:$I$305&lt;=AU$4+0)*(Timeline!$J$5:$J$305&gt;=AU$4+0)),SUMPRODUCT((INDEX(Timeline!$P$5:$AN$305,0,MATCH($A23,Timeline!$P$4:$AN$4,0))="x")*(Timeline!$K$5:$K$305="Task")*ISNUMBER(Timeline!$I$5:$I$305)*ISNUMBER(Timeline!$J$5:$J$305)*(Timeline!$I$5:$I$305&lt;=AU$4+1)*(Timeline!$J$5:$J$305&gt;=AU$4+1)),SUMPRODUCT((INDEX(Timeline!$P$5:$AN$305,0,MATCH($A23,Timeline!$P$4:$AN$4,0))="x")*(Timeline!$K$5:$K$305="Task")*ISNUMBER(Timeline!$I$5:$I$305)*ISNUMBER(Timeline!$J$5:$J$305)*(Timeline!$I$5:$I$305&lt;=AU$4+2)*(Timeline!$J$5:$J$305&gt;=AU$4+2)),SUMPRODUCT((INDEX(Timeline!$P$5:$AN$305,0,MATCH($A23,Timeline!$P$4:$AN$4,0))="x")*(Timeline!$K$5:$K$305="Task")*ISNUMBER(Timeline!$I$5:$I$305)*ISNUMBER(Timeline!$J$5:$J$305)*(Timeline!$I$5:$I$305&lt;=AU$4+3)*(Timeline!$J$5:$J$305&gt;=AU$4+3)),SUMPRODUCT((INDEX(Timeline!$P$5:$AN$305,0,MATCH($A23,Timeline!$P$4:$AN$4,0))="x")*(Timeline!$K$5:$K$305="Task")*ISNUMBER(Timeline!$I$5:$I$305)*ISNUMBER(Timeline!$J$5:$J$305)*(Timeline!$I$5:$I$305&lt;=AU$4+4)*(Timeline!$J$5:$J$305&gt;=AU$4+4)),SUMPRODUCT((INDEX(Timeline!$P$5:$AN$305,0,MATCH($A23,Timeline!$P$4:$AN$4,0))="x")*(Timeline!$K$5:$K$305="Task")*ISNUMBER(Timeline!$I$5:$I$305)*ISNUMBER(Timeline!$J$5:$J$305)*(Timeline!$I$5:$I$305&lt;=AU$4+5)*(Timeline!$J$5:$J$305&gt;=AU$4+5)),SUMPRODUCT((INDEX(Timeline!$P$5:$AN$305,0,MATCH($A23,Timeline!$P$4:$AN$4,0))="x")*(Timeline!$K$5:$K$305="Task")*ISNUMBER(Timeline!$I$5:$I$305)*ISNUMBER(Timeline!$J$5:$J$305)*(Timeline!$I$5:$I$305&lt;=AU$4+6)*(Timeline!$J$5:$J$305&gt;=AU$4+6)))</f>
        <v>0</v>
      </c>
      <c r="AV23" s="67">
        <f>MAX(SUMPRODUCT((INDEX(Timeline!$P$5:$AN$305,0,MATCH($A23,Timeline!$P$4:$AN$4,0))="x")*(Timeline!$K$5:$K$305="Task")*ISNUMBER(Timeline!$I$5:$I$305)*ISNUMBER(Timeline!$J$5:$J$305)*(Timeline!$I$5:$I$305&lt;=AV$4+0)*(Timeline!$J$5:$J$305&gt;=AV$4+0)),SUMPRODUCT((INDEX(Timeline!$P$5:$AN$305,0,MATCH($A23,Timeline!$P$4:$AN$4,0))="x")*(Timeline!$K$5:$K$305="Task")*ISNUMBER(Timeline!$I$5:$I$305)*ISNUMBER(Timeline!$J$5:$J$305)*(Timeline!$I$5:$I$305&lt;=AV$4+1)*(Timeline!$J$5:$J$305&gt;=AV$4+1)),SUMPRODUCT((INDEX(Timeline!$P$5:$AN$305,0,MATCH($A23,Timeline!$P$4:$AN$4,0))="x")*(Timeline!$K$5:$K$305="Task")*ISNUMBER(Timeline!$I$5:$I$305)*ISNUMBER(Timeline!$J$5:$J$305)*(Timeline!$I$5:$I$305&lt;=AV$4+2)*(Timeline!$J$5:$J$305&gt;=AV$4+2)),SUMPRODUCT((INDEX(Timeline!$P$5:$AN$305,0,MATCH($A23,Timeline!$P$4:$AN$4,0))="x")*(Timeline!$K$5:$K$305="Task")*ISNUMBER(Timeline!$I$5:$I$305)*ISNUMBER(Timeline!$J$5:$J$305)*(Timeline!$I$5:$I$305&lt;=AV$4+3)*(Timeline!$J$5:$J$305&gt;=AV$4+3)),SUMPRODUCT((INDEX(Timeline!$P$5:$AN$305,0,MATCH($A23,Timeline!$P$4:$AN$4,0))="x")*(Timeline!$K$5:$K$305="Task")*ISNUMBER(Timeline!$I$5:$I$305)*ISNUMBER(Timeline!$J$5:$J$305)*(Timeline!$I$5:$I$305&lt;=AV$4+4)*(Timeline!$J$5:$J$305&gt;=AV$4+4)),SUMPRODUCT((INDEX(Timeline!$P$5:$AN$305,0,MATCH($A23,Timeline!$P$4:$AN$4,0))="x")*(Timeline!$K$5:$K$305="Task")*ISNUMBER(Timeline!$I$5:$I$305)*ISNUMBER(Timeline!$J$5:$J$305)*(Timeline!$I$5:$I$305&lt;=AV$4+5)*(Timeline!$J$5:$J$305&gt;=AV$4+5)),SUMPRODUCT((INDEX(Timeline!$P$5:$AN$305,0,MATCH($A23,Timeline!$P$4:$AN$4,0))="x")*(Timeline!$K$5:$K$305="Task")*ISNUMBER(Timeline!$I$5:$I$305)*ISNUMBER(Timeline!$J$5:$J$305)*(Timeline!$I$5:$I$305&lt;=AV$4+6)*(Timeline!$J$5:$J$305&gt;=AV$4+6)))</f>
        <v>0</v>
      </c>
      <c r="AW23" s="67">
        <f>MAX(SUMPRODUCT((INDEX(Timeline!$P$5:$AN$305,0,MATCH($A23,Timeline!$P$4:$AN$4,0))="x")*(Timeline!$K$5:$K$305="Task")*ISNUMBER(Timeline!$I$5:$I$305)*ISNUMBER(Timeline!$J$5:$J$305)*(Timeline!$I$5:$I$305&lt;=AW$4+0)*(Timeline!$J$5:$J$305&gt;=AW$4+0)),SUMPRODUCT((INDEX(Timeline!$P$5:$AN$305,0,MATCH($A23,Timeline!$P$4:$AN$4,0))="x")*(Timeline!$K$5:$K$305="Task")*ISNUMBER(Timeline!$I$5:$I$305)*ISNUMBER(Timeline!$J$5:$J$305)*(Timeline!$I$5:$I$305&lt;=AW$4+1)*(Timeline!$J$5:$J$305&gt;=AW$4+1)),SUMPRODUCT((INDEX(Timeline!$P$5:$AN$305,0,MATCH($A23,Timeline!$P$4:$AN$4,0))="x")*(Timeline!$K$5:$K$305="Task")*ISNUMBER(Timeline!$I$5:$I$305)*ISNUMBER(Timeline!$J$5:$J$305)*(Timeline!$I$5:$I$305&lt;=AW$4+2)*(Timeline!$J$5:$J$305&gt;=AW$4+2)),SUMPRODUCT((INDEX(Timeline!$P$5:$AN$305,0,MATCH($A23,Timeline!$P$4:$AN$4,0))="x")*(Timeline!$K$5:$K$305="Task")*ISNUMBER(Timeline!$I$5:$I$305)*ISNUMBER(Timeline!$J$5:$J$305)*(Timeline!$I$5:$I$305&lt;=AW$4+3)*(Timeline!$J$5:$J$305&gt;=AW$4+3)),SUMPRODUCT((INDEX(Timeline!$P$5:$AN$305,0,MATCH($A23,Timeline!$P$4:$AN$4,0))="x")*(Timeline!$K$5:$K$305="Task")*ISNUMBER(Timeline!$I$5:$I$305)*ISNUMBER(Timeline!$J$5:$J$305)*(Timeline!$I$5:$I$305&lt;=AW$4+4)*(Timeline!$J$5:$J$305&gt;=AW$4+4)),SUMPRODUCT((INDEX(Timeline!$P$5:$AN$305,0,MATCH($A23,Timeline!$P$4:$AN$4,0))="x")*(Timeline!$K$5:$K$305="Task")*ISNUMBER(Timeline!$I$5:$I$305)*ISNUMBER(Timeline!$J$5:$J$305)*(Timeline!$I$5:$I$305&lt;=AW$4+5)*(Timeline!$J$5:$J$305&gt;=AW$4+5)),SUMPRODUCT((INDEX(Timeline!$P$5:$AN$305,0,MATCH($A23,Timeline!$P$4:$AN$4,0))="x")*(Timeline!$K$5:$K$305="Task")*ISNUMBER(Timeline!$I$5:$I$305)*ISNUMBER(Timeline!$J$5:$J$305)*(Timeline!$I$5:$I$305&lt;=AW$4+6)*(Timeline!$J$5:$J$305&gt;=AW$4+6)))</f>
        <v>0</v>
      </c>
      <c r="AX23" s="67">
        <f>MAX(SUMPRODUCT((INDEX(Timeline!$P$5:$AN$305,0,MATCH($A23,Timeline!$P$4:$AN$4,0))="x")*(Timeline!$K$5:$K$305="Task")*ISNUMBER(Timeline!$I$5:$I$305)*ISNUMBER(Timeline!$J$5:$J$305)*(Timeline!$I$5:$I$305&lt;=AX$4+0)*(Timeline!$J$5:$J$305&gt;=AX$4+0)),SUMPRODUCT((INDEX(Timeline!$P$5:$AN$305,0,MATCH($A23,Timeline!$P$4:$AN$4,0))="x")*(Timeline!$K$5:$K$305="Task")*ISNUMBER(Timeline!$I$5:$I$305)*ISNUMBER(Timeline!$J$5:$J$305)*(Timeline!$I$5:$I$305&lt;=AX$4+1)*(Timeline!$J$5:$J$305&gt;=AX$4+1)),SUMPRODUCT((INDEX(Timeline!$P$5:$AN$305,0,MATCH($A23,Timeline!$P$4:$AN$4,0))="x")*(Timeline!$K$5:$K$305="Task")*ISNUMBER(Timeline!$I$5:$I$305)*ISNUMBER(Timeline!$J$5:$J$305)*(Timeline!$I$5:$I$305&lt;=AX$4+2)*(Timeline!$J$5:$J$305&gt;=AX$4+2)),SUMPRODUCT((INDEX(Timeline!$P$5:$AN$305,0,MATCH($A23,Timeline!$P$4:$AN$4,0))="x")*(Timeline!$K$5:$K$305="Task")*ISNUMBER(Timeline!$I$5:$I$305)*ISNUMBER(Timeline!$J$5:$J$305)*(Timeline!$I$5:$I$305&lt;=AX$4+3)*(Timeline!$J$5:$J$305&gt;=AX$4+3)),SUMPRODUCT((INDEX(Timeline!$P$5:$AN$305,0,MATCH($A23,Timeline!$P$4:$AN$4,0))="x")*(Timeline!$K$5:$K$305="Task")*ISNUMBER(Timeline!$I$5:$I$305)*ISNUMBER(Timeline!$J$5:$J$305)*(Timeline!$I$5:$I$305&lt;=AX$4+4)*(Timeline!$J$5:$J$305&gt;=AX$4+4)),SUMPRODUCT((INDEX(Timeline!$P$5:$AN$305,0,MATCH($A23,Timeline!$P$4:$AN$4,0))="x")*(Timeline!$K$5:$K$305="Task")*ISNUMBER(Timeline!$I$5:$I$305)*ISNUMBER(Timeline!$J$5:$J$305)*(Timeline!$I$5:$I$305&lt;=AX$4+5)*(Timeline!$J$5:$J$305&gt;=AX$4+5)),SUMPRODUCT((INDEX(Timeline!$P$5:$AN$305,0,MATCH($A23,Timeline!$P$4:$AN$4,0))="x")*(Timeline!$K$5:$K$305="Task")*ISNUMBER(Timeline!$I$5:$I$305)*ISNUMBER(Timeline!$J$5:$J$305)*(Timeline!$I$5:$I$305&lt;=AX$4+6)*(Timeline!$J$5:$J$305&gt;=AX$4+6)))</f>
        <v>0</v>
      </c>
      <c r="AY23" s="67">
        <f>MAX(SUMPRODUCT((INDEX(Timeline!$P$5:$AN$305,0,MATCH($A23,Timeline!$P$4:$AN$4,0))="x")*(Timeline!$K$5:$K$305="Task")*ISNUMBER(Timeline!$I$5:$I$305)*ISNUMBER(Timeline!$J$5:$J$305)*(Timeline!$I$5:$I$305&lt;=AY$4+0)*(Timeline!$J$5:$J$305&gt;=AY$4+0)),SUMPRODUCT((INDEX(Timeline!$P$5:$AN$305,0,MATCH($A23,Timeline!$P$4:$AN$4,0))="x")*(Timeline!$K$5:$K$305="Task")*ISNUMBER(Timeline!$I$5:$I$305)*ISNUMBER(Timeline!$J$5:$J$305)*(Timeline!$I$5:$I$305&lt;=AY$4+1)*(Timeline!$J$5:$J$305&gt;=AY$4+1)),SUMPRODUCT((INDEX(Timeline!$P$5:$AN$305,0,MATCH($A23,Timeline!$P$4:$AN$4,0))="x")*(Timeline!$K$5:$K$305="Task")*ISNUMBER(Timeline!$I$5:$I$305)*ISNUMBER(Timeline!$J$5:$J$305)*(Timeline!$I$5:$I$305&lt;=AY$4+2)*(Timeline!$J$5:$J$305&gt;=AY$4+2)),SUMPRODUCT((INDEX(Timeline!$P$5:$AN$305,0,MATCH($A23,Timeline!$P$4:$AN$4,0))="x")*(Timeline!$K$5:$K$305="Task")*ISNUMBER(Timeline!$I$5:$I$305)*ISNUMBER(Timeline!$J$5:$J$305)*(Timeline!$I$5:$I$305&lt;=AY$4+3)*(Timeline!$J$5:$J$305&gt;=AY$4+3)),SUMPRODUCT((INDEX(Timeline!$P$5:$AN$305,0,MATCH($A23,Timeline!$P$4:$AN$4,0))="x")*(Timeline!$K$5:$K$305="Task")*ISNUMBER(Timeline!$I$5:$I$305)*ISNUMBER(Timeline!$J$5:$J$305)*(Timeline!$I$5:$I$305&lt;=AY$4+4)*(Timeline!$J$5:$J$305&gt;=AY$4+4)),SUMPRODUCT((INDEX(Timeline!$P$5:$AN$305,0,MATCH($A23,Timeline!$P$4:$AN$4,0))="x")*(Timeline!$K$5:$K$305="Task")*ISNUMBER(Timeline!$I$5:$I$305)*ISNUMBER(Timeline!$J$5:$J$305)*(Timeline!$I$5:$I$305&lt;=AY$4+5)*(Timeline!$J$5:$J$305&gt;=AY$4+5)),SUMPRODUCT((INDEX(Timeline!$P$5:$AN$305,0,MATCH($A23,Timeline!$P$4:$AN$4,0))="x")*(Timeline!$K$5:$K$305="Task")*ISNUMBER(Timeline!$I$5:$I$305)*ISNUMBER(Timeline!$J$5:$J$305)*(Timeline!$I$5:$I$305&lt;=AY$4+6)*(Timeline!$J$5:$J$305&gt;=AY$4+6)))</f>
        <v>0</v>
      </c>
      <c r="AZ23" s="67">
        <f>MAX(SUMPRODUCT((INDEX(Timeline!$P$5:$AN$305,0,MATCH($A23,Timeline!$P$4:$AN$4,0))="x")*(Timeline!$K$5:$K$305="Task")*ISNUMBER(Timeline!$I$5:$I$305)*ISNUMBER(Timeline!$J$5:$J$305)*(Timeline!$I$5:$I$305&lt;=AZ$4+0)*(Timeline!$J$5:$J$305&gt;=AZ$4+0)),SUMPRODUCT((INDEX(Timeline!$P$5:$AN$305,0,MATCH($A23,Timeline!$P$4:$AN$4,0))="x")*(Timeline!$K$5:$K$305="Task")*ISNUMBER(Timeline!$I$5:$I$305)*ISNUMBER(Timeline!$J$5:$J$305)*(Timeline!$I$5:$I$305&lt;=AZ$4+1)*(Timeline!$J$5:$J$305&gt;=AZ$4+1)),SUMPRODUCT((INDEX(Timeline!$P$5:$AN$305,0,MATCH($A23,Timeline!$P$4:$AN$4,0))="x")*(Timeline!$K$5:$K$305="Task")*ISNUMBER(Timeline!$I$5:$I$305)*ISNUMBER(Timeline!$J$5:$J$305)*(Timeline!$I$5:$I$305&lt;=AZ$4+2)*(Timeline!$J$5:$J$305&gt;=AZ$4+2)),SUMPRODUCT((INDEX(Timeline!$P$5:$AN$305,0,MATCH($A23,Timeline!$P$4:$AN$4,0))="x")*(Timeline!$K$5:$K$305="Task")*ISNUMBER(Timeline!$I$5:$I$305)*ISNUMBER(Timeline!$J$5:$J$305)*(Timeline!$I$5:$I$305&lt;=AZ$4+3)*(Timeline!$J$5:$J$305&gt;=AZ$4+3)),SUMPRODUCT((INDEX(Timeline!$P$5:$AN$305,0,MATCH($A23,Timeline!$P$4:$AN$4,0))="x")*(Timeline!$K$5:$K$305="Task")*ISNUMBER(Timeline!$I$5:$I$305)*ISNUMBER(Timeline!$J$5:$J$305)*(Timeline!$I$5:$I$305&lt;=AZ$4+4)*(Timeline!$J$5:$J$305&gt;=AZ$4+4)),SUMPRODUCT((INDEX(Timeline!$P$5:$AN$305,0,MATCH($A23,Timeline!$P$4:$AN$4,0))="x")*(Timeline!$K$5:$K$305="Task")*ISNUMBER(Timeline!$I$5:$I$305)*ISNUMBER(Timeline!$J$5:$J$305)*(Timeline!$I$5:$I$305&lt;=AZ$4+5)*(Timeline!$J$5:$J$305&gt;=AZ$4+5)),SUMPRODUCT((INDEX(Timeline!$P$5:$AN$305,0,MATCH($A23,Timeline!$P$4:$AN$4,0))="x")*(Timeline!$K$5:$K$305="Task")*ISNUMBER(Timeline!$I$5:$I$305)*ISNUMBER(Timeline!$J$5:$J$305)*(Timeline!$I$5:$I$305&lt;=AZ$4+6)*(Timeline!$J$5:$J$305&gt;=AZ$4+6)))</f>
        <v>0</v>
      </c>
      <c r="BA23" s="67">
        <f>MAX(SUMPRODUCT((INDEX(Timeline!$P$5:$AN$305,0,MATCH($A23,Timeline!$P$4:$AN$4,0))="x")*(Timeline!$K$5:$K$305="Task")*ISNUMBER(Timeline!$I$5:$I$305)*ISNUMBER(Timeline!$J$5:$J$305)*(Timeline!$I$5:$I$305&lt;=BA$4+0)*(Timeline!$J$5:$J$305&gt;=BA$4+0)),SUMPRODUCT((INDEX(Timeline!$P$5:$AN$305,0,MATCH($A23,Timeline!$P$4:$AN$4,0))="x")*(Timeline!$K$5:$K$305="Task")*ISNUMBER(Timeline!$I$5:$I$305)*ISNUMBER(Timeline!$J$5:$J$305)*(Timeline!$I$5:$I$305&lt;=BA$4+1)*(Timeline!$J$5:$J$305&gt;=BA$4+1)),SUMPRODUCT((INDEX(Timeline!$P$5:$AN$305,0,MATCH($A23,Timeline!$P$4:$AN$4,0))="x")*(Timeline!$K$5:$K$305="Task")*ISNUMBER(Timeline!$I$5:$I$305)*ISNUMBER(Timeline!$J$5:$J$305)*(Timeline!$I$5:$I$305&lt;=BA$4+2)*(Timeline!$J$5:$J$305&gt;=BA$4+2)),SUMPRODUCT((INDEX(Timeline!$P$5:$AN$305,0,MATCH($A23,Timeline!$P$4:$AN$4,0))="x")*(Timeline!$K$5:$K$305="Task")*ISNUMBER(Timeline!$I$5:$I$305)*ISNUMBER(Timeline!$J$5:$J$305)*(Timeline!$I$5:$I$305&lt;=BA$4+3)*(Timeline!$J$5:$J$305&gt;=BA$4+3)),SUMPRODUCT((INDEX(Timeline!$P$5:$AN$305,0,MATCH($A23,Timeline!$P$4:$AN$4,0))="x")*(Timeline!$K$5:$K$305="Task")*ISNUMBER(Timeline!$I$5:$I$305)*ISNUMBER(Timeline!$J$5:$J$305)*(Timeline!$I$5:$I$305&lt;=BA$4+4)*(Timeline!$J$5:$J$305&gt;=BA$4+4)),SUMPRODUCT((INDEX(Timeline!$P$5:$AN$305,0,MATCH($A23,Timeline!$P$4:$AN$4,0))="x")*(Timeline!$K$5:$K$305="Task")*ISNUMBER(Timeline!$I$5:$I$305)*ISNUMBER(Timeline!$J$5:$J$305)*(Timeline!$I$5:$I$305&lt;=BA$4+5)*(Timeline!$J$5:$J$305&gt;=BA$4+5)),SUMPRODUCT((INDEX(Timeline!$P$5:$AN$305,0,MATCH($A23,Timeline!$P$4:$AN$4,0))="x")*(Timeline!$K$5:$K$305="Task")*ISNUMBER(Timeline!$I$5:$I$305)*ISNUMBER(Timeline!$J$5:$J$305)*(Timeline!$I$5:$I$305&lt;=BA$4+6)*(Timeline!$J$5:$J$305&gt;=BA$4+6)))</f>
        <v>0</v>
      </c>
    </row>
    <row r="24" spans="1:53" ht="15" customHeight="1">
      <c r="A24" s="66" t="s">
        <v>55</v>
      </c>
      <c r="B24" s="66" t="s">
        <v>19</v>
      </c>
      <c r="C24" s="67">
        <f>MAX(SUMPRODUCT((INDEX(Timeline!$P$5:$AN$305,0,MATCH($A24,Timeline!$P$4:$AN$4,0))="x")*(Timeline!$K$5:$K$305="Task")*ISNUMBER(Timeline!$I$5:$I$305)*ISNUMBER(Timeline!$J$5:$J$305)*(Timeline!$I$5:$I$305&lt;=C$4+0)*(Timeline!$J$5:$J$305&gt;=C$4+0)),SUMPRODUCT((INDEX(Timeline!$P$5:$AN$305,0,MATCH($A24,Timeline!$P$4:$AN$4,0))="x")*(Timeline!$K$5:$K$305="Task")*ISNUMBER(Timeline!$I$5:$I$305)*ISNUMBER(Timeline!$J$5:$J$305)*(Timeline!$I$5:$I$305&lt;=C$4+1)*(Timeline!$J$5:$J$305&gt;=C$4+1)),SUMPRODUCT((INDEX(Timeline!$P$5:$AN$305,0,MATCH($A24,Timeline!$P$4:$AN$4,0))="x")*(Timeline!$K$5:$K$305="Task")*ISNUMBER(Timeline!$I$5:$I$305)*ISNUMBER(Timeline!$J$5:$J$305)*(Timeline!$I$5:$I$305&lt;=C$4+2)*(Timeline!$J$5:$J$305&gt;=C$4+2)),SUMPRODUCT((INDEX(Timeline!$P$5:$AN$305,0,MATCH($A24,Timeline!$P$4:$AN$4,0))="x")*(Timeline!$K$5:$K$305="Task")*ISNUMBER(Timeline!$I$5:$I$305)*ISNUMBER(Timeline!$J$5:$J$305)*(Timeline!$I$5:$I$305&lt;=C$4+3)*(Timeline!$J$5:$J$305&gt;=C$4+3)),SUMPRODUCT((INDEX(Timeline!$P$5:$AN$305,0,MATCH($A24,Timeline!$P$4:$AN$4,0))="x")*(Timeline!$K$5:$K$305="Task")*ISNUMBER(Timeline!$I$5:$I$305)*ISNUMBER(Timeline!$J$5:$J$305)*(Timeline!$I$5:$I$305&lt;=C$4+4)*(Timeline!$J$5:$J$305&gt;=C$4+4)),SUMPRODUCT((INDEX(Timeline!$P$5:$AN$305,0,MATCH($A24,Timeline!$P$4:$AN$4,0))="x")*(Timeline!$K$5:$K$305="Task")*ISNUMBER(Timeline!$I$5:$I$305)*ISNUMBER(Timeline!$J$5:$J$305)*(Timeline!$I$5:$I$305&lt;=C$4+5)*(Timeline!$J$5:$J$305&gt;=C$4+5)),SUMPRODUCT((INDEX(Timeline!$P$5:$AN$305,0,MATCH($A24,Timeline!$P$4:$AN$4,0))="x")*(Timeline!$K$5:$K$305="Task")*ISNUMBER(Timeline!$I$5:$I$305)*ISNUMBER(Timeline!$J$5:$J$305)*(Timeline!$I$5:$I$305&lt;=C$4+6)*(Timeline!$J$5:$J$305&gt;=C$4+6)))</f>
        <v>0</v>
      </c>
      <c r="D24" s="67">
        <f>MAX(SUMPRODUCT((INDEX(Timeline!$P$5:$AN$305,0,MATCH($A24,Timeline!$P$4:$AN$4,0))="x")*(Timeline!$K$5:$K$305="Task")*ISNUMBER(Timeline!$I$5:$I$305)*ISNUMBER(Timeline!$J$5:$J$305)*(Timeline!$I$5:$I$305&lt;=D$4+0)*(Timeline!$J$5:$J$305&gt;=D$4+0)),SUMPRODUCT((INDEX(Timeline!$P$5:$AN$305,0,MATCH($A24,Timeline!$P$4:$AN$4,0))="x")*(Timeline!$K$5:$K$305="Task")*ISNUMBER(Timeline!$I$5:$I$305)*ISNUMBER(Timeline!$J$5:$J$305)*(Timeline!$I$5:$I$305&lt;=D$4+1)*(Timeline!$J$5:$J$305&gt;=D$4+1)),SUMPRODUCT((INDEX(Timeline!$P$5:$AN$305,0,MATCH($A24,Timeline!$P$4:$AN$4,0))="x")*(Timeline!$K$5:$K$305="Task")*ISNUMBER(Timeline!$I$5:$I$305)*ISNUMBER(Timeline!$J$5:$J$305)*(Timeline!$I$5:$I$305&lt;=D$4+2)*(Timeline!$J$5:$J$305&gt;=D$4+2)),SUMPRODUCT((INDEX(Timeline!$P$5:$AN$305,0,MATCH($A24,Timeline!$P$4:$AN$4,0))="x")*(Timeline!$K$5:$K$305="Task")*ISNUMBER(Timeline!$I$5:$I$305)*ISNUMBER(Timeline!$J$5:$J$305)*(Timeline!$I$5:$I$305&lt;=D$4+3)*(Timeline!$J$5:$J$305&gt;=D$4+3)),SUMPRODUCT((INDEX(Timeline!$P$5:$AN$305,0,MATCH($A24,Timeline!$P$4:$AN$4,0))="x")*(Timeline!$K$5:$K$305="Task")*ISNUMBER(Timeline!$I$5:$I$305)*ISNUMBER(Timeline!$J$5:$J$305)*(Timeline!$I$5:$I$305&lt;=D$4+4)*(Timeline!$J$5:$J$305&gt;=D$4+4)),SUMPRODUCT((INDEX(Timeline!$P$5:$AN$305,0,MATCH($A24,Timeline!$P$4:$AN$4,0))="x")*(Timeline!$K$5:$K$305="Task")*ISNUMBER(Timeline!$I$5:$I$305)*ISNUMBER(Timeline!$J$5:$J$305)*(Timeline!$I$5:$I$305&lt;=D$4+5)*(Timeline!$J$5:$J$305&gt;=D$4+5)),SUMPRODUCT((INDEX(Timeline!$P$5:$AN$305,0,MATCH($A24,Timeline!$P$4:$AN$4,0))="x")*(Timeline!$K$5:$K$305="Task")*ISNUMBER(Timeline!$I$5:$I$305)*ISNUMBER(Timeline!$J$5:$J$305)*(Timeline!$I$5:$I$305&lt;=D$4+6)*(Timeline!$J$5:$J$305&gt;=D$4+6)))</f>
        <v>0</v>
      </c>
      <c r="E24" s="67">
        <f>MAX(SUMPRODUCT((INDEX(Timeline!$P$5:$AN$305,0,MATCH($A24,Timeline!$P$4:$AN$4,0))="x")*(Timeline!$K$5:$K$305="Task")*ISNUMBER(Timeline!$I$5:$I$305)*ISNUMBER(Timeline!$J$5:$J$305)*(Timeline!$I$5:$I$305&lt;=E$4+0)*(Timeline!$J$5:$J$305&gt;=E$4+0)),SUMPRODUCT((INDEX(Timeline!$P$5:$AN$305,0,MATCH($A24,Timeline!$P$4:$AN$4,0))="x")*(Timeline!$K$5:$K$305="Task")*ISNUMBER(Timeline!$I$5:$I$305)*ISNUMBER(Timeline!$J$5:$J$305)*(Timeline!$I$5:$I$305&lt;=E$4+1)*(Timeline!$J$5:$J$305&gt;=E$4+1)),SUMPRODUCT((INDEX(Timeline!$P$5:$AN$305,0,MATCH($A24,Timeline!$P$4:$AN$4,0))="x")*(Timeline!$K$5:$K$305="Task")*ISNUMBER(Timeline!$I$5:$I$305)*ISNUMBER(Timeline!$J$5:$J$305)*(Timeline!$I$5:$I$305&lt;=E$4+2)*(Timeline!$J$5:$J$305&gt;=E$4+2)),SUMPRODUCT((INDEX(Timeline!$P$5:$AN$305,0,MATCH($A24,Timeline!$P$4:$AN$4,0))="x")*(Timeline!$K$5:$K$305="Task")*ISNUMBER(Timeline!$I$5:$I$305)*ISNUMBER(Timeline!$J$5:$J$305)*(Timeline!$I$5:$I$305&lt;=E$4+3)*(Timeline!$J$5:$J$305&gt;=E$4+3)),SUMPRODUCT((INDEX(Timeline!$P$5:$AN$305,0,MATCH($A24,Timeline!$P$4:$AN$4,0))="x")*(Timeline!$K$5:$K$305="Task")*ISNUMBER(Timeline!$I$5:$I$305)*ISNUMBER(Timeline!$J$5:$J$305)*(Timeline!$I$5:$I$305&lt;=E$4+4)*(Timeline!$J$5:$J$305&gt;=E$4+4)),SUMPRODUCT((INDEX(Timeline!$P$5:$AN$305,0,MATCH($A24,Timeline!$P$4:$AN$4,0))="x")*(Timeline!$K$5:$K$305="Task")*ISNUMBER(Timeline!$I$5:$I$305)*ISNUMBER(Timeline!$J$5:$J$305)*(Timeline!$I$5:$I$305&lt;=E$4+5)*(Timeline!$J$5:$J$305&gt;=E$4+5)),SUMPRODUCT((INDEX(Timeline!$P$5:$AN$305,0,MATCH($A24,Timeline!$P$4:$AN$4,0))="x")*(Timeline!$K$5:$K$305="Task")*ISNUMBER(Timeline!$I$5:$I$305)*ISNUMBER(Timeline!$J$5:$J$305)*(Timeline!$I$5:$I$305&lt;=E$4+6)*(Timeline!$J$5:$J$305&gt;=E$4+6)))</f>
        <v>0</v>
      </c>
      <c r="F24" s="67">
        <f>MAX(SUMPRODUCT((INDEX(Timeline!$P$5:$AN$305,0,MATCH($A24,Timeline!$P$4:$AN$4,0))="x")*(Timeline!$K$5:$K$305="Task")*ISNUMBER(Timeline!$I$5:$I$305)*ISNUMBER(Timeline!$J$5:$J$305)*(Timeline!$I$5:$I$305&lt;=F$4+0)*(Timeline!$J$5:$J$305&gt;=F$4+0)),SUMPRODUCT((INDEX(Timeline!$P$5:$AN$305,0,MATCH($A24,Timeline!$P$4:$AN$4,0))="x")*(Timeline!$K$5:$K$305="Task")*ISNUMBER(Timeline!$I$5:$I$305)*ISNUMBER(Timeline!$J$5:$J$305)*(Timeline!$I$5:$I$305&lt;=F$4+1)*(Timeline!$J$5:$J$305&gt;=F$4+1)),SUMPRODUCT((INDEX(Timeline!$P$5:$AN$305,0,MATCH($A24,Timeline!$P$4:$AN$4,0))="x")*(Timeline!$K$5:$K$305="Task")*ISNUMBER(Timeline!$I$5:$I$305)*ISNUMBER(Timeline!$J$5:$J$305)*(Timeline!$I$5:$I$305&lt;=F$4+2)*(Timeline!$J$5:$J$305&gt;=F$4+2)),SUMPRODUCT((INDEX(Timeline!$P$5:$AN$305,0,MATCH($A24,Timeline!$P$4:$AN$4,0))="x")*(Timeline!$K$5:$K$305="Task")*ISNUMBER(Timeline!$I$5:$I$305)*ISNUMBER(Timeline!$J$5:$J$305)*(Timeline!$I$5:$I$305&lt;=F$4+3)*(Timeline!$J$5:$J$305&gt;=F$4+3)),SUMPRODUCT((INDEX(Timeline!$P$5:$AN$305,0,MATCH($A24,Timeline!$P$4:$AN$4,0))="x")*(Timeline!$K$5:$K$305="Task")*ISNUMBER(Timeline!$I$5:$I$305)*ISNUMBER(Timeline!$J$5:$J$305)*(Timeline!$I$5:$I$305&lt;=F$4+4)*(Timeline!$J$5:$J$305&gt;=F$4+4)),SUMPRODUCT((INDEX(Timeline!$P$5:$AN$305,0,MATCH($A24,Timeline!$P$4:$AN$4,0))="x")*(Timeline!$K$5:$K$305="Task")*ISNUMBER(Timeline!$I$5:$I$305)*ISNUMBER(Timeline!$J$5:$J$305)*(Timeline!$I$5:$I$305&lt;=F$4+5)*(Timeline!$J$5:$J$305&gt;=F$4+5)),SUMPRODUCT((INDEX(Timeline!$P$5:$AN$305,0,MATCH($A24,Timeline!$P$4:$AN$4,0))="x")*(Timeline!$K$5:$K$305="Task")*ISNUMBER(Timeline!$I$5:$I$305)*ISNUMBER(Timeline!$J$5:$J$305)*(Timeline!$I$5:$I$305&lt;=F$4+6)*(Timeline!$J$5:$J$305&gt;=F$4+6)))</f>
        <v>0</v>
      </c>
      <c r="G24" s="67">
        <f>MAX(SUMPRODUCT((INDEX(Timeline!$P$5:$AN$305,0,MATCH($A24,Timeline!$P$4:$AN$4,0))="x")*(Timeline!$K$5:$K$305="Task")*ISNUMBER(Timeline!$I$5:$I$305)*ISNUMBER(Timeline!$J$5:$J$305)*(Timeline!$I$5:$I$305&lt;=G$4+0)*(Timeline!$J$5:$J$305&gt;=G$4+0)),SUMPRODUCT((INDEX(Timeline!$P$5:$AN$305,0,MATCH($A24,Timeline!$P$4:$AN$4,0))="x")*(Timeline!$K$5:$K$305="Task")*ISNUMBER(Timeline!$I$5:$I$305)*ISNUMBER(Timeline!$J$5:$J$305)*(Timeline!$I$5:$I$305&lt;=G$4+1)*(Timeline!$J$5:$J$305&gt;=G$4+1)),SUMPRODUCT((INDEX(Timeline!$P$5:$AN$305,0,MATCH($A24,Timeline!$P$4:$AN$4,0))="x")*(Timeline!$K$5:$K$305="Task")*ISNUMBER(Timeline!$I$5:$I$305)*ISNUMBER(Timeline!$J$5:$J$305)*(Timeline!$I$5:$I$305&lt;=G$4+2)*(Timeline!$J$5:$J$305&gt;=G$4+2)),SUMPRODUCT((INDEX(Timeline!$P$5:$AN$305,0,MATCH($A24,Timeline!$P$4:$AN$4,0))="x")*(Timeline!$K$5:$K$305="Task")*ISNUMBER(Timeline!$I$5:$I$305)*ISNUMBER(Timeline!$J$5:$J$305)*(Timeline!$I$5:$I$305&lt;=G$4+3)*(Timeline!$J$5:$J$305&gt;=G$4+3)),SUMPRODUCT((INDEX(Timeline!$P$5:$AN$305,0,MATCH($A24,Timeline!$P$4:$AN$4,0))="x")*(Timeline!$K$5:$K$305="Task")*ISNUMBER(Timeline!$I$5:$I$305)*ISNUMBER(Timeline!$J$5:$J$305)*(Timeline!$I$5:$I$305&lt;=G$4+4)*(Timeline!$J$5:$J$305&gt;=G$4+4)),SUMPRODUCT((INDEX(Timeline!$P$5:$AN$305,0,MATCH($A24,Timeline!$P$4:$AN$4,0))="x")*(Timeline!$K$5:$K$305="Task")*ISNUMBER(Timeline!$I$5:$I$305)*ISNUMBER(Timeline!$J$5:$J$305)*(Timeline!$I$5:$I$305&lt;=G$4+5)*(Timeline!$J$5:$J$305&gt;=G$4+5)),SUMPRODUCT((INDEX(Timeline!$P$5:$AN$305,0,MATCH($A24,Timeline!$P$4:$AN$4,0))="x")*(Timeline!$K$5:$K$305="Task")*ISNUMBER(Timeline!$I$5:$I$305)*ISNUMBER(Timeline!$J$5:$J$305)*(Timeline!$I$5:$I$305&lt;=G$4+6)*(Timeline!$J$5:$J$305&gt;=G$4+6)))</f>
        <v>1</v>
      </c>
      <c r="H24" s="67">
        <f>MAX(SUMPRODUCT((INDEX(Timeline!$P$5:$AN$305,0,MATCH($A24,Timeline!$P$4:$AN$4,0))="x")*(Timeline!$K$5:$K$305="Task")*ISNUMBER(Timeline!$I$5:$I$305)*ISNUMBER(Timeline!$J$5:$J$305)*(Timeline!$I$5:$I$305&lt;=H$4+0)*(Timeline!$J$5:$J$305&gt;=H$4+0)),SUMPRODUCT((INDEX(Timeline!$P$5:$AN$305,0,MATCH($A24,Timeline!$P$4:$AN$4,0))="x")*(Timeline!$K$5:$K$305="Task")*ISNUMBER(Timeline!$I$5:$I$305)*ISNUMBER(Timeline!$J$5:$J$305)*(Timeline!$I$5:$I$305&lt;=H$4+1)*(Timeline!$J$5:$J$305&gt;=H$4+1)),SUMPRODUCT((INDEX(Timeline!$P$5:$AN$305,0,MATCH($A24,Timeline!$P$4:$AN$4,0))="x")*(Timeline!$K$5:$K$305="Task")*ISNUMBER(Timeline!$I$5:$I$305)*ISNUMBER(Timeline!$J$5:$J$305)*(Timeline!$I$5:$I$305&lt;=H$4+2)*(Timeline!$J$5:$J$305&gt;=H$4+2)),SUMPRODUCT((INDEX(Timeline!$P$5:$AN$305,0,MATCH($A24,Timeline!$P$4:$AN$4,0))="x")*(Timeline!$K$5:$K$305="Task")*ISNUMBER(Timeline!$I$5:$I$305)*ISNUMBER(Timeline!$J$5:$J$305)*(Timeline!$I$5:$I$305&lt;=H$4+3)*(Timeline!$J$5:$J$305&gt;=H$4+3)),SUMPRODUCT((INDEX(Timeline!$P$5:$AN$305,0,MATCH($A24,Timeline!$P$4:$AN$4,0))="x")*(Timeline!$K$5:$K$305="Task")*ISNUMBER(Timeline!$I$5:$I$305)*ISNUMBER(Timeline!$J$5:$J$305)*(Timeline!$I$5:$I$305&lt;=H$4+4)*(Timeline!$J$5:$J$305&gt;=H$4+4)),SUMPRODUCT((INDEX(Timeline!$P$5:$AN$305,0,MATCH($A24,Timeline!$P$4:$AN$4,0))="x")*(Timeline!$K$5:$K$305="Task")*ISNUMBER(Timeline!$I$5:$I$305)*ISNUMBER(Timeline!$J$5:$J$305)*(Timeline!$I$5:$I$305&lt;=H$4+5)*(Timeline!$J$5:$J$305&gt;=H$4+5)),SUMPRODUCT((INDEX(Timeline!$P$5:$AN$305,0,MATCH($A24,Timeline!$P$4:$AN$4,0))="x")*(Timeline!$K$5:$K$305="Task")*ISNUMBER(Timeline!$I$5:$I$305)*ISNUMBER(Timeline!$J$5:$J$305)*(Timeline!$I$5:$I$305&lt;=H$4+6)*(Timeline!$J$5:$J$305&gt;=H$4+6)))</f>
        <v>1</v>
      </c>
      <c r="I24" s="67">
        <f>MAX(SUMPRODUCT((INDEX(Timeline!$P$5:$AN$305,0,MATCH($A24,Timeline!$P$4:$AN$4,0))="x")*(Timeline!$K$5:$K$305="Task")*ISNUMBER(Timeline!$I$5:$I$305)*ISNUMBER(Timeline!$J$5:$J$305)*(Timeline!$I$5:$I$305&lt;=I$4+0)*(Timeline!$J$5:$J$305&gt;=I$4+0)),SUMPRODUCT((INDEX(Timeline!$P$5:$AN$305,0,MATCH($A24,Timeline!$P$4:$AN$4,0))="x")*(Timeline!$K$5:$K$305="Task")*ISNUMBER(Timeline!$I$5:$I$305)*ISNUMBER(Timeline!$J$5:$J$305)*(Timeline!$I$5:$I$305&lt;=I$4+1)*(Timeline!$J$5:$J$305&gt;=I$4+1)),SUMPRODUCT((INDEX(Timeline!$P$5:$AN$305,0,MATCH($A24,Timeline!$P$4:$AN$4,0))="x")*(Timeline!$K$5:$K$305="Task")*ISNUMBER(Timeline!$I$5:$I$305)*ISNUMBER(Timeline!$J$5:$J$305)*(Timeline!$I$5:$I$305&lt;=I$4+2)*(Timeline!$J$5:$J$305&gt;=I$4+2)),SUMPRODUCT((INDEX(Timeline!$P$5:$AN$305,0,MATCH($A24,Timeline!$P$4:$AN$4,0))="x")*(Timeline!$K$5:$K$305="Task")*ISNUMBER(Timeline!$I$5:$I$305)*ISNUMBER(Timeline!$J$5:$J$305)*(Timeline!$I$5:$I$305&lt;=I$4+3)*(Timeline!$J$5:$J$305&gt;=I$4+3)),SUMPRODUCT((INDEX(Timeline!$P$5:$AN$305,0,MATCH($A24,Timeline!$P$4:$AN$4,0))="x")*(Timeline!$K$5:$K$305="Task")*ISNUMBER(Timeline!$I$5:$I$305)*ISNUMBER(Timeline!$J$5:$J$305)*(Timeline!$I$5:$I$305&lt;=I$4+4)*(Timeline!$J$5:$J$305&gt;=I$4+4)),SUMPRODUCT((INDEX(Timeline!$P$5:$AN$305,0,MATCH($A24,Timeline!$P$4:$AN$4,0))="x")*(Timeline!$K$5:$K$305="Task")*ISNUMBER(Timeline!$I$5:$I$305)*ISNUMBER(Timeline!$J$5:$J$305)*(Timeline!$I$5:$I$305&lt;=I$4+5)*(Timeline!$J$5:$J$305&gt;=I$4+5)),SUMPRODUCT((INDEX(Timeline!$P$5:$AN$305,0,MATCH($A24,Timeline!$P$4:$AN$4,0))="x")*(Timeline!$K$5:$K$305="Task")*ISNUMBER(Timeline!$I$5:$I$305)*ISNUMBER(Timeline!$J$5:$J$305)*(Timeline!$I$5:$I$305&lt;=I$4+6)*(Timeline!$J$5:$J$305&gt;=I$4+6)))</f>
        <v>1</v>
      </c>
      <c r="J24" s="67">
        <f>MAX(SUMPRODUCT((INDEX(Timeline!$P$5:$AN$305,0,MATCH($A24,Timeline!$P$4:$AN$4,0))="x")*(Timeline!$K$5:$K$305="Task")*ISNUMBER(Timeline!$I$5:$I$305)*ISNUMBER(Timeline!$J$5:$J$305)*(Timeline!$I$5:$I$305&lt;=J$4+0)*(Timeline!$J$5:$J$305&gt;=J$4+0)),SUMPRODUCT((INDEX(Timeline!$P$5:$AN$305,0,MATCH($A24,Timeline!$P$4:$AN$4,0))="x")*(Timeline!$K$5:$K$305="Task")*ISNUMBER(Timeline!$I$5:$I$305)*ISNUMBER(Timeline!$J$5:$J$305)*(Timeline!$I$5:$I$305&lt;=J$4+1)*(Timeline!$J$5:$J$305&gt;=J$4+1)),SUMPRODUCT((INDEX(Timeline!$P$5:$AN$305,0,MATCH($A24,Timeline!$P$4:$AN$4,0))="x")*(Timeline!$K$5:$K$305="Task")*ISNUMBER(Timeline!$I$5:$I$305)*ISNUMBER(Timeline!$J$5:$J$305)*(Timeline!$I$5:$I$305&lt;=J$4+2)*(Timeline!$J$5:$J$305&gt;=J$4+2)),SUMPRODUCT((INDEX(Timeline!$P$5:$AN$305,0,MATCH($A24,Timeline!$P$4:$AN$4,0))="x")*(Timeline!$K$5:$K$305="Task")*ISNUMBER(Timeline!$I$5:$I$305)*ISNUMBER(Timeline!$J$5:$J$305)*(Timeline!$I$5:$I$305&lt;=J$4+3)*(Timeline!$J$5:$J$305&gt;=J$4+3)),SUMPRODUCT((INDEX(Timeline!$P$5:$AN$305,0,MATCH($A24,Timeline!$P$4:$AN$4,0))="x")*(Timeline!$K$5:$K$305="Task")*ISNUMBER(Timeline!$I$5:$I$305)*ISNUMBER(Timeline!$J$5:$J$305)*(Timeline!$I$5:$I$305&lt;=J$4+4)*(Timeline!$J$5:$J$305&gt;=J$4+4)),SUMPRODUCT((INDEX(Timeline!$P$5:$AN$305,0,MATCH($A24,Timeline!$P$4:$AN$4,0))="x")*(Timeline!$K$5:$K$305="Task")*ISNUMBER(Timeline!$I$5:$I$305)*ISNUMBER(Timeline!$J$5:$J$305)*(Timeline!$I$5:$I$305&lt;=J$4+5)*(Timeline!$J$5:$J$305&gt;=J$4+5)),SUMPRODUCT((INDEX(Timeline!$P$5:$AN$305,0,MATCH($A24,Timeline!$P$4:$AN$4,0))="x")*(Timeline!$K$5:$K$305="Task")*ISNUMBER(Timeline!$I$5:$I$305)*ISNUMBER(Timeline!$J$5:$J$305)*(Timeline!$I$5:$I$305&lt;=J$4+6)*(Timeline!$J$5:$J$305&gt;=J$4+6)))</f>
        <v>1</v>
      </c>
      <c r="K24" s="67">
        <f>MAX(SUMPRODUCT((INDEX(Timeline!$P$5:$AN$305,0,MATCH($A24,Timeline!$P$4:$AN$4,0))="x")*(Timeline!$K$5:$K$305="Task")*ISNUMBER(Timeline!$I$5:$I$305)*ISNUMBER(Timeline!$J$5:$J$305)*(Timeline!$I$5:$I$305&lt;=K$4+0)*(Timeline!$J$5:$J$305&gt;=K$4+0)),SUMPRODUCT((INDEX(Timeline!$P$5:$AN$305,0,MATCH($A24,Timeline!$P$4:$AN$4,0))="x")*(Timeline!$K$5:$K$305="Task")*ISNUMBER(Timeline!$I$5:$I$305)*ISNUMBER(Timeline!$J$5:$J$305)*(Timeline!$I$5:$I$305&lt;=K$4+1)*(Timeline!$J$5:$J$305&gt;=K$4+1)),SUMPRODUCT((INDEX(Timeline!$P$5:$AN$305,0,MATCH($A24,Timeline!$P$4:$AN$4,0))="x")*(Timeline!$K$5:$K$305="Task")*ISNUMBER(Timeline!$I$5:$I$305)*ISNUMBER(Timeline!$J$5:$J$305)*(Timeline!$I$5:$I$305&lt;=K$4+2)*(Timeline!$J$5:$J$305&gt;=K$4+2)),SUMPRODUCT((INDEX(Timeline!$P$5:$AN$305,0,MATCH($A24,Timeline!$P$4:$AN$4,0))="x")*(Timeline!$K$5:$K$305="Task")*ISNUMBER(Timeline!$I$5:$I$305)*ISNUMBER(Timeline!$J$5:$J$305)*(Timeline!$I$5:$I$305&lt;=K$4+3)*(Timeline!$J$5:$J$305&gt;=K$4+3)),SUMPRODUCT((INDEX(Timeline!$P$5:$AN$305,0,MATCH($A24,Timeline!$P$4:$AN$4,0))="x")*(Timeline!$K$5:$K$305="Task")*ISNUMBER(Timeline!$I$5:$I$305)*ISNUMBER(Timeline!$J$5:$J$305)*(Timeline!$I$5:$I$305&lt;=K$4+4)*(Timeline!$J$5:$J$305&gt;=K$4+4)),SUMPRODUCT((INDEX(Timeline!$P$5:$AN$305,0,MATCH($A24,Timeline!$P$4:$AN$4,0))="x")*(Timeline!$K$5:$K$305="Task")*ISNUMBER(Timeline!$I$5:$I$305)*ISNUMBER(Timeline!$J$5:$J$305)*(Timeline!$I$5:$I$305&lt;=K$4+5)*(Timeline!$J$5:$J$305&gt;=K$4+5)),SUMPRODUCT((INDEX(Timeline!$P$5:$AN$305,0,MATCH($A24,Timeline!$P$4:$AN$4,0))="x")*(Timeline!$K$5:$K$305="Task")*ISNUMBER(Timeline!$I$5:$I$305)*ISNUMBER(Timeline!$J$5:$J$305)*(Timeline!$I$5:$I$305&lt;=K$4+6)*(Timeline!$J$5:$J$305&gt;=K$4+6)))</f>
        <v>1</v>
      </c>
      <c r="L24" s="67">
        <f>MAX(SUMPRODUCT((INDEX(Timeline!$P$5:$AN$305,0,MATCH($A24,Timeline!$P$4:$AN$4,0))="x")*(Timeline!$K$5:$K$305="Task")*ISNUMBER(Timeline!$I$5:$I$305)*ISNUMBER(Timeline!$J$5:$J$305)*(Timeline!$I$5:$I$305&lt;=L$4+0)*(Timeline!$J$5:$J$305&gt;=L$4+0)),SUMPRODUCT((INDEX(Timeline!$P$5:$AN$305,0,MATCH($A24,Timeline!$P$4:$AN$4,0))="x")*(Timeline!$K$5:$K$305="Task")*ISNUMBER(Timeline!$I$5:$I$305)*ISNUMBER(Timeline!$J$5:$J$305)*(Timeline!$I$5:$I$305&lt;=L$4+1)*(Timeline!$J$5:$J$305&gt;=L$4+1)),SUMPRODUCT((INDEX(Timeline!$P$5:$AN$305,0,MATCH($A24,Timeline!$P$4:$AN$4,0))="x")*(Timeline!$K$5:$K$305="Task")*ISNUMBER(Timeline!$I$5:$I$305)*ISNUMBER(Timeline!$J$5:$J$305)*(Timeline!$I$5:$I$305&lt;=L$4+2)*(Timeline!$J$5:$J$305&gt;=L$4+2)),SUMPRODUCT((INDEX(Timeline!$P$5:$AN$305,0,MATCH($A24,Timeline!$P$4:$AN$4,0))="x")*(Timeline!$K$5:$K$305="Task")*ISNUMBER(Timeline!$I$5:$I$305)*ISNUMBER(Timeline!$J$5:$J$305)*(Timeline!$I$5:$I$305&lt;=L$4+3)*(Timeline!$J$5:$J$305&gt;=L$4+3)),SUMPRODUCT((INDEX(Timeline!$P$5:$AN$305,0,MATCH($A24,Timeline!$P$4:$AN$4,0))="x")*(Timeline!$K$5:$K$305="Task")*ISNUMBER(Timeline!$I$5:$I$305)*ISNUMBER(Timeline!$J$5:$J$305)*(Timeline!$I$5:$I$305&lt;=L$4+4)*(Timeline!$J$5:$J$305&gt;=L$4+4)),SUMPRODUCT((INDEX(Timeline!$P$5:$AN$305,0,MATCH($A24,Timeline!$P$4:$AN$4,0))="x")*(Timeline!$K$5:$K$305="Task")*ISNUMBER(Timeline!$I$5:$I$305)*ISNUMBER(Timeline!$J$5:$J$305)*(Timeline!$I$5:$I$305&lt;=L$4+5)*(Timeline!$J$5:$J$305&gt;=L$4+5)),SUMPRODUCT((INDEX(Timeline!$P$5:$AN$305,0,MATCH($A24,Timeline!$P$4:$AN$4,0))="x")*(Timeline!$K$5:$K$305="Task")*ISNUMBER(Timeline!$I$5:$I$305)*ISNUMBER(Timeline!$J$5:$J$305)*(Timeline!$I$5:$I$305&lt;=L$4+6)*(Timeline!$J$5:$J$305&gt;=L$4+6)))</f>
        <v>1</v>
      </c>
      <c r="M24" s="67">
        <f>MAX(SUMPRODUCT((INDEX(Timeline!$P$5:$AN$305,0,MATCH($A24,Timeline!$P$4:$AN$4,0))="x")*(Timeline!$K$5:$K$305="Task")*ISNUMBER(Timeline!$I$5:$I$305)*ISNUMBER(Timeline!$J$5:$J$305)*(Timeline!$I$5:$I$305&lt;=M$4+0)*(Timeline!$J$5:$J$305&gt;=M$4+0)),SUMPRODUCT((INDEX(Timeline!$P$5:$AN$305,0,MATCH($A24,Timeline!$P$4:$AN$4,0))="x")*(Timeline!$K$5:$K$305="Task")*ISNUMBER(Timeline!$I$5:$I$305)*ISNUMBER(Timeline!$J$5:$J$305)*(Timeline!$I$5:$I$305&lt;=M$4+1)*(Timeline!$J$5:$J$305&gt;=M$4+1)),SUMPRODUCT((INDEX(Timeline!$P$5:$AN$305,0,MATCH($A24,Timeline!$P$4:$AN$4,0))="x")*(Timeline!$K$5:$K$305="Task")*ISNUMBER(Timeline!$I$5:$I$305)*ISNUMBER(Timeline!$J$5:$J$305)*(Timeline!$I$5:$I$305&lt;=M$4+2)*(Timeline!$J$5:$J$305&gt;=M$4+2)),SUMPRODUCT((INDEX(Timeline!$P$5:$AN$305,0,MATCH($A24,Timeline!$P$4:$AN$4,0))="x")*(Timeline!$K$5:$K$305="Task")*ISNUMBER(Timeline!$I$5:$I$305)*ISNUMBER(Timeline!$J$5:$J$305)*(Timeline!$I$5:$I$305&lt;=M$4+3)*(Timeline!$J$5:$J$305&gt;=M$4+3)),SUMPRODUCT((INDEX(Timeline!$P$5:$AN$305,0,MATCH($A24,Timeline!$P$4:$AN$4,0))="x")*(Timeline!$K$5:$K$305="Task")*ISNUMBER(Timeline!$I$5:$I$305)*ISNUMBER(Timeline!$J$5:$J$305)*(Timeline!$I$5:$I$305&lt;=M$4+4)*(Timeline!$J$5:$J$305&gt;=M$4+4)),SUMPRODUCT((INDEX(Timeline!$P$5:$AN$305,0,MATCH($A24,Timeline!$P$4:$AN$4,0))="x")*(Timeline!$K$5:$K$305="Task")*ISNUMBER(Timeline!$I$5:$I$305)*ISNUMBER(Timeline!$J$5:$J$305)*(Timeline!$I$5:$I$305&lt;=M$4+5)*(Timeline!$J$5:$J$305&gt;=M$4+5)),SUMPRODUCT((INDEX(Timeline!$P$5:$AN$305,0,MATCH($A24,Timeline!$P$4:$AN$4,0))="x")*(Timeline!$K$5:$K$305="Task")*ISNUMBER(Timeline!$I$5:$I$305)*ISNUMBER(Timeline!$J$5:$J$305)*(Timeline!$I$5:$I$305&lt;=M$4+6)*(Timeline!$J$5:$J$305&gt;=M$4+6)))</f>
        <v>1</v>
      </c>
      <c r="N24" s="67">
        <f>MAX(SUMPRODUCT((INDEX(Timeline!$P$5:$AN$305,0,MATCH($A24,Timeline!$P$4:$AN$4,0))="x")*(Timeline!$K$5:$K$305="Task")*ISNUMBER(Timeline!$I$5:$I$305)*ISNUMBER(Timeline!$J$5:$J$305)*(Timeline!$I$5:$I$305&lt;=N$4+0)*(Timeline!$J$5:$J$305&gt;=N$4+0)),SUMPRODUCT((INDEX(Timeline!$P$5:$AN$305,0,MATCH($A24,Timeline!$P$4:$AN$4,0))="x")*(Timeline!$K$5:$K$305="Task")*ISNUMBER(Timeline!$I$5:$I$305)*ISNUMBER(Timeline!$J$5:$J$305)*(Timeline!$I$5:$I$305&lt;=N$4+1)*(Timeline!$J$5:$J$305&gt;=N$4+1)),SUMPRODUCT((INDEX(Timeline!$P$5:$AN$305,0,MATCH($A24,Timeline!$P$4:$AN$4,0))="x")*(Timeline!$K$5:$K$305="Task")*ISNUMBER(Timeline!$I$5:$I$305)*ISNUMBER(Timeline!$J$5:$J$305)*(Timeline!$I$5:$I$305&lt;=N$4+2)*(Timeline!$J$5:$J$305&gt;=N$4+2)),SUMPRODUCT((INDEX(Timeline!$P$5:$AN$305,0,MATCH($A24,Timeline!$P$4:$AN$4,0))="x")*(Timeline!$K$5:$K$305="Task")*ISNUMBER(Timeline!$I$5:$I$305)*ISNUMBER(Timeline!$J$5:$J$305)*(Timeline!$I$5:$I$305&lt;=N$4+3)*(Timeline!$J$5:$J$305&gt;=N$4+3)),SUMPRODUCT((INDEX(Timeline!$P$5:$AN$305,0,MATCH($A24,Timeline!$P$4:$AN$4,0))="x")*(Timeline!$K$5:$K$305="Task")*ISNUMBER(Timeline!$I$5:$I$305)*ISNUMBER(Timeline!$J$5:$J$305)*(Timeline!$I$5:$I$305&lt;=N$4+4)*(Timeline!$J$5:$J$305&gt;=N$4+4)),SUMPRODUCT((INDEX(Timeline!$P$5:$AN$305,0,MATCH($A24,Timeline!$P$4:$AN$4,0))="x")*(Timeline!$K$5:$K$305="Task")*ISNUMBER(Timeline!$I$5:$I$305)*ISNUMBER(Timeline!$J$5:$J$305)*(Timeline!$I$5:$I$305&lt;=N$4+5)*(Timeline!$J$5:$J$305&gt;=N$4+5)),SUMPRODUCT((INDEX(Timeline!$P$5:$AN$305,0,MATCH($A24,Timeline!$P$4:$AN$4,0))="x")*(Timeline!$K$5:$K$305="Task")*ISNUMBER(Timeline!$I$5:$I$305)*ISNUMBER(Timeline!$J$5:$J$305)*(Timeline!$I$5:$I$305&lt;=N$4+6)*(Timeline!$J$5:$J$305&gt;=N$4+6)))</f>
        <v>1</v>
      </c>
      <c r="O24" s="67">
        <f>MAX(SUMPRODUCT((INDEX(Timeline!$P$5:$AN$305,0,MATCH($A24,Timeline!$P$4:$AN$4,0))="x")*(Timeline!$K$5:$K$305="Task")*ISNUMBER(Timeline!$I$5:$I$305)*ISNUMBER(Timeline!$J$5:$J$305)*(Timeline!$I$5:$I$305&lt;=O$4+0)*(Timeline!$J$5:$J$305&gt;=O$4+0)),SUMPRODUCT((INDEX(Timeline!$P$5:$AN$305,0,MATCH($A24,Timeline!$P$4:$AN$4,0))="x")*(Timeline!$K$5:$K$305="Task")*ISNUMBER(Timeline!$I$5:$I$305)*ISNUMBER(Timeline!$J$5:$J$305)*(Timeline!$I$5:$I$305&lt;=O$4+1)*(Timeline!$J$5:$J$305&gt;=O$4+1)),SUMPRODUCT((INDEX(Timeline!$P$5:$AN$305,0,MATCH($A24,Timeline!$P$4:$AN$4,0))="x")*(Timeline!$K$5:$K$305="Task")*ISNUMBER(Timeline!$I$5:$I$305)*ISNUMBER(Timeline!$J$5:$J$305)*(Timeline!$I$5:$I$305&lt;=O$4+2)*(Timeline!$J$5:$J$305&gt;=O$4+2)),SUMPRODUCT((INDEX(Timeline!$P$5:$AN$305,0,MATCH($A24,Timeline!$P$4:$AN$4,0))="x")*(Timeline!$K$5:$K$305="Task")*ISNUMBER(Timeline!$I$5:$I$305)*ISNUMBER(Timeline!$J$5:$J$305)*(Timeline!$I$5:$I$305&lt;=O$4+3)*(Timeline!$J$5:$J$305&gt;=O$4+3)),SUMPRODUCT((INDEX(Timeline!$P$5:$AN$305,0,MATCH($A24,Timeline!$P$4:$AN$4,0))="x")*(Timeline!$K$5:$K$305="Task")*ISNUMBER(Timeline!$I$5:$I$305)*ISNUMBER(Timeline!$J$5:$J$305)*(Timeline!$I$5:$I$305&lt;=O$4+4)*(Timeline!$J$5:$J$305&gt;=O$4+4)),SUMPRODUCT((INDEX(Timeline!$P$5:$AN$305,0,MATCH($A24,Timeline!$P$4:$AN$4,0))="x")*(Timeline!$K$5:$K$305="Task")*ISNUMBER(Timeline!$I$5:$I$305)*ISNUMBER(Timeline!$J$5:$J$305)*(Timeline!$I$5:$I$305&lt;=O$4+5)*(Timeline!$J$5:$J$305&gt;=O$4+5)),SUMPRODUCT((INDEX(Timeline!$P$5:$AN$305,0,MATCH($A24,Timeline!$P$4:$AN$4,0))="x")*(Timeline!$K$5:$K$305="Task")*ISNUMBER(Timeline!$I$5:$I$305)*ISNUMBER(Timeline!$J$5:$J$305)*(Timeline!$I$5:$I$305&lt;=O$4+6)*(Timeline!$J$5:$J$305&gt;=O$4+6)))</f>
        <v>1</v>
      </c>
      <c r="P24" s="67">
        <f>MAX(SUMPRODUCT((INDEX(Timeline!$P$5:$AN$305,0,MATCH($A24,Timeline!$P$4:$AN$4,0))="x")*(Timeline!$K$5:$K$305="Task")*ISNUMBER(Timeline!$I$5:$I$305)*ISNUMBER(Timeline!$J$5:$J$305)*(Timeline!$I$5:$I$305&lt;=P$4+0)*(Timeline!$J$5:$J$305&gt;=P$4+0)),SUMPRODUCT((INDEX(Timeline!$P$5:$AN$305,0,MATCH($A24,Timeline!$P$4:$AN$4,0))="x")*(Timeline!$K$5:$K$305="Task")*ISNUMBER(Timeline!$I$5:$I$305)*ISNUMBER(Timeline!$J$5:$J$305)*(Timeline!$I$5:$I$305&lt;=P$4+1)*(Timeline!$J$5:$J$305&gt;=P$4+1)),SUMPRODUCT((INDEX(Timeline!$P$5:$AN$305,0,MATCH($A24,Timeline!$P$4:$AN$4,0))="x")*(Timeline!$K$5:$K$305="Task")*ISNUMBER(Timeline!$I$5:$I$305)*ISNUMBER(Timeline!$J$5:$J$305)*(Timeline!$I$5:$I$305&lt;=P$4+2)*(Timeline!$J$5:$J$305&gt;=P$4+2)),SUMPRODUCT((INDEX(Timeline!$P$5:$AN$305,0,MATCH($A24,Timeline!$P$4:$AN$4,0))="x")*(Timeline!$K$5:$K$305="Task")*ISNUMBER(Timeline!$I$5:$I$305)*ISNUMBER(Timeline!$J$5:$J$305)*(Timeline!$I$5:$I$305&lt;=P$4+3)*(Timeline!$J$5:$J$305&gt;=P$4+3)),SUMPRODUCT((INDEX(Timeline!$P$5:$AN$305,0,MATCH($A24,Timeline!$P$4:$AN$4,0))="x")*(Timeline!$K$5:$K$305="Task")*ISNUMBER(Timeline!$I$5:$I$305)*ISNUMBER(Timeline!$J$5:$J$305)*(Timeline!$I$5:$I$305&lt;=P$4+4)*(Timeline!$J$5:$J$305&gt;=P$4+4)),SUMPRODUCT((INDEX(Timeline!$P$5:$AN$305,0,MATCH($A24,Timeline!$P$4:$AN$4,0))="x")*(Timeline!$K$5:$K$305="Task")*ISNUMBER(Timeline!$I$5:$I$305)*ISNUMBER(Timeline!$J$5:$J$305)*(Timeline!$I$5:$I$305&lt;=P$4+5)*(Timeline!$J$5:$J$305&gt;=P$4+5)),SUMPRODUCT((INDEX(Timeline!$P$5:$AN$305,0,MATCH($A24,Timeline!$P$4:$AN$4,0))="x")*(Timeline!$K$5:$K$305="Task")*ISNUMBER(Timeline!$I$5:$I$305)*ISNUMBER(Timeline!$J$5:$J$305)*(Timeline!$I$5:$I$305&lt;=P$4+6)*(Timeline!$J$5:$J$305&gt;=P$4+6)))</f>
        <v>1</v>
      </c>
      <c r="Q24" s="67">
        <f>MAX(SUMPRODUCT((INDEX(Timeline!$P$5:$AN$305,0,MATCH($A24,Timeline!$P$4:$AN$4,0))="x")*(Timeline!$K$5:$K$305="Task")*ISNUMBER(Timeline!$I$5:$I$305)*ISNUMBER(Timeline!$J$5:$J$305)*(Timeline!$I$5:$I$305&lt;=Q$4+0)*(Timeline!$J$5:$J$305&gt;=Q$4+0)),SUMPRODUCT((INDEX(Timeline!$P$5:$AN$305,0,MATCH($A24,Timeline!$P$4:$AN$4,0))="x")*(Timeline!$K$5:$K$305="Task")*ISNUMBER(Timeline!$I$5:$I$305)*ISNUMBER(Timeline!$J$5:$J$305)*(Timeline!$I$5:$I$305&lt;=Q$4+1)*(Timeline!$J$5:$J$305&gt;=Q$4+1)),SUMPRODUCT((INDEX(Timeline!$P$5:$AN$305,0,MATCH($A24,Timeline!$P$4:$AN$4,0))="x")*(Timeline!$K$5:$K$305="Task")*ISNUMBER(Timeline!$I$5:$I$305)*ISNUMBER(Timeline!$J$5:$J$305)*(Timeline!$I$5:$I$305&lt;=Q$4+2)*(Timeline!$J$5:$J$305&gt;=Q$4+2)),SUMPRODUCT((INDEX(Timeline!$P$5:$AN$305,0,MATCH($A24,Timeline!$P$4:$AN$4,0))="x")*(Timeline!$K$5:$K$305="Task")*ISNUMBER(Timeline!$I$5:$I$305)*ISNUMBER(Timeline!$J$5:$J$305)*(Timeline!$I$5:$I$305&lt;=Q$4+3)*(Timeline!$J$5:$J$305&gt;=Q$4+3)),SUMPRODUCT((INDEX(Timeline!$P$5:$AN$305,0,MATCH($A24,Timeline!$P$4:$AN$4,0))="x")*(Timeline!$K$5:$K$305="Task")*ISNUMBER(Timeline!$I$5:$I$305)*ISNUMBER(Timeline!$J$5:$J$305)*(Timeline!$I$5:$I$305&lt;=Q$4+4)*(Timeline!$J$5:$J$305&gt;=Q$4+4)),SUMPRODUCT((INDEX(Timeline!$P$5:$AN$305,0,MATCH($A24,Timeline!$P$4:$AN$4,0))="x")*(Timeline!$K$5:$K$305="Task")*ISNUMBER(Timeline!$I$5:$I$305)*ISNUMBER(Timeline!$J$5:$J$305)*(Timeline!$I$5:$I$305&lt;=Q$4+5)*(Timeline!$J$5:$J$305&gt;=Q$4+5)),SUMPRODUCT((INDEX(Timeline!$P$5:$AN$305,0,MATCH($A24,Timeline!$P$4:$AN$4,0))="x")*(Timeline!$K$5:$K$305="Task")*ISNUMBER(Timeline!$I$5:$I$305)*ISNUMBER(Timeline!$J$5:$J$305)*(Timeline!$I$5:$I$305&lt;=Q$4+6)*(Timeline!$J$5:$J$305&gt;=Q$4+6)))</f>
        <v>1</v>
      </c>
      <c r="R24" s="67">
        <f>MAX(SUMPRODUCT((INDEX(Timeline!$P$5:$AN$305,0,MATCH($A24,Timeline!$P$4:$AN$4,0))="x")*(Timeline!$K$5:$K$305="Task")*ISNUMBER(Timeline!$I$5:$I$305)*ISNUMBER(Timeline!$J$5:$J$305)*(Timeline!$I$5:$I$305&lt;=R$4+0)*(Timeline!$J$5:$J$305&gt;=R$4+0)),SUMPRODUCT((INDEX(Timeline!$P$5:$AN$305,0,MATCH($A24,Timeline!$P$4:$AN$4,0))="x")*(Timeline!$K$5:$K$305="Task")*ISNUMBER(Timeline!$I$5:$I$305)*ISNUMBER(Timeline!$J$5:$J$305)*(Timeline!$I$5:$I$305&lt;=R$4+1)*(Timeline!$J$5:$J$305&gt;=R$4+1)),SUMPRODUCT((INDEX(Timeline!$P$5:$AN$305,0,MATCH($A24,Timeline!$P$4:$AN$4,0))="x")*(Timeline!$K$5:$K$305="Task")*ISNUMBER(Timeline!$I$5:$I$305)*ISNUMBER(Timeline!$J$5:$J$305)*(Timeline!$I$5:$I$305&lt;=R$4+2)*(Timeline!$J$5:$J$305&gt;=R$4+2)),SUMPRODUCT((INDEX(Timeline!$P$5:$AN$305,0,MATCH($A24,Timeline!$P$4:$AN$4,0))="x")*(Timeline!$K$5:$K$305="Task")*ISNUMBER(Timeline!$I$5:$I$305)*ISNUMBER(Timeline!$J$5:$J$305)*(Timeline!$I$5:$I$305&lt;=R$4+3)*(Timeline!$J$5:$J$305&gt;=R$4+3)),SUMPRODUCT((INDEX(Timeline!$P$5:$AN$305,0,MATCH($A24,Timeline!$P$4:$AN$4,0))="x")*(Timeline!$K$5:$K$305="Task")*ISNUMBER(Timeline!$I$5:$I$305)*ISNUMBER(Timeline!$J$5:$J$305)*(Timeline!$I$5:$I$305&lt;=R$4+4)*(Timeline!$J$5:$J$305&gt;=R$4+4)),SUMPRODUCT((INDEX(Timeline!$P$5:$AN$305,0,MATCH($A24,Timeline!$P$4:$AN$4,0))="x")*(Timeline!$K$5:$K$305="Task")*ISNUMBER(Timeline!$I$5:$I$305)*ISNUMBER(Timeline!$J$5:$J$305)*(Timeline!$I$5:$I$305&lt;=R$4+5)*(Timeline!$J$5:$J$305&gt;=R$4+5)),SUMPRODUCT((INDEX(Timeline!$P$5:$AN$305,0,MATCH($A24,Timeline!$P$4:$AN$4,0))="x")*(Timeline!$K$5:$K$305="Task")*ISNUMBER(Timeline!$I$5:$I$305)*ISNUMBER(Timeline!$J$5:$J$305)*(Timeline!$I$5:$I$305&lt;=R$4+6)*(Timeline!$J$5:$J$305&gt;=R$4+6)))</f>
        <v>1</v>
      </c>
      <c r="S24" s="67">
        <f>MAX(SUMPRODUCT((INDEX(Timeline!$P$5:$AN$305,0,MATCH($A24,Timeline!$P$4:$AN$4,0))="x")*(Timeline!$K$5:$K$305="Task")*ISNUMBER(Timeline!$I$5:$I$305)*ISNUMBER(Timeline!$J$5:$J$305)*(Timeline!$I$5:$I$305&lt;=S$4+0)*(Timeline!$J$5:$J$305&gt;=S$4+0)),SUMPRODUCT((INDEX(Timeline!$P$5:$AN$305,0,MATCH($A24,Timeline!$P$4:$AN$4,0))="x")*(Timeline!$K$5:$K$305="Task")*ISNUMBER(Timeline!$I$5:$I$305)*ISNUMBER(Timeline!$J$5:$J$305)*(Timeline!$I$5:$I$305&lt;=S$4+1)*(Timeline!$J$5:$J$305&gt;=S$4+1)),SUMPRODUCT((INDEX(Timeline!$P$5:$AN$305,0,MATCH($A24,Timeline!$P$4:$AN$4,0))="x")*(Timeline!$K$5:$K$305="Task")*ISNUMBER(Timeline!$I$5:$I$305)*ISNUMBER(Timeline!$J$5:$J$305)*(Timeline!$I$5:$I$305&lt;=S$4+2)*(Timeline!$J$5:$J$305&gt;=S$4+2)),SUMPRODUCT((INDEX(Timeline!$P$5:$AN$305,0,MATCH($A24,Timeline!$P$4:$AN$4,0))="x")*(Timeline!$K$5:$K$305="Task")*ISNUMBER(Timeline!$I$5:$I$305)*ISNUMBER(Timeline!$J$5:$J$305)*(Timeline!$I$5:$I$305&lt;=S$4+3)*(Timeline!$J$5:$J$305&gt;=S$4+3)),SUMPRODUCT((INDEX(Timeline!$P$5:$AN$305,0,MATCH($A24,Timeline!$P$4:$AN$4,0))="x")*(Timeline!$K$5:$K$305="Task")*ISNUMBER(Timeline!$I$5:$I$305)*ISNUMBER(Timeline!$J$5:$J$305)*(Timeline!$I$5:$I$305&lt;=S$4+4)*(Timeline!$J$5:$J$305&gt;=S$4+4)),SUMPRODUCT((INDEX(Timeline!$P$5:$AN$305,0,MATCH($A24,Timeline!$P$4:$AN$4,0))="x")*(Timeline!$K$5:$K$305="Task")*ISNUMBER(Timeline!$I$5:$I$305)*ISNUMBER(Timeline!$J$5:$J$305)*(Timeline!$I$5:$I$305&lt;=S$4+5)*(Timeline!$J$5:$J$305&gt;=S$4+5)),SUMPRODUCT((INDEX(Timeline!$P$5:$AN$305,0,MATCH($A24,Timeline!$P$4:$AN$4,0))="x")*(Timeline!$K$5:$K$305="Task")*ISNUMBER(Timeline!$I$5:$I$305)*ISNUMBER(Timeline!$J$5:$J$305)*(Timeline!$I$5:$I$305&lt;=S$4+6)*(Timeline!$J$5:$J$305&gt;=S$4+6)))</f>
        <v>0</v>
      </c>
      <c r="T24" s="67">
        <f>MAX(SUMPRODUCT((INDEX(Timeline!$P$5:$AN$305,0,MATCH($A24,Timeline!$P$4:$AN$4,0))="x")*(Timeline!$K$5:$K$305="Task")*ISNUMBER(Timeline!$I$5:$I$305)*ISNUMBER(Timeline!$J$5:$J$305)*(Timeline!$I$5:$I$305&lt;=T$4+0)*(Timeline!$J$5:$J$305&gt;=T$4+0)),SUMPRODUCT((INDEX(Timeline!$P$5:$AN$305,0,MATCH($A24,Timeline!$P$4:$AN$4,0))="x")*(Timeline!$K$5:$K$305="Task")*ISNUMBER(Timeline!$I$5:$I$305)*ISNUMBER(Timeline!$J$5:$J$305)*(Timeline!$I$5:$I$305&lt;=T$4+1)*(Timeline!$J$5:$J$305&gt;=T$4+1)),SUMPRODUCT((INDEX(Timeline!$P$5:$AN$305,0,MATCH($A24,Timeline!$P$4:$AN$4,0))="x")*(Timeline!$K$5:$K$305="Task")*ISNUMBER(Timeline!$I$5:$I$305)*ISNUMBER(Timeline!$J$5:$J$305)*(Timeline!$I$5:$I$305&lt;=T$4+2)*(Timeline!$J$5:$J$305&gt;=T$4+2)),SUMPRODUCT((INDEX(Timeline!$P$5:$AN$305,0,MATCH($A24,Timeline!$P$4:$AN$4,0))="x")*(Timeline!$K$5:$K$305="Task")*ISNUMBER(Timeline!$I$5:$I$305)*ISNUMBER(Timeline!$J$5:$J$305)*(Timeline!$I$5:$I$305&lt;=T$4+3)*(Timeline!$J$5:$J$305&gt;=T$4+3)),SUMPRODUCT((INDEX(Timeline!$P$5:$AN$305,0,MATCH($A24,Timeline!$P$4:$AN$4,0))="x")*(Timeline!$K$5:$K$305="Task")*ISNUMBER(Timeline!$I$5:$I$305)*ISNUMBER(Timeline!$J$5:$J$305)*(Timeline!$I$5:$I$305&lt;=T$4+4)*(Timeline!$J$5:$J$305&gt;=T$4+4)),SUMPRODUCT((INDEX(Timeline!$P$5:$AN$305,0,MATCH($A24,Timeline!$P$4:$AN$4,0))="x")*(Timeline!$K$5:$K$305="Task")*ISNUMBER(Timeline!$I$5:$I$305)*ISNUMBER(Timeline!$J$5:$J$305)*(Timeline!$I$5:$I$305&lt;=T$4+5)*(Timeline!$J$5:$J$305&gt;=T$4+5)),SUMPRODUCT((INDEX(Timeline!$P$5:$AN$305,0,MATCH($A24,Timeline!$P$4:$AN$4,0))="x")*(Timeline!$K$5:$K$305="Task")*ISNUMBER(Timeline!$I$5:$I$305)*ISNUMBER(Timeline!$J$5:$J$305)*(Timeline!$I$5:$I$305&lt;=T$4+6)*(Timeline!$J$5:$J$305&gt;=T$4+6)))</f>
        <v>1</v>
      </c>
      <c r="U24" s="67">
        <f>MAX(SUMPRODUCT((INDEX(Timeline!$P$5:$AN$305,0,MATCH($A24,Timeline!$P$4:$AN$4,0))="x")*(Timeline!$K$5:$K$305="Task")*ISNUMBER(Timeline!$I$5:$I$305)*ISNUMBER(Timeline!$J$5:$J$305)*(Timeline!$I$5:$I$305&lt;=U$4+0)*(Timeline!$J$5:$J$305&gt;=U$4+0)),SUMPRODUCT((INDEX(Timeline!$P$5:$AN$305,0,MATCH($A24,Timeline!$P$4:$AN$4,0))="x")*(Timeline!$K$5:$K$305="Task")*ISNUMBER(Timeline!$I$5:$I$305)*ISNUMBER(Timeline!$J$5:$J$305)*(Timeline!$I$5:$I$305&lt;=U$4+1)*(Timeline!$J$5:$J$305&gt;=U$4+1)),SUMPRODUCT((INDEX(Timeline!$P$5:$AN$305,0,MATCH($A24,Timeline!$P$4:$AN$4,0))="x")*(Timeline!$K$5:$K$305="Task")*ISNUMBER(Timeline!$I$5:$I$305)*ISNUMBER(Timeline!$J$5:$J$305)*(Timeline!$I$5:$I$305&lt;=U$4+2)*(Timeline!$J$5:$J$305&gt;=U$4+2)),SUMPRODUCT((INDEX(Timeline!$P$5:$AN$305,0,MATCH($A24,Timeline!$P$4:$AN$4,0))="x")*(Timeline!$K$5:$K$305="Task")*ISNUMBER(Timeline!$I$5:$I$305)*ISNUMBER(Timeline!$J$5:$J$305)*(Timeline!$I$5:$I$305&lt;=U$4+3)*(Timeline!$J$5:$J$305&gt;=U$4+3)),SUMPRODUCT((INDEX(Timeline!$P$5:$AN$305,0,MATCH($A24,Timeline!$P$4:$AN$4,0))="x")*(Timeline!$K$5:$K$305="Task")*ISNUMBER(Timeline!$I$5:$I$305)*ISNUMBER(Timeline!$J$5:$J$305)*(Timeline!$I$5:$I$305&lt;=U$4+4)*(Timeline!$J$5:$J$305&gt;=U$4+4)),SUMPRODUCT((INDEX(Timeline!$P$5:$AN$305,0,MATCH($A24,Timeline!$P$4:$AN$4,0))="x")*(Timeline!$K$5:$K$305="Task")*ISNUMBER(Timeline!$I$5:$I$305)*ISNUMBER(Timeline!$J$5:$J$305)*(Timeline!$I$5:$I$305&lt;=U$4+5)*(Timeline!$J$5:$J$305&gt;=U$4+5)),SUMPRODUCT((INDEX(Timeline!$P$5:$AN$305,0,MATCH($A24,Timeline!$P$4:$AN$4,0))="x")*(Timeline!$K$5:$K$305="Task")*ISNUMBER(Timeline!$I$5:$I$305)*ISNUMBER(Timeline!$J$5:$J$305)*(Timeline!$I$5:$I$305&lt;=U$4+6)*(Timeline!$J$5:$J$305&gt;=U$4+6)))</f>
        <v>1</v>
      </c>
      <c r="V24" s="67">
        <f>MAX(SUMPRODUCT((INDEX(Timeline!$P$5:$AN$305,0,MATCH($A24,Timeline!$P$4:$AN$4,0))="x")*(Timeline!$K$5:$K$305="Task")*ISNUMBER(Timeline!$I$5:$I$305)*ISNUMBER(Timeline!$J$5:$J$305)*(Timeline!$I$5:$I$305&lt;=V$4+0)*(Timeline!$J$5:$J$305&gt;=V$4+0)),SUMPRODUCT((INDEX(Timeline!$P$5:$AN$305,0,MATCH($A24,Timeline!$P$4:$AN$4,0))="x")*(Timeline!$K$5:$K$305="Task")*ISNUMBER(Timeline!$I$5:$I$305)*ISNUMBER(Timeline!$J$5:$J$305)*(Timeline!$I$5:$I$305&lt;=V$4+1)*(Timeline!$J$5:$J$305&gt;=V$4+1)),SUMPRODUCT((INDEX(Timeline!$P$5:$AN$305,0,MATCH($A24,Timeline!$P$4:$AN$4,0))="x")*(Timeline!$K$5:$K$305="Task")*ISNUMBER(Timeline!$I$5:$I$305)*ISNUMBER(Timeline!$J$5:$J$305)*(Timeline!$I$5:$I$305&lt;=V$4+2)*(Timeline!$J$5:$J$305&gt;=V$4+2)),SUMPRODUCT((INDEX(Timeline!$P$5:$AN$305,0,MATCH($A24,Timeline!$P$4:$AN$4,0))="x")*(Timeline!$K$5:$K$305="Task")*ISNUMBER(Timeline!$I$5:$I$305)*ISNUMBER(Timeline!$J$5:$J$305)*(Timeline!$I$5:$I$305&lt;=V$4+3)*(Timeline!$J$5:$J$305&gt;=V$4+3)),SUMPRODUCT((INDEX(Timeline!$P$5:$AN$305,0,MATCH($A24,Timeline!$P$4:$AN$4,0))="x")*(Timeline!$K$5:$K$305="Task")*ISNUMBER(Timeline!$I$5:$I$305)*ISNUMBER(Timeline!$J$5:$J$305)*(Timeline!$I$5:$I$305&lt;=V$4+4)*(Timeline!$J$5:$J$305&gt;=V$4+4)),SUMPRODUCT((INDEX(Timeline!$P$5:$AN$305,0,MATCH($A24,Timeline!$P$4:$AN$4,0))="x")*(Timeline!$K$5:$K$305="Task")*ISNUMBER(Timeline!$I$5:$I$305)*ISNUMBER(Timeline!$J$5:$J$305)*(Timeline!$I$5:$I$305&lt;=V$4+5)*(Timeline!$J$5:$J$305&gt;=V$4+5)),SUMPRODUCT((INDEX(Timeline!$P$5:$AN$305,0,MATCH($A24,Timeline!$P$4:$AN$4,0))="x")*(Timeline!$K$5:$K$305="Task")*ISNUMBER(Timeline!$I$5:$I$305)*ISNUMBER(Timeline!$J$5:$J$305)*(Timeline!$I$5:$I$305&lt;=V$4+6)*(Timeline!$J$5:$J$305&gt;=V$4+6)))</f>
        <v>1</v>
      </c>
      <c r="W24" s="67">
        <f>MAX(SUMPRODUCT((INDEX(Timeline!$P$5:$AN$305,0,MATCH($A24,Timeline!$P$4:$AN$4,0))="x")*(Timeline!$K$5:$K$305="Task")*ISNUMBER(Timeline!$I$5:$I$305)*ISNUMBER(Timeline!$J$5:$J$305)*(Timeline!$I$5:$I$305&lt;=W$4+0)*(Timeline!$J$5:$J$305&gt;=W$4+0)),SUMPRODUCT((INDEX(Timeline!$P$5:$AN$305,0,MATCH($A24,Timeline!$P$4:$AN$4,0))="x")*(Timeline!$K$5:$K$305="Task")*ISNUMBER(Timeline!$I$5:$I$305)*ISNUMBER(Timeline!$J$5:$J$305)*(Timeline!$I$5:$I$305&lt;=W$4+1)*(Timeline!$J$5:$J$305&gt;=W$4+1)),SUMPRODUCT((INDEX(Timeline!$P$5:$AN$305,0,MATCH($A24,Timeline!$P$4:$AN$4,0))="x")*(Timeline!$K$5:$K$305="Task")*ISNUMBER(Timeline!$I$5:$I$305)*ISNUMBER(Timeline!$J$5:$J$305)*(Timeline!$I$5:$I$305&lt;=W$4+2)*(Timeline!$J$5:$J$305&gt;=W$4+2)),SUMPRODUCT((INDEX(Timeline!$P$5:$AN$305,0,MATCH($A24,Timeline!$P$4:$AN$4,0))="x")*(Timeline!$K$5:$K$305="Task")*ISNUMBER(Timeline!$I$5:$I$305)*ISNUMBER(Timeline!$J$5:$J$305)*(Timeline!$I$5:$I$305&lt;=W$4+3)*(Timeline!$J$5:$J$305&gt;=W$4+3)),SUMPRODUCT((INDEX(Timeline!$P$5:$AN$305,0,MATCH($A24,Timeline!$P$4:$AN$4,0))="x")*(Timeline!$K$5:$K$305="Task")*ISNUMBER(Timeline!$I$5:$I$305)*ISNUMBER(Timeline!$J$5:$J$305)*(Timeline!$I$5:$I$305&lt;=W$4+4)*(Timeline!$J$5:$J$305&gt;=W$4+4)),SUMPRODUCT((INDEX(Timeline!$P$5:$AN$305,0,MATCH($A24,Timeline!$P$4:$AN$4,0))="x")*(Timeline!$K$5:$K$305="Task")*ISNUMBER(Timeline!$I$5:$I$305)*ISNUMBER(Timeline!$J$5:$J$305)*(Timeline!$I$5:$I$305&lt;=W$4+5)*(Timeline!$J$5:$J$305&gt;=W$4+5)),SUMPRODUCT((INDEX(Timeline!$P$5:$AN$305,0,MATCH($A24,Timeline!$P$4:$AN$4,0))="x")*(Timeline!$K$5:$K$305="Task")*ISNUMBER(Timeline!$I$5:$I$305)*ISNUMBER(Timeline!$J$5:$J$305)*(Timeline!$I$5:$I$305&lt;=W$4+6)*(Timeline!$J$5:$J$305&gt;=W$4+6)))</f>
        <v>1</v>
      </c>
      <c r="X24" s="67">
        <f>MAX(SUMPRODUCT((INDEX(Timeline!$P$5:$AN$305,0,MATCH($A24,Timeline!$P$4:$AN$4,0))="x")*(Timeline!$K$5:$K$305="Task")*ISNUMBER(Timeline!$I$5:$I$305)*ISNUMBER(Timeline!$J$5:$J$305)*(Timeline!$I$5:$I$305&lt;=X$4+0)*(Timeline!$J$5:$J$305&gt;=X$4+0)),SUMPRODUCT((INDEX(Timeline!$P$5:$AN$305,0,MATCH($A24,Timeline!$P$4:$AN$4,0))="x")*(Timeline!$K$5:$K$305="Task")*ISNUMBER(Timeline!$I$5:$I$305)*ISNUMBER(Timeline!$J$5:$J$305)*(Timeline!$I$5:$I$305&lt;=X$4+1)*(Timeline!$J$5:$J$305&gt;=X$4+1)),SUMPRODUCT((INDEX(Timeline!$P$5:$AN$305,0,MATCH($A24,Timeline!$P$4:$AN$4,0))="x")*(Timeline!$K$5:$K$305="Task")*ISNUMBER(Timeline!$I$5:$I$305)*ISNUMBER(Timeline!$J$5:$J$305)*(Timeline!$I$5:$I$305&lt;=X$4+2)*(Timeline!$J$5:$J$305&gt;=X$4+2)),SUMPRODUCT((INDEX(Timeline!$P$5:$AN$305,0,MATCH($A24,Timeline!$P$4:$AN$4,0))="x")*(Timeline!$K$5:$K$305="Task")*ISNUMBER(Timeline!$I$5:$I$305)*ISNUMBER(Timeline!$J$5:$J$305)*(Timeline!$I$5:$I$305&lt;=X$4+3)*(Timeline!$J$5:$J$305&gt;=X$4+3)),SUMPRODUCT((INDEX(Timeline!$P$5:$AN$305,0,MATCH($A24,Timeline!$P$4:$AN$4,0))="x")*(Timeline!$K$5:$K$305="Task")*ISNUMBER(Timeline!$I$5:$I$305)*ISNUMBER(Timeline!$J$5:$J$305)*(Timeline!$I$5:$I$305&lt;=X$4+4)*(Timeline!$J$5:$J$305&gt;=X$4+4)),SUMPRODUCT((INDEX(Timeline!$P$5:$AN$305,0,MATCH($A24,Timeline!$P$4:$AN$4,0))="x")*(Timeline!$K$5:$K$305="Task")*ISNUMBER(Timeline!$I$5:$I$305)*ISNUMBER(Timeline!$J$5:$J$305)*(Timeline!$I$5:$I$305&lt;=X$4+5)*(Timeline!$J$5:$J$305&gt;=X$4+5)),SUMPRODUCT((INDEX(Timeline!$P$5:$AN$305,0,MATCH($A24,Timeline!$P$4:$AN$4,0))="x")*(Timeline!$K$5:$K$305="Task")*ISNUMBER(Timeline!$I$5:$I$305)*ISNUMBER(Timeline!$J$5:$J$305)*(Timeline!$I$5:$I$305&lt;=X$4+6)*(Timeline!$J$5:$J$305&gt;=X$4+6)))</f>
        <v>1</v>
      </c>
      <c r="Y24" s="67">
        <f>MAX(SUMPRODUCT((INDEX(Timeline!$P$5:$AN$305,0,MATCH($A24,Timeline!$P$4:$AN$4,0))="x")*(Timeline!$K$5:$K$305="Task")*ISNUMBER(Timeline!$I$5:$I$305)*ISNUMBER(Timeline!$J$5:$J$305)*(Timeline!$I$5:$I$305&lt;=Y$4+0)*(Timeline!$J$5:$J$305&gt;=Y$4+0)),SUMPRODUCT((INDEX(Timeline!$P$5:$AN$305,0,MATCH($A24,Timeline!$P$4:$AN$4,0))="x")*(Timeline!$K$5:$K$305="Task")*ISNUMBER(Timeline!$I$5:$I$305)*ISNUMBER(Timeline!$J$5:$J$305)*(Timeline!$I$5:$I$305&lt;=Y$4+1)*(Timeline!$J$5:$J$305&gt;=Y$4+1)),SUMPRODUCT((INDEX(Timeline!$P$5:$AN$305,0,MATCH($A24,Timeline!$P$4:$AN$4,0))="x")*(Timeline!$K$5:$K$305="Task")*ISNUMBER(Timeline!$I$5:$I$305)*ISNUMBER(Timeline!$J$5:$J$305)*(Timeline!$I$5:$I$305&lt;=Y$4+2)*(Timeline!$J$5:$J$305&gt;=Y$4+2)),SUMPRODUCT((INDEX(Timeline!$P$5:$AN$305,0,MATCH($A24,Timeline!$P$4:$AN$4,0))="x")*(Timeline!$K$5:$K$305="Task")*ISNUMBER(Timeline!$I$5:$I$305)*ISNUMBER(Timeline!$J$5:$J$305)*(Timeline!$I$5:$I$305&lt;=Y$4+3)*(Timeline!$J$5:$J$305&gt;=Y$4+3)),SUMPRODUCT((INDEX(Timeline!$P$5:$AN$305,0,MATCH($A24,Timeline!$P$4:$AN$4,0))="x")*(Timeline!$K$5:$K$305="Task")*ISNUMBER(Timeline!$I$5:$I$305)*ISNUMBER(Timeline!$J$5:$J$305)*(Timeline!$I$5:$I$305&lt;=Y$4+4)*(Timeline!$J$5:$J$305&gt;=Y$4+4)),SUMPRODUCT((INDEX(Timeline!$P$5:$AN$305,0,MATCH($A24,Timeline!$P$4:$AN$4,0))="x")*(Timeline!$K$5:$K$305="Task")*ISNUMBER(Timeline!$I$5:$I$305)*ISNUMBER(Timeline!$J$5:$J$305)*(Timeline!$I$5:$I$305&lt;=Y$4+5)*(Timeline!$J$5:$J$305&gt;=Y$4+5)),SUMPRODUCT((INDEX(Timeline!$P$5:$AN$305,0,MATCH($A24,Timeline!$P$4:$AN$4,0))="x")*(Timeline!$K$5:$K$305="Task")*ISNUMBER(Timeline!$I$5:$I$305)*ISNUMBER(Timeline!$J$5:$J$305)*(Timeline!$I$5:$I$305&lt;=Y$4+6)*(Timeline!$J$5:$J$305&gt;=Y$4+6)))</f>
        <v>1</v>
      </c>
      <c r="Z24" s="67">
        <f>MAX(SUMPRODUCT((INDEX(Timeline!$P$5:$AN$305,0,MATCH($A24,Timeline!$P$4:$AN$4,0))="x")*(Timeline!$K$5:$K$305="Task")*ISNUMBER(Timeline!$I$5:$I$305)*ISNUMBER(Timeline!$J$5:$J$305)*(Timeline!$I$5:$I$305&lt;=Z$4+0)*(Timeline!$J$5:$J$305&gt;=Z$4+0)),SUMPRODUCT((INDEX(Timeline!$P$5:$AN$305,0,MATCH($A24,Timeline!$P$4:$AN$4,0))="x")*(Timeline!$K$5:$K$305="Task")*ISNUMBER(Timeline!$I$5:$I$305)*ISNUMBER(Timeline!$J$5:$J$305)*(Timeline!$I$5:$I$305&lt;=Z$4+1)*(Timeline!$J$5:$J$305&gt;=Z$4+1)),SUMPRODUCT((INDEX(Timeline!$P$5:$AN$305,0,MATCH($A24,Timeline!$P$4:$AN$4,0))="x")*(Timeline!$K$5:$K$305="Task")*ISNUMBER(Timeline!$I$5:$I$305)*ISNUMBER(Timeline!$J$5:$J$305)*(Timeline!$I$5:$I$305&lt;=Z$4+2)*(Timeline!$J$5:$J$305&gt;=Z$4+2)),SUMPRODUCT((INDEX(Timeline!$P$5:$AN$305,0,MATCH($A24,Timeline!$P$4:$AN$4,0))="x")*(Timeline!$K$5:$K$305="Task")*ISNUMBER(Timeline!$I$5:$I$305)*ISNUMBER(Timeline!$J$5:$J$305)*(Timeline!$I$5:$I$305&lt;=Z$4+3)*(Timeline!$J$5:$J$305&gt;=Z$4+3)),SUMPRODUCT((INDEX(Timeline!$P$5:$AN$305,0,MATCH($A24,Timeline!$P$4:$AN$4,0))="x")*(Timeline!$K$5:$K$305="Task")*ISNUMBER(Timeline!$I$5:$I$305)*ISNUMBER(Timeline!$J$5:$J$305)*(Timeline!$I$5:$I$305&lt;=Z$4+4)*(Timeline!$J$5:$J$305&gt;=Z$4+4)),SUMPRODUCT((INDEX(Timeline!$P$5:$AN$305,0,MATCH($A24,Timeline!$P$4:$AN$4,0))="x")*(Timeline!$K$5:$K$305="Task")*ISNUMBER(Timeline!$I$5:$I$305)*ISNUMBER(Timeline!$J$5:$J$305)*(Timeline!$I$5:$I$305&lt;=Z$4+5)*(Timeline!$J$5:$J$305&gt;=Z$4+5)),SUMPRODUCT((INDEX(Timeline!$P$5:$AN$305,0,MATCH($A24,Timeline!$P$4:$AN$4,0))="x")*(Timeline!$K$5:$K$305="Task")*ISNUMBER(Timeline!$I$5:$I$305)*ISNUMBER(Timeline!$J$5:$J$305)*(Timeline!$I$5:$I$305&lt;=Z$4+6)*(Timeline!$J$5:$J$305&gt;=Z$4+6)))</f>
        <v>1</v>
      </c>
      <c r="AA24" s="67">
        <f>MAX(SUMPRODUCT((INDEX(Timeline!$P$5:$AN$305,0,MATCH($A24,Timeline!$P$4:$AN$4,0))="x")*(Timeline!$K$5:$K$305="Task")*ISNUMBER(Timeline!$I$5:$I$305)*ISNUMBER(Timeline!$J$5:$J$305)*(Timeline!$I$5:$I$305&lt;=AA$4+0)*(Timeline!$J$5:$J$305&gt;=AA$4+0)),SUMPRODUCT((INDEX(Timeline!$P$5:$AN$305,0,MATCH($A24,Timeline!$P$4:$AN$4,0))="x")*(Timeline!$K$5:$K$305="Task")*ISNUMBER(Timeline!$I$5:$I$305)*ISNUMBER(Timeline!$J$5:$J$305)*(Timeline!$I$5:$I$305&lt;=AA$4+1)*(Timeline!$J$5:$J$305&gt;=AA$4+1)),SUMPRODUCT((INDEX(Timeline!$P$5:$AN$305,0,MATCH($A24,Timeline!$P$4:$AN$4,0))="x")*(Timeline!$K$5:$K$305="Task")*ISNUMBER(Timeline!$I$5:$I$305)*ISNUMBER(Timeline!$J$5:$J$305)*(Timeline!$I$5:$I$305&lt;=AA$4+2)*(Timeline!$J$5:$J$305&gt;=AA$4+2)),SUMPRODUCT((INDEX(Timeline!$P$5:$AN$305,0,MATCH($A24,Timeline!$P$4:$AN$4,0))="x")*(Timeline!$K$5:$K$305="Task")*ISNUMBER(Timeline!$I$5:$I$305)*ISNUMBER(Timeline!$J$5:$J$305)*(Timeline!$I$5:$I$305&lt;=AA$4+3)*(Timeline!$J$5:$J$305&gt;=AA$4+3)),SUMPRODUCT((INDEX(Timeline!$P$5:$AN$305,0,MATCH($A24,Timeline!$P$4:$AN$4,0))="x")*(Timeline!$K$5:$K$305="Task")*ISNUMBER(Timeline!$I$5:$I$305)*ISNUMBER(Timeline!$J$5:$J$305)*(Timeline!$I$5:$I$305&lt;=AA$4+4)*(Timeline!$J$5:$J$305&gt;=AA$4+4)),SUMPRODUCT((INDEX(Timeline!$P$5:$AN$305,0,MATCH($A24,Timeline!$P$4:$AN$4,0))="x")*(Timeline!$K$5:$K$305="Task")*ISNUMBER(Timeline!$I$5:$I$305)*ISNUMBER(Timeline!$J$5:$J$305)*(Timeline!$I$5:$I$305&lt;=AA$4+5)*(Timeline!$J$5:$J$305&gt;=AA$4+5)),SUMPRODUCT((INDEX(Timeline!$P$5:$AN$305,0,MATCH($A24,Timeline!$P$4:$AN$4,0))="x")*(Timeline!$K$5:$K$305="Task")*ISNUMBER(Timeline!$I$5:$I$305)*ISNUMBER(Timeline!$J$5:$J$305)*(Timeline!$I$5:$I$305&lt;=AA$4+6)*(Timeline!$J$5:$J$305&gt;=AA$4+6)))</f>
        <v>1</v>
      </c>
      <c r="AB24" s="67">
        <f>MAX(SUMPRODUCT((INDEX(Timeline!$P$5:$AN$305,0,MATCH($A24,Timeline!$P$4:$AN$4,0))="x")*(Timeline!$K$5:$K$305="Task")*ISNUMBER(Timeline!$I$5:$I$305)*ISNUMBER(Timeline!$J$5:$J$305)*(Timeline!$I$5:$I$305&lt;=AB$4+0)*(Timeline!$J$5:$J$305&gt;=AB$4+0)),SUMPRODUCT((INDEX(Timeline!$P$5:$AN$305,0,MATCH($A24,Timeline!$P$4:$AN$4,0))="x")*(Timeline!$K$5:$K$305="Task")*ISNUMBER(Timeline!$I$5:$I$305)*ISNUMBER(Timeline!$J$5:$J$305)*(Timeline!$I$5:$I$305&lt;=AB$4+1)*(Timeline!$J$5:$J$305&gt;=AB$4+1)),SUMPRODUCT((INDEX(Timeline!$P$5:$AN$305,0,MATCH($A24,Timeline!$P$4:$AN$4,0))="x")*(Timeline!$K$5:$K$305="Task")*ISNUMBER(Timeline!$I$5:$I$305)*ISNUMBER(Timeline!$J$5:$J$305)*(Timeline!$I$5:$I$305&lt;=AB$4+2)*(Timeline!$J$5:$J$305&gt;=AB$4+2)),SUMPRODUCT((INDEX(Timeline!$P$5:$AN$305,0,MATCH($A24,Timeline!$P$4:$AN$4,0))="x")*(Timeline!$K$5:$K$305="Task")*ISNUMBER(Timeline!$I$5:$I$305)*ISNUMBER(Timeline!$J$5:$J$305)*(Timeline!$I$5:$I$305&lt;=AB$4+3)*(Timeline!$J$5:$J$305&gt;=AB$4+3)),SUMPRODUCT((INDEX(Timeline!$P$5:$AN$305,0,MATCH($A24,Timeline!$P$4:$AN$4,0))="x")*(Timeline!$K$5:$K$305="Task")*ISNUMBER(Timeline!$I$5:$I$305)*ISNUMBER(Timeline!$J$5:$J$305)*(Timeline!$I$5:$I$305&lt;=AB$4+4)*(Timeline!$J$5:$J$305&gt;=AB$4+4)),SUMPRODUCT((INDEX(Timeline!$P$5:$AN$305,0,MATCH($A24,Timeline!$P$4:$AN$4,0))="x")*(Timeline!$K$5:$K$305="Task")*ISNUMBER(Timeline!$I$5:$I$305)*ISNUMBER(Timeline!$J$5:$J$305)*(Timeline!$I$5:$I$305&lt;=AB$4+5)*(Timeline!$J$5:$J$305&gt;=AB$4+5)),SUMPRODUCT((INDEX(Timeline!$P$5:$AN$305,0,MATCH($A24,Timeline!$P$4:$AN$4,0))="x")*(Timeline!$K$5:$K$305="Task")*ISNUMBER(Timeline!$I$5:$I$305)*ISNUMBER(Timeline!$J$5:$J$305)*(Timeline!$I$5:$I$305&lt;=AB$4+6)*(Timeline!$J$5:$J$305&gt;=AB$4+6)))</f>
        <v>1</v>
      </c>
      <c r="AC24" s="67">
        <f>MAX(SUMPRODUCT((INDEX(Timeline!$P$5:$AN$305,0,MATCH($A24,Timeline!$P$4:$AN$4,0))="x")*(Timeline!$K$5:$K$305="Task")*ISNUMBER(Timeline!$I$5:$I$305)*ISNUMBER(Timeline!$J$5:$J$305)*(Timeline!$I$5:$I$305&lt;=AC$4+0)*(Timeline!$J$5:$J$305&gt;=AC$4+0)),SUMPRODUCT((INDEX(Timeline!$P$5:$AN$305,0,MATCH($A24,Timeline!$P$4:$AN$4,0))="x")*(Timeline!$K$5:$K$305="Task")*ISNUMBER(Timeline!$I$5:$I$305)*ISNUMBER(Timeline!$J$5:$J$305)*(Timeline!$I$5:$I$305&lt;=AC$4+1)*(Timeline!$J$5:$J$305&gt;=AC$4+1)),SUMPRODUCT((INDEX(Timeline!$P$5:$AN$305,0,MATCH($A24,Timeline!$P$4:$AN$4,0))="x")*(Timeline!$K$5:$K$305="Task")*ISNUMBER(Timeline!$I$5:$I$305)*ISNUMBER(Timeline!$J$5:$J$305)*(Timeline!$I$5:$I$305&lt;=AC$4+2)*(Timeline!$J$5:$J$305&gt;=AC$4+2)),SUMPRODUCT((INDEX(Timeline!$P$5:$AN$305,0,MATCH($A24,Timeline!$P$4:$AN$4,0))="x")*(Timeline!$K$5:$K$305="Task")*ISNUMBER(Timeline!$I$5:$I$305)*ISNUMBER(Timeline!$J$5:$J$305)*(Timeline!$I$5:$I$305&lt;=AC$4+3)*(Timeline!$J$5:$J$305&gt;=AC$4+3)),SUMPRODUCT((INDEX(Timeline!$P$5:$AN$305,0,MATCH($A24,Timeline!$P$4:$AN$4,0))="x")*(Timeline!$K$5:$K$305="Task")*ISNUMBER(Timeline!$I$5:$I$305)*ISNUMBER(Timeline!$J$5:$J$305)*(Timeline!$I$5:$I$305&lt;=AC$4+4)*(Timeline!$J$5:$J$305&gt;=AC$4+4)),SUMPRODUCT((INDEX(Timeline!$P$5:$AN$305,0,MATCH($A24,Timeline!$P$4:$AN$4,0))="x")*(Timeline!$K$5:$K$305="Task")*ISNUMBER(Timeline!$I$5:$I$305)*ISNUMBER(Timeline!$J$5:$J$305)*(Timeline!$I$5:$I$305&lt;=AC$4+5)*(Timeline!$J$5:$J$305&gt;=AC$4+5)),SUMPRODUCT((INDEX(Timeline!$P$5:$AN$305,0,MATCH($A24,Timeline!$P$4:$AN$4,0))="x")*(Timeline!$K$5:$K$305="Task")*ISNUMBER(Timeline!$I$5:$I$305)*ISNUMBER(Timeline!$J$5:$J$305)*(Timeline!$I$5:$I$305&lt;=AC$4+6)*(Timeline!$J$5:$J$305&gt;=AC$4+6)))</f>
        <v>1</v>
      </c>
      <c r="AD24" s="67">
        <f>MAX(SUMPRODUCT((INDEX(Timeline!$P$5:$AN$305,0,MATCH($A24,Timeline!$P$4:$AN$4,0))="x")*(Timeline!$K$5:$K$305="Task")*ISNUMBER(Timeline!$I$5:$I$305)*ISNUMBER(Timeline!$J$5:$J$305)*(Timeline!$I$5:$I$305&lt;=AD$4+0)*(Timeline!$J$5:$J$305&gt;=AD$4+0)),SUMPRODUCT((INDEX(Timeline!$P$5:$AN$305,0,MATCH($A24,Timeline!$P$4:$AN$4,0))="x")*(Timeline!$K$5:$K$305="Task")*ISNUMBER(Timeline!$I$5:$I$305)*ISNUMBER(Timeline!$J$5:$J$305)*(Timeline!$I$5:$I$305&lt;=AD$4+1)*(Timeline!$J$5:$J$305&gt;=AD$4+1)),SUMPRODUCT((INDEX(Timeline!$P$5:$AN$305,0,MATCH($A24,Timeline!$P$4:$AN$4,0))="x")*(Timeline!$K$5:$K$305="Task")*ISNUMBER(Timeline!$I$5:$I$305)*ISNUMBER(Timeline!$J$5:$J$305)*(Timeline!$I$5:$I$305&lt;=AD$4+2)*(Timeline!$J$5:$J$305&gt;=AD$4+2)),SUMPRODUCT((INDEX(Timeline!$P$5:$AN$305,0,MATCH($A24,Timeline!$P$4:$AN$4,0))="x")*(Timeline!$K$5:$K$305="Task")*ISNUMBER(Timeline!$I$5:$I$305)*ISNUMBER(Timeline!$J$5:$J$305)*(Timeline!$I$5:$I$305&lt;=AD$4+3)*(Timeline!$J$5:$J$305&gt;=AD$4+3)),SUMPRODUCT((INDEX(Timeline!$P$5:$AN$305,0,MATCH($A24,Timeline!$P$4:$AN$4,0))="x")*(Timeline!$K$5:$K$305="Task")*ISNUMBER(Timeline!$I$5:$I$305)*ISNUMBER(Timeline!$J$5:$J$305)*(Timeline!$I$5:$I$305&lt;=AD$4+4)*(Timeline!$J$5:$J$305&gt;=AD$4+4)),SUMPRODUCT((INDEX(Timeline!$P$5:$AN$305,0,MATCH($A24,Timeline!$P$4:$AN$4,0))="x")*(Timeline!$K$5:$K$305="Task")*ISNUMBER(Timeline!$I$5:$I$305)*ISNUMBER(Timeline!$J$5:$J$305)*(Timeline!$I$5:$I$305&lt;=AD$4+5)*(Timeline!$J$5:$J$305&gt;=AD$4+5)),SUMPRODUCT((INDEX(Timeline!$P$5:$AN$305,0,MATCH($A24,Timeline!$P$4:$AN$4,0))="x")*(Timeline!$K$5:$K$305="Task")*ISNUMBER(Timeline!$I$5:$I$305)*ISNUMBER(Timeline!$J$5:$J$305)*(Timeline!$I$5:$I$305&lt;=AD$4+6)*(Timeline!$J$5:$J$305&gt;=AD$4+6)))</f>
        <v>0</v>
      </c>
      <c r="AE24" s="67">
        <f>MAX(SUMPRODUCT((INDEX(Timeline!$P$5:$AN$305,0,MATCH($A24,Timeline!$P$4:$AN$4,0))="x")*(Timeline!$K$5:$K$305="Task")*ISNUMBER(Timeline!$I$5:$I$305)*ISNUMBER(Timeline!$J$5:$J$305)*(Timeline!$I$5:$I$305&lt;=AE$4+0)*(Timeline!$J$5:$J$305&gt;=AE$4+0)),SUMPRODUCT((INDEX(Timeline!$P$5:$AN$305,0,MATCH($A24,Timeline!$P$4:$AN$4,0))="x")*(Timeline!$K$5:$K$305="Task")*ISNUMBER(Timeline!$I$5:$I$305)*ISNUMBER(Timeline!$J$5:$J$305)*(Timeline!$I$5:$I$305&lt;=AE$4+1)*(Timeline!$J$5:$J$305&gt;=AE$4+1)),SUMPRODUCT((INDEX(Timeline!$P$5:$AN$305,0,MATCH($A24,Timeline!$P$4:$AN$4,0))="x")*(Timeline!$K$5:$K$305="Task")*ISNUMBER(Timeline!$I$5:$I$305)*ISNUMBER(Timeline!$J$5:$J$305)*(Timeline!$I$5:$I$305&lt;=AE$4+2)*(Timeline!$J$5:$J$305&gt;=AE$4+2)),SUMPRODUCT((INDEX(Timeline!$P$5:$AN$305,0,MATCH($A24,Timeline!$P$4:$AN$4,0))="x")*(Timeline!$K$5:$K$305="Task")*ISNUMBER(Timeline!$I$5:$I$305)*ISNUMBER(Timeline!$J$5:$J$305)*(Timeline!$I$5:$I$305&lt;=AE$4+3)*(Timeline!$J$5:$J$305&gt;=AE$4+3)),SUMPRODUCT((INDEX(Timeline!$P$5:$AN$305,0,MATCH($A24,Timeline!$P$4:$AN$4,0))="x")*(Timeline!$K$5:$K$305="Task")*ISNUMBER(Timeline!$I$5:$I$305)*ISNUMBER(Timeline!$J$5:$J$305)*(Timeline!$I$5:$I$305&lt;=AE$4+4)*(Timeline!$J$5:$J$305&gt;=AE$4+4)),SUMPRODUCT((INDEX(Timeline!$P$5:$AN$305,0,MATCH($A24,Timeline!$P$4:$AN$4,0))="x")*(Timeline!$K$5:$K$305="Task")*ISNUMBER(Timeline!$I$5:$I$305)*ISNUMBER(Timeline!$J$5:$J$305)*(Timeline!$I$5:$I$305&lt;=AE$4+5)*(Timeline!$J$5:$J$305&gt;=AE$4+5)),SUMPRODUCT((INDEX(Timeline!$P$5:$AN$305,0,MATCH($A24,Timeline!$P$4:$AN$4,0))="x")*(Timeline!$K$5:$K$305="Task")*ISNUMBER(Timeline!$I$5:$I$305)*ISNUMBER(Timeline!$J$5:$J$305)*(Timeline!$I$5:$I$305&lt;=AE$4+6)*(Timeline!$J$5:$J$305&gt;=AE$4+6)))</f>
        <v>0</v>
      </c>
      <c r="AF24" s="67">
        <f>MAX(SUMPRODUCT((INDEX(Timeline!$P$5:$AN$305,0,MATCH($A24,Timeline!$P$4:$AN$4,0))="x")*(Timeline!$K$5:$K$305="Task")*ISNUMBER(Timeline!$I$5:$I$305)*ISNUMBER(Timeline!$J$5:$J$305)*(Timeline!$I$5:$I$305&lt;=AF$4+0)*(Timeline!$J$5:$J$305&gt;=AF$4+0)),SUMPRODUCT((INDEX(Timeline!$P$5:$AN$305,0,MATCH($A24,Timeline!$P$4:$AN$4,0))="x")*(Timeline!$K$5:$K$305="Task")*ISNUMBER(Timeline!$I$5:$I$305)*ISNUMBER(Timeline!$J$5:$J$305)*(Timeline!$I$5:$I$305&lt;=AF$4+1)*(Timeline!$J$5:$J$305&gt;=AF$4+1)),SUMPRODUCT((INDEX(Timeline!$P$5:$AN$305,0,MATCH($A24,Timeline!$P$4:$AN$4,0))="x")*(Timeline!$K$5:$K$305="Task")*ISNUMBER(Timeline!$I$5:$I$305)*ISNUMBER(Timeline!$J$5:$J$305)*(Timeline!$I$5:$I$305&lt;=AF$4+2)*(Timeline!$J$5:$J$305&gt;=AF$4+2)),SUMPRODUCT((INDEX(Timeline!$P$5:$AN$305,0,MATCH($A24,Timeline!$P$4:$AN$4,0))="x")*(Timeline!$K$5:$K$305="Task")*ISNUMBER(Timeline!$I$5:$I$305)*ISNUMBER(Timeline!$J$5:$J$305)*(Timeline!$I$5:$I$305&lt;=AF$4+3)*(Timeline!$J$5:$J$305&gt;=AF$4+3)),SUMPRODUCT((INDEX(Timeline!$P$5:$AN$305,0,MATCH($A24,Timeline!$P$4:$AN$4,0))="x")*(Timeline!$K$5:$K$305="Task")*ISNUMBER(Timeline!$I$5:$I$305)*ISNUMBER(Timeline!$J$5:$J$305)*(Timeline!$I$5:$I$305&lt;=AF$4+4)*(Timeline!$J$5:$J$305&gt;=AF$4+4)),SUMPRODUCT((INDEX(Timeline!$P$5:$AN$305,0,MATCH($A24,Timeline!$P$4:$AN$4,0))="x")*(Timeline!$K$5:$K$305="Task")*ISNUMBER(Timeline!$I$5:$I$305)*ISNUMBER(Timeline!$J$5:$J$305)*(Timeline!$I$5:$I$305&lt;=AF$4+5)*(Timeline!$J$5:$J$305&gt;=AF$4+5)),SUMPRODUCT((INDEX(Timeline!$P$5:$AN$305,0,MATCH($A24,Timeline!$P$4:$AN$4,0))="x")*(Timeline!$K$5:$K$305="Task")*ISNUMBER(Timeline!$I$5:$I$305)*ISNUMBER(Timeline!$J$5:$J$305)*(Timeline!$I$5:$I$305&lt;=AF$4+6)*(Timeline!$J$5:$J$305&gt;=AF$4+6)))</f>
        <v>0</v>
      </c>
      <c r="AG24" s="67">
        <f>MAX(SUMPRODUCT((INDEX(Timeline!$P$5:$AN$305,0,MATCH($A24,Timeline!$P$4:$AN$4,0))="x")*(Timeline!$K$5:$K$305="Task")*ISNUMBER(Timeline!$I$5:$I$305)*ISNUMBER(Timeline!$J$5:$J$305)*(Timeline!$I$5:$I$305&lt;=AG$4+0)*(Timeline!$J$5:$J$305&gt;=AG$4+0)),SUMPRODUCT((INDEX(Timeline!$P$5:$AN$305,0,MATCH($A24,Timeline!$P$4:$AN$4,0))="x")*(Timeline!$K$5:$K$305="Task")*ISNUMBER(Timeline!$I$5:$I$305)*ISNUMBER(Timeline!$J$5:$J$305)*(Timeline!$I$5:$I$305&lt;=AG$4+1)*(Timeline!$J$5:$J$305&gt;=AG$4+1)),SUMPRODUCT((INDEX(Timeline!$P$5:$AN$305,0,MATCH($A24,Timeline!$P$4:$AN$4,0))="x")*(Timeline!$K$5:$K$305="Task")*ISNUMBER(Timeline!$I$5:$I$305)*ISNUMBER(Timeline!$J$5:$J$305)*(Timeline!$I$5:$I$305&lt;=AG$4+2)*(Timeline!$J$5:$J$305&gt;=AG$4+2)),SUMPRODUCT((INDEX(Timeline!$P$5:$AN$305,0,MATCH($A24,Timeline!$P$4:$AN$4,0))="x")*(Timeline!$K$5:$K$305="Task")*ISNUMBER(Timeline!$I$5:$I$305)*ISNUMBER(Timeline!$J$5:$J$305)*(Timeline!$I$5:$I$305&lt;=AG$4+3)*(Timeline!$J$5:$J$305&gt;=AG$4+3)),SUMPRODUCT((INDEX(Timeline!$P$5:$AN$305,0,MATCH($A24,Timeline!$P$4:$AN$4,0))="x")*(Timeline!$K$5:$K$305="Task")*ISNUMBER(Timeline!$I$5:$I$305)*ISNUMBER(Timeline!$J$5:$J$305)*(Timeline!$I$5:$I$305&lt;=AG$4+4)*(Timeline!$J$5:$J$305&gt;=AG$4+4)),SUMPRODUCT((INDEX(Timeline!$P$5:$AN$305,0,MATCH($A24,Timeline!$P$4:$AN$4,0))="x")*(Timeline!$K$5:$K$305="Task")*ISNUMBER(Timeline!$I$5:$I$305)*ISNUMBER(Timeline!$J$5:$J$305)*(Timeline!$I$5:$I$305&lt;=AG$4+5)*(Timeline!$J$5:$J$305&gt;=AG$4+5)),SUMPRODUCT((INDEX(Timeline!$P$5:$AN$305,0,MATCH($A24,Timeline!$P$4:$AN$4,0))="x")*(Timeline!$K$5:$K$305="Task")*ISNUMBER(Timeline!$I$5:$I$305)*ISNUMBER(Timeline!$J$5:$J$305)*(Timeline!$I$5:$I$305&lt;=AG$4+6)*(Timeline!$J$5:$J$305&gt;=AG$4+6)))</f>
        <v>0</v>
      </c>
      <c r="AH24" s="67">
        <f>MAX(SUMPRODUCT((INDEX(Timeline!$P$5:$AN$305,0,MATCH($A24,Timeline!$P$4:$AN$4,0))="x")*(Timeline!$K$5:$K$305="Task")*ISNUMBER(Timeline!$I$5:$I$305)*ISNUMBER(Timeline!$J$5:$J$305)*(Timeline!$I$5:$I$305&lt;=AH$4+0)*(Timeline!$J$5:$J$305&gt;=AH$4+0)),SUMPRODUCT((INDEX(Timeline!$P$5:$AN$305,0,MATCH($A24,Timeline!$P$4:$AN$4,0))="x")*(Timeline!$K$5:$K$305="Task")*ISNUMBER(Timeline!$I$5:$I$305)*ISNUMBER(Timeline!$J$5:$J$305)*(Timeline!$I$5:$I$305&lt;=AH$4+1)*(Timeline!$J$5:$J$305&gt;=AH$4+1)),SUMPRODUCT((INDEX(Timeline!$P$5:$AN$305,0,MATCH($A24,Timeline!$P$4:$AN$4,0))="x")*(Timeline!$K$5:$K$305="Task")*ISNUMBER(Timeline!$I$5:$I$305)*ISNUMBER(Timeline!$J$5:$J$305)*(Timeline!$I$5:$I$305&lt;=AH$4+2)*(Timeline!$J$5:$J$305&gt;=AH$4+2)),SUMPRODUCT((INDEX(Timeline!$P$5:$AN$305,0,MATCH($A24,Timeline!$P$4:$AN$4,0))="x")*(Timeline!$K$5:$K$305="Task")*ISNUMBER(Timeline!$I$5:$I$305)*ISNUMBER(Timeline!$J$5:$J$305)*(Timeline!$I$5:$I$305&lt;=AH$4+3)*(Timeline!$J$5:$J$305&gt;=AH$4+3)),SUMPRODUCT((INDEX(Timeline!$P$5:$AN$305,0,MATCH($A24,Timeline!$P$4:$AN$4,0))="x")*(Timeline!$K$5:$K$305="Task")*ISNUMBER(Timeline!$I$5:$I$305)*ISNUMBER(Timeline!$J$5:$J$305)*(Timeline!$I$5:$I$305&lt;=AH$4+4)*(Timeline!$J$5:$J$305&gt;=AH$4+4)),SUMPRODUCT((INDEX(Timeline!$P$5:$AN$305,0,MATCH($A24,Timeline!$P$4:$AN$4,0))="x")*(Timeline!$K$5:$K$305="Task")*ISNUMBER(Timeline!$I$5:$I$305)*ISNUMBER(Timeline!$J$5:$J$305)*(Timeline!$I$5:$I$305&lt;=AH$4+5)*(Timeline!$J$5:$J$305&gt;=AH$4+5)),SUMPRODUCT((INDEX(Timeline!$P$5:$AN$305,0,MATCH($A24,Timeline!$P$4:$AN$4,0))="x")*(Timeline!$K$5:$K$305="Task")*ISNUMBER(Timeline!$I$5:$I$305)*ISNUMBER(Timeline!$J$5:$J$305)*(Timeline!$I$5:$I$305&lt;=AH$4+6)*(Timeline!$J$5:$J$305&gt;=AH$4+6)))</f>
        <v>0</v>
      </c>
      <c r="AI24" s="67">
        <f>MAX(SUMPRODUCT((INDEX(Timeline!$P$5:$AN$305,0,MATCH($A24,Timeline!$P$4:$AN$4,0))="x")*(Timeline!$K$5:$K$305="Task")*ISNUMBER(Timeline!$I$5:$I$305)*ISNUMBER(Timeline!$J$5:$J$305)*(Timeline!$I$5:$I$305&lt;=AI$4+0)*(Timeline!$J$5:$J$305&gt;=AI$4+0)),SUMPRODUCT((INDEX(Timeline!$P$5:$AN$305,0,MATCH($A24,Timeline!$P$4:$AN$4,0))="x")*(Timeline!$K$5:$K$305="Task")*ISNUMBER(Timeline!$I$5:$I$305)*ISNUMBER(Timeline!$J$5:$J$305)*(Timeline!$I$5:$I$305&lt;=AI$4+1)*(Timeline!$J$5:$J$305&gt;=AI$4+1)),SUMPRODUCT((INDEX(Timeline!$P$5:$AN$305,0,MATCH($A24,Timeline!$P$4:$AN$4,0))="x")*(Timeline!$K$5:$K$305="Task")*ISNUMBER(Timeline!$I$5:$I$305)*ISNUMBER(Timeline!$J$5:$J$305)*(Timeline!$I$5:$I$305&lt;=AI$4+2)*(Timeline!$J$5:$J$305&gt;=AI$4+2)),SUMPRODUCT((INDEX(Timeline!$P$5:$AN$305,0,MATCH($A24,Timeline!$P$4:$AN$4,0))="x")*(Timeline!$K$5:$K$305="Task")*ISNUMBER(Timeline!$I$5:$I$305)*ISNUMBER(Timeline!$J$5:$J$305)*(Timeline!$I$5:$I$305&lt;=AI$4+3)*(Timeline!$J$5:$J$305&gt;=AI$4+3)),SUMPRODUCT((INDEX(Timeline!$P$5:$AN$305,0,MATCH($A24,Timeline!$P$4:$AN$4,0))="x")*(Timeline!$K$5:$K$305="Task")*ISNUMBER(Timeline!$I$5:$I$305)*ISNUMBER(Timeline!$J$5:$J$305)*(Timeline!$I$5:$I$305&lt;=AI$4+4)*(Timeline!$J$5:$J$305&gt;=AI$4+4)),SUMPRODUCT((INDEX(Timeline!$P$5:$AN$305,0,MATCH($A24,Timeline!$P$4:$AN$4,0))="x")*(Timeline!$K$5:$K$305="Task")*ISNUMBER(Timeline!$I$5:$I$305)*ISNUMBER(Timeline!$J$5:$J$305)*(Timeline!$I$5:$I$305&lt;=AI$4+5)*(Timeline!$J$5:$J$305&gt;=AI$4+5)),SUMPRODUCT((INDEX(Timeline!$P$5:$AN$305,0,MATCH($A24,Timeline!$P$4:$AN$4,0))="x")*(Timeline!$K$5:$K$305="Task")*ISNUMBER(Timeline!$I$5:$I$305)*ISNUMBER(Timeline!$J$5:$J$305)*(Timeline!$I$5:$I$305&lt;=AI$4+6)*(Timeline!$J$5:$J$305&gt;=AI$4+6)))</f>
        <v>0</v>
      </c>
      <c r="AJ24" s="67">
        <f>MAX(SUMPRODUCT((INDEX(Timeline!$P$5:$AN$305,0,MATCH($A24,Timeline!$P$4:$AN$4,0))="x")*(Timeline!$K$5:$K$305="Task")*ISNUMBER(Timeline!$I$5:$I$305)*ISNUMBER(Timeline!$J$5:$J$305)*(Timeline!$I$5:$I$305&lt;=AJ$4+0)*(Timeline!$J$5:$J$305&gt;=AJ$4+0)),SUMPRODUCT((INDEX(Timeline!$P$5:$AN$305,0,MATCH($A24,Timeline!$P$4:$AN$4,0))="x")*(Timeline!$K$5:$K$305="Task")*ISNUMBER(Timeline!$I$5:$I$305)*ISNUMBER(Timeline!$J$5:$J$305)*(Timeline!$I$5:$I$305&lt;=AJ$4+1)*(Timeline!$J$5:$J$305&gt;=AJ$4+1)),SUMPRODUCT((INDEX(Timeline!$P$5:$AN$305,0,MATCH($A24,Timeline!$P$4:$AN$4,0))="x")*(Timeline!$K$5:$K$305="Task")*ISNUMBER(Timeline!$I$5:$I$305)*ISNUMBER(Timeline!$J$5:$J$305)*(Timeline!$I$5:$I$305&lt;=AJ$4+2)*(Timeline!$J$5:$J$305&gt;=AJ$4+2)),SUMPRODUCT((INDEX(Timeline!$P$5:$AN$305,0,MATCH($A24,Timeline!$P$4:$AN$4,0))="x")*(Timeline!$K$5:$K$305="Task")*ISNUMBER(Timeline!$I$5:$I$305)*ISNUMBER(Timeline!$J$5:$J$305)*(Timeline!$I$5:$I$305&lt;=AJ$4+3)*(Timeline!$J$5:$J$305&gt;=AJ$4+3)),SUMPRODUCT((INDEX(Timeline!$P$5:$AN$305,0,MATCH($A24,Timeline!$P$4:$AN$4,0))="x")*(Timeline!$K$5:$K$305="Task")*ISNUMBER(Timeline!$I$5:$I$305)*ISNUMBER(Timeline!$J$5:$J$305)*(Timeline!$I$5:$I$305&lt;=AJ$4+4)*(Timeline!$J$5:$J$305&gt;=AJ$4+4)),SUMPRODUCT((INDEX(Timeline!$P$5:$AN$305,0,MATCH($A24,Timeline!$P$4:$AN$4,0))="x")*(Timeline!$K$5:$K$305="Task")*ISNUMBER(Timeline!$I$5:$I$305)*ISNUMBER(Timeline!$J$5:$J$305)*(Timeline!$I$5:$I$305&lt;=AJ$4+5)*(Timeline!$J$5:$J$305&gt;=AJ$4+5)),SUMPRODUCT((INDEX(Timeline!$P$5:$AN$305,0,MATCH($A24,Timeline!$P$4:$AN$4,0))="x")*(Timeline!$K$5:$K$305="Task")*ISNUMBER(Timeline!$I$5:$I$305)*ISNUMBER(Timeline!$J$5:$J$305)*(Timeline!$I$5:$I$305&lt;=AJ$4+6)*(Timeline!$J$5:$J$305&gt;=AJ$4+6)))</f>
        <v>0</v>
      </c>
      <c r="AK24" s="67">
        <f>MAX(SUMPRODUCT((INDEX(Timeline!$P$5:$AN$305,0,MATCH($A24,Timeline!$P$4:$AN$4,0))="x")*(Timeline!$K$5:$K$305="Task")*ISNUMBER(Timeline!$I$5:$I$305)*ISNUMBER(Timeline!$J$5:$J$305)*(Timeline!$I$5:$I$305&lt;=AK$4+0)*(Timeline!$J$5:$J$305&gt;=AK$4+0)),SUMPRODUCT((INDEX(Timeline!$P$5:$AN$305,0,MATCH($A24,Timeline!$P$4:$AN$4,0))="x")*(Timeline!$K$5:$K$305="Task")*ISNUMBER(Timeline!$I$5:$I$305)*ISNUMBER(Timeline!$J$5:$J$305)*(Timeline!$I$5:$I$305&lt;=AK$4+1)*(Timeline!$J$5:$J$305&gt;=AK$4+1)),SUMPRODUCT((INDEX(Timeline!$P$5:$AN$305,0,MATCH($A24,Timeline!$P$4:$AN$4,0))="x")*(Timeline!$K$5:$K$305="Task")*ISNUMBER(Timeline!$I$5:$I$305)*ISNUMBER(Timeline!$J$5:$J$305)*(Timeline!$I$5:$I$305&lt;=AK$4+2)*(Timeline!$J$5:$J$305&gt;=AK$4+2)),SUMPRODUCT((INDEX(Timeline!$P$5:$AN$305,0,MATCH($A24,Timeline!$P$4:$AN$4,0))="x")*(Timeline!$K$5:$K$305="Task")*ISNUMBER(Timeline!$I$5:$I$305)*ISNUMBER(Timeline!$J$5:$J$305)*(Timeline!$I$5:$I$305&lt;=AK$4+3)*(Timeline!$J$5:$J$305&gt;=AK$4+3)),SUMPRODUCT((INDEX(Timeline!$P$5:$AN$305,0,MATCH($A24,Timeline!$P$4:$AN$4,0))="x")*(Timeline!$K$5:$K$305="Task")*ISNUMBER(Timeline!$I$5:$I$305)*ISNUMBER(Timeline!$J$5:$J$305)*(Timeline!$I$5:$I$305&lt;=AK$4+4)*(Timeline!$J$5:$J$305&gt;=AK$4+4)),SUMPRODUCT((INDEX(Timeline!$P$5:$AN$305,0,MATCH($A24,Timeline!$P$4:$AN$4,0))="x")*(Timeline!$K$5:$K$305="Task")*ISNUMBER(Timeline!$I$5:$I$305)*ISNUMBER(Timeline!$J$5:$J$305)*(Timeline!$I$5:$I$305&lt;=AK$4+5)*(Timeline!$J$5:$J$305&gt;=AK$4+5)),SUMPRODUCT((INDEX(Timeline!$P$5:$AN$305,0,MATCH($A24,Timeline!$P$4:$AN$4,0))="x")*(Timeline!$K$5:$K$305="Task")*ISNUMBER(Timeline!$I$5:$I$305)*ISNUMBER(Timeline!$J$5:$J$305)*(Timeline!$I$5:$I$305&lt;=AK$4+6)*(Timeline!$J$5:$J$305&gt;=AK$4+6)))</f>
        <v>1</v>
      </c>
      <c r="AL24" s="67">
        <f>MAX(SUMPRODUCT((INDEX(Timeline!$P$5:$AN$305,0,MATCH($A24,Timeline!$P$4:$AN$4,0))="x")*(Timeline!$K$5:$K$305="Task")*ISNUMBER(Timeline!$I$5:$I$305)*ISNUMBER(Timeline!$J$5:$J$305)*(Timeline!$I$5:$I$305&lt;=AL$4+0)*(Timeline!$J$5:$J$305&gt;=AL$4+0)),SUMPRODUCT((INDEX(Timeline!$P$5:$AN$305,0,MATCH($A24,Timeline!$P$4:$AN$4,0))="x")*(Timeline!$K$5:$K$305="Task")*ISNUMBER(Timeline!$I$5:$I$305)*ISNUMBER(Timeline!$J$5:$J$305)*(Timeline!$I$5:$I$305&lt;=AL$4+1)*(Timeline!$J$5:$J$305&gt;=AL$4+1)),SUMPRODUCT((INDEX(Timeline!$P$5:$AN$305,0,MATCH($A24,Timeline!$P$4:$AN$4,0))="x")*(Timeline!$K$5:$K$305="Task")*ISNUMBER(Timeline!$I$5:$I$305)*ISNUMBER(Timeline!$J$5:$J$305)*(Timeline!$I$5:$I$305&lt;=AL$4+2)*(Timeline!$J$5:$J$305&gt;=AL$4+2)),SUMPRODUCT((INDEX(Timeline!$P$5:$AN$305,0,MATCH($A24,Timeline!$P$4:$AN$4,0))="x")*(Timeline!$K$5:$K$305="Task")*ISNUMBER(Timeline!$I$5:$I$305)*ISNUMBER(Timeline!$J$5:$J$305)*(Timeline!$I$5:$I$305&lt;=AL$4+3)*(Timeline!$J$5:$J$305&gt;=AL$4+3)),SUMPRODUCT((INDEX(Timeline!$P$5:$AN$305,0,MATCH($A24,Timeline!$P$4:$AN$4,0))="x")*(Timeline!$K$5:$K$305="Task")*ISNUMBER(Timeline!$I$5:$I$305)*ISNUMBER(Timeline!$J$5:$J$305)*(Timeline!$I$5:$I$305&lt;=AL$4+4)*(Timeline!$J$5:$J$305&gt;=AL$4+4)),SUMPRODUCT((INDEX(Timeline!$P$5:$AN$305,0,MATCH($A24,Timeline!$P$4:$AN$4,0))="x")*(Timeline!$K$5:$K$305="Task")*ISNUMBER(Timeline!$I$5:$I$305)*ISNUMBER(Timeline!$J$5:$J$305)*(Timeline!$I$5:$I$305&lt;=AL$4+5)*(Timeline!$J$5:$J$305&gt;=AL$4+5)),SUMPRODUCT((INDEX(Timeline!$P$5:$AN$305,0,MATCH($A24,Timeline!$P$4:$AN$4,0))="x")*(Timeline!$K$5:$K$305="Task")*ISNUMBER(Timeline!$I$5:$I$305)*ISNUMBER(Timeline!$J$5:$J$305)*(Timeline!$I$5:$I$305&lt;=AL$4+6)*(Timeline!$J$5:$J$305&gt;=AL$4+6)))</f>
        <v>0</v>
      </c>
      <c r="AM24" s="67">
        <f>MAX(SUMPRODUCT((INDEX(Timeline!$P$5:$AN$305,0,MATCH($A24,Timeline!$P$4:$AN$4,0))="x")*(Timeline!$K$5:$K$305="Task")*ISNUMBER(Timeline!$I$5:$I$305)*ISNUMBER(Timeline!$J$5:$J$305)*(Timeline!$I$5:$I$305&lt;=AM$4+0)*(Timeline!$J$5:$J$305&gt;=AM$4+0)),SUMPRODUCT((INDEX(Timeline!$P$5:$AN$305,0,MATCH($A24,Timeline!$P$4:$AN$4,0))="x")*(Timeline!$K$5:$K$305="Task")*ISNUMBER(Timeline!$I$5:$I$305)*ISNUMBER(Timeline!$J$5:$J$305)*(Timeline!$I$5:$I$305&lt;=AM$4+1)*(Timeline!$J$5:$J$305&gt;=AM$4+1)),SUMPRODUCT((INDEX(Timeline!$P$5:$AN$305,0,MATCH($A24,Timeline!$P$4:$AN$4,0))="x")*(Timeline!$K$5:$K$305="Task")*ISNUMBER(Timeline!$I$5:$I$305)*ISNUMBER(Timeline!$J$5:$J$305)*(Timeline!$I$5:$I$305&lt;=AM$4+2)*(Timeline!$J$5:$J$305&gt;=AM$4+2)),SUMPRODUCT((INDEX(Timeline!$P$5:$AN$305,0,MATCH($A24,Timeline!$P$4:$AN$4,0))="x")*(Timeline!$K$5:$K$305="Task")*ISNUMBER(Timeline!$I$5:$I$305)*ISNUMBER(Timeline!$J$5:$J$305)*(Timeline!$I$5:$I$305&lt;=AM$4+3)*(Timeline!$J$5:$J$305&gt;=AM$4+3)),SUMPRODUCT((INDEX(Timeline!$P$5:$AN$305,0,MATCH($A24,Timeline!$P$4:$AN$4,0))="x")*(Timeline!$K$5:$K$305="Task")*ISNUMBER(Timeline!$I$5:$I$305)*ISNUMBER(Timeline!$J$5:$J$305)*(Timeline!$I$5:$I$305&lt;=AM$4+4)*(Timeline!$J$5:$J$305&gt;=AM$4+4)),SUMPRODUCT((INDEX(Timeline!$P$5:$AN$305,0,MATCH($A24,Timeline!$P$4:$AN$4,0))="x")*(Timeline!$K$5:$K$305="Task")*ISNUMBER(Timeline!$I$5:$I$305)*ISNUMBER(Timeline!$J$5:$J$305)*(Timeline!$I$5:$I$305&lt;=AM$4+5)*(Timeline!$J$5:$J$305&gt;=AM$4+5)),SUMPRODUCT((INDEX(Timeline!$P$5:$AN$305,0,MATCH($A24,Timeline!$P$4:$AN$4,0))="x")*(Timeline!$K$5:$K$305="Task")*ISNUMBER(Timeline!$I$5:$I$305)*ISNUMBER(Timeline!$J$5:$J$305)*(Timeline!$I$5:$I$305&lt;=AM$4+6)*(Timeline!$J$5:$J$305&gt;=AM$4+6)))</f>
        <v>0</v>
      </c>
      <c r="AN24" s="67">
        <f>MAX(SUMPRODUCT((INDEX(Timeline!$P$5:$AN$305,0,MATCH($A24,Timeline!$P$4:$AN$4,0))="x")*(Timeline!$K$5:$K$305="Task")*ISNUMBER(Timeline!$I$5:$I$305)*ISNUMBER(Timeline!$J$5:$J$305)*(Timeline!$I$5:$I$305&lt;=AN$4+0)*(Timeline!$J$5:$J$305&gt;=AN$4+0)),SUMPRODUCT((INDEX(Timeline!$P$5:$AN$305,0,MATCH($A24,Timeline!$P$4:$AN$4,0))="x")*(Timeline!$K$5:$K$305="Task")*ISNUMBER(Timeline!$I$5:$I$305)*ISNUMBER(Timeline!$J$5:$J$305)*(Timeline!$I$5:$I$305&lt;=AN$4+1)*(Timeline!$J$5:$J$305&gt;=AN$4+1)),SUMPRODUCT((INDEX(Timeline!$P$5:$AN$305,0,MATCH($A24,Timeline!$P$4:$AN$4,0))="x")*(Timeline!$K$5:$K$305="Task")*ISNUMBER(Timeline!$I$5:$I$305)*ISNUMBER(Timeline!$J$5:$J$305)*(Timeline!$I$5:$I$305&lt;=AN$4+2)*(Timeline!$J$5:$J$305&gt;=AN$4+2)),SUMPRODUCT((INDEX(Timeline!$P$5:$AN$305,0,MATCH($A24,Timeline!$P$4:$AN$4,0))="x")*(Timeline!$K$5:$K$305="Task")*ISNUMBER(Timeline!$I$5:$I$305)*ISNUMBER(Timeline!$J$5:$J$305)*(Timeline!$I$5:$I$305&lt;=AN$4+3)*(Timeline!$J$5:$J$305&gt;=AN$4+3)),SUMPRODUCT((INDEX(Timeline!$P$5:$AN$305,0,MATCH($A24,Timeline!$P$4:$AN$4,0))="x")*(Timeline!$K$5:$K$305="Task")*ISNUMBER(Timeline!$I$5:$I$305)*ISNUMBER(Timeline!$J$5:$J$305)*(Timeline!$I$5:$I$305&lt;=AN$4+4)*(Timeline!$J$5:$J$305&gt;=AN$4+4)),SUMPRODUCT((INDEX(Timeline!$P$5:$AN$305,0,MATCH($A24,Timeline!$P$4:$AN$4,0))="x")*(Timeline!$K$5:$K$305="Task")*ISNUMBER(Timeline!$I$5:$I$305)*ISNUMBER(Timeline!$J$5:$J$305)*(Timeline!$I$5:$I$305&lt;=AN$4+5)*(Timeline!$J$5:$J$305&gt;=AN$4+5)),SUMPRODUCT((INDEX(Timeline!$P$5:$AN$305,0,MATCH($A24,Timeline!$P$4:$AN$4,0))="x")*(Timeline!$K$5:$K$305="Task")*ISNUMBER(Timeline!$I$5:$I$305)*ISNUMBER(Timeline!$J$5:$J$305)*(Timeline!$I$5:$I$305&lt;=AN$4+6)*(Timeline!$J$5:$J$305&gt;=AN$4+6)))</f>
        <v>0</v>
      </c>
      <c r="AO24" s="67">
        <f>MAX(SUMPRODUCT((INDEX(Timeline!$P$5:$AN$305,0,MATCH($A24,Timeline!$P$4:$AN$4,0))="x")*(Timeline!$K$5:$K$305="Task")*ISNUMBER(Timeline!$I$5:$I$305)*ISNUMBER(Timeline!$J$5:$J$305)*(Timeline!$I$5:$I$305&lt;=AO$4+0)*(Timeline!$J$5:$J$305&gt;=AO$4+0)),SUMPRODUCT((INDEX(Timeline!$P$5:$AN$305,0,MATCH($A24,Timeline!$P$4:$AN$4,0))="x")*(Timeline!$K$5:$K$305="Task")*ISNUMBER(Timeline!$I$5:$I$305)*ISNUMBER(Timeline!$J$5:$J$305)*(Timeline!$I$5:$I$305&lt;=AO$4+1)*(Timeline!$J$5:$J$305&gt;=AO$4+1)),SUMPRODUCT((INDEX(Timeline!$P$5:$AN$305,0,MATCH($A24,Timeline!$P$4:$AN$4,0))="x")*(Timeline!$K$5:$K$305="Task")*ISNUMBER(Timeline!$I$5:$I$305)*ISNUMBER(Timeline!$J$5:$J$305)*(Timeline!$I$5:$I$305&lt;=AO$4+2)*(Timeline!$J$5:$J$305&gt;=AO$4+2)),SUMPRODUCT((INDEX(Timeline!$P$5:$AN$305,0,MATCH($A24,Timeline!$P$4:$AN$4,0))="x")*(Timeline!$K$5:$K$305="Task")*ISNUMBER(Timeline!$I$5:$I$305)*ISNUMBER(Timeline!$J$5:$J$305)*(Timeline!$I$5:$I$305&lt;=AO$4+3)*(Timeline!$J$5:$J$305&gt;=AO$4+3)),SUMPRODUCT((INDEX(Timeline!$P$5:$AN$305,0,MATCH($A24,Timeline!$P$4:$AN$4,0))="x")*(Timeline!$K$5:$K$305="Task")*ISNUMBER(Timeline!$I$5:$I$305)*ISNUMBER(Timeline!$J$5:$J$305)*(Timeline!$I$5:$I$305&lt;=AO$4+4)*(Timeline!$J$5:$J$305&gt;=AO$4+4)),SUMPRODUCT((INDEX(Timeline!$P$5:$AN$305,0,MATCH($A24,Timeline!$P$4:$AN$4,0))="x")*(Timeline!$K$5:$K$305="Task")*ISNUMBER(Timeline!$I$5:$I$305)*ISNUMBER(Timeline!$J$5:$J$305)*(Timeline!$I$5:$I$305&lt;=AO$4+5)*(Timeline!$J$5:$J$305&gt;=AO$4+5)),SUMPRODUCT((INDEX(Timeline!$P$5:$AN$305,0,MATCH($A24,Timeline!$P$4:$AN$4,0))="x")*(Timeline!$K$5:$K$305="Task")*ISNUMBER(Timeline!$I$5:$I$305)*ISNUMBER(Timeline!$J$5:$J$305)*(Timeline!$I$5:$I$305&lt;=AO$4+6)*(Timeline!$J$5:$J$305&gt;=AO$4+6)))</f>
        <v>0</v>
      </c>
      <c r="AP24" s="67">
        <f>MAX(SUMPRODUCT((INDEX(Timeline!$P$5:$AN$305,0,MATCH($A24,Timeline!$P$4:$AN$4,0))="x")*(Timeline!$K$5:$K$305="Task")*ISNUMBER(Timeline!$I$5:$I$305)*ISNUMBER(Timeline!$J$5:$J$305)*(Timeline!$I$5:$I$305&lt;=AP$4+0)*(Timeline!$J$5:$J$305&gt;=AP$4+0)),SUMPRODUCT((INDEX(Timeline!$P$5:$AN$305,0,MATCH($A24,Timeline!$P$4:$AN$4,0))="x")*(Timeline!$K$5:$K$305="Task")*ISNUMBER(Timeline!$I$5:$I$305)*ISNUMBER(Timeline!$J$5:$J$305)*(Timeline!$I$5:$I$305&lt;=AP$4+1)*(Timeline!$J$5:$J$305&gt;=AP$4+1)),SUMPRODUCT((INDEX(Timeline!$P$5:$AN$305,0,MATCH($A24,Timeline!$P$4:$AN$4,0))="x")*(Timeline!$K$5:$K$305="Task")*ISNUMBER(Timeline!$I$5:$I$305)*ISNUMBER(Timeline!$J$5:$J$305)*(Timeline!$I$5:$I$305&lt;=AP$4+2)*(Timeline!$J$5:$J$305&gt;=AP$4+2)),SUMPRODUCT((INDEX(Timeline!$P$5:$AN$305,0,MATCH($A24,Timeline!$P$4:$AN$4,0))="x")*(Timeline!$K$5:$K$305="Task")*ISNUMBER(Timeline!$I$5:$I$305)*ISNUMBER(Timeline!$J$5:$J$305)*(Timeline!$I$5:$I$305&lt;=AP$4+3)*(Timeline!$J$5:$J$305&gt;=AP$4+3)),SUMPRODUCT((INDEX(Timeline!$P$5:$AN$305,0,MATCH($A24,Timeline!$P$4:$AN$4,0))="x")*(Timeline!$K$5:$K$305="Task")*ISNUMBER(Timeline!$I$5:$I$305)*ISNUMBER(Timeline!$J$5:$J$305)*(Timeline!$I$5:$I$305&lt;=AP$4+4)*(Timeline!$J$5:$J$305&gt;=AP$4+4)),SUMPRODUCT((INDEX(Timeline!$P$5:$AN$305,0,MATCH($A24,Timeline!$P$4:$AN$4,0))="x")*(Timeline!$K$5:$K$305="Task")*ISNUMBER(Timeline!$I$5:$I$305)*ISNUMBER(Timeline!$J$5:$J$305)*(Timeline!$I$5:$I$305&lt;=AP$4+5)*(Timeline!$J$5:$J$305&gt;=AP$4+5)),SUMPRODUCT((INDEX(Timeline!$P$5:$AN$305,0,MATCH($A24,Timeline!$P$4:$AN$4,0))="x")*(Timeline!$K$5:$K$305="Task")*ISNUMBER(Timeline!$I$5:$I$305)*ISNUMBER(Timeline!$J$5:$J$305)*(Timeline!$I$5:$I$305&lt;=AP$4+6)*(Timeline!$J$5:$J$305&gt;=AP$4+6)))</f>
        <v>0</v>
      </c>
      <c r="AQ24" s="67">
        <f>MAX(SUMPRODUCT((INDEX(Timeline!$P$5:$AN$305,0,MATCH($A24,Timeline!$P$4:$AN$4,0))="x")*(Timeline!$K$5:$K$305="Task")*ISNUMBER(Timeline!$I$5:$I$305)*ISNUMBER(Timeline!$J$5:$J$305)*(Timeline!$I$5:$I$305&lt;=AQ$4+0)*(Timeline!$J$5:$J$305&gt;=AQ$4+0)),SUMPRODUCT((INDEX(Timeline!$P$5:$AN$305,0,MATCH($A24,Timeline!$P$4:$AN$4,0))="x")*(Timeline!$K$5:$K$305="Task")*ISNUMBER(Timeline!$I$5:$I$305)*ISNUMBER(Timeline!$J$5:$J$305)*(Timeline!$I$5:$I$305&lt;=AQ$4+1)*(Timeline!$J$5:$J$305&gt;=AQ$4+1)),SUMPRODUCT((INDEX(Timeline!$P$5:$AN$305,0,MATCH($A24,Timeline!$P$4:$AN$4,0))="x")*(Timeline!$K$5:$K$305="Task")*ISNUMBER(Timeline!$I$5:$I$305)*ISNUMBER(Timeline!$J$5:$J$305)*(Timeline!$I$5:$I$305&lt;=AQ$4+2)*(Timeline!$J$5:$J$305&gt;=AQ$4+2)),SUMPRODUCT((INDEX(Timeline!$P$5:$AN$305,0,MATCH($A24,Timeline!$P$4:$AN$4,0))="x")*(Timeline!$K$5:$K$305="Task")*ISNUMBER(Timeline!$I$5:$I$305)*ISNUMBER(Timeline!$J$5:$J$305)*(Timeline!$I$5:$I$305&lt;=AQ$4+3)*(Timeline!$J$5:$J$305&gt;=AQ$4+3)),SUMPRODUCT((INDEX(Timeline!$P$5:$AN$305,0,MATCH($A24,Timeline!$P$4:$AN$4,0))="x")*(Timeline!$K$5:$K$305="Task")*ISNUMBER(Timeline!$I$5:$I$305)*ISNUMBER(Timeline!$J$5:$J$305)*(Timeline!$I$5:$I$305&lt;=AQ$4+4)*(Timeline!$J$5:$J$305&gt;=AQ$4+4)),SUMPRODUCT((INDEX(Timeline!$P$5:$AN$305,0,MATCH($A24,Timeline!$P$4:$AN$4,0))="x")*(Timeline!$K$5:$K$305="Task")*ISNUMBER(Timeline!$I$5:$I$305)*ISNUMBER(Timeline!$J$5:$J$305)*(Timeline!$I$5:$I$305&lt;=AQ$4+5)*(Timeline!$J$5:$J$305&gt;=AQ$4+5)),SUMPRODUCT((INDEX(Timeline!$P$5:$AN$305,0,MATCH($A24,Timeline!$P$4:$AN$4,0))="x")*(Timeline!$K$5:$K$305="Task")*ISNUMBER(Timeline!$I$5:$I$305)*ISNUMBER(Timeline!$J$5:$J$305)*(Timeline!$I$5:$I$305&lt;=AQ$4+6)*(Timeline!$J$5:$J$305&gt;=AQ$4+6)))</f>
        <v>0</v>
      </c>
      <c r="AR24" s="67">
        <f>MAX(SUMPRODUCT((INDEX(Timeline!$P$5:$AN$305,0,MATCH($A24,Timeline!$P$4:$AN$4,0))="x")*(Timeline!$K$5:$K$305="Task")*ISNUMBER(Timeline!$I$5:$I$305)*ISNUMBER(Timeline!$J$5:$J$305)*(Timeline!$I$5:$I$305&lt;=AR$4+0)*(Timeline!$J$5:$J$305&gt;=AR$4+0)),SUMPRODUCT((INDEX(Timeline!$P$5:$AN$305,0,MATCH($A24,Timeline!$P$4:$AN$4,0))="x")*(Timeline!$K$5:$K$305="Task")*ISNUMBER(Timeline!$I$5:$I$305)*ISNUMBER(Timeline!$J$5:$J$305)*(Timeline!$I$5:$I$305&lt;=AR$4+1)*(Timeline!$J$5:$J$305&gt;=AR$4+1)),SUMPRODUCT((INDEX(Timeline!$P$5:$AN$305,0,MATCH($A24,Timeline!$P$4:$AN$4,0))="x")*(Timeline!$K$5:$K$305="Task")*ISNUMBER(Timeline!$I$5:$I$305)*ISNUMBER(Timeline!$J$5:$J$305)*(Timeline!$I$5:$I$305&lt;=AR$4+2)*(Timeline!$J$5:$J$305&gt;=AR$4+2)),SUMPRODUCT((INDEX(Timeline!$P$5:$AN$305,0,MATCH($A24,Timeline!$P$4:$AN$4,0))="x")*(Timeline!$K$5:$K$305="Task")*ISNUMBER(Timeline!$I$5:$I$305)*ISNUMBER(Timeline!$J$5:$J$305)*(Timeline!$I$5:$I$305&lt;=AR$4+3)*(Timeline!$J$5:$J$305&gt;=AR$4+3)),SUMPRODUCT((INDEX(Timeline!$P$5:$AN$305,0,MATCH($A24,Timeline!$P$4:$AN$4,0))="x")*(Timeline!$K$5:$K$305="Task")*ISNUMBER(Timeline!$I$5:$I$305)*ISNUMBER(Timeline!$J$5:$J$305)*(Timeline!$I$5:$I$305&lt;=AR$4+4)*(Timeline!$J$5:$J$305&gt;=AR$4+4)),SUMPRODUCT((INDEX(Timeline!$P$5:$AN$305,0,MATCH($A24,Timeline!$P$4:$AN$4,0))="x")*(Timeline!$K$5:$K$305="Task")*ISNUMBER(Timeline!$I$5:$I$305)*ISNUMBER(Timeline!$J$5:$J$305)*(Timeline!$I$5:$I$305&lt;=AR$4+5)*(Timeline!$J$5:$J$305&gt;=AR$4+5)),SUMPRODUCT((INDEX(Timeline!$P$5:$AN$305,0,MATCH($A24,Timeline!$P$4:$AN$4,0))="x")*(Timeline!$K$5:$K$305="Task")*ISNUMBER(Timeline!$I$5:$I$305)*ISNUMBER(Timeline!$J$5:$J$305)*(Timeline!$I$5:$I$305&lt;=AR$4+6)*(Timeline!$J$5:$J$305&gt;=AR$4+6)))</f>
        <v>0</v>
      </c>
      <c r="AS24" s="67">
        <f>MAX(SUMPRODUCT((INDEX(Timeline!$P$5:$AN$305,0,MATCH($A24,Timeline!$P$4:$AN$4,0))="x")*(Timeline!$K$5:$K$305="Task")*ISNUMBER(Timeline!$I$5:$I$305)*ISNUMBER(Timeline!$J$5:$J$305)*(Timeline!$I$5:$I$305&lt;=AS$4+0)*(Timeline!$J$5:$J$305&gt;=AS$4+0)),SUMPRODUCT((INDEX(Timeline!$P$5:$AN$305,0,MATCH($A24,Timeline!$P$4:$AN$4,0))="x")*(Timeline!$K$5:$K$305="Task")*ISNUMBER(Timeline!$I$5:$I$305)*ISNUMBER(Timeline!$J$5:$J$305)*(Timeline!$I$5:$I$305&lt;=AS$4+1)*(Timeline!$J$5:$J$305&gt;=AS$4+1)),SUMPRODUCT((INDEX(Timeline!$P$5:$AN$305,0,MATCH($A24,Timeline!$P$4:$AN$4,0))="x")*(Timeline!$K$5:$K$305="Task")*ISNUMBER(Timeline!$I$5:$I$305)*ISNUMBER(Timeline!$J$5:$J$305)*(Timeline!$I$5:$I$305&lt;=AS$4+2)*(Timeline!$J$5:$J$305&gt;=AS$4+2)),SUMPRODUCT((INDEX(Timeline!$P$5:$AN$305,0,MATCH($A24,Timeline!$P$4:$AN$4,0))="x")*(Timeline!$K$5:$K$305="Task")*ISNUMBER(Timeline!$I$5:$I$305)*ISNUMBER(Timeline!$J$5:$J$305)*(Timeline!$I$5:$I$305&lt;=AS$4+3)*(Timeline!$J$5:$J$305&gt;=AS$4+3)),SUMPRODUCT((INDEX(Timeline!$P$5:$AN$305,0,MATCH($A24,Timeline!$P$4:$AN$4,0))="x")*(Timeline!$K$5:$K$305="Task")*ISNUMBER(Timeline!$I$5:$I$305)*ISNUMBER(Timeline!$J$5:$J$305)*(Timeline!$I$5:$I$305&lt;=AS$4+4)*(Timeline!$J$5:$J$305&gt;=AS$4+4)),SUMPRODUCT((INDEX(Timeline!$P$5:$AN$305,0,MATCH($A24,Timeline!$P$4:$AN$4,0))="x")*(Timeline!$K$5:$K$305="Task")*ISNUMBER(Timeline!$I$5:$I$305)*ISNUMBER(Timeline!$J$5:$J$305)*(Timeline!$I$5:$I$305&lt;=AS$4+5)*(Timeline!$J$5:$J$305&gt;=AS$4+5)),SUMPRODUCT((INDEX(Timeline!$P$5:$AN$305,0,MATCH($A24,Timeline!$P$4:$AN$4,0))="x")*(Timeline!$K$5:$K$305="Task")*ISNUMBER(Timeline!$I$5:$I$305)*ISNUMBER(Timeline!$J$5:$J$305)*(Timeline!$I$5:$I$305&lt;=AS$4+6)*(Timeline!$J$5:$J$305&gt;=AS$4+6)))</f>
        <v>0</v>
      </c>
      <c r="AT24" s="67">
        <f>MAX(SUMPRODUCT((INDEX(Timeline!$P$5:$AN$305,0,MATCH($A24,Timeline!$P$4:$AN$4,0))="x")*(Timeline!$K$5:$K$305="Task")*ISNUMBER(Timeline!$I$5:$I$305)*ISNUMBER(Timeline!$J$5:$J$305)*(Timeline!$I$5:$I$305&lt;=AT$4+0)*(Timeline!$J$5:$J$305&gt;=AT$4+0)),SUMPRODUCT((INDEX(Timeline!$P$5:$AN$305,0,MATCH($A24,Timeline!$P$4:$AN$4,0))="x")*(Timeline!$K$5:$K$305="Task")*ISNUMBER(Timeline!$I$5:$I$305)*ISNUMBER(Timeline!$J$5:$J$305)*(Timeline!$I$5:$I$305&lt;=AT$4+1)*(Timeline!$J$5:$J$305&gt;=AT$4+1)),SUMPRODUCT((INDEX(Timeline!$P$5:$AN$305,0,MATCH($A24,Timeline!$P$4:$AN$4,0))="x")*(Timeline!$K$5:$K$305="Task")*ISNUMBER(Timeline!$I$5:$I$305)*ISNUMBER(Timeline!$J$5:$J$305)*(Timeline!$I$5:$I$305&lt;=AT$4+2)*(Timeline!$J$5:$J$305&gt;=AT$4+2)),SUMPRODUCT((INDEX(Timeline!$P$5:$AN$305,0,MATCH($A24,Timeline!$P$4:$AN$4,0))="x")*(Timeline!$K$5:$K$305="Task")*ISNUMBER(Timeline!$I$5:$I$305)*ISNUMBER(Timeline!$J$5:$J$305)*(Timeline!$I$5:$I$305&lt;=AT$4+3)*(Timeline!$J$5:$J$305&gt;=AT$4+3)),SUMPRODUCT((INDEX(Timeline!$P$5:$AN$305,0,MATCH($A24,Timeline!$P$4:$AN$4,0))="x")*(Timeline!$K$5:$K$305="Task")*ISNUMBER(Timeline!$I$5:$I$305)*ISNUMBER(Timeline!$J$5:$J$305)*(Timeline!$I$5:$I$305&lt;=AT$4+4)*(Timeline!$J$5:$J$305&gt;=AT$4+4)),SUMPRODUCT((INDEX(Timeline!$P$5:$AN$305,0,MATCH($A24,Timeline!$P$4:$AN$4,0))="x")*(Timeline!$K$5:$K$305="Task")*ISNUMBER(Timeline!$I$5:$I$305)*ISNUMBER(Timeline!$J$5:$J$305)*(Timeline!$I$5:$I$305&lt;=AT$4+5)*(Timeline!$J$5:$J$305&gt;=AT$4+5)),SUMPRODUCT((INDEX(Timeline!$P$5:$AN$305,0,MATCH($A24,Timeline!$P$4:$AN$4,0))="x")*(Timeline!$K$5:$K$305="Task")*ISNUMBER(Timeline!$I$5:$I$305)*ISNUMBER(Timeline!$J$5:$J$305)*(Timeline!$I$5:$I$305&lt;=AT$4+6)*(Timeline!$J$5:$J$305&gt;=AT$4+6)))</f>
        <v>0</v>
      </c>
      <c r="AU24" s="67">
        <f>MAX(SUMPRODUCT((INDEX(Timeline!$P$5:$AN$305,0,MATCH($A24,Timeline!$P$4:$AN$4,0))="x")*(Timeline!$K$5:$K$305="Task")*ISNUMBER(Timeline!$I$5:$I$305)*ISNUMBER(Timeline!$J$5:$J$305)*(Timeline!$I$5:$I$305&lt;=AU$4+0)*(Timeline!$J$5:$J$305&gt;=AU$4+0)),SUMPRODUCT((INDEX(Timeline!$P$5:$AN$305,0,MATCH($A24,Timeline!$P$4:$AN$4,0))="x")*(Timeline!$K$5:$K$305="Task")*ISNUMBER(Timeline!$I$5:$I$305)*ISNUMBER(Timeline!$J$5:$J$305)*(Timeline!$I$5:$I$305&lt;=AU$4+1)*(Timeline!$J$5:$J$305&gt;=AU$4+1)),SUMPRODUCT((INDEX(Timeline!$P$5:$AN$305,0,MATCH($A24,Timeline!$P$4:$AN$4,0))="x")*(Timeline!$K$5:$K$305="Task")*ISNUMBER(Timeline!$I$5:$I$305)*ISNUMBER(Timeline!$J$5:$J$305)*(Timeline!$I$5:$I$305&lt;=AU$4+2)*(Timeline!$J$5:$J$305&gt;=AU$4+2)),SUMPRODUCT((INDEX(Timeline!$P$5:$AN$305,0,MATCH($A24,Timeline!$P$4:$AN$4,0))="x")*(Timeline!$K$5:$K$305="Task")*ISNUMBER(Timeline!$I$5:$I$305)*ISNUMBER(Timeline!$J$5:$J$305)*(Timeline!$I$5:$I$305&lt;=AU$4+3)*(Timeline!$J$5:$J$305&gt;=AU$4+3)),SUMPRODUCT((INDEX(Timeline!$P$5:$AN$305,0,MATCH($A24,Timeline!$P$4:$AN$4,0))="x")*(Timeline!$K$5:$K$305="Task")*ISNUMBER(Timeline!$I$5:$I$305)*ISNUMBER(Timeline!$J$5:$J$305)*(Timeline!$I$5:$I$305&lt;=AU$4+4)*(Timeline!$J$5:$J$305&gt;=AU$4+4)),SUMPRODUCT((INDEX(Timeline!$P$5:$AN$305,0,MATCH($A24,Timeline!$P$4:$AN$4,0))="x")*(Timeline!$K$5:$K$305="Task")*ISNUMBER(Timeline!$I$5:$I$305)*ISNUMBER(Timeline!$J$5:$J$305)*(Timeline!$I$5:$I$305&lt;=AU$4+5)*(Timeline!$J$5:$J$305&gt;=AU$4+5)),SUMPRODUCT((INDEX(Timeline!$P$5:$AN$305,0,MATCH($A24,Timeline!$P$4:$AN$4,0))="x")*(Timeline!$K$5:$K$305="Task")*ISNUMBER(Timeline!$I$5:$I$305)*ISNUMBER(Timeline!$J$5:$J$305)*(Timeline!$I$5:$I$305&lt;=AU$4+6)*(Timeline!$J$5:$J$305&gt;=AU$4+6)))</f>
        <v>0</v>
      </c>
      <c r="AV24" s="67">
        <f>MAX(SUMPRODUCT((INDEX(Timeline!$P$5:$AN$305,0,MATCH($A24,Timeline!$P$4:$AN$4,0))="x")*(Timeline!$K$5:$K$305="Task")*ISNUMBER(Timeline!$I$5:$I$305)*ISNUMBER(Timeline!$J$5:$J$305)*(Timeline!$I$5:$I$305&lt;=AV$4+0)*(Timeline!$J$5:$J$305&gt;=AV$4+0)),SUMPRODUCT((INDEX(Timeline!$P$5:$AN$305,0,MATCH($A24,Timeline!$P$4:$AN$4,0))="x")*(Timeline!$K$5:$K$305="Task")*ISNUMBER(Timeline!$I$5:$I$305)*ISNUMBER(Timeline!$J$5:$J$305)*(Timeline!$I$5:$I$305&lt;=AV$4+1)*(Timeline!$J$5:$J$305&gt;=AV$4+1)),SUMPRODUCT((INDEX(Timeline!$P$5:$AN$305,0,MATCH($A24,Timeline!$P$4:$AN$4,0))="x")*(Timeline!$K$5:$K$305="Task")*ISNUMBER(Timeline!$I$5:$I$305)*ISNUMBER(Timeline!$J$5:$J$305)*(Timeline!$I$5:$I$305&lt;=AV$4+2)*(Timeline!$J$5:$J$305&gt;=AV$4+2)),SUMPRODUCT((INDEX(Timeline!$P$5:$AN$305,0,MATCH($A24,Timeline!$P$4:$AN$4,0))="x")*(Timeline!$K$5:$K$305="Task")*ISNUMBER(Timeline!$I$5:$I$305)*ISNUMBER(Timeline!$J$5:$J$305)*(Timeline!$I$5:$I$305&lt;=AV$4+3)*(Timeline!$J$5:$J$305&gt;=AV$4+3)),SUMPRODUCT((INDEX(Timeline!$P$5:$AN$305,0,MATCH($A24,Timeline!$P$4:$AN$4,0))="x")*(Timeline!$K$5:$K$305="Task")*ISNUMBER(Timeline!$I$5:$I$305)*ISNUMBER(Timeline!$J$5:$J$305)*(Timeline!$I$5:$I$305&lt;=AV$4+4)*(Timeline!$J$5:$J$305&gt;=AV$4+4)),SUMPRODUCT((INDEX(Timeline!$P$5:$AN$305,0,MATCH($A24,Timeline!$P$4:$AN$4,0))="x")*(Timeline!$K$5:$K$305="Task")*ISNUMBER(Timeline!$I$5:$I$305)*ISNUMBER(Timeline!$J$5:$J$305)*(Timeline!$I$5:$I$305&lt;=AV$4+5)*(Timeline!$J$5:$J$305&gt;=AV$4+5)),SUMPRODUCT((INDEX(Timeline!$P$5:$AN$305,0,MATCH($A24,Timeline!$P$4:$AN$4,0))="x")*(Timeline!$K$5:$K$305="Task")*ISNUMBER(Timeline!$I$5:$I$305)*ISNUMBER(Timeline!$J$5:$J$305)*(Timeline!$I$5:$I$305&lt;=AV$4+6)*(Timeline!$J$5:$J$305&gt;=AV$4+6)))</f>
        <v>0</v>
      </c>
      <c r="AW24" s="67">
        <f>MAX(SUMPRODUCT((INDEX(Timeline!$P$5:$AN$305,0,MATCH($A24,Timeline!$P$4:$AN$4,0))="x")*(Timeline!$K$5:$K$305="Task")*ISNUMBER(Timeline!$I$5:$I$305)*ISNUMBER(Timeline!$J$5:$J$305)*(Timeline!$I$5:$I$305&lt;=AW$4+0)*(Timeline!$J$5:$J$305&gt;=AW$4+0)),SUMPRODUCT((INDEX(Timeline!$P$5:$AN$305,0,MATCH($A24,Timeline!$P$4:$AN$4,0))="x")*(Timeline!$K$5:$K$305="Task")*ISNUMBER(Timeline!$I$5:$I$305)*ISNUMBER(Timeline!$J$5:$J$305)*(Timeline!$I$5:$I$305&lt;=AW$4+1)*(Timeline!$J$5:$J$305&gt;=AW$4+1)),SUMPRODUCT((INDEX(Timeline!$P$5:$AN$305,0,MATCH($A24,Timeline!$P$4:$AN$4,0))="x")*(Timeline!$K$5:$K$305="Task")*ISNUMBER(Timeline!$I$5:$I$305)*ISNUMBER(Timeline!$J$5:$J$305)*(Timeline!$I$5:$I$305&lt;=AW$4+2)*(Timeline!$J$5:$J$305&gt;=AW$4+2)),SUMPRODUCT((INDEX(Timeline!$P$5:$AN$305,0,MATCH($A24,Timeline!$P$4:$AN$4,0))="x")*(Timeline!$K$5:$K$305="Task")*ISNUMBER(Timeline!$I$5:$I$305)*ISNUMBER(Timeline!$J$5:$J$305)*(Timeline!$I$5:$I$305&lt;=AW$4+3)*(Timeline!$J$5:$J$305&gt;=AW$4+3)),SUMPRODUCT((INDEX(Timeline!$P$5:$AN$305,0,MATCH($A24,Timeline!$P$4:$AN$4,0))="x")*(Timeline!$K$5:$K$305="Task")*ISNUMBER(Timeline!$I$5:$I$305)*ISNUMBER(Timeline!$J$5:$J$305)*(Timeline!$I$5:$I$305&lt;=AW$4+4)*(Timeline!$J$5:$J$305&gt;=AW$4+4)),SUMPRODUCT((INDEX(Timeline!$P$5:$AN$305,0,MATCH($A24,Timeline!$P$4:$AN$4,0))="x")*(Timeline!$K$5:$K$305="Task")*ISNUMBER(Timeline!$I$5:$I$305)*ISNUMBER(Timeline!$J$5:$J$305)*(Timeline!$I$5:$I$305&lt;=AW$4+5)*(Timeline!$J$5:$J$305&gt;=AW$4+5)),SUMPRODUCT((INDEX(Timeline!$P$5:$AN$305,0,MATCH($A24,Timeline!$P$4:$AN$4,0))="x")*(Timeline!$K$5:$K$305="Task")*ISNUMBER(Timeline!$I$5:$I$305)*ISNUMBER(Timeline!$J$5:$J$305)*(Timeline!$I$5:$I$305&lt;=AW$4+6)*(Timeline!$J$5:$J$305&gt;=AW$4+6)))</f>
        <v>0</v>
      </c>
      <c r="AX24" s="67">
        <f>MAX(SUMPRODUCT((INDEX(Timeline!$P$5:$AN$305,0,MATCH($A24,Timeline!$P$4:$AN$4,0))="x")*(Timeline!$K$5:$K$305="Task")*ISNUMBER(Timeline!$I$5:$I$305)*ISNUMBER(Timeline!$J$5:$J$305)*(Timeline!$I$5:$I$305&lt;=AX$4+0)*(Timeline!$J$5:$J$305&gt;=AX$4+0)),SUMPRODUCT((INDEX(Timeline!$P$5:$AN$305,0,MATCH($A24,Timeline!$P$4:$AN$4,0))="x")*(Timeline!$K$5:$K$305="Task")*ISNUMBER(Timeline!$I$5:$I$305)*ISNUMBER(Timeline!$J$5:$J$305)*(Timeline!$I$5:$I$305&lt;=AX$4+1)*(Timeline!$J$5:$J$305&gt;=AX$4+1)),SUMPRODUCT((INDEX(Timeline!$P$5:$AN$305,0,MATCH($A24,Timeline!$P$4:$AN$4,0))="x")*(Timeline!$K$5:$K$305="Task")*ISNUMBER(Timeline!$I$5:$I$305)*ISNUMBER(Timeline!$J$5:$J$305)*(Timeline!$I$5:$I$305&lt;=AX$4+2)*(Timeline!$J$5:$J$305&gt;=AX$4+2)),SUMPRODUCT((INDEX(Timeline!$P$5:$AN$305,0,MATCH($A24,Timeline!$P$4:$AN$4,0))="x")*(Timeline!$K$5:$K$305="Task")*ISNUMBER(Timeline!$I$5:$I$305)*ISNUMBER(Timeline!$J$5:$J$305)*(Timeline!$I$5:$I$305&lt;=AX$4+3)*(Timeline!$J$5:$J$305&gt;=AX$4+3)),SUMPRODUCT((INDEX(Timeline!$P$5:$AN$305,0,MATCH($A24,Timeline!$P$4:$AN$4,0))="x")*(Timeline!$K$5:$K$305="Task")*ISNUMBER(Timeline!$I$5:$I$305)*ISNUMBER(Timeline!$J$5:$J$305)*(Timeline!$I$5:$I$305&lt;=AX$4+4)*(Timeline!$J$5:$J$305&gt;=AX$4+4)),SUMPRODUCT((INDEX(Timeline!$P$5:$AN$305,0,MATCH($A24,Timeline!$P$4:$AN$4,0))="x")*(Timeline!$K$5:$K$305="Task")*ISNUMBER(Timeline!$I$5:$I$305)*ISNUMBER(Timeline!$J$5:$J$305)*(Timeline!$I$5:$I$305&lt;=AX$4+5)*(Timeline!$J$5:$J$305&gt;=AX$4+5)),SUMPRODUCT((INDEX(Timeline!$P$5:$AN$305,0,MATCH($A24,Timeline!$P$4:$AN$4,0))="x")*(Timeline!$K$5:$K$305="Task")*ISNUMBER(Timeline!$I$5:$I$305)*ISNUMBER(Timeline!$J$5:$J$305)*(Timeline!$I$5:$I$305&lt;=AX$4+6)*(Timeline!$J$5:$J$305&gt;=AX$4+6)))</f>
        <v>0</v>
      </c>
      <c r="AY24" s="67">
        <f>MAX(SUMPRODUCT((INDEX(Timeline!$P$5:$AN$305,0,MATCH($A24,Timeline!$P$4:$AN$4,0))="x")*(Timeline!$K$5:$K$305="Task")*ISNUMBER(Timeline!$I$5:$I$305)*ISNUMBER(Timeline!$J$5:$J$305)*(Timeline!$I$5:$I$305&lt;=AY$4+0)*(Timeline!$J$5:$J$305&gt;=AY$4+0)),SUMPRODUCT((INDEX(Timeline!$P$5:$AN$305,0,MATCH($A24,Timeline!$P$4:$AN$4,0))="x")*(Timeline!$K$5:$K$305="Task")*ISNUMBER(Timeline!$I$5:$I$305)*ISNUMBER(Timeline!$J$5:$J$305)*(Timeline!$I$5:$I$305&lt;=AY$4+1)*(Timeline!$J$5:$J$305&gt;=AY$4+1)),SUMPRODUCT((INDEX(Timeline!$P$5:$AN$305,0,MATCH($A24,Timeline!$P$4:$AN$4,0))="x")*(Timeline!$K$5:$K$305="Task")*ISNUMBER(Timeline!$I$5:$I$305)*ISNUMBER(Timeline!$J$5:$J$305)*(Timeline!$I$5:$I$305&lt;=AY$4+2)*(Timeline!$J$5:$J$305&gt;=AY$4+2)),SUMPRODUCT((INDEX(Timeline!$P$5:$AN$305,0,MATCH($A24,Timeline!$P$4:$AN$4,0))="x")*(Timeline!$K$5:$K$305="Task")*ISNUMBER(Timeline!$I$5:$I$305)*ISNUMBER(Timeline!$J$5:$J$305)*(Timeline!$I$5:$I$305&lt;=AY$4+3)*(Timeline!$J$5:$J$305&gt;=AY$4+3)),SUMPRODUCT((INDEX(Timeline!$P$5:$AN$305,0,MATCH($A24,Timeline!$P$4:$AN$4,0))="x")*(Timeline!$K$5:$K$305="Task")*ISNUMBER(Timeline!$I$5:$I$305)*ISNUMBER(Timeline!$J$5:$J$305)*(Timeline!$I$5:$I$305&lt;=AY$4+4)*(Timeline!$J$5:$J$305&gt;=AY$4+4)),SUMPRODUCT((INDEX(Timeline!$P$5:$AN$305,0,MATCH($A24,Timeline!$P$4:$AN$4,0))="x")*(Timeline!$K$5:$K$305="Task")*ISNUMBER(Timeline!$I$5:$I$305)*ISNUMBER(Timeline!$J$5:$J$305)*(Timeline!$I$5:$I$305&lt;=AY$4+5)*(Timeline!$J$5:$J$305&gt;=AY$4+5)),SUMPRODUCT((INDEX(Timeline!$P$5:$AN$305,0,MATCH($A24,Timeline!$P$4:$AN$4,0))="x")*(Timeline!$K$5:$K$305="Task")*ISNUMBER(Timeline!$I$5:$I$305)*ISNUMBER(Timeline!$J$5:$J$305)*(Timeline!$I$5:$I$305&lt;=AY$4+6)*(Timeline!$J$5:$J$305&gt;=AY$4+6)))</f>
        <v>0</v>
      </c>
      <c r="AZ24" s="67">
        <f>MAX(SUMPRODUCT((INDEX(Timeline!$P$5:$AN$305,0,MATCH($A24,Timeline!$P$4:$AN$4,0))="x")*(Timeline!$K$5:$K$305="Task")*ISNUMBER(Timeline!$I$5:$I$305)*ISNUMBER(Timeline!$J$5:$J$305)*(Timeline!$I$5:$I$305&lt;=AZ$4+0)*(Timeline!$J$5:$J$305&gt;=AZ$4+0)),SUMPRODUCT((INDEX(Timeline!$P$5:$AN$305,0,MATCH($A24,Timeline!$P$4:$AN$4,0))="x")*(Timeline!$K$5:$K$305="Task")*ISNUMBER(Timeline!$I$5:$I$305)*ISNUMBER(Timeline!$J$5:$J$305)*(Timeline!$I$5:$I$305&lt;=AZ$4+1)*(Timeline!$J$5:$J$305&gt;=AZ$4+1)),SUMPRODUCT((INDEX(Timeline!$P$5:$AN$305,0,MATCH($A24,Timeline!$P$4:$AN$4,0))="x")*(Timeline!$K$5:$K$305="Task")*ISNUMBER(Timeline!$I$5:$I$305)*ISNUMBER(Timeline!$J$5:$J$305)*(Timeline!$I$5:$I$305&lt;=AZ$4+2)*(Timeline!$J$5:$J$305&gt;=AZ$4+2)),SUMPRODUCT((INDEX(Timeline!$P$5:$AN$305,0,MATCH($A24,Timeline!$P$4:$AN$4,0))="x")*(Timeline!$K$5:$K$305="Task")*ISNUMBER(Timeline!$I$5:$I$305)*ISNUMBER(Timeline!$J$5:$J$305)*(Timeline!$I$5:$I$305&lt;=AZ$4+3)*(Timeline!$J$5:$J$305&gt;=AZ$4+3)),SUMPRODUCT((INDEX(Timeline!$P$5:$AN$305,0,MATCH($A24,Timeline!$P$4:$AN$4,0))="x")*(Timeline!$K$5:$K$305="Task")*ISNUMBER(Timeline!$I$5:$I$305)*ISNUMBER(Timeline!$J$5:$J$305)*(Timeline!$I$5:$I$305&lt;=AZ$4+4)*(Timeline!$J$5:$J$305&gt;=AZ$4+4)),SUMPRODUCT((INDEX(Timeline!$P$5:$AN$305,0,MATCH($A24,Timeline!$P$4:$AN$4,0))="x")*(Timeline!$K$5:$K$305="Task")*ISNUMBER(Timeline!$I$5:$I$305)*ISNUMBER(Timeline!$J$5:$J$305)*(Timeline!$I$5:$I$305&lt;=AZ$4+5)*(Timeline!$J$5:$J$305&gt;=AZ$4+5)),SUMPRODUCT((INDEX(Timeline!$P$5:$AN$305,0,MATCH($A24,Timeline!$P$4:$AN$4,0))="x")*(Timeline!$K$5:$K$305="Task")*ISNUMBER(Timeline!$I$5:$I$305)*ISNUMBER(Timeline!$J$5:$J$305)*(Timeline!$I$5:$I$305&lt;=AZ$4+6)*(Timeline!$J$5:$J$305&gt;=AZ$4+6)))</f>
        <v>0</v>
      </c>
      <c r="BA24" s="67">
        <f>MAX(SUMPRODUCT((INDEX(Timeline!$P$5:$AN$305,0,MATCH($A24,Timeline!$P$4:$AN$4,0))="x")*(Timeline!$K$5:$K$305="Task")*ISNUMBER(Timeline!$I$5:$I$305)*ISNUMBER(Timeline!$J$5:$J$305)*(Timeline!$I$5:$I$305&lt;=BA$4+0)*(Timeline!$J$5:$J$305&gt;=BA$4+0)),SUMPRODUCT((INDEX(Timeline!$P$5:$AN$305,0,MATCH($A24,Timeline!$P$4:$AN$4,0))="x")*(Timeline!$K$5:$K$305="Task")*ISNUMBER(Timeline!$I$5:$I$305)*ISNUMBER(Timeline!$J$5:$J$305)*(Timeline!$I$5:$I$305&lt;=BA$4+1)*(Timeline!$J$5:$J$305&gt;=BA$4+1)),SUMPRODUCT((INDEX(Timeline!$P$5:$AN$305,0,MATCH($A24,Timeline!$P$4:$AN$4,0))="x")*(Timeline!$K$5:$K$305="Task")*ISNUMBER(Timeline!$I$5:$I$305)*ISNUMBER(Timeline!$J$5:$J$305)*(Timeline!$I$5:$I$305&lt;=BA$4+2)*(Timeline!$J$5:$J$305&gt;=BA$4+2)),SUMPRODUCT((INDEX(Timeline!$P$5:$AN$305,0,MATCH($A24,Timeline!$P$4:$AN$4,0))="x")*(Timeline!$K$5:$K$305="Task")*ISNUMBER(Timeline!$I$5:$I$305)*ISNUMBER(Timeline!$J$5:$J$305)*(Timeline!$I$5:$I$305&lt;=BA$4+3)*(Timeline!$J$5:$J$305&gt;=BA$4+3)),SUMPRODUCT((INDEX(Timeline!$P$5:$AN$305,0,MATCH($A24,Timeline!$P$4:$AN$4,0))="x")*(Timeline!$K$5:$K$305="Task")*ISNUMBER(Timeline!$I$5:$I$305)*ISNUMBER(Timeline!$J$5:$J$305)*(Timeline!$I$5:$I$305&lt;=BA$4+4)*(Timeline!$J$5:$J$305&gt;=BA$4+4)),SUMPRODUCT((INDEX(Timeline!$P$5:$AN$305,0,MATCH($A24,Timeline!$P$4:$AN$4,0))="x")*(Timeline!$K$5:$K$305="Task")*ISNUMBER(Timeline!$I$5:$I$305)*ISNUMBER(Timeline!$J$5:$J$305)*(Timeline!$I$5:$I$305&lt;=BA$4+5)*(Timeline!$J$5:$J$305&gt;=BA$4+5)),SUMPRODUCT((INDEX(Timeline!$P$5:$AN$305,0,MATCH($A24,Timeline!$P$4:$AN$4,0))="x")*(Timeline!$K$5:$K$305="Task")*ISNUMBER(Timeline!$I$5:$I$305)*ISNUMBER(Timeline!$J$5:$J$305)*(Timeline!$I$5:$I$305&lt;=BA$4+6)*(Timeline!$J$5:$J$305&gt;=BA$4+6)))</f>
        <v>0</v>
      </c>
    </row>
    <row r="25" spans="1:53" ht="15" customHeight="1">
      <c r="A25" s="66" t="s">
        <v>56</v>
      </c>
      <c r="B25" s="66" t="s">
        <v>20</v>
      </c>
      <c r="C25" s="67">
        <f>MAX(SUMPRODUCT((INDEX(Timeline!$P$5:$AN$305,0,MATCH($A25,Timeline!$P$4:$AN$4,0))="x")*(Timeline!$K$5:$K$305="Task")*ISNUMBER(Timeline!$I$5:$I$305)*ISNUMBER(Timeline!$J$5:$J$305)*(Timeline!$I$5:$I$305&lt;=C$4+0)*(Timeline!$J$5:$J$305&gt;=C$4+0)),SUMPRODUCT((INDEX(Timeline!$P$5:$AN$305,0,MATCH($A25,Timeline!$P$4:$AN$4,0))="x")*(Timeline!$K$5:$K$305="Task")*ISNUMBER(Timeline!$I$5:$I$305)*ISNUMBER(Timeline!$J$5:$J$305)*(Timeline!$I$5:$I$305&lt;=C$4+1)*(Timeline!$J$5:$J$305&gt;=C$4+1)),SUMPRODUCT((INDEX(Timeline!$P$5:$AN$305,0,MATCH($A25,Timeline!$P$4:$AN$4,0))="x")*(Timeline!$K$5:$K$305="Task")*ISNUMBER(Timeline!$I$5:$I$305)*ISNUMBER(Timeline!$J$5:$J$305)*(Timeline!$I$5:$I$305&lt;=C$4+2)*(Timeline!$J$5:$J$305&gt;=C$4+2)),SUMPRODUCT((INDEX(Timeline!$P$5:$AN$305,0,MATCH($A25,Timeline!$P$4:$AN$4,0))="x")*(Timeline!$K$5:$K$305="Task")*ISNUMBER(Timeline!$I$5:$I$305)*ISNUMBER(Timeline!$J$5:$J$305)*(Timeline!$I$5:$I$305&lt;=C$4+3)*(Timeline!$J$5:$J$305&gt;=C$4+3)),SUMPRODUCT((INDEX(Timeline!$P$5:$AN$305,0,MATCH($A25,Timeline!$P$4:$AN$4,0))="x")*(Timeline!$K$5:$K$305="Task")*ISNUMBER(Timeline!$I$5:$I$305)*ISNUMBER(Timeline!$J$5:$J$305)*(Timeline!$I$5:$I$305&lt;=C$4+4)*(Timeline!$J$5:$J$305&gt;=C$4+4)),SUMPRODUCT((INDEX(Timeline!$P$5:$AN$305,0,MATCH($A25,Timeline!$P$4:$AN$4,0))="x")*(Timeline!$K$5:$K$305="Task")*ISNUMBER(Timeline!$I$5:$I$305)*ISNUMBER(Timeline!$J$5:$J$305)*(Timeline!$I$5:$I$305&lt;=C$4+5)*(Timeline!$J$5:$J$305&gt;=C$4+5)),SUMPRODUCT((INDEX(Timeline!$P$5:$AN$305,0,MATCH($A25,Timeline!$P$4:$AN$4,0))="x")*(Timeline!$K$5:$K$305="Task")*ISNUMBER(Timeline!$I$5:$I$305)*ISNUMBER(Timeline!$J$5:$J$305)*(Timeline!$I$5:$I$305&lt;=C$4+6)*(Timeline!$J$5:$J$305&gt;=C$4+6)))</f>
        <v>0</v>
      </c>
      <c r="D25" s="67">
        <f>MAX(SUMPRODUCT((INDEX(Timeline!$P$5:$AN$305,0,MATCH($A25,Timeline!$P$4:$AN$4,0))="x")*(Timeline!$K$5:$K$305="Task")*ISNUMBER(Timeline!$I$5:$I$305)*ISNUMBER(Timeline!$J$5:$J$305)*(Timeline!$I$5:$I$305&lt;=D$4+0)*(Timeline!$J$5:$J$305&gt;=D$4+0)),SUMPRODUCT((INDEX(Timeline!$P$5:$AN$305,0,MATCH($A25,Timeline!$P$4:$AN$4,0))="x")*(Timeline!$K$5:$K$305="Task")*ISNUMBER(Timeline!$I$5:$I$305)*ISNUMBER(Timeline!$J$5:$J$305)*(Timeline!$I$5:$I$305&lt;=D$4+1)*(Timeline!$J$5:$J$305&gt;=D$4+1)),SUMPRODUCT((INDEX(Timeline!$P$5:$AN$305,0,MATCH($A25,Timeline!$P$4:$AN$4,0))="x")*(Timeline!$K$5:$K$305="Task")*ISNUMBER(Timeline!$I$5:$I$305)*ISNUMBER(Timeline!$J$5:$J$305)*(Timeline!$I$5:$I$305&lt;=D$4+2)*(Timeline!$J$5:$J$305&gt;=D$4+2)),SUMPRODUCT((INDEX(Timeline!$P$5:$AN$305,0,MATCH($A25,Timeline!$P$4:$AN$4,0))="x")*(Timeline!$K$5:$K$305="Task")*ISNUMBER(Timeline!$I$5:$I$305)*ISNUMBER(Timeline!$J$5:$J$305)*(Timeline!$I$5:$I$305&lt;=D$4+3)*(Timeline!$J$5:$J$305&gt;=D$4+3)),SUMPRODUCT((INDEX(Timeline!$P$5:$AN$305,0,MATCH($A25,Timeline!$P$4:$AN$4,0))="x")*(Timeline!$K$5:$K$305="Task")*ISNUMBER(Timeline!$I$5:$I$305)*ISNUMBER(Timeline!$J$5:$J$305)*(Timeline!$I$5:$I$305&lt;=D$4+4)*(Timeline!$J$5:$J$305&gt;=D$4+4)),SUMPRODUCT((INDEX(Timeline!$P$5:$AN$305,0,MATCH($A25,Timeline!$P$4:$AN$4,0))="x")*(Timeline!$K$5:$K$305="Task")*ISNUMBER(Timeline!$I$5:$I$305)*ISNUMBER(Timeline!$J$5:$J$305)*(Timeline!$I$5:$I$305&lt;=D$4+5)*(Timeline!$J$5:$J$305&gt;=D$4+5)),SUMPRODUCT((INDEX(Timeline!$P$5:$AN$305,0,MATCH($A25,Timeline!$P$4:$AN$4,0))="x")*(Timeline!$K$5:$K$305="Task")*ISNUMBER(Timeline!$I$5:$I$305)*ISNUMBER(Timeline!$J$5:$J$305)*(Timeline!$I$5:$I$305&lt;=D$4+6)*(Timeline!$J$5:$J$305&gt;=D$4+6)))</f>
        <v>0</v>
      </c>
      <c r="E25" s="67">
        <f>MAX(SUMPRODUCT((INDEX(Timeline!$P$5:$AN$305,0,MATCH($A25,Timeline!$P$4:$AN$4,0))="x")*(Timeline!$K$5:$K$305="Task")*ISNUMBER(Timeline!$I$5:$I$305)*ISNUMBER(Timeline!$J$5:$J$305)*(Timeline!$I$5:$I$305&lt;=E$4+0)*(Timeline!$J$5:$J$305&gt;=E$4+0)),SUMPRODUCT((INDEX(Timeline!$P$5:$AN$305,0,MATCH($A25,Timeline!$P$4:$AN$4,0))="x")*(Timeline!$K$5:$K$305="Task")*ISNUMBER(Timeline!$I$5:$I$305)*ISNUMBER(Timeline!$J$5:$J$305)*(Timeline!$I$5:$I$305&lt;=E$4+1)*(Timeline!$J$5:$J$305&gt;=E$4+1)),SUMPRODUCT((INDEX(Timeline!$P$5:$AN$305,0,MATCH($A25,Timeline!$P$4:$AN$4,0))="x")*(Timeline!$K$5:$K$305="Task")*ISNUMBER(Timeline!$I$5:$I$305)*ISNUMBER(Timeline!$J$5:$J$305)*(Timeline!$I$5:$I$305&lt;=E$4+2)*(Timeline!$J$5:$J$305&gt;=E$4+2)),SUMPRODUCT((INDEX(Timeline!$P$5:$AN$305,0,MATCH($A25,Timeline!$P$4:$AN$4,0))="x")*(Timeline!$K$5:$K$305="Task")*ISNUMBER(Timeline!$I$5:$I$305)*ISNUMBER(Timeline!$J$5:$J$305)*(Timeline!$I$5:$I$305&lt;=E$4+3)*(Timeline!$J$5:$J$305&gt;=E$4+3)),SUMPRODUCT((INDEX(Timeline!$P$5:$AN$305,0,MATCH($A25,Timeline!$P$4:$AN$4,0))="x")*(Timeline!$K$5:$K$305="Task")*ISNUMBER(Timeline!$I$5:$I$305)*ISNUMBER(Timeline!$J$5:$J$305)*(Timeline!$I$5:$I$305&lt;=E$4+4)*(Timeline!$J$5:$J$305&gt;=E$4+4)),SUMPRODUCT((INDEX(Timeline!$P$5:$AN$305,0,MATCH($A25,Timeline!$P$4:$AN$4,0))="x")*(Timeline!$K$5:$K$305="Task")*ISNUMBER(Timeline!$I$5:$I$305)*ISNUMBER(Timeline!$J$5:$J$305)*(Timeline!$I$5:$I$305&lt;=E$4+5)*(Timeline!$J$5:$J$305&gt;=E$4+5)),SUMPRODUCT((INDEX(Timeline!$P$5:$AN$305,0,MATCH($A25,Timeline!$P$4:$AN$4,0))="x")*(Timeline!$K$5:$K$305="Task")*ISNUMBER(Timeline!$I$5:$I$305)*ISNUMBER(Timeline!$J$5:$J$305)*(Timeline!$I$5:$I$305&lt;=E$4+6)*(Timeline!$J$5:$J$305&gt;=E$4+6)))</f>
        <v>0</v>
      </c>
      <c r="F25" s="67">
        <f>MAX(SUMPRODUCT((INDEX(Timeline!$P$5:$AN$305,0,MATCH($A25,Timeline!$P$4:$AN$4,0))="x")*(Timeline!$K$5:$K$305="Task")*ISNUMBER(Timeline!$I$5:$I$305)*ISNUMBER(Timeline!$J$5:$J$305)*(Timeline!$I$5:$I$305&lt;=F$4+0)*(Timeline!$J$5:$J$305&gt;=F$4+0)),SUMPRODUCT((INDEX(Timeline!$P$5:$AN$305,0,MATCH($A25,Timeline!$P$4:$AN$4,0))="x")*(Timeline!$K$5:$K$305="Task")*ISNUMBER(Timeline!$I$5:$I$305)*ISNUMBER(Timeline!$J$5:$J$305)*(Timeline!$I$5:$I$305&lt;=F$4+1)*(Timeline!$J$5:$J$305&gt;=F$4+1)),SUMPRODUCT((INDEX(Timeline!$P$5:$AN$305,0,MATCH($A25,Timeline!$P$4:$AN$4,0))="x")*(Timeline!$K$5:$K$305="Task")*ISNUMBER(Timeline!$I$5:$I$305)*ISNUMBER(Timeline!$J$5:$J$305)*(Timeline!$I$5:$I$305&lt;=F$4+2)*(Timeline!$J$5:$J$305&gt;=F$4+2)),SUMPRODUCT((INDEX(Timeline!$P$5:$AN$305,0,MATCH($A25,Timeline!$P$4:$AN$4,0))="x")*(Timeline!$K$5:$K$305="Task")*ISNUMBER(Timeline!$I$5:$I$305)*ISNUMBER(Timeline!$J$5:$J$305)*(Timeline!$I$5:$I$305&lt;=F$4+3)*(Timeline!$J$5:$J$305&gt;=F$4+3)),SUMPRODUCT((INDEX(Timeline!$P$5:$AN$305,0,MATCH($A25,Timeline!$P$4:$AN$4,0))="x")*(Timeline!$K$5:$K$305="Task")*ISNUMBER(Timeline!$I$5:$I$305)*ISNUMBER(Timeline!$J$5:$J$305)*(Timeline!$I$5:$I$305&lt;=F$4+4)*(Timeline!$J$5:$J$305&gt;=F$4+4)),SUMPRODUCT((INDEX(Timeline!$P$5:$AN$305,0,MATCH($A25,Timeline!$P$4:$AN$4,0))="x")*(Timeline!$K$5:$K$305="Task")*ISNUMBER(Timeline!$I$5:$I$305)*ISNUMBER(Timeline!$J$5:$J$305)*(Timeline!$I$5:$I$305&lt;=F$4+5)*(Timeline!$J$5:$J$305&gt;=F$4+5)),SUMPRODUCT((INDEX(Timeline!$P$5:$AN$305,0,MATCH($A25,Timeline!$P$4:$AN$4,0))="x")*(Timeline!$K$5:$K$305="Task")*ISNUMBER(Timeline!$I$5:$I$305)*ISNUMBER(Timeline!$J$5:$J$305)*(Timeline!$I$5:$I$305&lt;=F$4+6)*(Timeline!$J$5:$J$305&gt;=F$4+6)))</f>
        <v>0</v>
      </c>
      <c r="G25" s="67">
        <f>MAX(SUMPRODUCT((INDEX(Timeline!$P$5:$AN$305,0,MATCH($A25,Timeline!$P$4:$AN$4,0))="x")*(Timeline!$K$5:$K$305="Task")*ISNUMBER(Timeline!$I$5:$I$305)*ISNUMBER(Timeline!$J$5:$J$305)*(Timeline!$I$5:$I$305&lt;=G$4+0)*(Timeline!$J$5:$J$305&gt;=G$4+0)),SUMPRODUCT((INDEX(Timeline!$P$5:$AN$305,0,MATCH($A25,Timeline!$P$4:$AN$4,0))="x")*(Timeline!$K$5:$K$305="Task")*ISNUMBER(Timeline!$I$5:$I$305)*ISNUMBER(Timeline!$J$5:$J$305)*(Timeline!$I$5:$I$305&lt;=G$4+1)*(Timeline!$J$5:$J$305&gt;=G$4+1)),SUMPRODUCT((INDEX(Timeline!$P$5:$AN$305,0,MATCH($A25,Timeline!$P$4:$AN$4,0))="x")*(Timeline!$K$5:$K$305="Task")*ISNUMBER(Timeline!$I$5:$I$305)*ISNUMBER(Timeline!$J$5:$J$305)*(Timeline!$I$5:$I$305&lt;=G$4+2)*(Timeline!$J$5:$J$305&gt;=G$4+2)),SUMPRODUCT((INDEX(Timeline!$P$5:$AN$305,0,MATCH($A25,Timeline!$P$4:$AN$4,0))="x")*(Timeline!$K$5:$K$305="Task")*ISNUMBER(Timeline!$I$5:$I$305)*ISNUMBER(Timeline!$J$5:$J$305)*(Timeline!$I$5:$I$305&lt;=G$4+3)*(Timeline!$J$5:$J$305&gt;=G$4+3)),SUMPRODUCT((INDEX(Timeline!$P$5:$AN$305,0,MATCH($A25,Timeline!$P$4:$AN$4,0))="x")*(Timeline!$K$5:$K$305="Task")*ISNUMBER(Timeline!$I$5:$I$305)*ISNUMBER(Timeline!$J$5:$J$305)*(Timeline!$I$5:$I$305&lt;=G$4+4)*(Timeline!$J$5:$J$305&gt;=G$4+4)),SUMPRODUCT((INDEX(Timeline!$P$5:$AN$305,0,MATCH($A25,Timeline!$P$4:$AN$4,0))="x")*(Timeline!$K$5:$K$305="Task")*ISNUMBER(Timeline!$I$5:$I$305)*ISNUMBER(Timeline!$J$5:$J$305)*(Timeline!$I$5:$I$305&lt;=G$4+5)*(Timeline!$J$5:$J$305&gt;=G$4+5)),SUMPRODUCT((INDEX(Timeline!$P$5:$AN$305,0,MATCH($A25,Timeline!$P$4:$AN$4,0))="x")*(Timeline!$K$5:$K$305="Task")*ISNUMBER(Timeline!$I$5:$I$305)*ISNUMBER(Timeline!$J$5:$J$305)*(Timeline!$I$5:$I$305&lt;=G$4+6)*(Timeline!$J$5:$J$305&gt;=G$4+6)))</f>
        <v>0</v>
      </c>
      <c r="H25" s="67">
        <f>MAX(SUMPRODUCT((INDEX(Timeline!$P$5:$AN$305,0,MATCH($A25,Timeline!$P$4:$AN$4,0))="x")*(Timeline!$K$5:$K$305="Task")*ISNUMBER(Timeline!$I$5:$I$305)*ISNUMBER(Timeline!$J$5:$J$305)*(Timeline!$I$5:$I$305&lt;=H$4+0)*(Timeline!$J$5:$J$305&gt;=H$4+0)),SUMPRODUCT((INDEX(Timeline!$P$5:$AN$305,0,MATCH($A25,Timeline!$P$4:$AN$4,0))="x")*(Timeline!$K$5:$K$305="Task")*ISNUMBER(Timeline!$I$5:$I$305)*ISNUMBER(Timeline!$J$5:$J$305)*(Timeline!$I$5:$I$305&lt;=H$4+1)*(Timeline!$J$5:$J$305&gt;=H$4+1)),SUMPRODUCT((INDEX(Timeline!$P$5:$AN$305,0,MATCH($A25,Timeline!$P$4:$AN$4,0))="x")*(Timeline!$K$5:$K$305="Task")*ISNUMBER(Timeline!$I$5:$I$305)*ISNUMBER(Timeline!$J$5:$J$305)*(Timeline!$I$5:$I$305&lt;=H$4+2)*(Timeline!$J$5:$J$305&gt;=H$4+2)),SUMPRODUCT((INDEX(Timeline!$P$5:$AN$305,0,MATCH($A25,Timeline!$P$4:$AN$4,0))="x")*(Timeline!$K$5:$K$305="Task")*ISNUMBER(Timeline!$I$5:$I$305)*ISNUMBER(Timeline!$J$5:$J$305)*(Timeline!$I$5:$I$305&lt;=H$4+3)*(Timeline!$J$5:$J$305&gt;=H$4+3)),SUMPRODUCT((INDEX(Timeline!$P$5:$AN$305,0,MATCH($A25,Timeline!$P$4:$AN$4,0))="x")*(Timeline!$K$5:$K$305="Task")*ISNUMBER(Timeline!$I$5:$I$305)*ISNUMBER(Timeline!$J$5:$J$305)*(Timeline!$I$5:$I$305&lt;=H$4+4)*(Timeline!$J$5:$J$305&gt;=H$4+4)),SUMPRODUCT((INDEX(Timeline!$P$5:$AN$305,0,MATCH($A25,Timeline!$P$4:$AN$4,0))="x")*(Timeline!$K$5:$K$305="Task")*ISNUMBER(Timeline!$I$5:$I$305)*ISNUMBER(Timeline!$J$5:$J$305)*(Timeline!$I$5:$I$305&lt;=H$4+5)*(Timeline!$J$5:$J$305&gt;=H$4+5)),SUMPRODUCT((INDEX(Timeline!$P$5:$AN$305,0,MATCH($A25,Timeline!$P$4:$AN$4,0))="x")*(Timeline!$K$5:$K$305="Task")*ISNUMBER(Timeline!$I$5:$I$305)*ISNUMBER(Timeline!$J$5:$J$305)*(Timeline!$I$5:$I$305&lt;=H$4+6)*(Timeline!$J$5:$J$305&gt;=H$4+6)))</f>
        <v>0</v>
      </c>
      <c r="I25" s="67">
        <f>MAX(SUMPRODUCT((INDEX(Timeline!$P$5:$AN$305,0,MATCH($A25,Timeline!$P$4:$AN$4,0))="x")*(Timeline!$K$5:$K$305="Task")*ISNUMBER(Timeline!$I$5:$I$305)*ISNUMBER(Timeline!$J$5:$J$305)*(Timeline!$I$5:$I$305&lt;=I$4+0)*(Timeline!$J$5:$J$305&gt;=I$4+0)),SUMPRODUCT((INDEX(Timeline!$P$5:$AN$305,0,MATCH($A25,Timeline!$P$4:$AN$4,0))="x")*(Timeline!$K$5:$K$305="Task")*ISNUMBER(Timeline!$I$5:$I$305)*ISNUMBER(Timeline!$J$5:$J$305)*(Timeline!$I$5:$I$305&lt;=I$4+1)*(Timeline!$J$5:$J$305&gt;=I$4+1)),SUMPRODUCT((INDEX(Timeline!$P$5:$AN$305,0,MATCH($A25,Timeline!$P$4:$AN$4,0))="x")*(Timeline!$K$5:$K$305="Task")*ISNUMBER(Timeline!$I$5:$I$305)*ISNUMBER(Timeline!$J$5:$J$305)*(Timeline!$I$5:$I$305&lt;=I$4+2)*(Timeline!$J$5:$J$305&gt;=I$4+2)),SUMPRODUCT((INDEX(Timeline!$P$5:$AN$305,0,MATCH($A25,Timeline!$P$4:$AN$4,0))="x")*(Timeline!$K$5:$K$305="Task")*ISNUMBER(Timeline!$I$5:$I$305)*ISNUMBER(Timeline!$J$5:$J$305)*(Timeline!$I$5:$I$305&lt;=I$4+3)*(Timeline!$J$5:$J$305&gt;=I$4+3)),SUMPRODUCT((INDEX(Timeline!$P$5:$AN$305,0,MATCH($A25,Timeline!$P$4:$AN$4,0))="x")*(Timeline!$K$5:$K$305="Task")*ISNUMBER(Timeline!$I$5:$I$305)*ISNUMBER(Timeline!$J$5:$J$305)*(Timeline!$I$5:$I$305&lt;=I$4+4)*(Timeline!$J$5:$J$305&gt;=I$4+4)),SUMPRODUCT((INDEX(Timeline!$P$5:$AN$305,0,MATCH($A25,Timeline!$P$4:$AN$4,0))="x")*(Timeline!$K$5:$K$305="Task")*ISNUMBER(Timeline!$I$5:$I$305)*ISNUMBER(Timeline!$J$5:$J$305)*(Timeline!$I$5:$I$305&lt;=I$4+5)*(Timeline!$J$5:$J$305&gt;=I$4+5)),SUMPRODUCT((INDEX(Timeline!$P$5:$AN$305,0,MATCH($A25,Timeline!$P$4:$AN$4,0))="x")*(Timeline!$K$5:$K$305="Task")*ISNUMBER(Timeline!$I$5:$I$305)*ISNUMBER(Timeline!$J$5:$J$305)*(Timeline!$I$5:$I$305&lt;=I$4+6)*(Timeline!$J$5:$J$305&gt;=I$4+6)))</f>
        <v>0</v>
      </c>
      <c r="J25" s="67">
        <f>MAX(SUMPRODUCT((INDEX(Timeline!$P$5:$AN$305,0,MATCH($A25,Timeline!$P$4:$AN$4,0))="x")*(Timeline!$K$5:$K$305="Task")*ISNUMBER(Timeline!$I$5:$I$305)*ISNUMBER(Timeline!$J$5:$J$305)*(Timeline!$I$5:$I$305&lt;=J$4+0)*(Timeline!$J$5:$J$305&gt;=J$4+0)),SUMPRODUCT((INDEX(Timeline!$P$5:$AN$305,0,MATCH($A25,Timeline!$P$4:$AN$4,0))="x")*(Timeline!$K$5:$K$305="Task")*ISNUMBER(Timeline!$I$5:$I$305)*ISNUMBER(Timeline!$J$5:$J$305)*(Timeline!$I$5:$I$305&lt;=J$4+1)*(Timeline!$J$5:$J$305&gt;=J$4+1)),SUMPRODUCT((INDEX(Timeline!$P$5:$AN$305,0,MATCH($A25,Timeline!$P$4:$AN$4,0))="x")*(Timeline!$K$5:$K$305="Task")*ISNUMBER(Timeline!$I$5:$I$305)*ISNUMBER(Timeline!$J$5:$J$305)*(Timeline!$I$5:$I$305&lt;=J$4+2)*(Timeline!$J$5:$J$305&gt;=J$4+2)),SUMPRODUCT((INDEX(Timeline!$P$5:$AN$305,0,MATCH($A25,Timeline!$P$4:$AN$4,0))="x")*(Timeline!$K$5:$K$305="Task")*ISNUMBER(Timeline!$I$5:$I$305)*ISNUMBER(Timeline!$J$5:$J$305)*(Timeline!$I$5:$I$305&lt;=J$4+3)*(Timeline!$J$5:$J$305&gt;=J$4+3)),SUMPRODUCT((INDEX(Timeline!$P$5:$AN$305,0,MATCH($A25,Timeline!$P$4:$AN$4,0))="x")*(Timeline!$K$5:$K$305="Task")*ISNUMBER(Timeline!$I$5:$I$305)*ISNUMBER(Timeline!$J$5:$J$305)*(Timeline!$I$5:$I$305&lt;=J$4+4)*(Timeline!$J$5:$J$305&gt;=J$4+4)),SUMPRODUCT((INDEX(Timeline!$P$5:$AN$305,0,MATCH($A25,Timeline!$P$4:$AN$4,0))="x")*(Timeline!$K$5:$K$305="Task")*ISNUMBER(Timeline!$I$5:$I$305)*ISNUMBER(Timeline!$J$5:$J$305)*(Timeline!$I$5:$I$305&lt;=J$4+5)*(Timeline!$J$5:$J$305&gt;=J$4+5)),SUMPRODUCT((INDEX(Timeline!$P$5:$AN$305,0,MATCH($A25,Timeline!$P$4:$AN$4,0))="x")*(Timeline!$K$5:$K$305="Task")*ISNUMBER(Timeline!$I$5:$I$305)*ISNUMBER(Timeline!$J$5:$J$305)*(Timeline!$I$5:$I$305&lt;=J$4+6)*(Timeline!$J$5:$J$305&gt;=J$4+6)))</f>
        <v>0</v>
      </c>
      <c r="K25" s="67">
        <f>MAX(SUMPRODUCT((INDEX(Timeline!$P$5:$AN$305,0,MATCH($A25,Timeline!$P$4:$AN$4,0))="x")*(Timeline!$K$5:$K$305="Task")*ISNUMBER(Timeline!$I$5:$I$305)*ISNUMBER(Timeline!$J$5:$J$305)*(Timeline!$I$5:$I$305&lt;=K$4+0)*(Timeline!$J$5:$J$305&gt;=K$4+0)),SUMPRODUCT((INDEX(Timeline!$P$5:$AN$305,0,MATCH($A25,Timeline!$P$4:$AN$4,0))="x")*(Timeline!$K$5:$K$305="Task")*ISNUMBER(Timeline!$I$5:$I$305)*ISNUMBER(Timeline!$J$5:$J$305)*(Timeline!$I$5:$I$305&lt;=K$4+1)*(Timeline!$J$5:$J$305&gt;=K$4+1)),SUMPRODUCT((INDEX(Timeline!$P$5:$AN$305,0,MATCH($A25,Timeline!$P$4:$AN$4,0))="x")*(Timeline!$K$5:$K$305="Task")*ISNUMBER(Timeline!$I$5:$I$305)*ISNUMBER(Timeline!$J$5:$J$305)*(Timeline!$I$5:$I$305&lt;=K$4+2)*(Timeline!$J$5:$J$305&gt;=K$4+2)),SUMPRODUCT((INDEX(Timeline!$P$5:$AN$305,0,MATCH($A25,Timeline!$P$4:$AN$4,0))="x")*(Timeline!$K$5:$K$305="Task")*ISNUMBER(Timeline!$I$5:$I$305)*ISNUMBER(Timeline!$J$5:$J$305)*(Timeline!$I$5:$I$305&lt;=K$4+3)*(Timeline!$J$5:$J$305&gt;=K$4+3)),SUMPRODUCT((INDEX(Timeline!$P$5:$AN$305,0,MATCH($A25,Timeline!$P$4:$AN$4,0))="x")*(Timeline!$K$5:$K$305="Task")*ISNUMBER(Timeline!$I$5:$I$305)*ISNUMBER(Timeline!$J$5:$J$305)*(Timeline!$I$5:$I$305&lt;=K$4+4)*(Timeline!$J$5:$J$305&gt;=K$4+4)),SUMPRODUCT((INDEX(Timeline!$P$5:$AN$305,0,MATCH($A25,Timeline!$P$4:$AN$4,0))="x")*(Timeline!$K$5:$K$305="Task")*ISNUMBER(Timeline!$I$5:$I$305)*ISNUMBER(Timeline!$J$5:$J$305)*(Timeline!$I$5:$I$305&lt;=K$4+5)*(Timeline!$J$5:$J$305&gt;=K$4+5)),SUMPRODUCT((INDEX(Timeline!$P$5:$AN$305,0,MATCH($A25,Timeline!$P$4:$AN$4,0))="x")*(Timeline!$K$5:$K$305="Task")*ISNUMBER(Timeline!$I$5:$I$305)*ISNUMBER(Timeline!$J$5:$J$305)*(Timeline!$I$5:$I$305&lt;=K$4+6)*(Timeline!$J$5:$J$305&gt;=K$4+6)))</f>
        <v>0</v>
      </c>
      <c r="L25" s="67">
        <f>MAX(SUMPRODUCT((INDEX(Timeline!$P$5:$AN$305,0,MATCH($A25,Timeline!$P$4:$AN$4,0))="x")*(Timeline!$K$5:$K$305="Task")*ISNUMBER(Timeline!$I$5:$I$305)*ISNUMBER(Timeline!$J$5:$J$305)*(Timeline!$I$5:$I$305&lt;=L$4+0)*(Timeline!$J$5:$J$305&gt;=L$4+0)),SUMPRODUCT((INDEX(Timeline!$P$5:$AN$305,0,MATCH($A25,Timeline!$P$4:$AN$4,0))="x")*(Timeline!$K$5:$K$305="Task")*ISNUMBER(Timeline!$I$5:$I$305)*ISNUMBER(Timeline!$J$5:$J$305)*(Timeline!$I$5:$I$305&lt;=L$4+1)*(Timeline!$J$5:$J$305&gt;=L$4+1)),SUMPRODUCT((INDEX(Timeline!$P$5:$AN$305,0,MATCH($A25,Timeline!$P$4:$AN$4,0))="x")*(Timeline!$K$5:$K$305="Task")*ISNUMBER(Timeline!$I$5:$I$305)*ISNUMBER(Timeline!$J$5:$J$305)*(Timeline!$I$5:$I$305&lt;=L$4+2)*(Timeline!$J$5:$J$305&gt;=L$4+2)),SUMPRODUCT((INDEX(Timeline!$P$5:$AN$305,0,MATCH($A25,Timeline!$P$4:$AN$4,0))="x")*(Timeline!$K$5:$K$305="Task")*ISNUMBER(Timeline!$I$5:$I$305)*ISNUMBER(Timeline!$J$5:$J$305)*(Timeline!$I$5:$I$305&lt;=L$4+3)*(Timeline!$J$5:$J$305&gt;=L$4+3)),SUMPRODUCT((INDEX(Timeline!$P$5:$AN$305,0,MATCH($A25,Timeline!$P$4:$AN$4,0))="x")*(Timeline!$K$5:$K$305="Task")*ISNUMBER(Timeline!$I$5:$I$305)*ISNUMBER(Timeline!$J$5:$J$305)*(Timeline!$I$5:$I$305&lt;=L$4+4)*(Timeline!$J$5:$J$305&gt;=L$4+4)),SUMPRODUCT((INDEX(Timeline!$P$5:$AN$305,0,MATCH($A25,Timeline!$P$4:$AN$4,0))="x")*(Timeline!$K$5:$K$305="Task")*ISNUMBER(Timeline!$I$5:$I$305)*ISNUMBER(Timeline!$J$5:$J$305)*(Timeline!$I$5:$I$305&lt;=L$4+5)*(Timeline!$J$5:$J$305&gt;=L$4+5)),SUMPRODUCT((INDEX(Timeline!$P$5:$AN$305,0,MATCH($A25,Timeline!$P$4:$AN$4,0))="x")*(Timeline!$K$5:$K$305="Task")*ISNUMBER(Timeline!$I$5:$I$305)*ISNUMBER(Timeline!$J$5:$J$305)*(Timeline!$I$5:$I$305&lt;=L$4+6)*(Timeline!$J$5:$J$305&gt;=L$4+6)))</f>
        <v>0</v>
      </c>
      <c r="M25" s="67">
        <f>MAX(SUMPRODUCT((INDEX(Timeline!$P$5:$AN$305,0,MATCH($A25,Timeline!$P$4:$AN$4,0))="x")*(Timeline!$K$5:$K$305="Task")*ISNUMBER(Timeline!$I$5:$I$305)*ISNUMBER(Timeline!$J$5:$J$305)*(Timeline!$I$5:$I$305&lt;=M$4+0)*(Timeline!$J$5:$J$305&gt;=M$4+0)),SUMPRODUCT((INDEX(Timeline!$P$5:$AN$305,0,MATCH($A25,Timeline!$P$4:$AN$4,0))="x")*(Timeline!$K$5:$K$305="Task")*ISNUMBER(Timeline!$I$5:$I$305)*ISNUMBER(Timeline!$J$5:$J$305)*(Timeline!$I$5:$I$305&lt;=M$4+1)*(Timeline!$J$5:$J$305&gt;=M$4+1)),SUMPRODUCT((INDEX(Timeline!$P$5:$AN$305,0,MATCH($A25,Timeline!$P$4:$AN$4,0))="x")*(Timeline!$K$5:$K$305="Task")*ISNUMBER(Timeline!$I$5:$I$305)*ISNUMBER(Timeline!$J$5:$J$305)*(Timeline!$I$5:$I$305&lt;=M$4+2)*(Timeline!$J$5:$J$305&gt;=M$4+2)),SUMPRODUCT((INDEX(Timeline!$P$5:$AN$305,0,MATCH($A25,Timeline!$P$4:$AN$4,0))="x")*(Timeline!$K$5:$K$305="Task")*ISNUMBER(Timeline!$I$5:$I$305)*ISNUMBER(Timeline!$J$5:$J$305)*(Timeline!$I$5:$I$305&lt;=M$4+3)*(Timeline!$J$5:$J$305&gt;=M$4+3)),SUMPRODUCT((INDEX(Timeline!$P$5:$AN$305,0,MATCH($A25,Timeline!$P$4:$AN$4,0))="x")*(Timeline!$K$5:$K$305="Task")*ISNUMBER(Timeline!$I$5:$I$305)*ISNUMBER(Timeline!$J$5:$J$305)*(Timeline!$I$5:$I$305&lt;=M$4+4)*(Timeline!$J$5:$J$305&gt;=M$4+4)),SUMPRODUCT((INDEX(Timeline!$P$5:$AN$305,0,MATCH($A25,Timeline!$P$4:$AN$4,0))="x")*(Timeline!$K$5:$K$305="Task")*ISNUMBER(Timeline!$I$5:$I$305)*ISNUMBER(Timeline!$J$5:$J$305)*(Timeline!$I$5:$I$305&lt;=M$4+5)*(Timeline!$J$5:$J$305&gt;=M$4+5)),SUMPRODUCT((INDEX(Timeline!$P$5:$AN$305,0,MATCH($A25,Timeline!$P$4:$AN$4,0))="x")*(Timeline!$K$5:$K$305="Task")*ISNUMBER(Timeline!$I$5:$I$305)*ISNUMBER(Timeline!$J$5:$J$305)*(Timeline!$I$5:$I$305&lt;=M$4+6)*(Timeline!$J$5:$J$305&gt;=M$4+6)))</f>
        <v>0</v>
      </c>
      <c r="N25" s="67">
        <f>MAX(SUMPRODUCT((INDEX(Timeline!$P$5:$AN$305,0,MATCH($A25,Timeline!$P$4:$AN$4,0))="x")*(Timeline!$K$5:$K$305="Task")*ISNUMBER(Timeline!$I$5:$I$305)*ISNUMBER(Timeline!$J$5:$J$305)*(Timeline!$I$5:$I$305&lt;=N$4+0)*(Timeline!$J$5:$J$305&gt;=N$4+0)),SUMPRODUCT((INDEX(Timeline!$P$5:$AN$305,0,MATCH($A25,Timeline!$P$4:$AN$4,0))="x")*(Timeline!$K$5:$K$305="Task")*ISNUMBER(Timeline!$I$5:$I$305)*ISNUMBER(Timeline!$J$5:$J$305)*(Timeline!$I$5:$I$305&lt;=N$4+1)*(Timeline!$J$5:$J$305&gt;=N$4+1)),SUMPRODUCT((INDEX(Timeline!$P$5:$AN$305,0,MATCH($A25,Timeline!$P$4:$AN$4,0))="x")*(Timeline!$K$5:$K$305="Task")*ISNUMBER(Timeline!$I$5:$I$305)*ISNUMBER(Timeline!$J$5:$J$305)*(Timeline!$I$5:$I$305&lt;=N$4+2)*(Timeline!$J$5:$J$305&gt;=N$4+2)),SUMPRODUCT((INDEX(Timeline!$P$5:$AN$305,0,MATCH($A25,Timeline!$P$4:$AN$4,0))="x")*(Timeline!$K$5:$K$305="Task")*ISNUMBER(Timeline!$I$5:$I$305)*ISNUMBER(Timeline!$J$5:$J$305)*(Timeline!$I$5:$I$305&lt;=N$4+3)*(Timeline!$J$5:$J$305&gt;=N$4+3)),SUMPRODUCT((INDEX(Timeline!$P$5:$AN$305,0,MATCH($A25,Timeline!$P$4:$AN$4,0))="x")*(Timeline!$K$5:$K$305="Task")*ISNUMBER(Timeline!$I$5:$I$305)*ISNUMBER(Timeline!$J$5:$J$305)*(Timeline!$I$5:$I$305&lt;=N$4+4)*(Timeline!$J$5:$J$305&gt;=N$4+4)),SUMPRODUCT((INDEX(Timeline!$P$5:$AN$305,0,MATCH($A25,Timeline!$P$4:$AN$4,0))="x")*(Timeline!$K$5:$K$305="Task")*ISNUMBER(Timeline!$I$5:$I$305)*ISNUMBER(Timeline!$J$5:$J$305)*(Timeline!$I$5:$I$305&lt;=N$4+5)*(Timeline!$J$5:$J$305&gt;=N$4+5)),SUMPRODUCT((INDEX(Timeline!$P$5:$AN$305,0,MATCH($A25,Timeline!$P$4:$AN$4,0))="x")*(Timeline!$K$5:$K$305="Task")*ISNUMBER(Timeline!$I$5:$I$305)*ISNUMBER(Timeline!$J$5:$J$305)*(Timeline!$I$5:$I$305&lt;=N$4+6)*(Timeline!$J$5:$J$305&gt;=N$4+6)))</f>
        <v>0</v>
      </c>
      <c r="O25" s="67">
        <f>MAX(SUMPRODUCT((INDEX(Timeline!$P$5:$AN$305,0,MATCH($A25,Timeline!$P$4:$AN$4,0))="x")*(Timeline!$K$5:$K$305="Task")*ISNUMBER(Timeline!$I$5:$I$305)*ISNUMBER(Timeline!$J$5:$J$305)*(Timeline!$I$5:$I$305&lt;=O$4+0)*(Timeline!$J$5:$J$305&gt;=O$4+0)),SUMPRODUCT((INDEX(Timeline!$P$5:$AN$305,0,MATCH($A25,Timeline!$P$4:$AN$4,0))="x")*(Timeline!$K$5:$K$305="Task")*ISNUMBER(Timeline!$I$5:$I$305)*ISNUMBER(Timeline!$J$5:$J$305)*(Timeline!$I$5:$I$305&lt;=O$4+1)*(Timeline!$J$5:$J$305&gt;=O$4+1)),SUMPRODUCT((INDEX(Timeline!$P$5:$AN$305,0,MATCH($A25,Timeline!$P$4:$AN$4,0))="x")*(Timeline!$K$5:$K$305="Task")*ISNUMBER(Timeline!$I$5:$I$305)*ISNUMBER(Timeline!$J$5:$J$305)*(Timeline!$I$5:$I$305&lt;=O$4+2)*(Timeline!$J$5:$J$305&gt;=O$4+2)),SUMPRODUCT((INDEX(Timeline!$P$5:$AN$305,0,MATCH($A25,Timeline!$P$4:$AN$4,0))="x")*(Timeline!$K$5:$K$305="Task")*ISNUMBER(Timeline!$I$5:$I$305)*ISNUMBER(Timeline!$J$5:$J$305)*(Timeline!$I$5:$I$305&lt;=O$4+3)*(Timeline!$J$5:$J$305&gt;=O$4+3)),SUMPRODUCT((INDEX(Timeline!$P$5:$AN$305,0,MATCH($A25,Timeline!$P$4:$AN$4,0))="x")*(Timeline!$K$5:$K$305="Task")*ISNUMBER(Timeline!$I$5:$I$305)*ISNUMBER(Timeline!$J$5:$J$305)*(Timeline!$I$5:$I$305&lt;=O$4+4)*(Timeline!$J$5:$J$305&gt;=O$4+4)),SUMPRODUCT((INDEX(Timeline!$P$5:$AN$305,0,MATCH($A25,Timeline!$P$4:$AN$4,0))="x")*(Timeline!$K$5:$K$305="Task")*ISNUMBER(Timeline!$I$5:$I$305)*ISNUMBER(Timeline!$J$5:$J$305)*(Timeline!$I$5:$I$305&lt;=O$4+5)*(Timeline!$J$5:$J$305&gt;=O$4+5)),SUMPRODUCT((INDEX(Timeline!$P$5:$AN$305,0,MATCH($A25,Timeline!$P$4:$AN$4,0))="x")*(Timeline!$K$5:$K$305="Task")*ISNUMBER(Timeline!$I$5:$I$305)*ISNUMBER(Timeline!$J$5:$J$305)*(Timeline!$I$5:$I$305&lt;=O$4+6)*(Timeline!$J$5:$J$305&gt;=O$4+6)))</f>
        <v>0</v>
      </c>
      <c r="P25" s="67">
        <f>MAX(SUMPRODUCT((INDEX(Timeline!$P$5:$AN$305,0,MATCH($A25,Timeline!$P$4:$AN$4,0))="x")*(Timeline!$K$5:$K$305="Task")*ISNUMBER(Timeline!$I$5:$I$305)*ISNUMBER(Timeline!$J$5:$J$305)*(Timeline!$I$5:$I$305&lt;=P$4+0)*(Timeline!$J$5:$J$305&gt;=P$4+0)),SUMPRODUCT((INDEX(Timeline!$P$5:$AN$305,0,MATCH($A25,Timeline!$P$4:$AN$4,0))="x")*(Timeline!$K$5:$K$305="Task")*ISNUMBER(Timeline!$I$5:$I$305)*ISNUMBER(Timeline!$J$5:$J$305)*(Timeline!$I$5:$I$305&lt;=P$4+1)*(Timeline!$J$5:$J$305&gt;=P$4+1)),SUMPRODUCT((INDEX(Timeline!$P$5:$AN$305,0,MATCH($A25,Timeline!$P$4:$AN$4,0))="x")*(Timeline!$K$5:$K$305="Task")*ISNUMBER(Timeline!$I$5:$I$305)*ISNUMBER(Timeline!$J$5:$J$305)*(Timeline!$I$5:$I$305&lt;=P$4+2)*(Timeline!$J$5:$J$305&gt;=P$4+2)),SUMPRODUCT((INDEX(Timeline!$P$5:$AN$305,0,MATCH($A25,Timeline!$P$4:$AN$4,0))="x")*(Timeline!$K$5:$K$305="Task")*ISNUMBER(Timeline!$I$5:$I$305)*ISNUMBER(Timeline!$J$5:$J$305)*(Timeline!$I$5:$I$305&lt;=P$4+3)*(Timeline!$J$5:$J$305&gt;=P$4+3)),SUMPRODUCT((INDEX(Timeline!$P$5:$AN$305,0,MATCH($A25,Timeline!$P$4:$AN$4,0))="x")*(Timeline!$K$5:$K$305="Task")*ISNUMBER(Timeline!$I$5:$I$305)*ISNUMBER(Timeline!$J$5:$J$305)*(Timeline!$I$5:$I$305&lt;=P$4+4)*(Timeline!$J$5:$J$305&gt;=P$4+4)),SUMPRODUCT((INDEX(Timeline!$P$5:$AN$305,0,MATCH($A25,Timeline!$P$4:$AN$4,0))="x")*(Timeline!$K$5:$K$305="Task")*ISNUMBER(Timeline!$I$5:$I$305)*ISNUMBER(Timeline!$J$5:$J$305)*(Timeline!$I$5:$I$305&lt;=P$4+5)*(Timeline!$J$5:$J$305&gt;=P$4+5)),SUMPRODUCT((INDEX(Timeline!$P$5:$AN$305,0,MATCH($A25,Timeline!$P$4:$AN$4,0))="x")*(Timeline!$K$5:$K$305="Task")*ISNUMBER(Timeline!$I$5:$I$305)*ISNUMBER(Timeline!$J$5:$J$305)*(Timeline!$I$5:$I$305&lt;=P$4+6)*(Timeline!$J$5:$J$305&gt;=P$4+6)))</f>
        <v>0</v>
      </c>
      <c r="Q25" s="67">
        <f>MAX(SUMPRODUCT((INDEX(Timeline!$P$5:$AN$305,0,MATCH($A25,Timeline!$P$4:$AN$4,0))="x")*(Timeline!$K$5:$K$305="Task")*ISNUMBER(Timeline!$I$5:$I$305)*ISNUMBER(Timeline!$J$5:$J$305)*(Timeline!$I$5:$I$305&lt;=Q$4+0)*(Timeline!$J$5:$J$305&gt;=Q$4+0)),SUMPRODUCT((INDEX(Timeline!$P$5:$AN$305,0,MATCH($A25,Timeline!$P$4:$AN$4,0))="x")*(Timeline!$K$5:$K$305="Task")*ISNUMBER(Timeline!$I$5:$I$305)*ISNUMBER(Timeline!$J$5:$J$305)*(Timeline!$I$5:$I$305&lt;=Q$4+1)*(Timeline!$J$5:$J$305&gt;=Q$4+1)),SUMPRODUCT((INDEX(Timeline!$P$5:$AN$305,0,MATCH($A25,Timeline!$P$4:$AN$4,0))="x")*(Timeline!$K$5:$K$305="Task")*ISNUMBER(Timeline!$I$5:$I$305)*ISNUMBER(Timeline!$J$5:$J$305)*(Timeline!$I$5:$I$305&lt;=Q$4+2)*(Timeline!$J$5:$J$305&gt;=Q$4+2)),SUMPRODUCT((INDEX(Timeline!$P$5:$AN$305,0,MATCH($A25,Timeline!$P$4:$AN$4,0))="x")*(Timeline!$K$5:$K$305="Task")*ISNUMBER(Timeline!$I$5:$I$305)*ISNUMBER(Timeline!$J$5:$J$305)*(Timeline!$I$5:$I$305&lt;=Q$4+3)*(Timeline!$J$5:$J$305&gt;=Q$4+3)),SUMPRODUCT((INDEX(Timeline!$P$5:$AN$305,0,MATCH($A25,Timeline!$P$4:$AN$4,0))="x")*(Timeline!$K$5:$K$305="Task")*ISNUMBER(Timeline!$I$5:$I$305)*ISNUMBER(Timeline!$J$5:$J$305)*(Timeline!$I$5:$I$305&lt;=Q$4+4)*(Timeline!$J$5:$J$305&gt;=Q$4+4)),SUMPRODUCT((INDEX(Timeline!$P$5:$AN$305,0,MATCH($A25,Timeline!$P$4:$AN$4,0))="x")*(Timeline!$K$5:$K$305="Task")*ISNUMBER(Timeline!$I$5:$I$305)*ISNUMBER(Timeline!$J$5:$J$305)*(Timeline!$I$5:$I$305&lt;=Q$4+5)*(Timeline!$J$5:$J$305&gt;=Q$4+5)),SUMPRODUCT((INDEX(Timeline!$P$5:$AN$305,0,MATCH($A25,Timeline!$P$4:$AN$4,0))="x")*(Timeline!$K$5:$K$305="Task")*ISNUMBER(Timeline!$I$5:$I$305)*ISNUMBER(Timeline!$J$5:$J$305)*(Timeline!$I$5:$I$305&lt;=Q$4+6)*(Timeline!$J$5:$J$305&gt;=Q$4+6)))</f>
        <v>0</v>
      </c>
      <c r="R25" s="67">
        <f>MAX(SUMPRODUCT((INDEX(Timeline!$P$5:$AN$305,0,MATCH($A25,Timeline!$P$4:$AN$4,0))="x")*(Timeline!$K$5:$K$305="Task")*ISNUMBER(Timeline!$I$5:$I$305)*ISNUMBER(Timeline!$J$5:$J$305)*(Timeline!$I$5:$I$305&lt;=R$4+0)*(Timeline!$J$5:$J$305&gt;=R$4+0)),SUMPRODUCT((INDEX(Timeline!$P$5:$AN$305,0,MATCH($A25,Timeline!$P$4:$AN$4,0))="x")*(Timeline!$K$5:$K$305="Task")*ISNUMBER(Timeline!$I$5:$I$305)*ISNUMBER(Timeline!$J$5:$J$305)*(Timeline!$I$5:$I$305&lt;=R$4+1)*(Timeline!$J$5:$J$305&gt;=R$4+1)),SUMPRODUCT((INDEX(Timeline!$P$5:$AN$305,0,MATCH($A25,Timeline!$P$4:$AN$4,0))="x")*(Timeline!$K$5:$K$305="Task")*ISNUMBER(Timeline!$I$5:$I$305)*ISNUMBER(Timeline!$J$5:$J$305)*(Timeline!$I$5:$I$305&lt;=R$4+2)*(Timeline!$J$5:$J$305&gt;=R$4+2)),SUMPRODUCT((INDEX(Timeline!$P$5:$AN$305,0,MATCH($A25,Timeline!$P$4:$AN$4,0))="x")*(Timeline!$K$5:$K$305="Task")*ISNUMBER(Timeline!$I$5:$I$305)*ISNUMBER(Timeline!$J$5:$J$305)*(Timeline!$I$5:$I$305&lt;=R$4+3)*(Timeline!$J$5:$J$305&gt;=R$4+3)),SUMPRODUCT((INDEX(Timeline!$P$5:$AN$305,0,MATCH($A25,Timeline!$P$4:$AN$4,0))="x")*(Timeline!$K$5:$K$305="Task")*ISNUMBER(Timeline!$I$5:$I$305)*ISNUMBER(Timeline!$J$5:$J$305)*(Timeline!$I$5:$I$305&lt;=R$4+4)*(Timeline!$J$5:$J$305&gt;=R$4+4)),SUMPRODUCT((INDEX(Timeline!$P$5:$AN$305,0,MATCH($A25,Timeline!$P$4:$AN$4,0))="x")*(Timeline!$K$5:$K$305="Task")*ISNUMBER(Timeline!$I$5:$I$305)*ISNUMBER(Timeline!$J$5:$J$305)*(Timeline!$I$5:$I$305&lt;=R$4+5)*(Timeline!$J$5:$J$305&gt;=R$4+5)),SUMPRODUCT((INDEX(Timeline!$P$5:$AN$305,0,MATCH($A25,Timeline!$P$4:$AN$4,0))="x")*(Timeline!$K$5:$K$305="Task")*ISNUMBER(Timeline!$I$5:$I$305)*ISNUMBER(Timeline!$J$5:$J$305)*(Timeline!$I$5:$I$305&lt;=R$4+6)*(Timeline!$J$5:$J$305&gt;=R$4+6)))</f>
        <v>0</v>
      </c>
      <c r="S25" s="67">
        <f>MAX(SUMPRODUCT((INDEX(Timeline!$P$5:$AN$305,0,MATCH($A25,Timeline!$P$4:$AN$4,0))="x")*(Timeline!$K$5:$K$305="Task")*ISNUMBER(Timeline!$I$5:$I$305)*ISNUMBER(Timeline!$J$5:$J$305)*(Timeline!$I$5:$I$305&lt;=S$4+0)*(Timeline!$J$5:$J$305&gt;=S$4+0)),SUMPRODUCT((INDEX(Timeline!$P$5:$AN$305,0,MATCH($A25,Timeline!$P$4:$AN$4,0))="x")*(Timeline!$K$5:$K$305="Task")*ISNUMBER(Timeline!$I$5:$I$305)*ISNUMBER(Timeline!$J$5:$J$305)*(Timeline!$I$5:$I$305&lt;=S$4+1)*(Timeline!$J$5:$J$305&gt;=S$4+1)),SUMPRODUCT((INDEX(Timeline!$P$5:$AN$305,0,MATCH($A25,Timeline!$P$4:$AN$4,0))="x")*(Timeline!$K$5:$K$305="Task")*ISNUMBER(Timeline!$I$5:$I$305)*ISNUMBER(Timeline!$J$5:$J$305)*(Timeline!$I$5:$I$305&lt;=S$4+2)*(Timeline!$J$5:$J$305&gt;=S$4+2)),SUMPRODUCT((INDEX(Timeline!$P$5:$AN$305,0,MATCH($A25,Timeline!$P$4:$AN$4,0))="x")*(Timeline!$K$5:$K$305="Task")*ISNUMBER(Timeline!$I$5:$I$305)*ISNUMBER(Timeline!$J$5:$J$305)*(Timeline!$I$5:$I$305&lt;=S$4+3)*(Timeline!$J$5:$J$305&gt;=S$4+3)),SUMPRODUCT((INDEX(Timeline!$P$5:$AN$305,0,MATCH($A25,Timeline!$P$4:$AN$4,0))="x")*(Timeline!$K$5:$K$305="Task")*ISNUMBER(Timeline!$I$5:$I$305)*ISNUMBER(Timeline!$J$5:$J$305)*(Timeline!$I$5:$I$305&lt;=S$4+4)*(Timeline!$J$5:$J$305&gt;=S$4+4)),SUMPRODUCT((INDEX(Timeline!$P$5:$AN$305,0,MATCH($A25,Timeline!$P$4:$AN$4,0))="x")*(Timeline!$K$5:$K$305="Task")*ISNUMBER(Timeline!$I$5:$I$305)*ISNUMBER(Timeline!$J$5:$J$305)*(Timeline!$I$5:$I$305&lt;=S$4+5)*(Timeline!$J$5:$J$305&gt;=S$4+5)),SUMPRODUCT((INDEX(Timeline!$P$5:$AN$305,0,MATCH($A25,Timeline!$P$4:$AN$4,0))="x")*(Timeline!$K$5:$K$305="Task")*ISNUMBER(Timeline!$I$5:$I$305)*ISNUMBER(Timeline!$J$5:$J$305)*(Timeline!$I$5:$I$305&lt;=S$4+6)*(Timeline!$J$5:$J$305&gt;=S$4+6)))</f>
        <v>0</v>
      </c>
      <c r="T25" s="67">
        <f>MAX(SUMPRODUCT((INDEX(Timeline!$P$5:$AN$305,0,MATCH($A25,Timeline!$P$4:$AN$4,0))="x")*(Timeline!$K$5:$K$305="Task")*ISNUMBER(Timeline!$I$5:$I$305)*ISNUMBER(Timeline!$J$5:$J$305)*(Timeline!$I$5:$I$305&lt;=T$4+0)*(Timeline!$J$5:$J$305&gt;=T$4+0)),SUMPRODUCT((INDEX(Timeline!$P$5:$AN$305,0,MATCH($A25,Timeline!$P$4:$AN$4,0))="x")*(Timeline!$K$5:$K$305="Task")*ISNUMBER(Timeline!$I$5:$I$305)*ISNUMBER(Timeline!$J$5:$J$305)*(Timeline!$I$5:$I$305&lt;=T$4+1)*(Timeline!$J$5:$J$305&gt;=T$4+1)),SUMPRODUCT((INDEX(Timeline!$P$5:$AN$305,0,MATCH($A25,Timeline!$P$4:$AN$4,0))="x")*(Timeline!$K$5:$K$305="Task")*ISNUMBER(Timeline!$I$5:$I$305)*ISNUMBER(Timeline!$J$5:$J$305)*(Timeline!$I$5:$I$305&lt;=T$4+2)*(Timeline!$J$5:$J$305&gt;=T$4+2)),SUMPRODUCT((INDEX(Timeline!$P$5:$AN$305,0,MATCH($A25,Timeline!$P$4:$AN$4,0))="x")*(Timeline!$K$5:$K$305="Task")*ISNUMBER(Timeline!$I$5:$I$305)*ISNUMBER(Timeline!$J$5:$J$305)*(Timeline!$I$5:$I$305&lt;=T$4+3)*(Timeline!$J$5:$J$305&gt;=T$4+3)),SUMPRODUCT((INDEX(Timeline!$P$5:$AN$305,0,MATCH($A25,Timeline!$P$4:$AN$4,0))="x")*(Timeline!$K$5:$K$305="Task")*ISNUMBER(Timeline!$I$5:$I$305)*ISNUMBER(Timeline!$J$5:$J$305)*(Timeline!$I$5:$I$305&lt;=T$4+4)*(Timeline!$J$5:$J$305&gt;=T$4+4)),SUMPRODUCT((INDEX(Timeline!$P$5:$AN$305,0,MATCH($A25,Timeline!$P$4:$AN$4,0))="x")*(Timeline!$K$5:$K$305="Task")*ISNUMBER(Timeline!$I$5:$I$305)*ISNUMBER(Timeline!$J$5:$J$305)*(Timeline!$I$5:$I$305&lt;=T$4+5)*(Timeline!$J$5:$J$305&gt;=T$4+5)),SUMPRODUCT((INDEX(Timeline!$P$5:$AN$305,0,MATCH($A25,Timeline!$P$4:$AN$4,0))="x")*(Timeline!$K$5:$K$305="Task")*ISNUMBER(Timeline!$I$5:$I$305)*ISNUMBER(Timeline!$J$5:$J$305)*(Timeline!$I$5:$I$305&lt;=T$4+6)*(Timeline!$J$5:$J$305&gt;=T$4+6)))</f>
        <v>0</v>
      </c>
      <c r="U25" s="67">
        <f>MAX(SUMPRODUCT((INDEX(Timeline!$P$5:$AN$305,0,MATCH($A25,Timeline!$P$4:$AN$4,0))="x")*(Timeline!$K$5:$K$305="Task")*ISNUMBER(Timeline!$I$5:$I$305)*ISNUMBER(Timeline!$J$5:$J$305)*(Timeline!$I$5:$I$305&lt;=U$4+0)*(Timeline!$J$5:$J$305&gt;=U$4+0)),SUMPRODUCT((INDEX(Timeline!$P$5:$AN$305,0,MATCH($A25,Timeline!$P$4:$AN$4,0))="x")*(Timeline!$K$5:$K$305="Task")*ISNUMBER(Timeline!$I$5:$I$305)*ISNUMBER(Timeline!$J$5:$J$305)*(Timeline!$I$5:$I$305&lt;=U$4+1)*(Timeline!$J$5:$J$305&gt;=U$4+1)),SUMPRODUCT((INDEX(Timeline!$P$5:$AN$305,0,MATCH($A25,Timeline!$P$4:$AN$4,0))="x")*(Timeline!$K$5:$K$305="Task")*ISNUMBER(Timeline!$I$5:$I$305)*ISNUMBER(Timeline!$J$5:$J$305)*(Timeline!$I$5:$I$305&lt;=U$4+2)*(Timeline!$J$5:$J$305&gt;=U$4+2)),SUMPRODUCT((INDEX(Timeline!$P$5:$AN$305,0,MATCH($A25,Timeline!$P$4:$AN$4,0))="x")*(Timeline!$K$5:$K$305="Task")*ISNUMBER(Timeline!$I$5:$I$305)*ISNUMBER(Timeline!$J$5:$J$305)*(Timeline!$I$5:$I$305&lt;=U$4+3)*(Timeline!$J$5:$J$305&gt;=U$4+3)),SUMPRODUCT((INDEX(Timeline!$P$5:$AN$305,0,MATCH($A25,Timeline!$P$4:$AN$4,0))="x")*(Timeline!$K$5:$K$305="Task")*ISNUMBER(Timeline!$I$5:$I$305)*ISNUMBER(Timeline!$J$5:$J$305)*(Timeline!$I$5:$I$305&lt;=U$4+4)*(Timeline!$J$5:$J$305&gt;=U$4+4)),SUMPRODUCT((INDEX(Timeline!$P$5:$AN$305,0,MATCH($A25,Timeline!$P$4:$AN$4,0))="x")*(Timeline!$K$5:$K$305="Task")*ISNUMBER(Timeline!$I$5:$I$305)*ISNUMBER(Timeline!$J$5:$J$305)*(Timeline!$I$5:$I$305&lt;=U$4+5)*(Timeline!$J$5:$J$305&gt;=U$4+5)),SUMPRODUCT((INDEX(Timeline!$P$5:$AN$305,0,MATCH($A25,Timeline!$P$4:$AN$4,0))="x")*(Timeline!$K$5:$K$305="Task")*ISNUMBER(Timeline!$I$5:$I$305)*ISNUMBER(Timeline!$J$5:$J$305)*(Timeline!$I$5:$I$305&lt;=U$4+6)*(Timeline!$J$5:$J$305&gt;=U$4+6)))</f>
        <v>0</v>
      </c>
      <c r="V25" s="67">
        <f>MAX(SUMPRODUCT((INDEX(Timeline!$P$5:$AN$305,0,MATCH($A25,Timeline!$P$4:$AN$4,0))="x")*(Timeline!$K$5:$K$305="Task")*ISNUMBER(Timeline!$I$5:$I$305)*ISNUMBER(Timeline!$J$5:$J$305)*(Timeline!$I$5:$I$305&lt;=V$4+0)*(Timeline!$J$5:$J$305&gt;=V$4+0)),SUMPRODUCT((INDEX(Timeline!$P$5:$AN$305,0,MATCH($A25,Timeline!$P$4:$AN$4,0))="x")*(Timeline!$K$5:$K$305="Task")*ISNUMBER(Timeline!$I$5:$I$305)*ISNUMBER(Timeline!$J$5:$J$305)*(Timeline!$I$5:$I$305&lt;=V$4+1)*(Timeline!$J$5:$J$305&gt;=V$4+1)),SUMPRODUCT((INDEX(Timeline!$P$5:$AN$305,0,MATCH($A25,Timeline!$P$4:$AN$4,0))="x")*(Timeline!$K$5:$K$305="Task")*ISNUMBER(Timeline!$I$5:$I$305)*ISNUMBER(Timeline!$J$5:$J$305)*(Timeline!$I$5:$I$305&lt;=V$4+2)*(Timeline!$J$5:$J$305&gt;=V$4+2)),SUMPRODUCT((INDEX(Timeline!$P$5:$AN$305,0,MATCH($A25,Timeline!$P$4:$AN$4,0))="x")*(Timeline!$K$5:$K$305="Task")*ISNUMBER(Timeline!$I$5:$I$305)*ISNUMBER(Timeline!$J$5:$J$305)*(Timeline!$I$5:$I$305&lt;=V$4+3)*(Timeline!$J$5:$J$305&gt;=V$4+3)),SUMPRODUCT((INDEX(Timeline!$P$5:$AN$305,0,MATCH($A25,Timeline!$P$4:$AN$4,0))="x")*(Timeline!$K$5:$K$305="Task")*ISNUMBER(Timeline!$I$5:$I$305)*ISNUMBER(Timeline!$J$5:$J$305)*(Timeline!$I$5:$I$305&lt;=V$4+4)*(Timeline!$J$5:$J$305&gt;=V$4+4)),SUMPRODUCT((INDEX(Timeline!$P$5:$AN$305,0,MATCH($A25,Timeline!$P$4:$AN$4,0))="x")*(Timeline!$K$5:$K$305="Task")*ISNUMBER(Timeline!$I$5:$I$305)*ISNUMBER(Timeline!$J$5:$J$305)*(Timeline!$I$5:$I$305&lt;=V$4+5)*(Timeline!$J$5:$J$305&gt;=V$4+5)),SUMPRODUCT((INDEX(Timeline!$P$5:$AN$305,0,MATCH($A25,Timeline!$P$4:$AN$4,0))="x")*(Timeline!$K$5:$K$305="Task")*ISNUMBER(Timeline!$I$5:$I$305)*ISNUMBER(Timeline!$J$5:$J$305)*(Timeline!$I$5:$I$305&lt;=V$4+6)*(Timeline!$J$5:$J$305&gt;=V$4+6)))</f>
        <v>0</v>
      </c>
      <c r="W25" s="67">
        <f>MAX(SUMPRODUCT((INDEX(Timeline!$P$5:$AN$305,0,MATCH($A25,Timeline!$P$4:$AN$4,0))="x")*(Timeline!$K$5:$K$305="Task")*ISNUMBER(Timeline!$I$5:$I$305)*ISNUMBER(Timeline!$J$5:$J$305)*(Timeline!$I$5:$I$305&lt;=W$4+0)*(Timeline!$J$5:$J$305&gt;=W$4+0)),SUMPRODUCT((INDEX(Timeline!$P$5:$AN$305,0,MATCH($A25,Timeline!$P$4:$AN$4,0))="x")*(Timeline!$K$5:$K$305="Task")*ISNUMBER(Timeline!$I$5:$I$305)*ISNUMBER(Timeline!$J$5:$J$305)*(Timeline!$I$5:$I$305&lt;=W$4+1)*(Timeline!$J$5:$J$305&gt;=W$4+1)),SUMPRODUCT((INDEX(Timeline!$P$5:$AN$305,0,MATCH($A25,Timeline!$P$4:$AN$4,0))="x")*(Timeline!$K$5:$K$305="Task")*ISNUMBER(Timeline!$I$5:$I$305)*ISNUMBER(Timeline!$J$5:$J$305)*(Timeline!$I$5:$I$305&lt;=W$4+2)*(Timeline!$J$5:$J$305&gt;=W$4+2)),SUMPRODUCT((INDEX(Timeline!$P$5:$AN$305,0,MATCH($A25,Timeline!$P$4:$AN$4,0))="x")*(Timeline!$K$5:$K$305="Task")*ISNUMBER(Timeline!$I$5:$I$305)*ISNUMBER(Timeline!$J$5:$J$305)*(Timeline!$I$5:$I$305&lt;=W$4+3)*(Timeline!$J$5:$J$305&gt;=W$4+3)),SUMPRODUCT((INDEX(Timeline!$P$5:$AN$305,0,MATCH($A25,Timeline!$P$4:$AN$4,0))="x")*(Timeline!$K$5:$K$305="Task")*ISNUMBER(Timeline!$I$5:$I$305)*ISNUMBER(Timeline!$J$5:$J$305)*(Timeline!$I$5:$I$305&lt;=W$4+4)*(Timeline!$J$5:$J$305&gt;=W$4+4)),SUMPRODUCT((INDEX(Timeline!$P$5:$AN$305,0,MATCH($A25,Timeline!$P$4:$AN$4,0))="x")*(Timeline!$K$5:$K$305="Task")*ISNUMBER(Timeline!$I$5:$I$305)*ISNUMBER(Timeline!$J$5:$J$305)*(Timeline!$I$5:$I$305&lt;=W$4+5)*(Timeline!$J$5:$J$305&gt;=W$4+5)),SUMPRODUCT((INDEX(Timeline!$P$5:$AN$305,0,MATCH($A25,Timeline!$P$4:$AN$4,0))="x")*(Timeline!$K$5:$K$305="Task")*ISNUMBER(Timeline!$I$5:$I$305)*ISNUMBER(Timeline!$J$5:$J$305)*(Timeline!$I$5:$I$305&lt;=W$4+6)*(Timeline!$J$5:$J$305&gt;=W$4+6)))</f>
        <v>0</v>
      </c>
      <c r="X25" s="67">
        <f>MAX(SUMPRODUCT((INDEX(Timeline!$P$5:$AN$305,0,MATCH($A25,Timeline!$P$4:$AN$4,0))="x")*(Timeline!$K$5:$K$305="Task")*ISNUMBER(Timeline!$I$5:$I$305)*ISNUMBER(Timeline!$J$5:$J$305)*(Timeline!$I$5:$I$305&lt;=X$4+0)*(Timeline!$J$5:$J$305&gt;=X$4+0)),SUMPRODUCT((INDEX(Timeline!$P$5:$AN$305,0,MATCH($A25,Timeline!$P$4:$AN$4,0))="x")*(Timeline!$K$5:$K$305="Task")*ISNUMBER(Timeline!$I$5:$I$305)*ISNUMBER(Timeline!$J$5:$J$305)*(Timeline!$I$5:$I$305&lt;=X$4+1)*(Timeline!$J$5:$J$305&gt;=X$4+1)),SUMPRODUCT((INDEX(Timeline!$P$5:$AN$305,0,MATCH($A25,Timeline!$P$4:$AN$4,0))="x")*(Timeline!$K$5:$K$305="Task")*ISNUMBER(Timeline!$I$5:$I$305)*ISNUMBER(Timeline!$J$5:$J$305)*(Timeline!$I$5:$I$305&lt;=X$4+2)*(Timeline!$J$5:$J$305&gt;=X$4+2)),SUMPRODUCT((INDEX(Timeline!$P$5:$AN$305,0,MATCH($A25,Timeline!$P$4:$AN$4,0))="x")*(Timeline!$K$5:$K$305="Task")*ISNUMBER(Timeline!$I$5:$I$305)*ISNUMBER(Timeline!$J$5:$J$305)*(Timeline!$I$5:$I$305&lt;=X$4+3)*(Timeline!$J$5:$J$305&gt;=X$4+3)),SUMPRODUCT((INDEX(Timeline!$P$5:$AN$305,0,MATCH($A25,Timeline!$P$4:$AN$4,0))="x")*(Timeline!$K$5:$K$305="Task")*ISNUMBER(Timeline!$I$5:$I$305)*ISNUMBER(Timeline!$J$5:$J$305)*(Timeline!$I$5:$I$305&lt;=X$4+4)*(Timeline!$J$5:$J$305&gt;=X$4+4)),SUMPRODUCT((INDEX(Timeline!$P$5:$AN$305,0,MATCH($A25,Timeline!$P$4:$AN$4,0))="x")*(Timeline!$K$5:$K$305="Task")*ISNUMBER(Timeline!$I$5:$I$305)*ISNUMBER(Timeline!$J$5:$J$305)*(Timeline!$I$5:$I$305&lt;=X$4+5)*(Timeline!$J$5:$J$305&gt;=X$4+5)),SUMPRODUCT((INDEX(Timeline!$P$5:$AN$305,0,MATCH($A25,Timeline!$P$4:$AN$4,0))="x")*(Timeline!$K$5:$K$305="Task")*ISNUMBER(Timeline!$I$5:$I$305)*ISNUMBER(Timeline!$J$5:$J$305)*(Timeline!$I$5:$I$305&lt;=X$4+6)*(Timeline!$J$5:$J$305&gt;=X$4+6)))</f>
        <v>1</v>
      </c>
      <c r="Y25" s="67">
        <f>MAX(SUMPRODUCT((INDEX(Timeline!$P$5:$AN$305,0,MATCH($A25,Timeline!$P$4:$AN$4,0))="x")*(Timeline!$K$5:$K$305="Task")*ISNUMBER(Timeline!$I$5:$I$305)*ISNUMBER(Timeline!$J$5:$J$305)*(Timeline!$I$5:$I$305&lt;=Y$4+0)*(Timeline!$J$5:$J$305&gt;=Y$4+0)),SUMPRODUCT((INDEX(Timeline!$P$5:$AN$305,0,MATCH($A25,Timeline!$P$4:$AN$4,0))="x")*(Timeline!$K$5:$K$305="Task")*ISNUMBER(Timeline!$I$5:$I$305)*ISNUMBER(Timeline!$J$5:$J$305)*(Timeline!$I$5:$I$305&lt;=Y$4+1)*(Timeline!$J$5:$J$305&gt;=Y$4+1)),SUMPRODUCT((INDEX(Timeline!$P$5:$AN$305,0,MATCH($A25,Timeline!$P$4:$AN$4,0))="x")*(Timeline!$K$5:$K$305="Task")*ISNUMBER(Timeline!$I$5:$I$305)*ISNUMBER(Timeline!$J$5:$J$305)*(Timeline!$I$5:$I$305&lt;=Y$4+2)*(Timeline!$J$5:$J$305&gt;=Y$4+2)),SUMPRODUCT((INDEX(Timeline!$P$5:$AN$305,0,MATCH($A25,Timeline!$P$4:$AN$4,0))="x")*(Timeline!$K$5:$K$305="Task")*ISNUMBER(Timeline!$I$5:$I$305)*ISNUMBER(Timeline!$J$5:$J$305)*(Timeline!$I$5:$I$305&lt;=Y$4+3)*(Timeline!$J$5:$J$305&gt;=Y$4+3)),SUMPRODUCT((INDEX(Timeline!$P$5:$AN$305,0,MATCH($A25,Timeline!$P$4:$AN$4,0))="x")*(Timeline!$K$5:$K$305="Task")*ISNUMBER(Timeline!$I$5:$I$305)*ISNUMBER(Timeline!$J$5:$J$305)*(Timeline!$I$5:$I$305&lt;=Y$4+4)*(Timeline!$J$5:$J$305&gt;=Y$4+4)),SUMPRODUCT((INDEX(Timeline!$P$5:$AN$305,0,MATCH($A25,Timeline!$P$4:$AN$4,0))="x")*(Timeline!$K$5:$K$305="Task")*ISNUMBER(Timeline!$I$5:$I$305)*ISNUMBER(Timeline!$J$5:$J$305)*(Timeline!$I$5:$I$305&lt;=Y$4+5)*(Timeline!$J$5:$J$305&gt;=Y$4+5)),SUMPRODUCT((INDEX(Timeline!$P$5:$AN$305,0,MATCH($A25,Timeline!$P$4:$AN$4,0))="x")*(Timeline!$K$5:$K$305="Task")*ISNUMBER(Timeline!$I$5:$I$305)*ISNUMBER(Timeline!$J$5:$J$305)*(Timeline!$I$5:$I$305&lt;=Y$4+6)*(Timeline!$J$5:$J$305&gt;=Y$4+6)))</f>
        <v>1</v>
      </c>
      <c r="Z25" s="67">
        <f>MAX(SUMPRODUCT((INDEX(Timeline!$P$5:$AN$305,0,MATCH($A25,Timeline!$P$4:$AN$4,0))="x")*(Timeline!$K$5:$K$305="Task")*ISNUMBER(Timeline!$I$5:$I$305)*ISNUMBER(Timeline!$J$5:$J$305)*(Timeline!$I$5:$I$305&lt;=Z$4+0)*(Timeline!$J$5:$J$305&gt;=Z$4+0)),SUMPRODUCT((INDEX(Timeline!$P$5:$AN$305,0,MATCH($A25,Timeline!$P$4:$AN$4,0))="x")*(Timeline!$K$5:$K$305="Task")*ISNUMBER(Timeline!$I$5:$I$305)*ISNUMBER(Timeline!$J$5:$J$305)*(Timeline!$I$5:$I$305&lt;=Z$4+1)*(Timeline!$J$5:$J$305&gt;=Z$4+1)),SUMPRODUCT((INDEX(Timeline!$P$5:$AN$305,0,MATCH($A25,Timeline!$P$4:$AN$4,0))="x")*(Timeline!$K$5:$K$305="Task")*ISNUMBER(Timeline!$I$5:$I$305)*ISNUMBER(Timeline!$J$5:$J$305)*(Timeline!$I$5:$I$305&lt;=Z$4+2)*(Timeline!$J$5:$J$305&gt;=Z$4+2)),SUMPRODUCT((INDEX(Timeline!$P$5:$AN$305,0,MATCH($A25,Timeline!$P$4:$AN$4,0))="x")*(Timeline!$K$5:$K$305="Task")*ISNUMBER(Timeline!$I$5:$I$305)*ISNUMBER(Timeline!$J$5:$J$305)*(Timeline!$I$5:$I$305&lt;=Z$4+3)*(Timeline!$J$5:$J$305&gt;=Z$4+3)),SUMPRODUCT((INDEX(Timeline!$P$5:$AN$305,0,MATCH($A25,Timeline!$P$4:$AN$4,0))="x")*(Timeline!$K$5:$K$305="Task")*ISNUMBER(Timeline!$I$5:$I$305)*ISNUMBER(Timeline!$J$5:$J$305)*(Timeline!$I$5:$I$305&lt;=Z$4+4)*(Timeline!$J$5:$J$305&gt;=Z$4+4)),SUMPRODUCT((INDEX(Timeline!$P$5:$AN$305,0,MATCH($A25,Timeline!$P$4:$AN$4,0))="x")*(Timeline!$K$5:$K$305="Task")*ISNUMBER(Timeline!$I$5:$I$305)*ISNUMBER(Timeline!$J$5:$J$305)*(Timeline!$I$5:$I$305&lt;=Z$4+5)*(Timeline!$J$5:$J$305&gt;=Z$4+5)),SUMPRODUCT((INDEX(Timeline!$P$5:$AN$305,0,MATCH($A25,Timeline!$P$4:$AN$4,0))="x")*(Timeline!$K$5:$K$305="Task")*ISNUMBER(Timeline!$I$5:$I$305)*ISNUMBER(Timeline!$J$5:$J$305)*(Timeline!$I$5:$I$305&lt;=Z$4+6)*(Timeline!$J$5:$J$305&gt;=Z$4+6)))</f>
        <v>1</v>
      </c>
      <c r="AA25" s="67">
        <f>MAX(SUMPRODUCT((INDEX(Timeline!$P$5:$AN$305,0,MATCH($A25,Timeline!$P$4:$AN$4,0))="x")*(Timeline!$K$5:$K$305="Task")*ISNUMBER(Timeline!$I$5:$I$305)*ISNUMBER(Timeline!$J$5:$J$305)*(Timeline!$I$5:$I$305&lt;=AA$4+0)*(Timeline!$J$5:$J$305&gt;=AA$4+0)),SUMPRODUCT((INDEX(Timeline!$P$5:$AN$305,0,MATCH($A25,Timeline!$P$4:$AN$4,0))="x")*(Timeline!$K$5:$K$305="Task")*ISNUMBER(Timeline!$I$5:$I$305)*ISNUMBER(Timeline!$J$5:$J$305)*(Timeline!$I$5:$I$305&lt;=AA$4+1)*(Timeline!$J$5:$J$305&gt;=AA$4+1)),SUMPRODUCT((INDEX(Timeline!$P$5:$AN$305,0,MATCH($A25,Timeline!$P$4:$AN$4,0))="x")*(Timeline!$K$5:$K$305="Task")*ISNUMBER(Timeline!$I$5:$I$305)*ISNUMBER(Timeline!$J$5:$J$305)*(Timeline!$I$5:$I$305&lt;=AA$4+2)*(Timeline!$J$5:$J$305&gt;=AA$4+2)),SUMPRODUCT((INDEX(Timeline!$P$5:$AN$305,0,MATCH($A25,Timeline!$P$4:$AN$4,0))="x")*(Timeline!$K$5:$K$305="Task")*ISNUMBER(Timeline!$I$5:$I$305)*ISNUMBER(Timeline!$J$5:$J$305)*(Timeline!$I$5:$I$305&lt;=AA$4+3)*(Timeline!$J$5:$J$305&gt;=AA$4+3)),SUMPRODUCT((INDEX(Timeline!$P$5:$AN$305,0,MATCH($A25,Timeline!$P$4:$AN$4,0))="x")*(Timeline!$K$5:$K$305="Task")*ISNUMBER(Timeline!$I$5:$I$305)*ISNUMBER(Timeline!$J$5:$J$305)*(Timeline!$I$5:$I$305&lt;=AA$4+4)*(Timeline!$J$5:$J$305&gt;=AA$4+4)),SUMPRODUCT((INDEX(Timeline!$P$5:$AN$305,0,MATCH($A25,Timeline!$P$4:$AN$4,0))="x")*(Timeline!$K$5:$K$305="Task")*ISNUMBER(Timeline!$I$5:$I$305)*ISNUMBER(Timeline!$J$5:$J$305)*(Timeline!$I$5:$I$305&lt;=AA$4+5)*(Timeline!$J$5:$J$305&gt;=AA$4+5)),SUMPRODUCT((INDEX(Timeline!$P$5:$AN$305,0,MATCH($A25,Timeline!$P$4:$AN$4,0))="x")*(Timeline!$K$5:$K$305="Task")*ISNUMBER(Timeline!$I$5:$I$305)*ISNUMBER(Timeline!$J$5:$J$305)*(Timeline!$I$5:$I$305&lt;=AA$4+6)*(Timeline!$J$5:$J$305&gt;=AA$4+6)))</f>
        <v>1</v>
      </c>
      <c r="AB25" s="67">
        <f>MAX(SUMPRODUCT((INDEX(Timeline!$P$5:$AN$305,0,MATCH($A25,Timeline!$P$4:$AN$4,0))="x")*(Timeline!$K$5:$K$305="Task")*ISNUMBER(Timeline!$I$5:$I$305)*ISNUMBER(Timeline!$J$5:$J$305)*(Timeline!$I$5:$I$305&lt;=AB$4+0)*(Timeline!$J$5:$J$305&gt;=AB$4+0)),SUMPRODUCT((INDEX(Timeline!$P$5:$AN$305,0,MATCH($A25,Timeline!$P$4:$AN$4,0))="x")*(Timeline!$K$5:$K$305="Task")*ISNUMBER(Timeline!$I$5:$I$305)*ISNUMBER(Timeline!$J$5:$J$305)*(Timeline!$I$5:$I$305&lt;=AB$4+1)*(Timeline!$J$5:$J$305&gt;=AB$4+1)),SUMPRODUCT((INDEX(Timeline!$P$5:$AN$305,0,MATCH($A25,Timeline!$P$4:$AN$4,0))="x")*(Timeline!$K$5:$K$305="Task")*ISNUMBER(Timeline!$I$5:$I$305)*ISNUMBER(Timeline!$J$5:$J$305)*(Timeline!$I$5:$I$305&lt;=AB$4+2)*(Timeline!$J$5:$J$305&gt;=AB$4+2)),SUMPRODUCT((INDEX(Timeline!$P$5:$AN$305,0,MATCH($A25,Timeline!$P$4:$AN$4,0))="x")*(Timeline!$K$5:$K$305="Task")*ISNUMBER(Timeline!$I$5:$I$305)*ISNUMBER(Timeline!$J$5:$J$305)*(Timeline!$I$5:$I$305&lt;=AB$4+3)*(Timeline!$J$5:$J$305&gt;=AB$4+3)),SUMPRODUCT((INDEX(Timeline!$P$5:$AN$305,0,MATCH($A25,Timeline!$P$4:$AN$4,0))="x")*(Timeline!$K$5:$K$305="Task")*ISNUMBER(Timeline!$I$5:$I$305)*ISNUMBER(Timeline!$J$5:$J$305)*(Timeline!$I$5:$I$305&lt;=AB$4+4)*(Timeline!$J$5:$J$305&gt;=AB$4+4)),SUMPRODUCT((INDEX(Timeline!$P$5:$AN$305,0,MATCH($A25,Timeline!$P$4:$AN$4,0))="x")*(Timeline!$K$5:$K$305="Task")*ISNUMBER(Timeline!$I$5:$I$305)*ISNUMBER(Timeline!$J$5:$J$305)*(Timeline!$I$5:$I$305&lt;=AB$4+5)*(Timeline!$J$5:$J$305&gt;=AB$4+5)),SUMPRODUCT((INDEX(Timeline!$P$5:$AN$305,0,MATCH($A25,Timeline!$P$4:$AN$4,0))="x")*(Timeline!$K$5:$K$305="Task")*ISNUMBER(Timeline!$I$5:$I$305)*ISNUMBER(Timeline!$J$5:$J$305)*(Timeline!$I$5:$I$305&lt;=AB$4+6)*(Timeline!$J$5:$J$305&gt;=AB$4+6)))</f>
        <v>1</v>
      </c>
      <c r="AC25" s="67">
        <f>MAX(SUMPRODUCT((INDEX(Timeline!$P$5:$AN$305,0,MATCH($A25,Timeline!$P$4:$AN$4,0))="x")*(Timeline!$K$5:$K$305="Task")*ISNUMBER(Timeline!$I$5:$I$305)*ISNUMBER(Timeline!$J$5:$J$305)*(Timeline!$I$5:$I$305&lt;=AC$4+0)*(Timeline!$J$5:$J$305&gt;=AC$4+0)),SUMPRODUCT((INDEX(Timeline!$P$5:$AN$305,0,MATCH($A25,Timeline!$P$4:$AN$4,0))="x")*(Timeline!$K$5:$K$305="Task")*ISNUMBER(Timeline!$I$5:$I$305)*ISNUMBER(Timeline!$J$5:$J$305)*(Timeline!$I$5:$I$305&lt;=AC$4+1)*(Timeline!$J$5:$J$305&gt;=AC$4+1)),SUMPRODUCT((INDEX(Timeline!$P$5:$AN$305,0,MATCH($A25,Timeline!$P$4:$AN$4,0))="x")*(Timeline!$K$5:$K$305="Task")*ISNUMBER(Timeline!$I$5:$I$305)*ISNUMBER(Timeline!$J$5:$J$305)*(Timeline!$I$5:$I$305&lt;=AC$4+2)*(Timeline!$J$5:$J$305&gt;=AC$4+2)),SUMPRODUCT((INDEX(Timeline!$P$5:$AN$305,0,MATCH($A25,Timeline!$P$4:$AN$4,0))="x")*(Timeline!$K$5:$K$305="Task")*ISNUMBER(Timeline!$I$5:$I$305)*ISNUMBER(Timeline!$J$5:$J$305)*(Timeline!$I$5:$I$305&lt;=AC$4+3)*(Timeline!$J$5:$J$305&gt;=AC$4+3)),SUMPRODUCT((INDEX(Timeline!$P$5:$AN$305,0,MATCH($A25,Timeline!$P$4:$AN$4,0))="x")*(Timeline!$K$5:$K$305="Task")*ISNUMBER(Timeline!$I$5:$I$305)*ISNUMBER(Timeline!$J$5:$J$305)*(Timeline!$I$5:$I$305&lt;=AC$4+4)*(Timeline!$J$5:$J$305&gt;=AC$4+4)),SUMPRODUCT((INDEX(Timeline!$P$5:$AN$305,0,MATCH($A25,Timeline!$P$4:$AN$4,0))="x")*(Timeline!$K$5:$K$305="Task")*ISNUMBER(Timeline!$I$5:$I$305)*ISNUMBER(Timeline!$J$5:$J$305)*(Timeline!$I$5:$I$305&lt;=AC$4+5)*(Timeline!$J$5:$J$305&gt;=AC$4+5)),SUMPRODUCT((INDEX(Timeline!$P$5:$AN$305,0,MATCH($A25,Timeline!$P$4:$AN$4,0))="x")*(Timeline!$K$5:$K$305="Task")*ISNUMBER(Timeline!$I$5:$I$305)*ISNUMBER(Timeline!$J$5:$J$305)*(Timeline!$I$5:$I$305&lt;=AC$4+6)*(Timeline!$J$5:$J$305&gt;=AC$4+6)))</f>
        <v>1</v>
      </c>
      <c r="AD25" s="67">
        <f>MAX(SUMPRODUCT((INDEX(Timeline!$P$5:$AN$305,0,MATCH($A25,Timeline!$P$4:$AN$4,0))="x")*(Timeline!$K$5:$K$305="Task")*ISNUMBER(Timeline!$I$5:$I$305)*ISNUMBER(Timeline!$J$5:$J$305)*(Timeline!$I$5:$I$305&lt;=AD$4+0)*(Timeline!$J$5:$J$305&gt;=AD$4+0)),SUMPRODUCT((INDEX(Timeline!$P$5:$AN$305,0,MATCH($A25,Timeline!$P$4:$AN$4,0))="x")*(Timeline!$K$5:$K$305="Task")*ISNUMBER(Timeline!$I$5:$I$305)*ISNUMBER(Timeline!$J$5:$J$305)*(Timeline!$I$5:$I$305&lt;=AD$4+1)*(Timeline!$J$5:$J$305&gt;=AD$4+1)),SUMPRODUCT((INDEX(Timeline!$P$5:$AN$305,0,MATCH($A25,Timeline!$P$4:$AN$4,0))="x")*(Timeline!$K$5:$K$305="Task")*ISNUMBER(Timeline!$I$5:$I$305)*ISNUMBER(Timeline!$J$5:$J$305)*(Timeline!$I$5:$I$305&lt;=AD$4+2)*(Timeline!$J$5:$J$305&gt;=AD$4+2)),SUMPRODUCT((INDEX(Timeline!$P$5:$AN$305,0,MATCH($A25,Timeline!$P$4:$AN$4,0))="x")*(Timeline!$K$5:$K$305="Task")*ISNUMBER(Timeline!$I$5:$I$305)*ISNUMBER(Timeline!$J$5:$J$305)*(Timeline!$I$5:$I$305&lt;=AD$4+3)*(Timeline!$J$5:$J$305&gt;=AD$4+3)),SUMPRODUCT((INDEX(Timeline!$P$5:$AN$305,0,MATCH($A25,Timeline!$P$4:$AN$4,0))="x")*(Timeline!$K$5:$K$305="Task")*ISNUMBER(Timeline!$I$5:$I$305)*ISNUMBER(Timeline!$J$5:$J$305)*(Timeline!$I$5:$I$305&lt;=AD$4+4)*(Timeline!$J$5:$J$305&gt;=AD$4+4)),SUMPRODUCT((INDEX(Timeline!$P$5:$AN$305,0,MATCH($A25,Timeline!$P$4:$AN$4,0))="x")*(Timeline!$K$5:$K$305="Task")*ISNUMBER(Timeline!$I$5:$I$305)*ISNUMBER(Timeline!$J$5:$J$305)*(Timeline!$I$5:$I$305&lt;=AD$4+5)*(Timeline!$J$5:$J$305&gt;=AD$4+5)),SUMPRODUCT((INDEX(Timeline!$P$5:$AN$305,0,MATCH($A25,Timeline!$P$4:$AN$4,0))="x")*(Timeline!$K$5:$K$305="Task")*ISNUMBER(Timeline!$I$5:$I$305)*ISNUMBER(Timeline!$J$5:$J$305)*(Timeline!$I$5:$I$305&lt;=AD$4+6)*(Timeline!$J$5:$J$305&gt;=AD$4+6)))</f>
        <v>1</v>
      </c>
      <c r="AE25" s="67">
        <f>MAX(SUMPRODUCT((INDEX(Timeline!$P$5:$AN$305,0,MATCH($A25,Timeline!$P$4:$AN$4,0))="x")*(Timeline!$K$5:$K$305="Task")*ISNUMBER(Timeline!$I$5:$I$305)*ISNUMBER(Timeline!$J$5:$J$305)*(Timeline!$I$5:$I$305&lt;=AE$4+0)*(Timeline!$J$5:$J$305&gt;=AE$4+0)),SUMPRODUCT((INDEX(Timeline!$P$5:$AN$305,0,MATCH($A25,Timeline!$P$4:$AN$4,0))="x")*(Timeline!$K$5:$K$305="Task")*ISNUMBER(Timeline!$I$5:$I$305)*ISNUMBER(Timeline!$J$5:$J$305)*(Timeline!$I$5:$I$305&lt;=AE$4+1)*(Timeline!$J$5:$J$305&gt;=AE$4+1)),SUMPRODUCT((INDEX(Timeline!$P$5:$AN$305,0,MATCH($A25,Timeline!$P$4:$AN$4,0))="x")*(Timeline!$K$5:$K$305="Task")*ISNUMBER(Timeline!$I$5:$I$305)*ISNUMBER(Timeline!$J$5:$J$305)*(Timeline!$I$5:$I$305&lt;=AE$4+2)*(Timeline!$J$5:$J$305&gt;=AE$4+2)),SUMPRODUCT((INDEX(Timeline!$P$5:$AN$305,0,MATCH($A25,Timeline!$P$4:$AN$4,0))="x")*(Timeline!$K$5:$K$305="Task")*ISNUMBER(Timeline!$I$5:$I$305)*ISNUMBER(Timeline!$J$5:$J$305)*(Timeline!$I$5:$I$305&lt;=AE$4+3)*(Timeline!$J$5:$J$305&gt;=AE$4+3)),SUMPRODUCT((INDEX(Timeline!$P$5:$AN$305,0,MATCH($A25,Timeline!$P$4:$AN$4,0))="x")*(Timeline!$K$5:$K$305="Task")*ISNUMBER(Timeline!$I$5:$I$305)*ISNUMBER(Timeline!$J$5:$J$305)*(Timeline!$I$5:$I$305&lt;=AE$4+4)*(Timeline!$J$5:$J$305&gt;=AE$4+4)),SUMPRODUCT((INDEX(Timeline!$P$5:$AN$305,0,MATCH($A25,Timeline!$P$4:$AN$4,0))="x")*(Timeline!$K$5:$K$305="Task")*ISNUMBER(Timeline!$I$5:$I$305)*ISNUMBER(Timeline!$J$5:$J$305)*(Timeline!$I$5:$I$305&lt;=AE$4+5)*(Timeline!$J$5:$J$305&gt;=AE$4+5)),SUMPRODUCT((INDEX(Timeline!$P$5:$AN$305,0,MATCH($A25,Timeline!$P$4:$AN$4,0))="x")*(Timeline!$K$5:$K$305="Task")*ISNUMBER(Timeline!$I$5:$I$305)*ISNUMBER(Timeline!$J$5:$J$305)*(Timeline!$I$5:$I$305&lt;=AE$4+6)*(Timeline!$J$5:$J$305&gt;=AE$4+6)))</f>
        <v>1</v>
      </c>
      <c r="AF25" s="67">
        <f>MAX(SUMPRODUCT((INDEX(Timeline!$P$5:$AN$305,0,MATCH($A25,Timeline!$P$4:$AN$4,0))="x")*(Timeline!$K$5:$K$305="Task")*ISNUMBER(Timeline!$I$5:$I$305)*ISNUMBER(Timeline!$J$5:$J$305)*(Timeline!$I$5:$I$305&lt;=AF$4+0)*(Timeline!$J$5:$J$305&gt;=AF$4+0)),SUMPRODUCT((INDEX(Timeline!$P$5:$AN$305,0,MATCH($A25,Timeline!$P$4:$AN$4,0))="x")*(Timeline!$K$5:$K$305="Task")*ISNUMBER(Timeline!$I$5:$I$305)*ISNUMBER(Timeline!$J$5:$J$305)*(Timeline!$I$5:$I$305&lt;=AF$4+1)*(Timeline!$J$5:$J$305&gt;=AF$4+1)),SUMPRODUCT((INDEX(Timeline!$P$5:$AN$305,0,MATCH($A25,Timeline!$P$4:$AN$4,0))="x")*(Timeline!$K$5:$K$305="Task")*ISNUMBER(Timeline!$I$5:$I$305)*ISNUMBER(Timeline!$J$5:$J$305)*(Timeline!$I$5:$I$305&lt;=AF$4+2)*(Timeline!$J$5:$J$305&gt;=AF$4+2)),SUMPRODUCT((INDEX(Timeline!$P$5:$AN$305,0,MATCH($A25,Timeline!$P$4:$AN$4,0))="x")*(Timeline!$K$5:$K$305="Task")*ISNUMBER(Timeline!$I$5:$I$305)*ISNUMBER(Timeline!$J$5:$J$305)*(Timeline!$I$5:$I$305&lt;=AF$4+3)*(Timeline!$J$5:$J$305&gt;=AF$4+3)),SUMPRODUCT((INDEX(Timeline!$P$5:$AN$305,0,MATCH($A25,Timeline!$P$4:$AN$4,0))="x")*(Timeline!$K$5:$K$305="Task")*ISNUMBER(Timeline!$I$5:$I$305)*ISNUMBER(Timeline!$J$5:$J$305)*(Timeline!$I$5:$I$305&lt;=AF$4+4)*(Timeline!$J$5:$J$305&gt;=AF$4+4)),SUMPRODUCT((INDEX(Timeline!$P$5:$AN$305,0,MATCH($A25,Timeline!$P$4:$AN$4,0))="x")*(Timeline!$K$5:$K$305="Task")*ISNUMBER(Timeline!$I$5:$I$305)*ISNUMBER(Timeline!$J$5:$J$305)*(Timeline!$I$5:$I$305&lt;=AF$4+5)*(Timeline!$J$5:$J$305&gt;=AF$4+5)),SUMPRODUCT((INDEX(Timeline!$P$5:$AN$305,0,MATCH($A25,Timeline!$P$4:$AN$4,0))="x")*(Timeline!$K$5:$K$305="Task")*ISNUMBER(Timeline!$I$5:$I$305)*ISNUMBER(Timeline!$J$5:$J$305)*(Timeline!$I$5:$I$305&lt;=AF$4+6)*(Timeline!$J$5:$J$305&gt;=AF$4+6)))</f>
        <v>1</v>
      </c>
      <c r="AG25" s="67">
        <f>MAX(SUMPRODUCT((INDEX(Timeline!$P$5:$AN$305,0,MATCH($A25,Timeline!$P$4:$AN$4,0))="x")*(Timeline!$K$5:$K$305="Task")*ISNUMBER(Timeline!$I$5:$I$305)*ISNUMBER(Timeline!$J$5:$J$305)*(Timeline!$I$5:$I$305&lt;=AG$4+0)*(Timeline!$J$5:$J$305&gt;=AG$4+0)),SUMPRODUCT((INDEX(Timeline!$P$5:$AN$305,0,MATCH($A25,Timeline!$P$4:$AN$4,0))="x")*(Timeline!$K$5:$K$305="Task")*ISNUMBER(Timeline!$I$5:$I$305)*ISNUMBER(Timeline!$J$5:$J$305)*(Timeline!$I$5:$I$305&lt;=AG$4+1)*(Timeline!$J$5:$J$305&gt;=AG$4+1)),SUMPRODUCT((INDEX(Timeline!$P$5:$AN$305,0,MATCH($A25,Timeline!$P$4:$AN$4,0))="x")*(Timeline!$K$5:$K$305="Task")*ISNUMBER(Timeline!$I$5:$I$305)*ISNUMBER(Timeline!$J$5:$J$305)*(Timeline!$I$5:$I$305&lt;=AG$4+2)*(Timeline!$J$5:$J$305&gt;=AG$4+2)),SUMPRODUCT((INDEX(Timeline!$P$5:$AN$305,0,MATCH($A25,Timeline!$P$4:$AN$4,0))="x")*(Timeline!$K$5:$K$305="Task")*ISNUMBER(Timeline!$I$5:$I$305)*ISNUMBER(Timeline!$J$5:$J$305)*(Timeline!$I$5:$I$305&lt;=AG$4+3)*(Timeline!$J$5:$J$305&gt;=AG$4+3)),SUMPRODUCT((INDEX(Timeline!$P$5:$AN$305,0,MATCH($A25,Timeline!$P$4:$AN$4,0))="x")*(Timeline!$K$5:$K$305="Task")*ISNUMBER(Timeline!$I$5:$I$305)*ISNUMBER(Timeline!$J$5:$J$305)*(Timeline!$I$5:$I$305&lt;=AG$4+4)*(Timeline!$J$5:$J$305&gt;=AG$4+4)),SUMPRODUCT((INDEX(Timeline!$P$5:$AN$305,0,MATCH($A25,Timeline!$P$4:$AN$4,0))="x")*(Timeline!$K$5:$K$305="Task")*ISNUMBER(Timeline!$I$5:$I$305)*ISNUMBER(Timeline!$J$5:$J$305)*(Timeline!$I$5:$I$305&lt;=AG$4+5)*(Timeline!$J$5:$J$305&gt;=AG$4+5)),SUMPRODUCT((INDEX(Timeline!$P$5:$AN$305,0,MATCH($A25,Timeline!$P$4:$AN$4,0))="x")*(Timeline!$K$5:$K$305="Task")*ISNUMBER(Timeline!$I$5:$I$305)*ISNUMBER(Timeline!$J$5:$J$305)*(Timeline!$I$5:$I$305&lt;=AG$4+6)*(Timeline!$J$5:$J$305&gt;=AG$4+6)))</f>
        <v>0</v>
      </c>
      <c r="AH25" s="67">
        <f>MAX(SUMPRODUCT((INDEX(Timeline!$P$5:$AN$305,0,MATCH($A25,Timeline!$P$4:$AN$4,0))="x")*(Timeline!$K$5:$K$305="Task")*ISNUMBER(Timeline!$I$5:$I$305)*ISNUMBER(Timeline!$J$5:$J$305)*(Timeline!$I$5:$I$305&lt;=AH$4+0)*(Timeline!$J$5:$J$305&gt;=AH$4+0)),SUMPRODUCT((INDEX(Timeline!$P$5:$AN$305,0,MATCH($A25,Timeline!$P$4:$AN$4,0))="x")*(Timeline!$K$5:$K$305="Task")*ISNUMBER(Timeline!$I$5:$I$305)*ISNUMBER(Timeline!$J$5:$J$305)*(Timeline!$I$5:$I$305&lt;=AH$4+1)*(Timeline!$J$5:$J$305&gt;=AH$4+1)),SUMPRODUCT((INDEX(Timeline!$P$5:$AN$305,0,MATCH($A25,Timeline!$P$4:$AN$4,0))="x")*(Timeline!$K$5:$K$305="Task")*ISNUMBER(Timeline!$I$5:$I$305)*ISNUMBER(Timeline!$J$5:$J$305)*(Timeline!$I$5:$I$305&lt;=AH$4+2)*(Timeline!$J$5:$J$305&gt;=AH$4+2)),SUMPRODUCT((INDEX(Timeline!$P$5:$AN$305,0,MATCH($A25,Timeline!$P$4:$AN$4,0))="x")*(Timeline!$K$5:$K$305="Task")*ISNUMBER(Timeline!$I$5:$I$305)*ISNUMBER(Timeline!$J$5:$J$305)*(Timeline!$I$5:$I$305&lt;=AH$4+3)*(Timeline!$J$5:$J$305&gt;=AH$4+3)),SUMPRODUCT((INDEX(Timeline!$P$5:$AN$305,0,MATCH($A25,Timeline!$P$4:$AN$4,0))="x")*(Timeline!$K$5:$K$305="Task")*ISNUMBER(Timeline!$I$5:$I$305)*ISNUMBER(Timeline!$J$5:$J$305)*(Timeline!$I$5:$I$305&lt;=AH$4+4)*(Timeline!$J$5:$J$305&gt;=AH$4+4)),SUMPRODUCT((INDEX(Timeline!$P$5:$AN$305,0,MATCH($A25,Timeline!$P$4:$AN$4,0))="x")*(Timeline!$K$5:$K$305="Task")*ISNUMBER(Timeline!$I$5:$I$305)*ISNUMBER(Timeline!$J$5:$J$305)*(Timeline!$I$5:$I$305&lt;=AH$4+5)*(Timeline!$J$5:$J$305&gt;=AH$4+5)),SUMPRODUCT((INDEX(Timeline!$P$5:$AN$305,0,MATCH($A25,Timeline!$P$4:$AN$4,0))="x")*(Timeline!$K$5:$K$305="Task")*ISNUMBER(Timeline!$I$5:$I$305)*ISNUMBER(Timeline!$J$5:$J$305)*(Timeline!$I$5:$I$305&lt;=AH$4+6)*(Timeline!$J$5:$J$305&gt;=AH$4+6)))</f>
        <v>0</v>
      </c>
      <c r="AI25" s="67">
        <f>MAX(SUMPRODUCT((INDEX(Timeline!$P$5:$AN$305,0,MATCH($A25,Timeline!$P$4:$AN$4,0))="x")*(Timeline!$K$5:$K$305="Task")*ISNUMBER(Timeline!$I$5:$I$305)*ISNUMBER(Timeline!$J$5:$J$305)*(Timeline!$I$5:$I$305&lt;=AI$4+0)*(Timeline!$J$5:$J$305&gt;=AI$4+0)),SUMPRODUCT((INDEX(Timeline!$P$5:$AN$305,0,MATCH($A25,Timeline!$P$4:$AN$4,0))="x")*(Timeline!$K$5:$K$305="Task")*ISNUMBER(Timeline!$I$5:$I$305)*ISNUMBER(Timeline!$J$5:$J$305)*(Timeline!$I$5:$I$305&lt;=AI$4+1)*(Timeline!$J$5:$J$305&gt;=AI$4+1)),SUMPRODUCT((INDEX(Timeline!$P$5:$AN$305,0,MATCH($A25,Timeline!$P$4:$AN$4,0))="x")*(Timeline!$K$5:$K$305="Task")*ISNUMBER(Timeline!$I$5:$I$305)*ISNUMBER(Timeline!$J$5:$J$305)*(Timeline!$I$5:$I$305&lt;=AI$4+2)*(Timeline!$J$5:$J$305&gt;=AI$4+2)),SUMPRODUCT((INDEX(Timeline!$P$5:$AN$305,0,MATCH($A25,Timeline!$P$4:$AN$4,0))="x")*(Timeline!$K$5:$K$305="Task")*ISNUMBER(Timeline!$I$5:$I$305)*ISNUMBER(Timeline!$J$5:$J$305)*(Timeline!$I$5:$I$305&lt;=AI$4+3)*(Timeline!$J$5:$J$305&gt;=AI$4+3)),SUMPRODUCT((INDEX(Timeline!$P$5:$AN$305,0,MATCH($A25,Timeline!$P$4:$AN$4,0))="x")*(Timeline!$K$5:$K$305="Task")*ISNUMBER(Timeline!$I$5:$I$305)*ISNUMBER(Timeline!$J$5:$J$305)*(Timeline!$I$5:$I$305&lt;=AI$4+4)*(Timeline!$J$5:$J$305&gt;=AI$4+4)),SUMPRODUCT((INDEX(Timeline!$P$5:$AN$305,0,MATCH($A25,Timeline!$P$4:$AN$4,0))="x")*(Timeline!$K$5:$K$305="Task")*ISNUMBER(Timeline!$I$5:$I$305)*ISNUMBER(Timeline!$J$5:$J$305)*(Timeline!$I$5:$I$305&lt;=AI$4+5)*(Timeline!$J$5:$J$305&gt;=AI$4+5)),SUMPRODUCT((INDEX(Timeline!$P$5:$AN$305,0,MATCH($A25,Timeline!$P$4:$AN$4,0))="x")*(Timeline!$K$5:$K$305="Task")*ISNUMBER(Timeline!$I$5:$I$305)*ISNUMBER(Timeline!$J$5:$J$305)*(Timeline!$I$5:$I$305&lt;=AI$4+6)*(Timeline!$J$5:$J$305&gt;=AI$4+6)))</f>
        <v>0</v>
      </c>
      <c r="AJ25" s="67">
        <f>MAX(SUMPRODUCT((INDEX(Timeline!$P$5:$AN$305,0,MATCH($A25,Timeline!$P$4:$AN$4,0))="x")*(Timeline!$K$5:$K$305="Task")*ISNUMBER(Timeline!$I$5:$I$305)*ISNUMBER(Timeline!$J$5:$J$305)*(Timeline!$I$5:$I$305&lt;=AJ$4+0)*(Timeline!$J$5:$J$305&gt;=AJ$4+0)),SUMPRODUCT((INDEX(Timeline!$P$5:$AN$305,0,MATCH($A25,Timeline!$P$4:$AN$4,0))="x")*(Timeline!$K$5:$K$305="Task")*ISNUMBER(Timeline!$I$5:$I$305)*ISNUMBER(Timeline!$J$5:$J$305)*(Timeline!$I$5:$I$305&lt;=AJ$4+1)*(Timeline!$J$5:$J$305&gt;=AJ$4+1)),SUMPRODUCT((INDEX(Timeline!$P$5:$AN$305,0,MATCH($A25,Timeline!$P$4:$AN$4,0))="x")*(Timeline!$K$5:$K$305="Task")*ISNUMBER(Timeline!$I$5:$I$305)*ISNUMBER(Timeline!$J$5:$J$305)*(Timeline!$I$5:$I$305&lt;=AJ$4+2)*(Timeline!$J$5:$J$305&gt;=AJ$4+2)),SUMPRODUCT((INDEX(Timeline!$P$5:$AN$305,0,MATCH($A25,Timeline!$P$4:$AN$4,0))="x")*(Timeline!$K$5:$K$305="Task")*ISNUMBER(Timeline!$I$5:$I$305)*ISNUMBER(Timeline!$J$5:$J$305)*(Timeline!$I$5:$I$305&lt;=AJ$4+3)*(Timeline!$J$5:$J$305&gt;=AJ$4+3)),SUMPRODUCT((INDEX(Timeline!$P$5:$AN$305,0,MATCH($A25,Timeline!$P$4:$AN$4,0))="x")*(Timeline!$K$5:$K$305="Task")*ISNUMBER(Timeline!$I$5:$I$305)*ISNUMBER(Timeline!$J$5:$J$305)*(Timeline!$I$5:$I$305&lt;=AJ$4+4)*(Timeline!$J$5:$J$305&gt;=AJ$4+4)),SUMPRODUCT((INDEX(Timeline!$P$5:$AN$305,0,MATCH($A25,Timeline!$P$4:$AN$4,0))="x")*(Timeline!$K$5:$K$305="Task")*ISNUMBER(Timeline!$I$5:$I$305)*ISNUMBER(Timeline!$J$5:$J$305)*(Timeline!$I$5:$I$305&lt;=AJ$4+5)*(Timeline!$J$5:$J$305&gt;=AJ$4+5)),SUMPRODUCT((INDEX(Timeline!$P$5:$AN$305,0,MATCH($A25,Timeline!$P$4:$AN$4,0))="x")*(Timeline!$K$5:$K$305="Task")*ISNUMBER(Timeline!$I$5:$I$305)*ISNUMBER(Timeline!$J$5:$J$305)*(Timeline!$I$5:$I$305&lt;=AJ$4+6)*(Timeline!$J$5:$J$305&gt;=AJ$4+6)))</f>
        <v>0</v>
      </c>
      <c r="AK25" s="67">
        <f>MAX(SUMPRODUCT((INDEX(Timeline!$P$5:$AN$305,0,MATCH($A25,Timeline!$P$4:$AN$4,0))="x")*(Timeline!$K$5:$K$305="Task")*ISNUMBER(Timeline!$I$5:$I$305)*ISNUMBER(Timeline!$J$5:$J$305)*(Timeline!$I$5:$I$305&lt;=AK$4+0)*(Timeline!$J$5:$J$305&gt;=AK$4+0)),SUMPRODUCT((INDEX(Timeline!$P$5:$AN$305,0,MATCH($A25,Timeline!$P$4:$AN$4,0))="x")*(Timeline!$K$5:$K$305="Task")*ISNUMBER(Timeline!$I$5:$I$305)*ISNUMBER(Timeline!$J$5:$J$305)*(Timeline!$I$5:$I$305&lt;=AK$4+1)*(Timeline!$J$5:$J$305&gt;=AK$4+1)),SUMPRODUCT((INDEX(Timeline!$P$5:$AN$305,0,MATCH($A25,Timeline!$P$4:$AN$4,0))="x")*(Timeline!$K$5:$K$305="Task")*ISNUMBER(Timeline!$I$5:$I$305)*ISNUMBER(Timeline!$J$5:$J$305)*(Timeline!$I$5:$I$305&lt;=AK$4+2)*(Timeline!$J$5:$J$305&gt;=AK$4+2)),SUMPRODUCT((INDEX(Timeline!$P$5:$AN$305,0,MATCH($A25,Timeline!$P$4:$AN$4,0))="x")*(Timeline!$K$5:$K$305="Task")*ISNUMBER(Timeline!$I$5:$I$305)*ISNUMBER(Timeline!$J$5:$J$305)*(Timeline!$I$5:$I$305&lt;=AK$4+3)*(Timeline!$J$5:$J$305&gt;=AK$4+3)),SUMPRODUCT((INDEX(Timeline!$P$5:$AN$305,0,MATCH($A25,Timeline!$P$4:$AN$4,0))="x")*(Timeline!$K$5:$K$305="Task")*ISNUMBER(Timeline!$I$5:$I$305)*ISNUMBER(Timeline!$J$5:$J$305)*(Timeline!$I$5:$I$305&lt;=AK$4+4)*(Timeline!$J$5:$J$305&gt;=AK$4+4)),SUMPRODUCT((INDEX(Timeline!$P$5:$AN$305,0,MATCH($A25,Timeline!$P$4:$AN$4,0))="x")*(Timeline!$K$5:$K$305="Task")*ISNUMBER(Timeline!$I$5:$I$305)*ISNUMBER(Timeline!$J$5:$J$305)*(Timeline!$I$5:$I$305&lt;=AK$4+5)*(Timeline!$J$5:$J$305&gt;=AK$4+5)),SUMPRODUCT((INDEX(Timeline!$P$5:$AN$305,0,MATCH($A25,Timeline!$P$4:$AN$4,0))="x")*(Timeline!$K$5:$K$305="Task")*ISNUMBER(Timeline!$I$5:$I$305)*ISNUMBER(Timeline!$J$5:$J$305)*(Timeline!$I$5:$I$305&lt;=AK$4+6)*(Timeline!$J$5:$J$305&gt;=AK$4+6)))</f>
        <v>0</v>
      </c>
      <c r="AL25" s="67">
        <f>MAX(SUMPRODUCT((INDEX(Timeline!$P$5:$AN$305,0,MATCH($A25,Timeline!$P$4:$AN$4,0))="x")*(Timeline!$K$5:$K$305="Task")*ISNUMBER(Timeline!$I$5:$I$305)*ISNUMBER(Timeline!$J$5:$J$305)*(Timeline!$I$5:$I$305&lt;=AL$4+0)*(Timeline!$J$5:$J$305&gt;=AL$4+0)),SUMPRODUCT((INDEX(Timeline!$P$5:$AN$305,0,MATCH($A25,Timeline!$P$4:$AN$4,0))="x")*(Timeline!$K$5:$K$305="Task")*ISNUMBER(Timeline!$I$5:$I$305)*ISNUMBER(Timeline!$J$5:$J$305)*(Timeline!$I$5:$I$305&lt;=AL$4+1)*(Timeline!$J$5:$J$305&gt;=AL$4+1)),SUMPRODUCT((INDEX(Timeline!$P$5:$AN$305,0,MATCH($A25,Timeline!$P$4:$AN$4,0))="x")*(Timeline!$K$5:$K$305="Task")*ISNUMBER(Timeline!$I$5:$I$305)*ISNUMBER(Timeline!$J$5:$J$305)*(Timeline!$I$5:$I$305&lt;=AL$4+2)*(Timeline!$J$5:$J$305&gt;=AL$4+2)),SUMPRODUCT((INDEX(Timeline!$P$5:$AN$305,0,MATCH($A25,Timeline!$P$4:$AN$4,0))="x")*(Timeline!$K$5:$K$305="Task")*ISNUMBER(Timeline!$I$5:$I$305)*ISNUMBER(Timeline!$J$5:$J$305)*(Timeline!$I$5:$I$305&lt;=AL$4+3)*(Timeline!$J$5:$J$305&gt;=AL$4+3)),SUMPRODUCT((INDEX(Timeline!$P$5:$AN$305,0,MATCH($A25,Timeline!$P$4:$AN$4,0))="x")*(Timeline!$K$5:$K$305="Task")*ISNUMBER(Timeline!$I$5:$I$305)*ISNUMBER(Timeline!$J$5:$J$305)*(Timeline!$I$5:$I$305&lt;=AL$4+4)*(Timeline!$J$5:$J$305&gt;=AL$4+4)),SUMPRODUCT((INDEX(Timeline!$P$5:$AN$305,0,MATCH($A25,Timeline!$P$4:$AN$4,0))="x")*(Timeline!$K$5:$K$305="Task")*ISNUMBER(Timeline!$I$5:$I$305)*ISNUMBER(Timeline!$J$5:$J$305)*(Timeline!$I$5:$I$305&lt;=AL$4+5)*(Timeline!$J$5:$J$305&gt;=AL$4+5)),SUMPRODUCT((INDEX(Timeline!$P$5:$AN$305,0,MATCH($A25,Timeline!$P$4:$AN$4,0))="x")*(Timeline!$K$5:$K$305="Task")*ISNUMBER(Timeline!$I$5:$I$305)*ISNUMBER(Timeline!$J$5:$J$305)*(Timeline!$I$5:$I$305&lt;=AL$4+6)*(Timeline!$J$5:$J$305&gt;=AL$4+6)))</f>
        <v>0</v>
      </c>
      <c r="AM25" s="67">
        <f>MAX(SUMPRODUCT((INDEX(Timeline!$P$5:$AN$305,0,MATCH($A25,Timeline!$P$4:$AN$4,0))="x")*(Timeline!$K$5:$K$305="Task")*ISNUMBER(Timeline!$I$5:$I$305)*ISNUMBER(Timeline!$J$5:$J$305)*(Timeline!$I$5:$I$305&lt;=AM$4+0)*(Timeline!$J$5:$J$305&gt;=AM$4+0)),SUMPRODUCT((INDEX(Timeline!$P$5:$AN$305,0,MATCH($A25,Timeline!$P$4:$AN$4,0))="x")*(Timeline!$K$5:$K$305="Task")*ISNUMBER(Timeline!$I$5:$I$305)*ISNUMBER(Timeline!$J$5:$J$305)*(Timeline!$I$5:$I$305&lt;=AM$4+1)*(Timeline!$J$5:$J$305&gt;=AM$4+1)),SUMPRODUCT((INDEX(Timeline!$P$5:$AN$305,0,MATCH($A25,Timeline!$P$4:$AN$4,0))="x")*(Timeline!$K$5:$K$305="Task")*ISNUMBER(Timeline!$I$5:$I$305)*ISNUMBER(Timeline!$J$5:$J$305)*(Timeline!$I$5:$I$305&lt;=AM$4+2)*(Timeline!$J$5:$J$305&gt;=AM$4+2)),SUMPRODUCT((INDEX(Timeline!$P$5:$AN$305,0,MATCH($A25,Timeline!$P$4:$AN$4,0))="x")*(Timeline!$K$5:$K$305="Task")*ISNUMBER(Timeline!$I$5:$I$305)*ISNUMBER(Timeline!$J$5:$J$305)*(Timeline!$I$5:$I$305&lt;=AM$4+3)*(Timeline!$J$5:$J$305&gt;=AM$4+3)),SUMPRODUCT((INDEX(Timeline!$P$5:$AN$305,0,MATCH($A25,Timeline!$P$4:$AN$4,0))="x")*(Timeline!$K$5:$K$305="Task")*ISNUMBER(Timeline!$I$5:$I$305)*ISNUMBER(Timeline!$J$5:$J$305)*(Timeline!$I$5:$I$305&lt;=AM$4+4)*(Timeline!$J$5:$J$305&gt;=AM$4+4)),SUMPRODUCT((INDEX(Timeline!$P$5:$AN$305,0,MATCH($A25,Timeline!$P$4:$AN$4,0))="x")*(Timeline!$K$5:$K$305="Task")*ISNUMBER(Timeline!$I$5:$I$305)*ISNUMBER(Timeline!$J$5:$J$305)*(Timeline!$I$5:$I$305&lt;=AM$4+5)*(Timeline!$J$5:$J$305&gt;=AM$4+5)),SUMPRODUCT((INDEX(Timeline!$P$5:$AN$305,0,MATCH($A25,Timeline!$P$4:$AN$4,0))="x")*(Timeline!$K$5:$K$305="Task")*ISNUMBER(Timeline!$I$5:$I$305)*ISNUMBER(Timeline!$J$5:$J$305)*(Timeline!$I$5:$I$305&lt;=AM$4+6)*(Timeline!$J$5:$J$305&gt;=AM$4+6)))</f>
        <v>0</v>
      </c>
      <c r="AN25" s="67">
        <f>MAX(SUMPRODUCT((INDEX(Timeline!$P$5:$AN$305,0,MATCH($A25,Timeline!$P$4:$AN$4,0))="x")*(Timeline!$K$5:$K$305="Task")*ISNUMBER(Timeline!$I$5:$I$305)*ISNUMBER(Timeline!$J$5:$J$305)*(Timeline!$I$5:$I$305&lt;=AN$4+0)*(Timeline!$J$5:$J$305&gt;=AN$4+0)),SUMPRODUCT((INDEX(Timeline!$P$5:$AN$305,0,MATCH($A25,Timeline!$P$4:$AN$4,0))="x")*(Timeline!$K$5:$K$305="Task")*ISNUMBER(Timeline!$I$5:$I$305)*ISNUMBER(Timeline!$J$5:$J$305)*(Timeline!$I$5:$I$305&lt;=AN$4+1)*(Timeline!$J$5:$J$305&gt;=AN$4+1)),SUMPRODUCT((INDEX(Timeline!$P$5:$AN$305,0,MATCH($A25,Timeline!$P$4:$AN$4,0))="x")*(Timeline!$K$5:$K$305="Task")*ISNUMBER(Timeline!$I$5:$I$305)*ISNUMBER(Timeline!$J$5:$J$305)*(Timeline!$I$5:$I$305&lt;=AN$4+2)*(Timeline!$J$5:$J$305&gt;=AN$4+2)),SUMPRODUCT((INDEX(Timeline!$P$5:$AN$305,0,MATCH($A25,Timeline!$P$4:$AN$4,0))="x")*(Timeline!$K$5:$K$305="Task")*ISNUMBER(Timeline!$I$5:$I$305)*ISNUMBER(Timeline!$J$5:$J$305)*(Timeline!$I$5:$I$305&lt;=AN$4+3)*(Timeline!$J$5:$J$305&gt;=AN$4+3)),SUMPRODUCT((INDEX(Timeline!$P$5:$AN$305,0,MATCH($A25,Timeline!$P$4:$AN$4,0))="x")*(Timeline!$K$5:$K$305="Task")*ISNUMBER(Timeline!$I$5:$I$305)*ISNUMBER(Timeline!$J$5:$J$305)*(Timeline!$I$5:$I$305&lt;=AN$4+4)*(Timeline!$J$5:$J$305&gt;=AN$4+4)),SUMPRODUCT((INDEX(Timeline!$P$5:$AN$305,0,MATCH($A25,Timeline!$P$4:$AN$4,0))="x")*(Timeline!$K$5:$K$305="Task")*ISNUMBER(Timeline!$I$5:$I$305)*ISNUMBER(Timeline!$J$5:$J$305)*(Timeline!$I$5:$I$305&lt;=AN$4+5)*(Timeline!$J$5:$J$305&gt;=AN$4+5)),SUMPRODUCT((INDEX(Timeline!$P$5:$AN$305,0,MATCH($A25,Timeline!$P$4:$AN$4,0))="x")*(Timeline!$K$5:$K$305="Task")*ISNUMBER(Timeline!$I$5:$I$305)*ISNUMBER(Timeline!$J$5:$J$305)*(Timeline!$I$5:$I$305&lt;=AN$4+6)*(Timeline!$J$5:$J$305&gt;=AN$4+6)))</f>
        <v>0</v>
      </c>
      <c r="AO25" s="67">
        <f>MAX(SUMPRODUCT((INDEX(Timeline!$P$5:$AN$305,0,MATCH($A25,Timeline!$P$4:$AN$4,0))="x")*(Timeline!$K$5:$K$305="Task")*ISNUMBER(Timeline!$I$5:$I$305)*ISNUMBER(Timeline!$J$5:$J$305)*(Timeline!$I$5:$I$305&lt;=AO$4+0)*(Timeline!$J$5:$J$305&gt;=AO$4+0)),SUMPRODUCT((INDEX(Timeline!$P$5:$AN$305,0,MATCH($A25,Timeline!$P$4:$AN$4,0))="x")*(Timeline!$K$5:$K$305="Task")*ISNUMBER(Timeline!$I$5:$I$305)*ISNUMBER(Timeline!$J$5:$J$305)*(Timeline!$I$5:$I$305&lt;=AO$4+1)*(Timeline!$J$5:$J$305&gt;=AO$4+1)),SUMPRODUCT((INDEX(Timeline!$P$5:$AN$305,0,MATCH($A25,Timeline!$P$4:$AN$4,0))="x")*(Timeline!$K$5:$K$305="Task")*ISNUMBER(Timeline!$I$5:$I$305)*ISNUMBER(Timeline!$J$5:$J$305)*(Timeline!$I$5:$I$305&lt;=AO$4+2)*(Timeline!$J$5:$J$305&gt;=AO$4+2)),SUMPRODUCT((INDEX(Timeline!$P$5:$AN$305,0,MATCH($A25,Timeline!$P$4:$AN$4,0))="x")*(Timeline!$K$5:$K$305="Task")*ISNUMBER(Timeline!$I$5:$I$305)*ISNUMBER(Timeline!$J$5:$J$305)*(Timeline!$I$5:$I$305&lt;=AO$4+3)*(Timeline!$J$5:$J$305&gt;=AO$4+3)),SUMPRODUCT((INDEX(Timeline!$P$5:$AN$305,0,MATCH($A25,Timeline!$P$4:$AN$4,0))="x")*(Timeline!$K$5:$K$305="Task")*ISNUMBER(Timeline!$I$5:$I$305)*ISNUMBER(Timeline!$J$5:$J$305)*(Timeline!$I$5:$I$305&lt;=AO$4+4)*(Timeline!$J$5:$J$305&gt;=AO$4+4)),SUMPRODUCT((INDEX(Timeline!$P$5:$AN$305,0,MATCH($A25,Timeline!$P$4:$AN$4,0))="x")*(Timeline!$K$5:$K$305="Task")*ISNUMBER(Timeline!$I$5:$I$305)*ISNUMBER(Timeline!$J$5:$J$305)*(Timeline!$I$5:$I$305&lt;=AO$4+5)*(Timeline!$J$5:$J$305&gt;=AO$4+5)),SUMPRODUCT((INDEX(Timeline!$P$5:$AN$305,0,MATCH($A25,Timeline!$P$4:$AN$4,0))="x")*(Timeline!$K$5:$K$305="Task")*ISNUMBER(Timeline!$I$5:$I$305)*ISNUMBER(Timeline!$J$5:$J$305)*(Timeline!$I$5:$I$305&lt;=AO$4+6)*(Timeline!$J$5:$J$305&gt;=AO$4+6)))</f>
        <v>0</v>
      </c>
      <c r="AP25" s="67">
        <f>MAX(SUMPRODUCT((INDEX(Timeline!$P$5:$AN$305,0,MATCH($A25,Timeline!$P$4:$AN$4,0))="x")*(Timeline!$K$5:$K$305="Task")*ISNUMBER(Timeline!$I$5:$I$305)*ISNUMBER(Timeline!$J$5:$J$305)*(Timeline!$I$5:$I$305&lt;=AP$4+0)*(Timeline!$J$5:$J$305&gt;=AP$4+0)),SUMPRODUCT((INDEX(Timeline!$P$5:$AN$305,0,MATCH($A25,Timeline!$P$4:$AN$4,0))="x")*(Timeline!$K$5:$K$305="Task")*ISNUMBER(Timeline!$I$5:$I$305)*ISNUMBER(Timeline!$J$5:$J$305)*(Timeline!$I$5:$I$305&lt;=AP$4+1)*(Timeline!$J$5:$J$305&gt;=AP$4+1)),SUMPRODUCT((INDEX(Timeline!$P$5:$AN$305,0,MATCH($A25,Timeline!$P$4:$AN$4,0))="x")*(Timeline!$K$5:$K$305="Task")*ISNUMBER(Timeline!$I$5:$I$305)*ISNUMBER(Timeline!$J$5:$J$305)*(Timeline!$I$5:$I$305&lt;=AP$4+2)*(Timeline!$J$5:$J$305&gt;=AP$4+2)),SUMPRODUCT((INDEX(Timeline!$P$5:$AN$305,0,MATCH($A25,Timeline!$P$4:$AN$4,0))="x")*(Timeline!$K$5:$K$305="Task")*ISNUMBER(Timeline!$I$5:$I$305)*ISNUMBER(Timeline!$J$5:$J$305)*(Timeline!$I$5:$I$305&lt;=AP$4+3)*(Timeline!$J$5:$J$305&gt;=AP$4+3)),SUMPRODUCT((INDEX(Timeline!$P$5:$AN$305,0,MATCH($A25,Timeline!$P$4:$AN$4,0))="x")*(Timeline!$K$5:$K$305="Task")*ISNUMBER(Timeline!$I$5:$I$305)*ISNUMBER(Timeline!$J$5:$J$305)*(Timeline!$I$5:$I$305&lt;=AP$4+4)*(Timeline!$J$5:$J$305&gt;=AP$4+4)),SUMPRODUCT((INDEX(Timeline!$P$5:$AN$305,0,MATCH($A25,Timeline!$P$4:$AN$4,0))="x")*(Timeline!$K$5:$K$305="Task")*ISNUMBER(Timeline!$I$5:$I$305)*ISNUMBER(Timeline!$J$5:$J$305)*(Timeline!$I$5:$I$305&lt;=AP$4+5)*(Timeline!$J$5:$J$305&gt;=AP$4+5)),SUMPRODUCT((INDEX(Timeline!$P$5:$AN$305,0,MATCH($A25,Timeline!$P$4:$AN$4,0))="x")*(Timeline!$K$5:$K$305="Task")*ISNUMBER(Timeline!$I$5:$I$305)*ISNUMBER(Timeline!$J$5:$J$305)*(Timeline!$I$5:$I$305&lt;=AP$4+6)*(Timeline!$J$5:$J$305&gt;=AP$4+6)))</f>
        <v>0</v>
      </c>
      <c r="AQ25" s="67">
        <f>MAX(SUMPRODUCT((INDEX(Timeline!$P$5:$AN$305,0,MATCH($A25,Timeline!$P$4:$AN$4,0))="x")*(Timeline!$K$5:$K$305="Task")*ISNUMBER(Timeline!$I$5:$I$305)*ISNUMBER(Timeline!$J$5:$J$305)*(Timeline!$I$5:$I$305&lt;=AQ$4+0)*(Timeline!$J$5:$J$305&gt;=AQ$4+0)),SUMPRODUCT((INDEX(Timeline!$P$5:$AN$305,0,MATCH($A25,Timeline!$P$4:$AN$4,0))="x")*(Timeline!$K$5:$K$305="Task")*ISNUMBER(Timeline!$I$5:$I$305)*ISNUMBER(Timeline!$J$5:$J$305)*(Timeline!$I$5:$I$305&lt;=AQ$4+1)*(Timeline!$J$5:$J$305&gt;=AQ$4+1)),SUMPRODUCT((INDEX(Timeline!$P$5:$AN$305,0,MATCH($A25,Timeline!$P$4:$AN$4,0))="x")*(Timeline!$K$5:$K$305="Task")*ISNUMBER(Timeline!$I$5:$I$305)*ISNUMBER(Timeline!$J$5:$J$305)*(Timeline!$I$5:$I$305&lt;=AQ$4+2)*(Timeline!$J$5:$J$305&gt;=AQ$4+2)),SUMPRODUCT((INDEX(Timeline!$P$5:$AN$305,0,MATCH($A25,Timeline!$P$4:$AN$4,0))="x")*(Timeline!$K$5:$K$305="Task")*ISNUMBER(Timeline!$I$5:$I$305)*ISNUMBER(Timeline!$J$5:$J$305)*(Timeline!$I$5:$I$305&lt;=AQ$4+3)*(Timeline!$J$5:$J$305&gt;=AQ$4+3)),SUMPRODUCT((INDEX(Timeline!$P$5:$AN$305,0,MATCH($A25,Timeline!$P$4:$AN$4,0))="x")*(Timeline!$K$5:$K$305="Task")*ISNUMBER(Timeline!$I$5:$I$305)*ISNUMBER(Timeline!$J$5:$J$305)*(Timeline!$I$5:$I$305&lt;=AQ$4+4)*(Timeline!$J$5:$J$305&gt;=AQ$4+4)),SUMPRODUCT((INDEX(Timeline!$P$5:$AN$305,0,MATCH($A25,Timeline!$P$4:$AN$4,0))="x")*(Timeline!$K$5:$K$305="Task")*ISNUMBER(Timeline!$I$5:$I$305)*ISNUMBER(Timeline!$J$5:$J$305)*(Timeline!$I$5:$I$305&lt;=AQ$4+5)*(Timeline!$J$5:$J$305&gt;=AQ$4+5)),SUMPRODUCT((INDEX(Timeline!$P$5:$AN$305,0,MATCH($A25,Timeline!$P$4:$AN$4,0))="x")*(Timeline!$K$5:$K$305="Task")*ISNUMBER(Timeline!$I$5:$I$305)*ISNUMBER(Timeline!$J$5:$J$305)*(Timeline!$I$5:$I$305&lt;=AQ$4+6)*(Timeline!$J$5:$J$305&gt;=AQ$4+6)))</f>
        <v>0</v>
      </c>
      <c r="AR25" s="67">
        <f>MAX(SUMPRODUCT((INDEX(Timeline!$P$5:$AN$305,0,MATCH($A25,Timeline!$P$4:$AN$4,0))="x")*(Timeline!$K$5:$K$305="Task")*ISNUMBER(Timeline!$I$5:$I$305)*ISNUMBER(Timeline!$J$5:$J$305)*(Timeline!$I$5:$I$305&lt;=AR$4+0)*(Timeline!$J$5:$J$305&gt;=AR$4+0)),SUMPRODUCT((INDEX(Timeline!$P$5:$AN$305,0,MATCH($A25,Timeline!$P$4:$AN$4,0))="x")*(Timeline!$K$5:$K$305="Task")*ISNUMBER(Timeline!$I$5:$I$305)*ISNUMBER(Timeline!$J$5:$J$305)*(Timeline!$I$5:$I$305&lt;=AR$4+1)*(Timeline!$J$5:$J$305&gt;=AR$4+1)),SUMPRODUCT((INDEX(Timeline!$P$5:$AN$305,0,MATCH($A25,Timeline!$P$4:$AN$4,0))="x")*(Timeline!$K$5:$K$305="Task")*ISNUMBER(Timeline!$I$5:$I$305)*ISNUMBER(Timeline!$J$5:$J$305)*(Timeline!$I$5:$I$305&lt;=AR$4+2)*(Timeline!$J$5:$J$305&gt;=AR$4+2)),SUMPRODUCT((INDEX(Timeline!$P$5:$AN$305,0,MATCH($A25,Timeline!$P$4:$AN$4,0))="x")*(Timeline!$K$5:$K$305="Task")*ISNUMBER(Timeline!$I$5:$I$305)*ISNUMBER(Timeline!$J$5:$J$305)*(Timeline!$I$5:$I$305&lt;=AR$4+3)*(Timeline!$J$5:$J$305&gt;=AR$4+3)),SUMPRODUCT((INDEX(Timeline!$P$5:$AN$305,0,MATCH($A25,Timeline!$P$4:$AN$4,0))="x")*(Timeline!$K$5:$K$305="Task")*ISNUMBER(Timeline!$I$5:$I$305)*ISNUMBER(Timeline!$J$5:$J$305)*(Timeline!$I$5:$I$305&lt;=AR$4+4)*(Timeline!$J$5:$J$305&gt;=AR$4+4)),SUMPRODUCT((INDEX(Timeline!$P$5:$AN$305,0,MATCH($A25,Timeline!$P$4:$AN$4,0))="x")*(Timeline!$K$5:$K$305="Task")*ISNUMBER(Timeline!$I$5:$I$305)*ISNUMBER(Timeline!$J$5:$J$305)*(Timeline!$I$5:$I$305&lt;=AR$4+5)*(Timeline!$J$5:$J$305&gt;=AR$4+5)),SUMPRODUCT((INDEX(Timeline!$P$5:$AN$305,0,MATCH($A25,Timeline!$P$4:$AN$4,0))="x")*(Timeline!$K$5:$K$305="Task")*ISNUMBER(Timeline!$I$5:$I$305)*ISNUMBER(Timeline!$J$5:$J$305)*(Timeline!$I$5:$I$305&lt;=AR$4+6)*(Timeline!$J$5:$J$305&gt;=AR$4+6)))</f>
        <v>0</v>
      </c>
      <c r="AS25" s="67">
        <f>MAX(SUMPRODUCT((INDEX(Timeline!$P$5:$AN$305,0,MATCH($A25,Timeline!$P$4:$AN$4,0))="x")*(Timeline!$K$5:$K$305="Task")*ISNUMBER(Timeline!$I$5:$I$305)*ISNUMBER(Timeline!$J$5:$J$305)*(Timeline!$I$5:$I$305&lt;=AS$4+0)*(Timeline!$J$5:$J$305&gt;=AS$4+0)),SUMPRODUCT((INDEX(Timeline!$P$5:$AN$305,0,MATCH($A25,Timeline!$P$4:$AN$4,0))="x")*(Timeline!$K$5:$K$305="Task")*ISNUMBER(Timeline!$I$5:$I$305)*ISNUMBER(Timeline!$J$5:$J$305)*(Timeline!$I$5:$I$305&lt;=AS$4+1)*(Timeline!$J$5:$J$305&gt;=AS$4+1)),SUMPRODUCT((INDEX(Timeline!$P$5:$AN$305,0,MATCH($A25,Timeline!$P$4:$AN$4,0))="x")*(Timeline!$K$5:$K$305="Task")*ISNUMBER(Timeline!$I$5:$I$305)*ISNUMBER(Timeline!$J$5:$J$305)*(Timeline!$I$5:$I$305&lt;=AS$4+2)*(Timeline!$J$5:$J$305&gt;=AS$4+2)),SUMPRODUCT((INDEX(Timeline!$P$5:$AN$305,0,MATCH($A25,Timeline!$P$4:$AN$4,0))="x")*(Timeline!$K$5:$K$305="Task")*ISNUMBER(Timeline!$I$5:$I$305)*ISNUMBER(Timeline!$J$5:$J$305)*(Timeline!$I$5:$I$305&lt;=AS$4+3)*(Timeline!$J$5:$J$305&gt;=AS$4+3)),SUMPRODUCT((INDEX(Timeline!$P$5:$AN$305,0,MATCH($A25,Timeline!$P$4:$AN$4,0))="x")*(Timeline!$K$5:$K$305="Task")*ISNUMBER(Timeline!$I$5:$I$305)*ISNUMBER(Timeline!$J$5:$J$305)*(Timeline!$I$5:$I$305&lt;=AS$4+4)*(Timeline!$J$5:$J$305&gt;=AS$4+4)),SUMPRODUCT((INDEX(Timeline!$P$5:$AN$305,0,MATCH($A25,Timeline!$P$4:$AN$4,0))="x")*(Timeline!$K$5:$K$305="Task")*ISNUMBER(Timeline!$I$5:$I$305)*ISNUMBER(Timeline!$J$5:$J$305)*(Timeline!$I$5:$I$305&lt;=AS$4+5)*(Timeline!$J$5:$J$305&gt;=AS$4+5)),SUMPRODUCT((INDEX(Timeline!$P$5:$AN$305,0,MATCH($A25,Timeline!$P$4:$AN$4,0))="x")*(Timeline!$K$5:$K$305="Task")*ISNUMBER(Timeline!$I$5:$I$305)*ISNUMBER(Timeline!$J$5:$J$305)*(Timeline!$I$5:$I$305&lt;=AS$4+6)*(Timeline!$J$5:$J$305&gt;=AS$4+6)))</f>
        <v>0</v>
      </c>
      <c r="AT25" s="67">
        <f>MAX(SUMPRODUCT((INDEX(Timeline!$P$5:$AN$305,0,MATCH($A25,Timeline!$P$4:$AN$4,0))="x")*(Timeline!$K$5:$K$305="Task")*ISNUMBER(Timeline!$I$5:$I$305)*ISNUMBER(Timeline!$J$5:$J$305)*(Timeline!$I$5:$I$305&lt;=AT$4+0)*(Timeline!$J$5:$J$305&gt;=AT$4+0)),SUMPRODUCT((INDEX(Timeline!$P$5:$AN$305,0,MATCH($A25,Timeline!$P$4:$AN$4,0))="x")*(Timeline!$K$5:$K$305="Task")*ISNUMBER(Timeline!$I$5:$I$305)*ISNUMBER(Timeline!$J$5:$J$305)*(Timeline!$I$5:$I$305&lt;=AT$4+1)*(Timeline!$J$5:$J$305&gt;=AT$4+1)),SUMPRODUCT((INDEX(Timeline!$P$5:$AN$305,0,MATCH($A25,Timeline!$P$4:$AN$4,0))="x")*(Timeline!$K$5:$K$305="Task")*ISNUMBER(Timeline!$I$5:$I$305)*ISNUMBER(Timeline!$J$5:$J$305)*(Timeline!$I$5:$I$305&lt;=AT$4+2)*(Timeline!$J$5:$J$305&gt;=AT$4+2)),SUMPRODUCT((INDEX(Timeline!$P$5:$AN$305,0,MATCH($A25,Timeline!$P$4:$AN$4,0))="x")*(Timeline!$K$5:$K$305="Task")*ISNUMBER(Timeline!$I$5:$I$305)*ISNUMBER(Timeline!$J$5:$J$305)*(Timeline!$I$5:$I$305&lt;=AT$4+3)*(Timeline!$J$5:$J$305&gt;=AT$4+3)),SUMPRODUCT((INDEX(Timeline!$P$5:$AN$305,0,MATCH($A25,Timeline!$P$4:$AN$4,0))="x")*(Timeline!$K$5:$K$305="Task")*ISNUMBER(Timeline!$I$5:$I$305)*ISNUMBER(Timeline!$J$5:$J$305)*(Timeline!$I$5:$I$305&lt;=AT$4+4)*(Timeline!$J$5:$J$305&gt;=AT$4+4)),SUMPRODUCT((INDEX(Timeline!$P$5:$AN$305,0,MATCH($A25,Timeline!$P$4:$AN$4,0))="x")*(Timeline!$K$5:$K$305="Task")*ISNUMBER(Timeline!$I$5:$I$305)*ISNUMBER(Timeline!$J$5:$J$305)*(Timeline!$I$5:$I$305&lt;=AT$4+5)*(Timeline!$J$5:$J$305&gt;=AT$4+5)),SUMPRODUCT((INDEX(Timeline!$P$5:$AN$305,0,MATCH($A25,Timeline!$P$4:$AN$4,0))="x")*(Timeline!$K$5:$K$305="Task")*ISNUMBER(Timeline!$I$5:$I$305)*ISNUMBER(Timeline!$J$5:$J$305)*(Timeline!$I$5:$I$305&lt;=AT$4+6)*(Timeline!$J$5:$J$305&gt;=AT$4+6)))</f>
        <v>0</v>
      </c>
      <c r="AU25" s="67">
        <f>MAX(SUMPRODUCT((INDEX(Timeline!$P$5:$AN$305,0,MATCH($A25,Timeline!$P$4:$AN$4,0))="x")*(Timeline!$K$5:$K$305="Task")*ISNUMBER(Timeline!$I$5:$I$305)*ISNUMBER(Timeline!$J$5:$J$305)*(Timeline!$I$5:$I$305&lt;=AU$4+0)*(Timeline!$J$5:$J$305&gt;=AU$4+0)),SUMPRODUCT((INDEX(Timeline!$P$5:$AN$305,0,MATCH($A25,Timeline!$P$4:$AN$4,0))="x")*(Timeline!$K$5:$K$305="Task")*ISNUMBER(Timeline!$I$5:$I$305)*ISNUMBER(Timeline!$J$5:$J$305)*(Timeline!$I$5:$I$305&lt;=AU$4+1)*(Timeline!$J$5:$J$305&gt;=AU$4+1)),SUMPRODUCT((INDEX(Timeline!$P$5:$AN$305,0,MATCH($A25,Timeline!$P$4:$AN$4,0))="x")*(Timeline!$K$5:$K$305="Task")*ISNUMBER(Timeline!$I$5:$I$305)*ISNUMBER(Timeline!$J$5:$J$305)*(Timeline!$I$5:$I$305&lt;=AU$4+2)*(Timeline!$J$5:$J$305&gt;=AU$4+2)),SUMPRODUCT((INDEX(Timeline!$P$5:$AN$305,0,MATCH($A25,Timeline!$P$4:$AN$4,0))="x")*(Timeline!$K$5:$K$305="Task")*ISNUMBER(Timeline!$I$5:$I$305)*ISNUMBER(Timeline!$J$5:$J$305)*(Timeline!$I$5:$I$305&lt;=AU$4+3)*(Timeline!$J$5:$J$305&gt;=AU$4+3)),SUMPRODUCT((INDEX(Timeline!$P$5:$AN$305,0,MATCH($A25,Timeline!$P$4:$AN$4,0))="x")*(Timeline!$K$5:$K$305="Task")*ISNUMBER(Timeline!$I$5:$I$305)*ISNUMBER(Timeline!$J$5:$J$305)*(Timeline!$I$5:$I$305&lt;=AU$4+4)*(Timeline!$J$5:$J$305&gt;=AU$4+4)),SUMPRODUCT((INDEX(Timeline!$P$5:$AN$305,0,MATCH($A25,Timeline!$P$4:$AN$4,0))="x")*(Timeline!$K$5:$K$305="Task")*ISNUMBER(Timeline!$I$5:$I$305)*ISNUMBER(Timeline!$J$5:$J$305)*(Timeline!$I$5:$I$305&lt;=AU$4+5)*(Timeline!$J$5:$J$305&gt;=AU$4+5)),SUMPRODUCT((INDEX(Timeline!$P$5:$AN$305,0,MATCH($A25,Timeline!$P$4:$AN$4,0))="x")*(Timeline!$K$5:$K$305="Task")*ISNUMBER(Timeline!$I$5:$I$305)*ISNUMBER(Timeline!$J$5:$J$305)*(Timeline!$I$5:$I$305&lt;=AU$4+6)*(Timeline!$J$5:$J$305&gt;=AU$4+6)))</f>
        <v>0</v>
      </c>
      <c r="AV25" s="67">
        <f>MAX(SUMPRODUCT((INDEX(Timeline!$P$5:$AN$305,0,MATCH($A25,Timeline!$P$4:$AN$4,0))="x")*(Timeline!$K$5:$K$305="Task")*ISNUMBER(Timeline!$I$5:$I$305)*ISNUMBER(Timeline!$J$5:$J$305)*(Timeline!$I$5:$I$305&lt;=AV$4+0)*(Timeline!$J$5:$J$305&gt;=AV$4+0)),SUMPRODUCT((INDEX(Timeline!$P$5:$AN$305,0,MATCH($A25,Timeline!$P$4:$AN$4,0))="x")*(Timeline!$K$5:$K$305="Task")*ISNUMBER(Timeline!$I$5:$I$305)*ISNUMBER(Timeline!$J$5:$J$305)*(Timeline!$I$5:$I$305&lt;=AV$4+1)*(Timeline!$J$5:$J$305&gt;=AV$4+1)),SUMPRODUCT((INDEX(Timeline!$P$5:$AN$305,0,MATCH($A25,Timeline!$P$4:$AN$4,0))="x")*(Timeline!$K$5:$K$305="Task")*ISNUMBER(Timeline!$I$5:$I$305)*ISNUMBER(Timeline!$J$5:$J$305)*(Timeline!$I$5:$I$305&lt;=AV$4+2)*(Timeline!$J$5:$J$305&gt;=AV$4+2)),SUMPRODUCT((INDEX(Timeline!$P$5:$AN$305,0,MATCH($A25,Timeline!$P$4:$AN$4,0))="x")*(Timeline!$K$5:$K$305="Task")*ISNUMBER(Timeline!$I$5:$I$305)*ISNUMBER(Timeline!$J$5:$J$305)*(Timeline!$I$5:$I$305&lt;=AV$4+3)*(Timeline!$J$5:$J$305&gt;=AV$4+3)),SUMPRODUCT((INDEX(Timeline!$P$5:$AN$305,0,MATCH($A25,Timeline!$P$4:$AN$4,0))="x")*(Timeline!$K$5:$K$305="Task")*ISNUMBER(Timeline!$I$5:$I$305)*ISNUMBER(Timeline!$J$5:$J$305)*(Timeline!$I$5:$I$305&lt;=AV$4+4)*(Timeline!$J$5:$J$305&gt;=AV$4+4)),SUMPRODUCT((INDEX(Timeline!$P$5:$AN$305,0,MATCH($A25,Timeline!$P$4:$AN$4,0))="x")*(Timeline!$K$5:$K$305="Task")*ISNUMBER(Timeline!$I$5:$I$305)*ISNUMBER(Timeline!$J$5:$J$305)*(Timeline!$I$5:$I$305&lt;=AV$4+5)*(Timeline!$J$5:$J$305&gt;=AV$4+5)),SUMPRODUCT((INDEX(Timeline!$P$5:$AN$305,0,MATCH($A25,Timeline!$P$4:$AN$4,0))="x")*(Timeline!$K$5:$K$305="Task")*ISNUMBER(Timeline!$I$5:$I$305)*ISNUMBER(Timeline!$J$5:$J$305)*(Timeline!$I$5:$I$305&lt;=AV$4+6)*(Timeline!$J$5:$J$305&gt;=AV$4+6)))</f>
        <v>0</v>
      </c>
      <c r="AW25" s="67">
        <f>MAX(SUMPRODUCT((INDEX(Timeline!$P$5:$AN$305,0,MATCH($A25,Timeline!$P$4:$AN$4,0))="x")*(Timeline!$K$5:$K$305="Task")*ISNUMBER(Timeline!$I$5:$I$305)*ISNUMBER(Timeline!$J$5:$J$305)*(Timeline!$I$5:$I$305&lt;=AW$4+0)*(Timeline!$J$5:$J$305&gt;=AW$4+0)),SUMPRODUCT((INDEX(Timeline!$P$5:$AN$305,0,MATCH($A25,Timeline!$P$4:$AN$4,0))="x")*(Timeline!$K$5:$K$305="Task")*ISNUMBER(Timeline!$I$5:$I$305)*ISNUMBER(Timeline!$J$5:$J$305)*(Timeline!$I$5:$I$305&lt;=AW$4+1)*(Timeline!$J$5:$J$305&gt;=AW$4+1)),SUMPRODUCT((INDEX(Timeline!$P$5:$AN$305,0,MATCH($A25,Timeline!$P$4:$AN$4,0))="x")*(Timeline!$K$5:$K$305="Task")*ISNUMBER(Timeline!$I$5:$I$305)*ISNUMBER(Timeline!$J$5:$J$305)*(Timeline!$I$5:$I$305&lt;=AW$4+2)*(Timeline!$J$5:$J$305&gt;=AW$4+2)),SUMPRODUCT((INDEX(Timeline!$P$5:$AN$305,0,MATCH($A25,Timeline!$P$4:$AN$4,0))="x")*(Timeline!$K$5:$K$305="Task")*ISNUMBER(Timeline!$I$5:$I$305)*ISNUMBER(Timeline!$J$5:$J$305)*(Timeline!$I$5:$I$305&lt;=AW$4+3)*(Timeline!$J$5:$J$305&gt;=AW$4+3)),SUMPRODUCT((INDEX(Timeline!$P$5:$AN$305,0,MATCH($A25,Timeline!$P$4:$AN$4,0))="x")*(Timeline!$K$5:$K$305="Task")*ISNUMBER(Timeline!$I$5:$I$305)*ISNUMBER(Timeline!$J$5:$J$305)*(Timeline!$I$5:$I$305&lt;=AW$4+4)*(Timeline!$J$5:$J$305&gt;=AW$4+4)),SUMPRODUCT((INDEX(Timeline!$P$5:$AN$305,0,MATCH($A25,Timeline!$P$4:$AN$4,0))="x")*(Timeline!$K$5:$K$305="Task")*ISNUMBER(Timeline!$I$5:$I$305)*ISNUMBER(Timeline!$J$5:$J$305)*(Timeline!$I$5:$I$305&lt;=AW$4+5)*(Timeline!$J$5:$J$305&gt;=AW$4+5)),SUMPRODUCT((INDEX(Timeline!$P$5:$AN$305,0,MATCH($A25,Timeline!$P$4:$AN$4,0))="x")*(Timeline!$K$5:$K$305="Task")*ISNUMBER(Timeline!$I$5:$I$305)*ISNUMBER(Timeline!$J$5:$J$305)*(Timeline!$I$5:$I$305&lt;=AW$4+6)*(Timeline!$J$5:$J$305&gt;=AW$4+6)))</f>
        <v>0</v>
      </c>
      <c r="AX25" s="67">
        <f>MAX(SUMPRODUCT((INDEX(Timeline!$P$5:$AN$305,0,MATCH($A25,Timeline!$P$4:$AN$4,0))="x")*(Timeline!$K$5:$K$305="Task")*ISNUMBER(Timeline!$I$5:$I$305)*ISNUMBER(Timeline!$J$5:$J$305)*(Timeline!$I$5:$I$305&lt;=AX$4+0)*(Timeline!$J$5:$J$305&gt;=AX$4+0)),SUMPRODUCT((INDEX(Timeline!$P$5:$AN$305,0,MATCH($A25,Timeline!$P$4:$AN$4,0))="x")*(Timeline!$K$5:$K$305="Task")*ISNUMBER(Timeline!$I$5:$I$305)*ISNUMBER(Timeline!$J$5:$J$305)*(Timeline!$I$5:$I$305&lt;=AX$4+1)*(Timeline!$J$5:$J$305&gt;=AX$4+1)),SUMPRODUCT((INDEX(Timeline!$P$5:$AN$305,0,MATCH($A25,Timeline!$P$4:$AN$4,0))="x")*(Timeline!$K$5:$K$305="Task")*ISNUMBER(Timeline!$I$5:$I$305)*ISNUMBER(Timeline!$J$5:$J$305)*(Timeline!$I$5:$I$305&lt;=AX$4+2)*(Timeline!$J$5:$J$305&gt;=AX$4+2)),SUMPRODUCT((INDEX(Timeline!$P$5:$AN$305,0,MATCH($A25,Timeline!$P$4:$AN$4,0))="x")*(Timeline!$K$5:$K$305="Task")*ISNUMBER(Timeline!$I$5:$I$305)*ISNUMBER(Timeline!$J$5:$J$305)*(Timeline!$I$5:$I$305&lt;=AX$4+3)*(Timeline!$J$5:$J$305&gt;=AX$4+3)),SUMPRODUCT((INDEX(Timeline!$P$5:$AN$305,0,MATCH($A25,Timeline!$P$4:$AN$4,0))="x")*(Timeline!$K$5:$K$305="Task")*ISNUMBER(Timeline!$I$5:$I$305)*ISNUMBER(Timeline!$J$5:$J$305)*(Timeline!$I$5:$I$305&lt;=AX$4+4)*(Timeline!$J$5:$J$305&gt;=AX$4+4)),SUMPRODUCT((INDEX(Timeline!$P$5:$AN$305,0,MATCH($A25,Timeline!$P$4:$AN$4,0))="x")*(Timeline!$K$5:$K$305="Task")*ISNUMBER(Timeline!$I$5:$I$305)*ISNUMBER(Timeline!$J$5:$J$305)*(Timeline!$I$5:$I$305&lt;=AX$4+5)*(Timeline!$J$5:$J$305&gt;=AX$4+5)),SUMPRODUCT((INDEX(Timeline!$P$5:$AN$305,0,MATCH($A25,Timeline!$P$4:$AN$4,0))="x")*(Timeline!$K$5:$K$305="Task")*ISNUMBER(Timeline!$I$5:$I$305)*ISNUMBER(Timeline!$J$5:$J$305)*(Timeline!$I$5:$I$305&lt;=AX$4+6)*(Timeline!$J$5:$J$305&gt;=AX$4+6)))</f>
        <v>0</v>
      </c>
      <c r="AY25" s="67">
        <f>MAX(SUMPRODUCT((INDEX(Timeline!$P$5:$AN$305,0,MATCH($A25,Timeline!$P$4:$AN$4,0))="x")*(Timeline!$K$5:$K$305="Task")*ISNUMBER(Timeline!$I$5:$I$305)*ISNUMBER(Timeline!$J$5:$J$305)*(Timeline!$I$5:$I$305&lt;=AY$4+0)*(Timeline!$J$5:$J$305&gt;=AY$4+0)),SUMPRODUCT((INDEX(Timeline!$P$5:$AN$305,0,MATCH($A25,Timeline!$P$4:$AN$4,0))="x")*(Timeline!$K$5:$K$305="Task")*ISNUMBER(Timeline!$I$5:$I$305)*ISNUMBER(Timeline!$J$5:$J$305)*(Timeline!$I$5:$I$305&lt;=AY$4+1)*(Timeline!$J$5:$J$305&gt;=AY$4+1)),SUMPRODUCT((INDEX(Timeline!$P$5:$AN$305,0,MATCH($A25,Timeline!$P$4:$AN$4,0))="x")*(Timeline!$K$5:$K$305="Task")*ISNUMBER(Timeline!$I$5:$I$305)*ISNUMBER(Timeline!$J$5:$J$305)*(Timeline!$I$5:$I$305&lt;=AY$4+2)*(Timeline!$J$5:$J$305&gt;=AY$4+2)),SUMPRODUCT((INDEX(Timeline!$P$5:$AN$305,0,MATCH($A25,Timeline!$P$4:$AN$4,0))="x")*(Timeline!$K$5:$K$305="Task")*ISNUMBER(Timeline!$I$5:$I$305)*ISNUMBER(Timeline!$J$5:$J$305)*(Timeline!$I$5:$I$305&lt;=AY$4+3)*(Timeline!$J$5:$J$305&gt;=AY$4+3)),SUMPRODUCT((INDEX(Timeline!$P$5:$AN$305,0,MATCH($A25,Timeline!$P$4:$AN$4,0))="x")*(Timeline!$K$5:$K$305="Task")*ISNUMBER(Timeline!$I$5:$I$305)*ISNUMBER(Timeline!$J$5:$J$305)*(Timeline!$I$5:$I$305&lt;=AY$4+4)*(Timeline!$J$5:$J$305&gt;=AY$4+4)),SUMPRODUCT((INDEX(Timeline!$P$5:$AN$305,0,MATCH($A25,Timeline!$P$4:$AN$4,0))="x")*(Timeline!$K$5:$K$305="Task")*ISNUMBER(Timeline!$I$5:$I$305)*ISNUMBER(Timeline!$J$5:$J$305)*(Timeline!$I$5:$I$305&lt;=AY$4+5)*(Timeline!$J$5:$J$305&gt;=AY$4+5)),SUMPRODUCT((INDEX(Timeline!$P$5:$AN$305,0,MATCH($A25,Timeline!$P$4:$AN$4,0))="x")*(Timeline!$K$5:$K$305="Task")*ISNUMBER(Timeline!$I$5:$I$305)*ISNUMBER(Timeline!$J$5:$J$305)*(Timeline!$I$5:$I$305&lt;=AY$4+6)*(Timeline!$J$5:$J$305&gt;=AY$4+6)))</f>
        <v>0</v>
      </c>
      <c r="AZ25" s="67">
        <f>MAX(SUMPRODUCT((INDEX(Timeline!$P$5:$AN$305,0,MATCH($A25,Timeline!$P$4:$AN$4,0))="x")*(Timeline!$K$5:$K$305="Task")*ISNUMBER(Timeline!$I$5:$I$305)*ISNUMBER(Timeline!$J$5:$J$305)*(Timeline!$I$5:$I$305&lt;=AZ$4+0)*(Timeline!$J$5:$J$305&gt;=AZ$4+0)),SUMPRODUCT((INDEX(Timeline!$P$5:$AN$305,0,MATCH($A25,Timeline!$P$4:$AN$4,0))="x")*(Timeline!$K$5:$K$305="Task")*ISNUMBER(Timeline!$I$5:$I$305)*ISNUMBER(Timeline!$J$5:$J$305)*(Timeline!$I$5:$I$305&lt;=AZ$4+1)*(Timeline!$J$5:$J$305&gt;=AZ$4+1)),SUMPRODUCT((INDEX(Timeline!$P$5:$AN$305,0,MATCH($A25,Timeline!$P$4:$AN$4,0))="x")*(Timeline!$K$5:$K$305="Task")*ISNUMBER(Timeline!$I$5:$I$305)*ISNUMBER(Timeline!$J$5:$J$305)*(Timeline!$I$5:$I$305&lt;=AZ$4+2)*(Timeline!$J$5:$J$305&gt;=AZ$4+2)),SUMPRODUCT((INDEX(Timeline!$P$5:$AN$305,0,MATCH($A25,Timeline!$P$4:$AN$4,0))="x")*(Timeline!$K$5:$K$305="Task")*ISNUMBER(Timeline!$I$5:$I$305)*ISNUMBER(Timeline!$J$5:$J$305)*(Timeline!$I$5:$I$305&lt;=AZ$4+3)*(Timeline!$J$5:$J$305&gt;=AZ$4+3)),SUMPRODUCT((INDEX(Timeline!$P$5:$AN$305,0,MATCH($A25,Timeline!$P$4:$AN$4,0))="x")*(Timeline!$K$5:$K$305="Task")*ISNUMBER(Timeline!$I$5:$I$305)*ISNUMBER(Timeline!$J$5:$J$305)*(Timeline!$I$5:$I$305&lt;=AZ$4+4)*(Timeline!$J$5:$J$305&gt;=AZ$4+4)),SUMPRODUCT((INDEX(Timeline!$P$5:$AN$305,0,MATCH($A25,Timeline!$P$4:$AN$4,0))="x")*(Timeline!$K$5:$K$305="Task")*ISNUMBER(Timeline!$I$5:$I$305)*ISNUMBER(Timeline!$J$5:$J$305)*(Timeline!$I$5:$I$305&lt;=AZ$4+5)*(Timeline!$J$5:$J$305&gt;=AZ$4+5)),SUMPRODUCT((INDEX(Timeline!$P$5:$AN$305,0,MATCH($A25,Timeline!$P$4:$AN$4,0))="x")*(Timeline!$K$5:$K$305="Task")*ISNUMBER(Timeline!$I$5:$I$305)*ISNUMBER(Timeline!$J$5:$J$305)*(Timeline!$I$5:$I$305&lt;=AZ$4+6)*(Timeline!$J$5:$J$305&gt;=AZ$4+6)))</f>
        <v>0</v>
      </c>
      <c r="BA25" s="67">
        <f>MAX(SUMPRODUCT((INDEX(Timeline!$P$5:$AN$305,0,MATCH($A25,Timeline!$P$4:$AN$4,0))="x")*(Timeline!$K$5:$K$305="Task")*ISNUMBER(Timeline!$I$5:$I$305)*ISNUMBER(Timeline!$J$5:$J$305)*(Timeline!$I$5:$I$305&lt;=BA$4+0)*(Timeline!$J$5:$J$305&gt;=BA$4+0)),SUMPRODUCT((INDEX(Timeline!$P$5:$AN$305,0,MATCH($A25,Timeline!$P$4:$AN$4,0))="x")*(Timeline!$K$5:$K$305="Task")*ISNUMBER(Timeline!$I$5:$I$305)*ISNUMBER(Timeline!$J$5:$J$305)*(Timeline!$I$5:$I$305&lt;=BA$4+1)*(Timeline!$J$5:$J$305&gt;=BA$4+1)),SUMPRODUCT((INDEX(Timeline!$P$5:$AN$305,0,MATCH($A25,Timeline!$P$4:$AN$4,0))="x")*(Timeline!$K$5:$K$305="Task")*ISNUMBER(Timeline!$I$5:$I$305)*ISNUMBER(Timeline!$J$5:$J$305)*(Timeline!$I$5:$I$305&lt;=BA$4+2)*(Timeline!$J$5:$J$305&gt;=BA$4+2)),SUMPRODUCT((INDEX(Timeline!$P$5:$AN$305,0,MATCH($A25,Timeline!$P$4:$AN$4,0))="x")*(Timeline!$K$5:$K$305="Task")*ISNUMBER(Timeline!$I$5:$I$305)*ISNUMBER(Timeline!$J$5:$J$305)*(Timeline!$I$5:$I$305&lt;=BA$4+3)*(Timeline!$J$5:$J$305&gt;=BA$4+3)),SUMPRODUCT((INDEX(Timeline!$P$5:$AN$305,0,MATCH($A25,Timeline!$P$4:$AN$4,0))="x")*(Timeline!$K$5:$K$305="Task")*ISNUMBER(Timeline!$I$5:$I$305)*ISNUMBER(Timeline!$J$5:$J$305)*(Timeline!$I$5:$I$305&lt;=BA$4+4)*(Timeline!$J$5:$J$305&gt;=BA$4+4)),SUMPRODUCT((INDEX(Timeline!$P$5:$AN$305,0,MATCH($A25,Timeline!$P$4:$AN$4,0))="x")*(Timeline!$K$5:$K$305="Task")*ISNUMBER(Timeline!$I$5:$I$305)*ISNUMBER(Timeline!$J$5:$J$305)*(Timeline!$I$5:$I$305&lt;=BA$4+5)*(Timeline!$J$5:$J$305&gt;=BA$4+5)),SUMPRODUCT((INDEX(Timeline!$P$5:$AN$305,0,MATCH($A25,Timeline!$P$4:$AN$4,0))="x")*(Timeline!$K$5:$K$305="Task")*ISNUMBER(Timeline!$I$5:$I$305)*ISNUMBER(Timeline!$J$5:$J$305)*(Timeline!$I$5:$I$305&lt;=BA$4+6)*(Timeline!$J$5:$J$305&gt;=BA$4+6)))</f>
        <v>0</v>
      </c>
    </row>
    <row r="26" spans="1:53" ht="15" customHeight="1">
      <c r="A26" s="66" t="s">
        <v>57</v>
      </c>
      <c r="B26" s="66" t="s">
        <v>20</v>
      </c>
      <c r="C26" s="67">
        <f>MAX(SUMPRODUCT((INDEX(Timeline!$P$5:$AN$305,0,MATCH($A26,Timeline!$P$4:$AN$4,0))="x")*(Timeline!$K$5:$K$305="Task")*ISNUMBER(Timeline!$I$5:$I$305)*ISNUMBER(Timeline!$J$5:$J$305)*(Timeline!$I$5:$I$305&lt;=C$4+0)*(Timeline!$J$5:$J$305&gt;=C$4+0)),SUMPRODUCT((INDEX(Timeline!$P$5:$AN$305,0,MATCH($A26,Timeline!$P$4:$AN$4,0))="x")*(Timeline!$K$5:$K$305="Task")*ISNUMBER(Timeline!$I$5:$I$305)*ISNUMBER(Timeline!$J$5:$J$305)*(Timeline!$I$5:$I$305&lt;=C$4+1)*(Timeline!$J$5:$J$305&gt;=C$4+1)),SUMPRODUCT((INDEX(Timeline!$P$5:$AN$305,0,MATCH($A26,Timeline!$P$4:$AN$4,0))="x")*(Timeline!$K$5:$K$305="Task")*ISNUMBER(Timeline!$I$5:$I$305)*ISNUMBER(Timeline!$J$5:$J$305)*(Timeline!$I$5:$I$305&lt;=C$4+2)*(Timeline!$J$5:$J$305&gt;=C$4+2)),SUMPRODUCT((INDEX(Timeline!$P$5:$AN$305,0,MATCH($A26,Timeline!$P$4:$AN$4,0))="x")*(Timeline!$K$5:$K$305="Task")*ISNUMBER(Timeline!$I$5:$I$305)*ISNUMBER(Timeline!$J$5:$J$305)*(Timeline!$I$5:$I$305&lt;=C$4+3)*(Timeline!$J$5:$J$305&gt;=C$4+3)),SUMPRODUCT((INDEX(Timeline!$P$5:$AN$305,0,MATCH($A26,Timeline!$P$4:$AN$4,0))="x")*(Timeline!$K$5:$K$305="Task")*ISNUMBER(Timeline!$I$5:$I$305)*ISNUMBER(Timeline!$J$5:$J$305)*(Timeline!$I$5:$I$305&lt;=C$4+4)*(Timeline!$J$5:$J$305&gt;=C$4+4)),SUMPRODUCT((INDEX(Timeline!$P$5:$AN$305,0,MATCH($A26,Timeline!$P$4:$AN$4,0))="x")*(Timeline!$K$5:$K$305="Task")*ISNUMBER(Timeline!$I$5:$I$305)*ISNUMBER(Timeline!$J$5:$J$305)*(Timeline!$I$5:$I$305&lt;=C$4+5)*(Timeline!$J$5:$J$305&gt;=C$4+5)),SUMPRODUCT((INDEX(Timeline!$P$5:$AN$305,0,MATCH($A26,Timeline!$P$4:$AN$4,0))="x")*(Timeline!$K$5:$K$305="Task")*ISNUMBER(Timeline!$I$5:$I$305)*ISNUMBER(Timeline!$J$5:$J$305)*(Timeline!$I$5:$I$305&lt;=C$4+6)*(Timeline!$J$5:$J$305&gt;=C$4+6)))</f>
        <v>0</v>
      </c>
      <c r="D26" s="67">
        <f>MAX(SUMPRODUCT((INDEX(Timeline!$P$5:$AN$305,0,MATCH($A26,Timeline!$P$4:$AN$4,0))="x")*(Timeline!$K$5:$K$305="Task")*ISNUMBER(Timeline!$I$5:$I$305)*ISNUMBER(Timeline!$J$5:$J$305)*(Timeline!$I$5:$I$305&lt;=D$4+0)*(Timeline!$J$5:$J$305&gt;=D$4+0)),SUMPRODUCT((INDEX(Timeline!$P$5:$AN$305,0,MATCH($A26,Timeline!$P$4:$AN$4,0))="x")*(Timeline!$K$5:$K$305="Task")*ISNUMBER(Timeline!$I$5:$I$305)*ISNUMBER(Timeline!$J$5:$J$305)*(Timeline!$I$5:$I$305&lt;=D$4+1)*(Timeline!$J$5:$J$305&gt;=D$4+1)),SUMPRODUCT((INDEX(Timeline!$P$5:$AN$305,0,MATCH($A26,Timeline!$P$4:$AN$4,0))="x")*(Timeline!$K$5:$K$305="Task")*ISNUMBER(Timeline!$I$5:$I$305)*ISNUMBER(Timeline!$J$5:$J$305)*(Timeline!$I$5:$I$305&lt;=D$4+2)*(Timeline!$J$5:$J$305&gt;=D$4+2)),SUMPRODUCT((INDEX(Timeline!$P$5:$AN$305,0,MATCH($A26,Timeline!$P$4:$AN$4,0))="x")*(Timeline!$K$5:$K$305="Task")*ISNUMBER(Timeline!$I$5:$I$305)*ISNUMBER(Timeline!$J$5:$J$305)*(Timeline!$I$5:$I$305&lt;=D$4+3)*(Timeline!$J$5:$J$305&gt;=D$4+3)),SUMPRODUCT((INDEX(Timeline!$P$5:$AN$305,0,MATCH($A26,Timeline!$P$4:$AN$4,0))="x")*(Timeline!$K$5:$K$305="Task")*ISNUMBER(Timeline!$I$5:$I$305)*ISNUMBER(Timeline!$J$5:$J$305)*(Timeline!$I$5:$I$305&lt;=D$4+4)*(Timeline!$J$5:$J$305&gt;=D$4+4)),SUMPRODUCT((INDEX(Timeline!$P$5:$AN$305,0,MATCH($A26,Timeline!$P$4:$AN$4,0))="x")*(Timeline!$K$5:$K$305="Task")*ISNUMBER(Timeline!$I$5:$I$305)*ISNUMBER(Timeline!$J$5:$J$305)*(Timeline!$I$5:$I$305&lt;=D$4+5)*(Timeline!$J$5:$J$305&gt;=D$4+5)),SUMPRODUCT((INDEX(Timeline!$P$5:$AN$305,0,MATCH($A26,Timeline!$P$4:$AN$4,0))="x")*(Timeline!$K$5:$K$305="Task")*ISNUMBER(Timeline!$I$5:$I$305)*ISNUMBER(Timeline!$J$5:$J$305)*(Timeline!$I$5:$I$305&lt;=D$4+6)*(Timeline!$J$5:$J$305&gt;=D$4+6)))</f>
        <v>0</v>
      </c>
      <c r="E26" s="67">
        <f>MAX(SUMPRODUCT((INDEX(Timeline!$P$5:$AN$305,0,MATCH($A26,Timeline!$P$4:$AN$4,0))="x")*(Timeline!$K$5:$K$305="Task")*ISNUMBER(Timeline!$I$5:$I$305)*ISNUMBER(Timeline!$J$5:$J$305)*(Timeline!$I$5:$I$305&lt;=E$4+0)*(Timeline!$J$5:$J$305&gt;=E$4+0)),SUMPRODUCT((INDEX(Timeline!$P$5:$AN$305,0,MATCH($A26,Timeline!$P$4:$AN$4,0))="x")*(Timeline!$K$5:$K$305="Task")*ISNUMBER(Timeline!$I$5:$I$305)*ISNUMBER(Timeline!$J$5:$J$305)*(Timeline!$I$5:$I$305&lt;=E$4+1)*(Timeline!$J$5:$J$305&gt;=E$4+1)),SUMPRODUCT((INDEX(Timeline!$P$5:$AN$305,0,MATCH($A26,Timeline!$P$4:$AN$4,0))="x")*(Timeline!$K$5:$K$305="Task")*ISNUMBER(Timeline!$I$5:$I$305)*ISNUMBER(Timeline!$J$5:$J$305)*(Timeline!$I$5:$I$305&lt;=E$4+2)*(Timeline!$J$5:$J$305&gt;=E$4+2)),SUMPRODUCT((INDEX(Timeline!$P$5:$AN$305,0,MATCH($A26,Timeline!$P$4:$AN$4,0))="x")*(Timeline!$K$5:$K$305="Task")*ISNUMBER(Timeline!$I$5:$I$305)*ISNUMBER(Timeline!$J$5:$J$305)*(Timeline!$I$5:$I$305&lt;=E$4+3)*(Timeline!$J$5:$J$305&gt;=E$4+3)),SUMPRODUCT((INDEX(Timeline!$P$5:$AN$305,0,MATCH($A26,Timeline!$P$4:$AN$4,0))="x")*(Timeline!$K$5:$K$305="Task")*ISNUMBER(Timeline!$I$5:$I$305)*ISNUMBER(Timeline!$J$5:$J$305)*(Timeline!$I$5:$I$305&lt;=E$4+4)*(Timeline!$J$5:$J$305&gt;=E$4+4)),SUMPRODUCT((INDEX(Timeline!$P$5:$AN$305,0,MATCH($A26,Timeline!$P$4:$AN$4,0))="x")*(Timeline!$K$5:$K$305="Task")*ISNUMBER(Timeline!$I$5:$I$305)*ISNUMBER(Timeline!$J$5:$J$305)*(Timeline!$I$5:$I$305&lt;=E$4+5)*(Timeline!$J$5:$J$305&gt;=E$4+5)),SUMPRODUCT((INDEX(Timeline!$P$5:$AN$305,0,MATCH($A26,Timeline!$P$4:$AN$4,0))="x")*(Timeline!$K$5:$K$305="Task")*ISNUMBER(Timeline!$I$5:$I$305)*ISNUMBER(Timeline!$J$5:$J$305)*(Timeline!$I$5:$I$305&lt;=E$4+6)*(Timeline!$J$5:$J$305&gt;=E$4+6)))</f>
        <v>0</v>
      </c>
      <c r="F26" s="67">
        <f>MAX(SUMPRODUCT((INDEX(Timeline!$P$5:$AN$305,0,MATCH($A26,Timeline!$P$4:$AN$4,0))="x")*(Timeline!$K$5:$K$305="Task")*ISNUMBER(Timeline!$I$5:$I$305)*ISNUMBER(Timeline!$J$5:$J$305)*(Timeline!$I$5:$I$305&lt;=F$4+0)*(Timeline!$J$5:$J$305&gt;=F$4+0)),SUMPRODUCT((INDEX(Timeline!$P$5:$AN$305,0,MATCH($A26,Timeline!$P$4:$AN$4,0))="x")*(Timeline!$K$5:$K$305="Task")*ISNUMBER(Timeline!$I$5:$I$305)*ISNUMBER(Timeline!$J$5:$J$305)*(Timeline!$I$5:$I$305&lt;=F$4+1)*(Timeline!$J$5:$J$305&gt;=F$4+1)),SUMPRODUCT((INDEX(Timeline!$P$5:$AN$305,0,MATCH($A26,Timeline!$P$4:$AN$4,0))="x")*(Timeline!$K$5:$K$305="Task")*ISNUMBER(Timeline!$I$5:$I$305)*ISNUMBER(Timeline!$J$5:$J$305)*(Timeline!$I$5:$I$305&lt;=F$4+2)*(Timeline!$J$5:$J$305&gt;=F$4+2)),SUMPRODUCT((INDEX(Timeline!$P$5:$AN$305,0,MATCH($A26,Timeline!$P$4:$AN$4,0))="x")*(Timeline!$K$5:$K$305="Task")*ISNUMBER(Timeline!$I$5:$I$305)*ISNUMBER(Timeline!$J$5:$J$305)*(Timeline!$I$5:$I$305&lt;=F$4+3)*(Timeline!$J$5:$J$305&gt;=F$4+3)),SUMPRODUCT((INDEX(Timeline!$P$5:$AN$305,0,MATCH($A26,Timeline!$P$4:$AN$4,0))="x")*(Timeline!$K$5:$K$305="Task")*ISNUMBER(Timeline!$I$5:$I$305)*ISNUMBER(Timeline!$J$5:$J$305)*(Timeline!$I$5:$I$305&lt;=F$4+4)*(Timeline!$J$5:$J$305&gt;=F$4+4)),SUMPRODUCT((INDEX(Timeline!$P$5:$AN$305,0,MATCH($A26,Timeline!$P$4:$AN$4,0))="x")*(Timeline!$K$5:$K$305="Task")*ISNUMBER(Timeline!$I$5:$I$305)*ISNUMBER(Timeline!$J$5:$J$305)*(Timeline!$I$5:$I$305&lt;=F$4+5)*(Timeline!$J$5:$J$305&gt;=F$4+5)),SUMPRODUCT((INDEX(Timeline!$P$5:$AN$305,0,MATCH($A26,Timeline!$P$4:$AN$4,0))="x")*(Timeline!$K$5:$K$305="Task")*ISNUMBER(Timeline!$I$5:$I$305)*ISNUMBER(Timeline!$J$5:$J$305)*(Timeline!$I$5:$I$305&lt;=F$4+6)*(Timeline!$J$5:$J$305&gt;=F$4+6)))</f>
        <v>1</v>
      </c>
      <c r="G26" s="67">
        <f>MAX(SUMPRODUCT((INDEX(Timeline!$P$5:$AN$305,0,MATCH($A26,Timeline!$P$4:$AN$4,0))="x")*(Timeline!$K$5:$K$305="Task")*ISNUMBER(Timeline!$I$5:$I$305)*ISNUMBER(Timeline!$J$5:$J$305)*(Timeline!$I$5:$I$305&lt;=G$4+0)*(Timeline!$J$5:$J$305&gt;=G$4+0)),SUMPRODUCT((INDEX(Timeline!$P$5:$AN$305,0,MATCH($A26,Timeline!$P$4:$AN$4,0))="x")*(Timeline!$K$5:$K$305="Task")*ISNUMBER(Timeline!$I$5:$I$305)*ISNUMBER(Timeline!$J$5:$J$305)*(Timeline!$I$5:$I$305&lt;=G$4+1)*(Timeline!$J$5:$J$305&gt;=G$4+1)),SUMPRODUCT((INDEX(Timeline!$P$5:$AN$305,0,MATCH($A26,Timeline!$P$4:$AN$4,0))="x")*(Timeline!$K$5:$K$305="Task")*ISNUMBER(Timeline!$I$5:$I$305)*ISNUMBER(Timeline!$J$5:$J$305)*(Timeline!$I$5:$I$305&lt;=G$4+2)*(Timeline!$J$5:$J$305&gt;=G$4+2)),SUMPRODUCT((INDEX(Timeline!$P$5:$AN$305,0,MATCH($A26,Timeline!$P$4:$AN$4,0))="x")*(Timeline!$K$5:$K$305="Task")*ISNUMBER(Timeline!$I$5:$I$305)*ISNUMBER(Timeline!$J$5:$J$305)*(Timeline!$I$5:$I$305&lt;=G$4+3)*(Timeline!$J$5:$J$305&gt;=G$4+3)),SUMPRODUCT((INDEX(Timeline!$P$5:$AN$305,0,MATCH($A26,Timeline!$P$4:$AN$4,0))="x")*(Timeline!$K$5:$K$305="Task")*ISNUMBER(Timeline!$I$5:$I$305)*ISNUMBER(Timeline!$J$5:$J$305)*(Timeline!$I$5:$I$305&lt;=G$4+4)*(Timeline!$J$5:$J$305&gt;=G$4+4)),SUMPRODUCT((INDEX(Timeline!$P$5:$AN$305,0,MATCH($A26,Timeline!$P$4:$AN$4,0))="x")*(Timeline!$K$5:$K$305="Task")*ISNUMBER(Timeline!$I$5:$I$305)*ISNUMBER(Timeline!$J$5:$J$305)*(Timeline!$I$5:$I$305&lt;=G$4+5)*(Timeline!$J$5:$J$305&gt;=G$4+5)),SUMPRODUCT((INDEX(Timeline!$P$5:$AN$305,0,MATCH($A26,Timeline!$P$4:$AN$4,0))="x")*(Timeline!$K$5:$K$305="Task")*ISNUMBER(Timeline!$I$5:$I$305)*ISNUMBER(Timeline!$J$5:$J$305)*(Timeline!$I$5:$I$305&lt;=G$4+6)*(Timeline!$J$5:$J$305&gt;=G$4+6)))</f>
        <v>0</v>
      </c>
      <c r="H26" s="67">
        <f>MAX(SUMPRODUCT((INDEX(Timeline!$P$5:$AN$305,0,MATCH($A26,Timeline!$P$4:$AN$4,0))="x")*(Timeline!$K$5:$K$305="Task")*ISNUMBER(Timeline!$I$5:$I$305)*ISNUMBER(Timeline!$J$5:$J$305)*(Timeline!$I$5:$I$305&lt;=H$4+0)*(Timeline!$J$5:$J$305&gt;=H$4+0)),SUMPRODUCT((INDEX(Timeline!$P$5:$AN$305,0,MATCH($A26,Timeline!$P$4:$AN$4,0))="x")*(Timeline!$K$5:$K$305="Task")*ISNUMBER(Timeline!$I$5:$I$305)*ISNUMBER(Timeline!$J$5:$J$305)*(Timeline!$I$5:$I$305&lt;=H$4+1)*(Timeline!$J$5:$J$305&gt;=H$4+1)),SUMPRODUCT((INDEX(Timeline!$P$5:$AN$305,0,MATCH($A26,Timeline!$P$4:$AN$4,0))="x")*(Timeline!$K$5:$K$305="Task")*ISNUMBER(Timeline!$I$5:$I$305)*ISNUMBER(Timeline!$J$5:$J$305)*(Timeline!$I$5:$I$305&lt;=H$4+2)*(Timeline!$J$5:$J$305&gt;=H$4+2)),SUMPRODUCT((INDEX(Timeline!$P$5:$AN$305,0,MATCH($A26,Timeline!$P$4:$AN$4,0))="x")*(Timeline!$K$5:$K$305="Task")*ISNUMBER(Timeline!$I$5:$I$305)*ISNUMBER(Timeline!$J$5:$J$305)*(Timeline!$I$5:$I$305&lt;=H$4+3)*(Timeline!$J$5:$J$305&gt;=H$4+3)),SUMPRODUCT((INDEX(Timeline!$P$5:$AN$305,0,MATCH($A26,Timeline!$P$4:$AN$4,0))="x")*(Timeline!$K$5:$K$305="Task")*ISNUMBER(Timeline!$I$5:$I$305)*ISNUMBER(Timeline!$J$5:$J$305)*(Timeline!$I$5:$I$305&lt;=H$4+4)*(Timeline!$J$5:$J$305&gt;=H$4+4)),SUMPRODUCT((INDEX(Timeline!$P$5:$AN$305,0,MATCH($A26,Timeline!$P$4:$AN$4,0))="x")*(Timeline!$K$5:$K$305="Task")*ISNUMBER(Timeline!$I$5:$I$305)*ISNUMBER(Timeline!$J$5:$J$305)*(Timeline!$I$5:$I$305&lt;=H$4+5)*(Timeline!$J$5:$J$305&gt;=H$4+5)),SUMPRODUCT((INDEX(Timeline!$P$5:$AN$305,0,MATCH($A26,Timeline!$P$4:$AN$4,0))="x")*(Timeline!$K$5:$K$305="Task")*ISNUMBER(Timeline!$I$5:$I$305)*ISNUMBER(Timeline!$J$5:$J$305)*(Timeline!$I$5:$I$305&lt;=H$4+6)*(Timeline!$J$5:$J$305&gt;=H$4+6)))</f>
        <v>0</v>
      </c>
      <c r="I26" s="67">
        <f>MAX(SUMPRODUCT((INDEX(Timeline!$P$5:$AN$305,0,MATCH($A26,Timeline!$P$4:$AN$4,0))="x")*(Timeline!$K$5:$K$305="Task")*ISNUMBER(Timeline!$I$5:$I$305)*ISNUMBER(Timeline!$J$5:$J$305)*(Timeline!$I$5:$I$305&lt;=I$4+0)*(Timeline!$J$5:$J$305&gt;=I$4+0)),SUMPRODUCT((INDEX(Timeline!$P$5:$AN$305,0,MATCH($A26,Timeline!$P$4:$AN$4,0))="x")*(Timeline!$K$5:$K$305="Task")*ISNUMBER(Timeline!$I$5:$I$305)*ISNUMBER(Timeline!$J$5:$J$305)*(Timeline!$I$5:$I$305&lt;=I$4+1)*(Timeline!$J$5:$J$305&gt;=I$4+1)),SUMPRODUCT((INDEX(Timeline!$P$5:$AN$305,0,MATCH($A26,Timeline!$P$4:$AN$4,0))="x")*(Timeline!$K$5:$K$305="Task")*ISNUMBER(Timeline!$I$5:$I$305)*ISNUMBER(Timeline!$J$5:$J$305)*(Timeline!$I$5:$I$305&lt;=I$4+2)*(Timeline!$J$5:$J$305&gt;=I$4+2)),SUMPRODUCT((INDEX(Timeline!$P$5:$AN$305,0,MATCH($A26,Timeline!$P$4:$AN$4,0))="x")*(Timeline!$K$5:$K$305="Task")*ISNUMBER(Timeline!$I$5:$I$305)*ISNUMBER(Timeline!$J$5:$J$305)*(Timeline!$I$5:$I$305&lt;=I$4+3)*(Timeline!$J$5:$J$305&gt;=I$4+3)),SUMPRODUCT((INDEX(Timeline!$P$5:$AN$305,0,MATCH($A26,Timeline!$P$4:$AN$4,0))="x")*(Timeline!$K$5:$K$305="Task")*ISNUMBER(Timeline!$I$5:$I$305)*ISNUMBER(Timeline!$J$5:$J$305)*(Timeline!$I$5:$I$305&lt;=I$4+4)*(Timeline!$J$5:$J$305&gt;=I$4+4)),SUMPRODUCT((INDEX(Timeline!$P$5:$AN$305,0,MATCH($A26,Timeline!$P$4:$AN$4,0))="x")*(Timeline!$K$5:$K$305="Task")*ISNUMBER(Timeline!$I$5:$I$305)*ISNUMBER(Timeline!$J$5:$J$305)*(Timeline!$I$5:$I$305&lt;=I$4+5)*(Timeline!$J$5:$J$305&gt;=I$4+5)),SUMPRODUCT((INDEX(Timeline!$P$5:$AN$305,0,MATCH($A26,Timeline!$P$4:$AN$4,0))="x")*(Timeline!$K$5:$K$305="Task")*ISNUMBER(Timeline!$I$5:$I$305)*ISNUMBER(Timeline!$J$5:$J$305)*(Timeline!$I$5:$I$305&lt;=I$4+6)*(Timeline!$J$5:$J$305&gt;=I$4+6)))</f>
        <v>0</v>
      </c>
      <c r="J26" s="67">
        <f>MAX(SUMPRODUCT((INDEX(Timeline!$P$5:$AN$305,0,MATCH($A26,Timeline!$P$4:$AN$4,0))="x")*(Timeline!$K$5:$K$305="Task")*ISNUMBER(Timeline!$I$5:$I$305)*ISNUMBER(Timeline!$J$5:$J$305)*(Timeline!$I$5:$I$305&lt;=J$4+0)*(Timeline!$J$5:$J$305&gt;=J$4+0)),SUMPRODUCT((INDEX(Timeline!$P$5:$AN$305,0,MATCH($A26,Timeline!$P$4:$AN$4,0))="x")*(Timeline!$K$5:$K$305="Task")*ISNUMBER(Timeline!$I$5:$I$305)*ISNUMBER(Timeline!$J$5:$J$305)*(Timeline!$I$5:$I$305&lt;=J$4+1)*(Timeline!$J$5:$J$305&gt;=J$4+1)),SUMPRODUCT((INDEX(Timeline!$P$5:$AN$305,0,MATCH($A26,Timeline!$P$4:$AN$4,0))="x")*(Timeline!$K$5:$K$305="Task")*ISNUMBER(Timeline!$I$5:$I$305)*ISNUMBER(Timeline!$J$5:$J$305)*(Timeline!$I$5:$I$305&lt;=J$4+2)*(Timeline!$J$5:$J$305&gt;=J$4+2)),SUMPRODUCT((INDEX(Timeline!$P$5:$AN$305,0,MATCH($A26,Timeline!$P$4:$AN$4,0))="x")*(Timeline!$K$5:$K$305="Task")*ISNUMBER(Timeline!$I$5:$I$305)*ISNUMBER(Timeline!$J$5:$J$305)*(Timeline!$I$5:$I$305&lt;=J$4+3)*(Timeline!$J$5:$J$305&gt;=J$4+3)),SUMPRODUCT((INDEX(Timeline!$P$5:$AN$305,0,MATCH($A26,Timeline!$P$4:$AN$4,0))="x")*(Timeline!$K$5:$K$305="Task")*ISNUMBER(Timeline!$I$5:$I$305)*ISNUMBER(Timeline!$J$5:$J$305)*(Timeline!$I$5:$I$305&lt;=J$4+4)*(Timeline!$J$5:$J$305&gt;=J$4+4)),SUMPRODUCT((INDEX(Timeline!$P$5:$AN$305,0,MATCH($A26,Timeline!$P$4:$AN$4,0))="x")*(Timeline!$K$5:$K$305="Task")*ISNUMBER(Timeline!$I$5:$I$305)*ISNUMBER(Timeline!$J$5:$J$305)*(Timeline!$I$5:$I$305&lt;=J$4+5)*(Timeline!$J$5:$J$305&gt;=J$4+5)),SUMPRODUCT((INDEX(Timeline!$P$5:$AN$305,0,MATCH($A26,Timeline!$P$4:$AN$4,0))="x")*(Timeline!$K$5:$K$305="Task")*ISNUMBER(Timeline!$I$5:$I$305)*ISNUMBER(Timeline!$J$5:$J$305)*(Timeline!$I$5:$I$305&lt;=J$4+6)*(Timeline!$J$5:$J$305&gt;=J$4+6)))</f>
        <v>0</v>
      </c>
      <c r="K26" s="67">
        <f>MAX(SUMPRODUCT((INDEX(Timeline!$P$5:$AN$305,0,MATCH($A26,Timeline!$P$4:$AN$4,0))="x")*(Timeline!$K$5:$K$305="Task")*ISNUMBER(Timeline!$I$5:$I$305)*ISNUMBER(Timeline!$J$5:$J$305)*(Timeline!$I$5:$I$305&lt;=K$4+0)*(Timeline!$J$5:$J$305&gt;=K$4+0)),SUMPRODUCT((INDEX(Timeline!$P$5:$AN$305,0,MATCH($A26,Timeline!$P$4:$AN$4,0))="x")*(Timeline!$K$5:$K$305="Task")*ISNUMBER(Timeline!$I$5:$I$305)*ISNUMBER(Timeline!$J$5:$J$305)*(Timeline!$I$5:$I$305&lt;=K$4+1)*(Timeline!$J$5:$J$305&gt;=K$4+1)),SUMPRODUCT((INDEX(Timeline!$P$5:$AN$305,0,MATCH($A26,Timeline!$P$4:$AN$4,0))="x")*(Timeline!$K$5:$K$305="Task")*ISNUMBER(Timeline!$I$5:$I$305)*ISNUMBER(Timeline!$J$5:$J$305)*(Timeline!$I$5:$I$305&lt;=K$4+2)*(Timeline!$J$5:$J$305&gt;=K$4+2)),SUMPRODUCT((INDEX(Timeline!$P$5:$AN$305,0,MATCH($A26,Timeline!$P$4:$AN$4,0))="x")*(Timeline!$K$5:$K$305="Task")*ISNUMBER(Timeline!$I$5:$I$305)*ISNUMBER(Timeline!$J$5:$J$305)*(Timeline!$I$5:$I$305&lt;=K$4+3)*(Timeline!$J$5:$J$305&gt;=K$4+3)),SUMPRODUCT((INDEX(Timeline!$P$5:$AN$305,0,MATCH($A26,Timeline!$P$4:$AN$4,0))="x")*(Timeline!$K$5:$K$305="Task")*ISNUMBER(Timeline!$I$5:$I$305)*ISNUMBER(Timeline!$J$5:$J$305)*(Timeline!$I$5:$I$305&lt;=K$4+4)*(Timeline!$J$5:$J$305&gt;=K$4+4)),SUMPRODUCT((INDEX(Timeline!$P$5:$AN$305,0,MATCH($A26,Timeline!$P$4:$AN$4,0))="x")*(Timeline!$K$5:$K$305="Task")*ISNUMBER(Timeline!$I$5:$I$305)*ISNUMBER(Timeline!$J$5:$J$305)*(Timeline!$I$5:$I$305&lt;=K$4+5)*(Timeline!$J$5:$J$305&gt;=K$4+5)),SUMPRODUCT((INDEX(Timeline!$P$5:$AN$305,0,MATCH($A26,Timeline!$P$4:$AN$4,0))="x")*(Timeline!$K$5:$K$305="Task")*ISNUMBER(Timeline!$I$5:$I$305)*ISNUMBER(Timeline!$J$5:$J$305)*(Timeline!$I$5:$I$305&lt;=K$4+6)*(Timeline!$J$5:$J$305&gt;=K$4+6)))</f>
        <v>5</v>
      </c>
      <c r="L26" s="67">
        <f>MAX(SUMPRODUCT((INDEX(Timeline!$P$5:$AN$305,0,MATCH($A26,Timeline!$P$4:$AN$4,0))="x")*(Timeline!$K$5:$K$305="Task")*ISNUMBER(Timeline!$I$5:$I$305)*ISNUMBER(Timeline!$J$5:$J$305)*(Timeline!$I$5:$I$305&lt;=L$4+0)*(Timeline!$J$5:$J$305&gt;=L$4+0)),SUMPRODUCT((INDEX(Timeline!$P$5:$AN$305,0,MATCH($A26,Timeline!$P$4:$AN$4,0))="x")*(Timeline!$K$5:$K$305="Task")*ISNUMBER(Timeline!$I$5:$I$305)*ISNUMBER(Timeline!$J$5:$J$305)*(Timeline!$I$5:$I$305&lt;=L$4+1)*(Timeline!$J$5:$J$305&gt;=L$4+1)),SUMPRODUCT((INDEX(Timeline!$P$5:$AN$305,0,MATCH($A26,Timeline!$P$4:$AN$4,0))="x")*(Timeline!$K$5:$K$305="Task")*ISNUMBER(Timeline!$I$5:$I$305)*ISNUMBER(Timeline!$J$5:$J$305)*(Timeline!$I$5:$I$305&lt;=L$4+2)*(Timeline!$J$5:$J$305&gt;=L$4+2)),SUMPRODUCT((INDEX(Timeline!$P$5:$AN$305,0,MATCH($A26,Timeline!$P$4:$AN$4,0))="x")*(Timeline!$K$5:$K$305="Task")*ISNUMBER(Timeline!$I$5:$I$305)*ISNUMBER(Timeline!$J$5:$J$305)*(Timeline!$I$5:$I$305&lt;=L$4+3)*(Timeline!$J$5:$J$305&gt;=L$4+3)),SUMPRODUCT((INDEX(Timeline!$P$5:$AN$305,0,MATCH($A26,Timeline!$P$4:$AN$4,0))="x")*(Timeline!$K$5:$K$305="Task")*ISNUMBER(Timeline!$I$5:$I$305)*ISNUMBER(Timeline!$J$5:$J$305)*(Timeline!$I$5:$I$305&lt;=L$4+4)*(Timeline!$J$5:$J$305&gt;=L$4+4)),SUMPRODUCT((INDEX(Timeline!$P$5:$AN$305,0,MATCH($A26,Timeline!$P$4:$AN$4,0))="x")*(Timeline!$K$5:$K$305="Task")*ISNUMBER(Timeline!$I$5:$I$305)*ISNUMBER(Timeline!$J$5:$J$305)*(Timeline!$I$5:$I$305&lt;=L$4+5)*(Timeline!$J$5:$J$305&gt;=L$4+5)),SUMPRODUCT((INDEX(Timeline!$P$5:$AN$305,0,MATCH($A26,Timeline!$P$4:$AN$4,0))="x")*(Timeline!$K$5:$K$305="Task")*ISNUMBER(Timeline!$I$5:$I$305)*ISNUMBER(Timeline!$J$5:$J$305)*(Timeline!$I$5:$I$305&lt;=L$4+6)*(Timeline!$J$5:$J$305&gt;=L$4+6)))</f>
        <v>5</v>
      </c>
      <c r="M26" s="67">
        <f>MAX(SUMPRODUCT((INDEX(Timeline!$P$5:$AN$305,0,MATCH($A26,Timeline!$P$4:$AN$4,0))="x")*(Timeline!$K$5:$K$305="Task")*ISNUMBER(Timeline!$I$5:$I$305)*ISNUMBER(Timeline!$J$5:$J$305)*(Timeline!$I$5:$I$305&lt;=M$4+0)*(Timeline!$J$5:$J$305&gt;=M$4+0)),SUMPRODUCT((INDEX(Timeline!$P$5:$AN$305,0,MATCH($A26,Timeline!$P$4:$AN$4,0))="x")*(Timeline!$K$5:$K$305="Task")*ISNUMBER(Timeline!$I$5:$I$305)*ISNUMBER(Timeline!$J$5:$J$305)*(Timeline!$I$5:$I$305&lt;=M$4+1)*(Timeline!$J$5:$J$305&gt;=M$4+1)),SUMPRODUCT((INDEX(Timeline!$P$5:$AN$305,0,MATCH($A26,Timeline!$P$4:$AN$4,0))="x")*(Timeline!$K$5:$K$305="Task")*ISNUMBER(Timeline!$I$5:$I$305)*ISNUMBER(Timeline!$J$5:$J$305)*(Timeline!$I$5:$I$305&lt;=M$4+2)*(Timeline!$J$5:$J$305&gt;=M$4+2)),SUMPRODUCT((INDEX(Timeline!$P$5:$AN$305,0,MATCH($A26,Timeline!$P$4:$AN$4,0))="x")*(Timeline!$K$5:$K$305="Task")*ISNUMBER(Timeline!$I$5:$I$305)*ISNUMBER(Timeline!$J$5:$J$305)*(Timeline!$I$5:$I$305&lt;=M$4+3)*(Timeline!$J$5:$J$305&gt;=M$4+3)),SUMPRODUCT((INDEX(Timeline!$P$5:$AN$305,0,MATCH($A26,Timeline!$P$4:$AN$4,0))="x")*(Timeline!$K$5:$K$305="Task")*ISNUMBER(Timeline!$I$5:$I$305)*ISNUMBER(Timeline!$J$5:$J$305)*(Timeline!$I$5:$I$305&lt;=M$4+4)*(Timeline!$J$5:$J$305&gt;=M$4+4)),SUMPRODUCT((INDEX(Timeline!$P$5:$AN$305,0,MATCH($A26,Timeline!$P$4:$AN$4,0))="x")*(Timeline!$K$5:$K$305="Task")*ISNUMBER(Timeline!$I$5:$I$305)*ISNUMBER(Timeline!$J$5:$J$305)*(Timeline!$I$5:$I$305&lt;=M$4+5)*(Timeline!$J$5:$J$305&gt;=M$4+5)),SUMPRODUCT((INDEX(Timeline!$P$5:$AN$305,0,MATCH($A26,Timeline!$P$4:$AN$4,0))="x")*(Timeline!$K$5:$K$305="Task")*ISNUMBER(Timeline!$I$5:$I$305)*ISNUMBER(Timeline!$J$5:$J$305)*(Timeline!$I$5:$I$305&lt;=M$4+6)*(Timeline!$J$5:$J$305&gt;=M$4+6)))</f>
        <v>2</v>
      </c>
      <c r="N26" s="67">
        <f>MAX(SUMPRODUCT((INDEX(Timeline!$P$5:$AN$305,0,MATCH($A26,Timeline!$P$4:$AN$4,0))="x")*(Timeline!$K$5:$K$305="Task")*ISNUMBER(Timeline!$I$5:$I$305)*ISNUMBER(Timeline!$J$5:$J$305)*(Timeline!$I$5:$I$305&lt;=N$4+0)*(Timeline!$J$5:$J$305&gt;=N$4+0)),SUMPRODUCT((INDEX(Timeline!$P$5:$AN$305,0,MATCH($A26,Timeline!$P$4:$AN$4,0))="x")*(Timeline!$K$5:$K$305="Task")*ISNUMBER(Timeline!$I$5:$I$305)*ISNUMBER(Timeline!$J$5:$J$305)*(Timeline!$I$5:$I$305&lt;=N$4+1)*(Timeline!$J$5:$J$305&gt;=N$4+1)),SUMPRODUCT((INDEX(Timeline!$P$5:$AN$305,0,MATCH($A26,Timeline!$P$4:$AN$4,0))="x")*(Timeline!$K$5:$K$305="Task")*ISNUMBER(Timeline!$I$5:$I$305)*ISNUMBER(Timeline!$J$5:$J$305)*(Timeline!$I$5:$I$305&lt;=N$4+2)*(Timeline!$J$5:$J$305&gt;=N$4+2)),SUMPRODUCT((INDEX(Timeline!$P$5:$AN$305,0,MATCH($A26,Timeline!$P$4:$AN$4,0))="x")*(Timeline!$K$5:$K$305="Task")*ISNUMBER(Timeline!$I$5:$I$305)*ISNUMBER(Timeline!$J$5:$J$305)*(Timeline!$I$5:$I$305&lt;=N$4+3)*(Timeline!$J$5:$J$305&gt;=N$4+3)),SUMPRODUCT((INDEX(Timeline!$P$5:$AN$305,0,MATCH($A26,Timeline!$P$4:$AN$4,0))="x")*(Timeline!$K$5:$K$305="Task")*ISNUMBER(Timeline!$I$5:$I$305)*ISNUMBER(Timeline!$J$5:$J$305)*(Timeline!$I$5:$I$305&lt;=N$4+4)*(Timeline!$J$5:$J$305&gt;=N$4+4)),SUMPRODUCT((INDEX(Timeline!$P$5:$AN$305,0,MATCH($A26,Timeline!$P$4:$AN$4,0))="x")*(Timeline!$K$5:$K$305="Task")*ISNUMBER(Timeline!$I$5:$I$305)*ISNUMBER(Timeline!$J$5:$J$305)*(Timeline!$I$5:$I$305&lt;=N$4+5)*(Timeline!$J$5:$J$305&gt;=N$4+5)),SUMPRODUCT((INDEX(Timeline!$P$5:$AN$305,0,MATCH($A26,Timeline!$P$4:$AN$4,0))="x")*(Timeline!$K$5:$K$305="Task")*ISNUMBER(Timeline!$I$5:$I$305)*ISNUMBER(Timeline!$J$5:$J$305)*(Timeline!$I$5:$I$305&lt;=N$4+6)*(Timeline!$J$5:$J$305&gt;=N$4+6)))</f>
        <v>1</v>
      </c>
      <c r="O26" s="67">
        <f>MAX(SUMPRODUCT((INDEX(Timeline!$P$5:$AN$305,0,MATCH($A26,Timeline!$P$4:$AN$4,0))="x")*(Timeline!$K$5:$K$305="Task")*ISNUMBER(Timeline!$I$5:$I$305)*ISNUMBER(Timeline!$J$5:$J$305)*(Timeline!$I$5:$I$305&lt;=O$4+0)*(Timeline!$J$5:$J$305&gt;=O$4+0)),SUMPRODUCT((INDEX(Timeline!$P$5:$AN$305,0,MATCH($A26,Timeline!$P$4:$AN$4,0))="x")*(Timeline!$K$5:$K$305="Task")*ISNUMBER(Timeline!$I$5:$I$305)*ISNUMBER(Timeline!$J$5:$J$305)*(Timeline!$I$5:$I$305&lt;=O$4+1)*(Timeline!$J$5:$J$305&gt;=O$4+1)),SUMPRODUCT((INDEX(Timeline!$P$5:$AN$305,0,MATCH($A26,Timeline!$P$4:$AN$4,0))="x")*(Timeline!$K$5:$K$305="Task")*ISNUMBER(Timeline!$I$5:$I$305)*ISNUMBER(Timeline!$J$5:$J$305)*(Timeline!$I$5:$I$305&lt;=O$4+2)*(Timeline!$J$5:$J$305&gt;=O$4+2)),SUMPRODUCT((INDEX(Timeline!$P$5:$AN$305,0,MATCH($A26,Timeline!$P$4:$AN$4,0))="x")*(Timeline!$K$5:$K$305="Task")*ISNUMBER(Timeline!$I$5:$I$305)*ISNUMBER(Timeline!$J$5:$J$305)*(Timeline!$I$5:$I$305&lt;=O$4+3)*(Timeline!$J$5:$J$305&gt;=O$4+3)),SUMPRODUCT((INDEX(Timeline!$P$5:$AN$305,0,MATCH($A26,Timeline!$P$4:$AN$4,0))="x")*(Timeline!$K$5:$K$305="Task")*ISNUMBER(Timeline!$I$5:$I$305)*ISNUMBER(Timeline!$J$5:$J$305)*(Timeline!$I$5:$I$305&lt;=O$4+4)*(Timeline!$J$5:$J$305&gt;=O$4+4)),SUMPRODUCT((INDEX(Timeline!$P$5:$AN$305,0,MATCH($A26,Timeline!$P$4:$AN$4,0))="x")*(Timeline!$K$5:$K$305="Task")*ISNUMBER(Timeline!$I$5:$I$305)*ISNUMBER(Timeline!$J$5:$J$305)*(Timeline!$I$5:$I$305&lt;=O$4+5)*(Timeline!$J$5:$J$305&gt;=O$4+5)),SUMPRODUCT((INDEX(Timeline!$P$5:$AN$305,0,MATCH($A26,Timeline!$P$4:$AN$4,0))="x")*(Timeline!$K$5:$K$305="Task")*ISNUMBER(Timeline!$I$5:$I$305)*ISNUMBER(Timeline!$J$5:$J$305)*(Timeline!$I$5:$I$305&lt;=O$4+6)*(Timeline!$J$5:$J$305&gt;=O$4+6)))</f>
        <v>0</v>
      </c>
      <c r="P26" s="67">
        <f>MAX(SUMPRODUCT((INDEX(Timeline!$P$5:$AN$305,0,MATCH($A26,Timeline!$P$4:$AN$4,0))="x")*(Timeline!$K$5:$K$305="Task")*ISNUMBER(Timeline!$I$5:$I$305)*ISNUMBER(Timeline!$J$5:$J$305)*(Timeline!$I$5:$I$305&lt;=P$4+0)*(Timeline!$J$5:$J$305&gt;=P$4+0)),SUMPRODUCT((INDEX(Timeline!$P$5:$AN$305,0,MATCH($A26,Timeline!$P$4:$AN$4,0))="x")*(Timeline!$K$5:$K$305="Task")*ISNUMBER(Timeline!$I$5:$I$305)*ISNUMBER(Timeline!$J$5:$J$305)*(Timeline!$I$5:$I$305&lt;=P$4+1)*(Timeline!$J$5:$J$305&gt;=P$4+1)),SUMPRODUCT((INDEX(Timeline!$P$5:$AN$305,0,MATCH($A26,Timeline!$P$4:$AN$4,0))="x")*(Timeline!$K$5:$K$305="Task")*ISNUMBER(Timeline!$I$5:$I$305)*ISNUMBER(Timeline!$J$5:$J$305)*(Timeline!$I$5:$I$305&lt;=P$4+2)*(Timeline!$J$5:$J$305&gt;=P$4+2)),SUMPRODUCT((INDEX(Timeline!$P$5:$AN$305,0,MATCH($A26,Timeline!$P$4:$AN$4,0))="x")*(Timeline!$K$5:$K$305="Task")*ISNUMBER(Timeline!$I$5:$I$305)*ISNUMBER(Timeline!$J$5:$J$305)*(Timeline!$I$5:$I$305&lt;=P$4+3)*(Timeline!$J$5:$J$305&gt;=P$4+3)),SUMPRODUCT((INDEX(Timeline!$P$5:$AN$305,0,MATCH($A26,Timeline!$P$4:$AN$4,0))="x")*(Timeline!$K$5:$K$305="Task")*ISNUMBER(Timeline!$I$5:$I$305)*ISNUMBER(Timeline!$J$5:$J$305)*(Timeline!$I$5:$I$305&lt;=P$4+4)*(Timeline!$J$5:$J$305&gt;=P$4+4)),SUMPRODUCT((INDEX(Timeline!$P$5:$AN$305,0,MATCH($A26,Timeline!$P$4:$AN$4,0))="x")*(Timeline!$K$5:$K$305="Task")*ISNUMBER(Timeline!$I$5:$I$305)*ISNUMBER(Timeline!$J$5:$J$305)*(Timeline!$I$5:$I$305&lt;=P$4+5)*(Timeline!$J$5:$J$305&gt;=P$4+5)),SUMPRODUCT((INDEX(Timeline!$P$5:$AN$305,0,MATCH($A26,Timeline!$P$4:$AN$4,0))="x")*(Timeline!$K$5:$K$305="Task")*ISNUMBER(Timeline!$I$5:$I$305)*ISNUMBER(Timeline!$J$5:$J$305)*(Timeline!$I$5:$I$305&lt;=P$4+6)*(Timeline!$J$5:$J$305&gt;=P$4+6)))</f>
        <v>0</v>
      </c>
      <c r="Q26" s="67">
        <f>MAX(SUMPRODUCT((INDEX(Timeline!$P$5:$AN$305,0,MATCH($A26,Timeline!$P$4:$AN$4,0))="x")*(Timeline!$K$5:$K$305="Task")*ISNUMBER(Timeline!$I$5:$I$305)*ISNUMBER(Timeline!$J$5:$J$305)*(Timeline!$I$5:$I$305&lt;=Q$4+0)*(Timeline!$J$5:$J$305&gt;=Q$4+0)),SUMPRODUCT((INDEX(Timeline!$P$5:$AN$305,0,MATCH($A26,Timeline!$P$4:$AN$4,0))="x")*(Timeline!$K$5:$K$305="Task")*ISNUMBER(Timeline!$I$5:$I$305)*ISNUMBER(Timeline!$J$5:$J$305)*(Timeline!$I$5:$I$305&lt;=Q$4+1)*(Timeline!$J$5:$J$305&gt;=Q$4+1)),SUMPRODUCT((INDEX(Timeline!$P$5:$AN$305,0,MATCH($A26,Timeline!$P$4:$AN$4,0))="x")*(Timeline!$K$5:$K$305="Task")*ISNUMBER(Timeline!$I$5:$I$305)*ISNUMBER(Timeline!$J$5:$J$305)*(Timeline!$I$5:$I$305&lt;=Q$4+2)*(Timeline!$J$5:$J$305&gt;=Q$4+2)),SUMPRODUCT((INDEX(Timeline!$P$5:$AN$305,0,MATCH($A26,Timeline!$P$4:$AN$4,0))="x")*(Timeline!$K$5:$K$305="Task")*ISNUMBER(Timeline!$I$5:$I$305)*ISNUMBER(Timeline!$J$5:$J$305)*(Timeline!$I$5:$I$305&lt;=Q$4+3)*(Timeline!$J$5:$J$305&gt;=Q$4+3)),SUMPRODUCT((INDEX(Timeline!$P$5:$AN$305,0,MATCH($A26,Timeline!$P$4:$AN$4,0))="x")*(Timeline!$K$5:$K$305="Task")*ISNUMBER(Timeline!$I$5:$I$305)*ISNUMBER(Timeline!$J$5:$J$305)*(Timeline!$I$5:$I$305&lt;=Q$4+4)*(Timeline!$J$5:$J$305&gt;=Q$4+4)),SUMPRODUCT((INDEX(Timeline!$P$5:$AN$305,0,MATCH($A26,Timeline!$P$4:$AN$4,0))="x")*(Timeline!$K$5:$K$305="Task")*ISNUMBER(Timeline!$I$5:$I$305)*ISNUMBER(Timeline!$J$5:$J$305)*(Timeline!$I$5:$I$305&lt;=Q$4+5)*(Timeline!$J$5:$J$305&gt;=Q$4+5)),SUMPRODUCT((INDEX(Timeline!$P$5:$AN$305,0,MATCH($A26,Timeline!$P$4:$AN$4,0))="x")*(Timeline!$K$5:$K$305="Task")*ISNUMBER(Timeline!$I$5:$I$305)*ISNUMBER(Timeline!$J$5:$J$305)*(Timeline!$I$5:$I$305&lt;=Q$4+6)*(Timeline!$J$5:$J$305&gt;=Q$4+6)))</f>
        <v>0</v>
      </c>
      <c r="R26" s="67">
        <f>MAX(SUMPRODUCT((INDEX(Timeline!$P$5:$AN$305,0,MATCH($A26,Timeline!$P$4:$AN$4,0))="x")*(Timeline!$K$5:$K$305="Task")*ISNUMBER(Timeline!$I$5:$I$305)*ISNUMBER(Timeline!$J$5:$J$305)*(Timeline!$I$5:$I$305&lt;=R$4+0)*(Timeline!$J$5:$J$305&gt;=R$4+0)),SUMPRODUCT((INDEX(Timeline!$P$5:$AN$305,0,MATCH($A26,Timeline!$P$4:$AN$4,0))="x")*(Timeline!$K$5:$K$305="Task")*ISNUMBER(Timeline!$I$5:$I$305)*ISNUMBER(Timeline!$J$5:$J$305)*(Timeline!$I$5:$I$305&lt;=R$4+1)*(Timeline!$J$5:$J$305&gt;=R$4+1)),SUMPRODUCT((INDEX(Timeline!$P$5:$AN$305,0,MATCH($A26,Timeline!$P$4:$AN$4,0))="x")*(Timeline!$K$5:$K$305="Task")*ISNUMBER(Timeline!$I$5:$I$305)*ISNUMBER(Timeline!$J$5:$J$305)*(Timeline!$I$5:$I$305&lt;=R$4+2)*(Timeline!$J$5:$J$305&gt;=R$4+2)),SUMPRODUCT((INDEX(Timeline!$P$5:$AN$305,0,MATCH($A26,Timeline!$P$4:$AN$4,0))="x")*(Timeline!$K$5:$K$305="Task")*ISNUMBER(Timeline!$I$5:$I$305)*ISNUMBER(Timeline!$J$5:$J$305)*(Timeline!$I$5:$I$305&lt;=R$4+3)*(Timeline!$J$5:$J$305&gt;=R$4+3)),SUMPRODUCT((INDEX(Timeline!$P$5:$AN$305,0,MATCH($A26,Timeline!$P$4:$AN$4,0))="x")*(Timeline!$K$5:$K$305="Task")*ISNUMBER(Timeline!$I$5:$I$305)*ISNUMBER(Timeline!$J$5:$J$305)*(Timeline!$I$5:$I$305&lt;=R$4+4)*(Timeline!$J$5:$J$305&gt;=R$4+4)),SUMPRODUCT((INDEX(Timeline!$P$5:$AN$305,0,MATCH($A26,Timeline!$P$4:$AN$4,0))="x")*(Timeline!$K$5:$K$305="Task")*ISNUMBER(Timeline!$I$5:$I$305)*ISNUMBER(Timeline!$J$5:$J$305)*(Timeline!$I$5:$I$305&lt;=R$4+5)*(Timeline!$J$5:$J$305&gt;=R$4+5)),SUMPRODUCT((INDEX(Timeline!$P$5:$AN$305,0,MATCH($A26,Timeline!$P$4:$AN$4,0))="x")*(Timeline!$K$5:$K$305="Task")*ISNUMBER(Timeline!$I$5:$I$305)*ISNUMBER(Timeline!$J$5:$J$305)*(Timeline!$I$5:$I$305&lt;=R$4+6)*(Timeline!$J$5:$J$305&gt;=R$4+6)))</f>
        <v>0</v>
      </c>
      <c r="S26" s="67">
        <f>MAX(SUMPRODUCT((INDEX(Timeline!$P$5:$AN$305,0,MATCH($A26,Timeline!$P$4:$AN$4,0))="x")*(Timeline!$K$5:$K$305="Task")*ISNUMBER(Timeline!$I$5:$I$305)*ISNUMBER(Timeline!$J$5:$J$305)*(Timeline!$I$5:$I$305&lt;=S$4+0)*(Timeline!$J$5:$J$305&gt;=S$4+0)),SUMPRODUCT((INDEX(Timeline!$P$5:$AN$305,0,MATCH($A26,Timeline!$P$4:$AN$4,0))="x")*(Timeline!$K$5:$K$305="Task")*ISNUMBER(Timeline!$I$5:$I$305)*ISNUMBER(Timeline!$J$5:$J$305)*(Timeline!$I$5:$I$305&lt;=S$4+1)*(Timeline!$J$5:$J$305&gt;=S$4+1)),SUMPRODUCT((INDEX(Timeline!$P$5:$AN$305,0,MATCH($A26,Timeline!$P$4:$AN$4,0))="x")*(Timeline!$K$5:$K$305="Task")*ISNUMBER(Timeline!$I$5:$I$305)*ISNUMBER(Timeline!$J$5:$J$305)*(Timeline!$I$5:$I$305&lt;=S$4+2)*(Timeline!$J$5:$J$305&gt;=S$4+2)),SUMPRODUCT((INDEX(Timeline!$P$5:$AN$305,0,MATCH($A26,Timeline!$P$4:$AN$4,0))="x")*(Timeline!$K$5:$K$305="Task")*ISNUMBER(Timeline!$I$5:$I$305)*ISNUMBER(Timeline!$J$5:$J$305)*(Timeline!$I$5:$I$305&lt;=S$4+3)*(Timeline!$J$5:$J$305&gt;=S$4+3)),SUMPRODUCT((INDEX(Timeline!$P$5:$AN$305,0,MATCH($A26,Timeline!$P$4:$AN$4,0))="x")*(Timeline!$K$5:$K$305="Task")*ISNUMBER(Timeline!$I$5:$I$305)*ISNUMBER(Timeline!$J$5:$J$305)*(Timeline!$I$5:$I$305&lt;=S$4+4)*(Timeline!$J$5:$J$305&gt;=S$4+4)),SUMPRODUCT((INDEX(Timeline!$P$5:$AN$305,0,MATCH($A26,Timeline!$P$4:$AN$4,0))="x")*(Timeline!$K$5:$K$305="Task")*ISNUMBER(Timeline!$I$5:$I$305)*ISNUMBER(Timeline!$J$5:$J$305)*(Timeline!$I$5:$I$305&lt;=S$4+5)*(Timeline!$J$5:$J$305&gt;=S$4+5)),SUMPRODUCT((INDEX(Timeline!$P$5:$AN$305,0,MATCH($A26,Timeline!$P$4:$AN$4,0))="x")*(Timeline!$K$5:$K$305="Task")*ISNUMBER(Timeline!$I$5:$I$305)*ISNUMBER(Timeline!$J$5:$J$305)*(Timeline!$I$5:$I$305&lt;=S$4+6)*(Timeline!$J$5:$J$305&gt;=S$4+6)))</f>
        <v>0</v>
      </c>
      <c r="T26" s="67">
        <f>MAX(SUMPRODUCT((INDEX(Timeline!$P$5:$AN$305,0,MATCH($A26,Timeline!$P$4:$AN$4,0))="x")*(Timeline!$K$5:$K$305="Task")*ISNUMBER(Timeline!$I$5:$I$305)*ISNUMBER(Timeline!$J$5:$J$305)*(Timeline!$I$5:$I$305&lt;=T$4+0)*(Timeline!$J$5:$J$305&gt;=T$4+0)),SUMPRODUCT((INDEX(Timeline!$P$5:$AN$305,0,MATCH($A26,Timeline!$P$4:$AN$4,0))="x")*(Timeline!$K$5:$K$305="Task")*ISNUMBER(Timeline!$I$5:$I$305)*ISNUMBER(Timeline!$J$5:$J$305)*(Timeline!$I$5:$I$305&lt;=T$4+1)*(Timeline!$J$5:$J$305&gt;=T$4+1)),SUMPRODUCT((INDEX(Timeline!$P$5:$AN$305,0,MATCH($A26,Timeline!$P$4:$AN$4,0))="x")*(Timeline!$K$5:$K$305="Task")*ISNUMBER(Timeline!$I$5:$I$305)*ISNUMBER(Timeline!$J$5:$J$305)*(Timeline!$I$5:$I$305&lt;=T$4+2)*(Timeline!$J$5:$J$305&gt;=T$4+2)),SUMPRODUCT((INDEX(Timeline!$P$5:$AN$305,0,MATCH($A26,Timeline!$P$4:$AN$4,0))="x")*(Timeline!$K$5:$K$305="Task")*ISNUMBER(Timeline!$I$5:$I$305)*ISNUMBER(Timeline!$J$5:$J$305)*(Timeline!$I$5:$I$305&lt;=T$4+3)*(Timeline!$J$5:$J$305&gt;=T$4+3)),SUMPRODUCT((INDEX(Timeline!$P$5:$AN$305,0,MATCH($A26,Timeline!$P$4:$AN$4,0))="x")*(Timeline!$K$5:$K$305="Task")*ISNUMBER(Timeline!$I$5:$I$305)*ISNUMBER(Timeline!$J$5:$J$305)*(Timeline!$I$5:$I$305&lt;=T$4+4)*(Timeline!$J$5:$J$305&gt;=T$4+4)),SUMPRODUCT((INDEX(Timeline!$P$5:$AN$305,0,MATCH($A26,Timeline!$P$4:$AN$4,0))="x")*(Timeline!$K$5:$K$305="Task")*ISNUMBER(Timeline!$I$5:$I$305)*ISNUMBER(Timeline!$J$5:$J$305)*(Timeline!$I$5:$I$305&lt;=T$4+5)*(Timeline!$J$5:$J$305&gt;=T$4+5)),SUMPRODUCT((INDEX(Timeline!$P$5:$AN$305,0,MATCH($A26,Timeline!$P$4:$AN$4,0))="x")*(Timeline!$K$5:$K$305="Task")*ISNUMBER(Timeline!$I$5:$I$305)*ISNUMBER(Timeline!$J$5:$J$305)*(Timeline!$I$5:$I$305&lt;=T$4+6)*(Timeline!$J$5:$J$305&gt;=T$4+6)))</f>
        <v>0</v>
      </c>
      <c r="U26" s="67">
        <f>MAX(SUMPRODUCT((INDEX(Timeline!$P$5:$AN$305,0,MATCH($A26,Timeline!$P$4:$AN$4,0))="x")*(Timeline!$K$5:$K$305="Task")*ISNUMBER(Timeline!$I$5:$I$305)*ISNUMBER(Timeline!$J$5:$J$305)*(Timeline!$I$5:$I$305&lt;=U$4+0)*(Timeline!$J$5:$J$305&gt;=U$4+0)),SUMPRODUCT((INDEX(Timeline!$P$5:$AN$305,0,MATCH($A26,Timeline!$P$4:$AN$4,0))="x")*(Timeline!$K$5:$K$305="Task")*ISNUMBER(Timeline!$I$5:$I$305)*ISNUMBER(Timeline!$J$5:$J$305)*(Timeline!$I$5:$I$305&lt;=U$4+1)*(Timeline!$J$5:$J$305&gt;=U$4+1)),SUMPRODUCT((INDEX(Timeline!$P$5:$AN$305,0,MATCH($A26,Timeline!$P$4:$AN$4,0))="x")*(Timeline!$K$5:$K$305="Task")*ISNUMBER(Timeline!$I$5:$I$305)*ISNUMBER(Timeline!$J$5:$J$305)*(Timeline!$I$5:$I$305&lt;=U$4+2)*(Timeline!$J$5:$J$305&gt;=U$4+2)),SUMPRODUCT((INDEX(Timeline!$P$5:$AN$305,0,MATCH($A26,Timeline!$P$4:$AN$4,0))="x")*(Timeline!$K$5:$K$305="Task")*ISNUMBER(Timeline!$I$5:$I$305)*ISNUMBER(Timeline!$J$5:$J$305)*(Timeline!$I$5:$I$305&lt;=U$4+3)*(Timeline!$J$5:$J$305&gt;=U$4+3)),SUMPRODUCT((INDEX(Timeline!$P$5:$AN$305,0,MATCH($A26,Timeline!$P$4:$AN$4,0))="x")*(Timeline!$K$5:$K$305="Task")*ISNUMBER(Timeline!$I$5:$I$305)*ISNUMBER(Timeline!$J$5:$J$305)*(Timeline!$I$5:$I$305&lt;=U$4+4)*(Timeline!$J$5:$J$305&gt;=U$4+4)),SUMPRODUCT((INDEX(Timeline!$P$5:$AN$305,0,MATCH($A26,Timeline!$P$4:$AN$4,0))="x")*(Timeline!$K$5:$K$305="Task")*ISNUMBER(Timeline!$I$5:$I$305)*ISNUMBER(Timeline!$J$5:$J$305)*(Timeline!$I$5:$I$305&lt;=U$4+5)*(Timeline!$J$5:$J$305&gt;=U$4+5)),SUMPRODUCT((INDEX(Timeline!$P$5:$AN$305,0,MATCH($A26,Timeline!$P$4:$AN$4,0))="x")*(Timeline!$K$5:$K$305="Task")*ISNUMBER(Timeline!$I$5:$I$305)*ISNUMBER(Timeline!$J$5:$J$305)*(Timeline!$I$5:$I$305&lt;=U$4+6)*(Timeline!$J$5:$J$305&gt;=U$4+6)))</f>
        <v>0</v>
      </c>
      <c r="V26" s="67">
        <f>MAX(SUMPRODUCT((INDEX(Timeline!$P$5:$AN$305,0,MATCH($A26,Timeline!$P$4:$AN$4,0))="x")*(Timeline!$K$5:$K$305="Task")*ISNUMBER(Timeline!$I$5:$I$305)*ISNUMBER(Timeline!$J$5:$J$305)*(Timeline!$I$5:$I$305&lt;=V$4+0)*(Timeline!$J$5:$J$305&gt;=V$4+0)),SUMPRODUCT((INDEX(Timeline!$P$5:$AN$305,0,MATCH($A26,Timeline!$P$4:$AN$4,0))="x")*(Timeline!$K$5:$K$305="Task")*ISNUMBER(Timeline!$I$5:$I$305)*ISNUMBER(Timeline!$J$5:$J$305)*(Timeline!$I$5:$I$305&lt;=V$4+1)*(Timeline!$J$5:$J$305&gt;=V$4+1)),SUMPRODUCT((INDEX(Timeline!$P$5:$AN$305,0,MATCH($A26,Timeline!$P$4:$AN$4,0))="x")*(Timeline!$K$5:$K$305="Task")*ISNUMBER(Timeline!$I$5:$I$305)*ISNUMBER(Timeline!$J$5:$J$305)*(Timeline!$I$5:$I$305&lt;=V$4+2)*(Timeline!$J$5:$J$305&gt;=V$4+2)),SUMPRODUCT((INDEX(Timeline!$P$5:$AN$305,0,MATCH($A26,Timeline!$P$4:$AN$4,0))="x")*(Timeline!$K$5:$K$305="Task")*ISNUMBER(Timeline!$I$5:$I$305)*ISNUMBER(Timeline!$J$5:$J$305)*(Timeline!$I$5:$I$305&lt;=V$4+3)*(Timeline!$J$5:$J$305&gt;=V$4+3)),SUMPRODUCT((INDEX(Timeline!$P$5:$AN$305,0,MATCH($A26,Timeline!$P$4:$AN$4,0))="x")*(Timeline!$K$5:$K$305="Task")*ISNUMBER(Timeline!$I$5:$I$305)*ISNUMBER(Timeline!$J$5:$J$305)*(Timeline!$I$5:$I$305&lt;=V$4+4)*(Timeline!$J$5:$J$305&gt;=V$4+4)),SUMPRODUCT((INDEX(Timeline!$P$5:$AN$305,0,MATCH($A26,Timeline!$P$4:$AN$4,0))="x")*(Timeline!$K$5:$K$305="Task")*ISNUMBER(Timeline!$I$5:$I$305)*ISNUMBER(Timeline!$J$5:$J$305)*(Timeline!$I$5:$I$305&lt;=V$4+5)*(Timeline!$J$5:$J$305&gt;=V$4+5)),SUMPRODUCT((INDEX(Timeline!$P$5:$AN$305,0,MATCH($A26,Timeline!$P$4:$AN$4,0))="x")*(Timeline!$K$5:$K$305="Task")*ISNUMBER(Timeline!$I$5:$I$305)*ISNUMBER(Timeline!$J$5:$J$305)*(Timeline!$I$5:$I$305&lt;=V$4+6)*(Timeline!$J$5:$J$305&gt;=V$4+6)))</f>
        <v>0</v>
      </c>
      <c r="W26" s="67">
        <f>MAX(SUMPRODUCT((INDEX(Timeline!$P$5:$AN$305,0,MATCH($A26,Timeline!$P$4:$AN$4,0))="x")*(Timeline!$K$5:$K$305="Task")*ISNUMBER(Timeline!$I$5:$I$305)*ISNUMBER(Timeline!$J$5:$J$305)*(Timeline!$I$5:$I$305&lt;=W$4+0)*(Timeline!$J$5:$J$305&gt;=W$4+0)),SUMPRODUCT((INDEX(Timeline!$P$5:$AN$305,0,MATCH($A26,Timeline!$P$4:$AN$4,0))="x")*(Timeline!$K$5:$K$305="Task")*ISNUMBER(Timeline!$I$5:$I$305)*ISNUMBER(Timeline!$J$5:$J$305)*(Timeline!$I$5:$I$305&lt;=W$4+1)*(Timeline!$J$5:$J$305&gt;=W$4+1)),SUMPRODUCT((INDEX(Timeline!$P$5:$AN$305,0,MATCH($A26,Timeline!$P$4:$AN$4,0))="x")*(Timeline!$K$5:$K$305="Task")*ISNUMBER(Timeline!$I$5:$I$305)*ISNUMBER(Timeline!$J$5:$J$305)*(Timeline!$I$5:$I$305&lt;=W$4+2)*(Timeline!$J$5:$J$305&gt;=W$4+2)),SUMPRODUCT((INDEX(Timeline!$P$5:$AN$305,0,MATCH($A26,Timeline!$P$4:$AN$4,0))="x")*(Timeline!$K$5:$K$305="Task")*ISNUMBER(Timeline!$I$5:$I$305)*ISNUMBER(Timeline!$J$5:$J$305)*(Timeline!$I$5:$I$305&lt;=W$4+3)*(Timeline!$J$5:$J$305&gt;=W$4+3)),SUMPRODUCT((INDEX(Timeline!$P$5:$AN$305,0,MATCH($A26,Timeline!$P$4:$AN$4,0))="x")*(Timeline!$K$5:$K$305="Task")*ISNUMBER(Timeline!$I$5:$I$305)*ISNUMBER(Timeline!$J$5:$J$305)*(Timeline!$I$5:$I$305&lt;=W$4+4)*(Timeline!$J$5:$J$305&gt;=W$4+4)),SUMPRODUCT((INDEX(Timeline!$P$5:$AN$305,0,MATCH($A26,Timeline!$P$4:$AN$4,0))="x")*(Timeline!$K$5:$K$305="Task")*ISNUMBER(Timeline!$I$5:$I$305)*ISNUMBER(Timeline!$J$5:$J$305)*(Timeline!$I$5:$I$305&lt;=W$4+5)*(Timeline!$J$5:$J$305&gt;=W$4+5)),SUMPRODUCT((INDEX(Timeline!$P$5:$AN$305,0,MATCH($A26,Timeline!$P$4:$AN$4,0))="x")*(Timeline!$K$5:$K$305="Task")*ISNUMBER(Timeline!$I$5:$I$305)*ISNUMBER(Timeline!$J$5:$J$305)*(Timeline!$I$5:$I$305&lt;=W$4+6)*(Timeline!$J$5:$J$305&gt;=W$4+6)))</f>
        <v>0</v>
      </c>
      <c r="X26" s="67">
        <f>MAX(SUMPRODUCT((INDEX(Timeline!$P$5:$AN$305,0,MATCH($A26,Timeline!$P$4:$AN$4,0))="x")*(Timeline!$K$5:$K$305="Task")*ISNUMBER(Timeline!$I$5:$I$305)*ISNUMBER(Timeline!$J$5:$J$305)*(Timeline!$I$5:$I$305&lt;=X$4+0)*(Timeline!$J$5:$J$305&gt;=X$4+0)),SUMPRODUCT((INDEX(Timeline!$P$5:$AN$305,0,MATCH($A26,Timeline!$P$4:$AN$4,0))="x")*(Timeline!$K$5:$K$305="Task")*ISNUMBER(Timeline!$I$5:$I$305)*ISNUMBER(Timeline!$J$5:$J$305)*(Timeline!$I$5:$I$305&lt;=X$4+1)*(Timeline!$J$5:$J$305&gt;=X$4+1)),SUMPRODUCT((INDEX(Timeline!$P$5:$AN$305,0,MATCH($A26,Timeline!$P$4:$AN$4,0))="x")*(Timeline!$K$5:$K$305="Task")*ISNUMBER(Timeline!$I$5:$I$305)*ISNUMBER(Timeline!$J$5:$J$305)*(Timeline!$I$5:$I$305&lt;=X$4+2)*(Timeline!$J$5:$J$305&gt;=X$4+2)),SUMPRODUCT((INDEX(Timeline!$P$5:$AN$305,0,MATCH($A26,Timeline!$P$4:$AN$4,0))="x")*(Timeline!$K$5:$K$305="Task")*ISNUMBER(Timeline!$I$5:$I$305)*ISNUMBER(Timeline!$J$5:$J$305)*(Timeline!$I$5:$I$305&lt;=X$4+3)*(Timeline!$J$5:$J$305&gt;=X$4+3)),SUMPRODUCT((INDEX(Timeline!$P$5:$AN$305,0,MATCH($A26,Timeline!$P$4:$AN$4,0))="x")*(Timeline!$K$5:$K$305="Task")*ISNUMBER(Timeline!$I$5:$I$305)*ISNUMBER(Timeline!$J$5:$J$305)*(Timeline!$I$5:$I$305&lt;=X$4+4)*(Timeline!$J$5:$J$305&gt;=X$4+4)),SUMPRODUCT((INDEX(Timeline!$P$5:$AN$305,0,MATCH($A26,Timeline!$P$4:$AN$4,0))="x")*(Timeline!$K$5:$K$305="Task")*ISNUMBER(Timeline!$I$5:$I$305)*ISNUMBER(Timeline!$J$5:$J$305)*(Timeline!$I$5:$I$305&lt;=X$4+5)*(Timeline!$J$5:$J$305&gt;=X$4+5)),SUMPRODUCT((INDEX(Timeline!$P$5:$AN$305,0,MATCH($A26,Timeline!$P$4:$AN$4,0))="x")*(Timeline!$K$5:$K$305="Task")*ISNUMBER(Timeline!$I$5:$I$305)*ISNUMBER(Timeline!$J$5:$J$305)*(Timeline!$I$5:$I$305&lt;=X$4+6)*(Timeline!$J$5:$J$305&gt;=X$4+6)))</f>
        <v>1</v>
      </c>
      <c r="Y26" s="67">
        <f>MAX(SUMPRODUCT((INDEX(Timeline!$P$5:$AN$305,0,MATCH($A26,Timeline!$P$4:$AN$4,0))="x")*(Timeline!$K$5:$K$305="Task")*ISNUMBER(Timeline!$I$5:$I$305)*ISNUMBER(Timeline!$J$5:$J$305)*(Timeline!$I$5:$I$305&lt;=Y$4+0)*(Timeline!$J$5:$J$305&gt;=Y$4+0)),SUMPRODUCT((INDEX(Timeline!$P$5:$AN$305,0,MATCH($A26,Timeline!$P$4:$AN$4,0))="x")*(Timeline!$K$5:$K$305="Task")*ISNUMBER(Timeline!$I$5:$I$305)*ISNUMBER(Timeline!$J$5:$J$305)*(Timeline!$I$5:$I$305&lt;=Y$4+1)*(Timeline!$J$5:$J$305&gt;=Y$4+1)),SUMPRODUCT((INDEX(Timeline!$P$5:$AN$305,0,MATCH($A26,Timeline!$P$4:$AN$4,0))="x")*(Timeline!$K$5:$K$305="Task")*ISNUMBER(Timeline!$I$5:$I$305)*ISNUMBER(Timeline!$J$5:$J$305)*(Timeline!$I$5:$I$305&lt;=Y$4+2)*(Timeline!$J$5:$J$305&gt;=Y$4+2)),SUMPRODUCT((INDEX(Timeline!$P$5:$AN$305,0,MATCH($A26,Timeline!$P$4:$AN$4,0))="x")*(Timeline!$K$5:$K$305="Task")*ISNUMBER(Timeline!$I$5:$I$305)*ISNUMBER(Timeline!$J$5:$J$305)*(Timeline!$I$5:$I$305&lt;=Y$4+3)*(Timeline!$J$5:$J$305&gt;=Y$4+3)),SUMPRODUCT((INDEX(Timeline!$P$5:$AN$305,0,MATCH($A26,Timeline!$P$4:$AN$4,0))="x")*(Timeline!$K$5:$K$305="Task")*ISNUMBER(Timeline!$I$5:$I$305)*ISNUMBER(Timeline!$J$5:$J$305)*(Timeline!$I$5:$I$305&lt;=Y$4+4)*(Timeline!$J$5:$J$305&gt;=Y$4+4)),SUMPRODUCT((INDEX(Timeline!$P$5:$AN$305,0,MATCH($A26,Timeline!$P$4:$AN$4,0))="x")*(Timeline!$K$5:$K$305="Task")*ISNUMBER(Timeline!$I$5:$I$305)*ISNUMBER(Timeline!$J$5:$J$305)*(Timeline!$I$5:$I$305&lt;=Y$4+5)*(Timeline!$J$5:$J$305&gt;=Y$4+5)),SUMPRODUCT((INDEX(Timeline!$P$5:$AN$305,0,MATCH($A26,Timeline!$P$4:$AN$4,0))="x")*(Timeline!$K$5:$K$305="Task")*ISNUMBER(Timeline!$I$5:$I$305)*ISNUMBER(Timeline!$J$5:$J$305)*(Timeline!$I$5:$I$305&lt;=Y$4+6)*(Timeline!$J$5:$J$305&gt;=Y$4+6)))</f>
        <v>1</v>
      </c>
      <c r="Z26" s="67">
        <f>MAX(SUMPRODUCT((INDEX(Timeline!$P$5:$AN$305,0,MATCH($A26,Timeline!$P$4:$AN$4,0))="x")*(Timeline!$K$5:$K$305="Task")*ISNUMBER(Timeline!$I$5:$I$305)*ISNUMBER(Timeline!$J$5:$J$305)*(Timeline!$I$5:$I$305&lt;=Z$4+0)*(Timeline!$J$5:$J$305&gt;=Z$4+0)),SUMPRODUCT((INDEX(Timeline!$P$5:$AN$305,0,MATCH($A26,Timeline!$P$4:$AN$4,0))="x")*(Timeline!$K$5:$K$305="Task")*ISNUMBER(Timeline!$I$5:$I$305)*ISNUMBER(Timeline!$J$5:$J$305)*(Timeline!$I$5:$I$305&lt;=Z$4+1)*(Timeline!$J$5:$J$305&gt;=Z$4+1)),SUMPRODUCT((INDEX(Timeline!$P$5:$AN$305,0,MATCH($A26,Timeline!$P$4:$AN$4,0))="x")*(Timeline!$K$5:$K$305="Task")*ISNUMBER(Timeline!$I$5:$I$305)*ISNUMBER(Timeline!$J$5:$J$305)*(Timeline!$I$5:$I$305&lt;=Z$4+2)*(Timeline!$J$5:$J$305&gt;=Z$4+2)),SUMPRODUCT((INDEX(Timeline!$P$5:$AN$305,0,MATCH($A26,Timeline!$P$4:$AN$4,0))="x")*(Timeline!$K$5:$K$305="Task")*ISNUMBER(Timeline!$I$5:$I$305)*ISNUMBER(Timeline!$J$5:$J$305)*(Timeline!$I$5:$I$305&lt;=Z$4+3)*(Timeline!$J$5:$J$305&gt;=Z$4+3)),SUMPRODUCT((INDEX(Timeline!$P$5:$AN$305,0,MATCH($A26,Timeline!$P$4:$AN$4,0))="x")*(Timeline!$K$5:$K$305="Task")*ISNUMBER(Timeline!$I$5:$I$305)*ISNUMBER(Timeline!$J$5:$J$305)*(Timeline!$I$5:$I$305&lt;=Z$4+4)*(Timeline!$J$5:$J$305&gt;=Z$4+4)),SUMPRODUCT((INDEX(Timeline!$P$5:$AN$305,0,MATCH($A26,Timeline!$P$4:$AN$4,0))="x")*(Timeline!$K$5:$K$305="Task")*ISNUMBER(Timeline!$I$5:$I$305)*ISNUMBER(Timeline!$J$5:$J$305)*(Timeline!$I$5:$I$305&lt;=Z$4+5)*(Timeline!$J$5:$J$305&gt;=Z$4+5)),SUMPRODUCT((INDEX(Timeline!$P$5:$AN$305,0,MATCH($A26,Timeline!$P$4:$AN$4,0))="x")*(Timeline!$K$5:$K$305="Task")*ISNUMBER(Timeline!$I$5:$I$305)*ISNUMBER(Timeline!$J$5:$J$305)*(Timeline!$I$5:$I$305&lt;=Z$4+6)*(Timeline!$J$5:$J$305&gt;=Z$4+6)))</f>
        <v>1</v>
      </c>
      <c r="AA26" s="67">
        <f>MAX(SUMPRODUCT((INDEX(Timeline!$P$5:$AN$305,0,MATCH($A26,Timeline!$P$4:$AN$4,0))="x")*(Timeline!$K$5:$K$305="Task")*ISNUMBER(Timeline!$I$5:$I$305)*ISNUMBER(Timeline!$J$5:$J$305)*(Timeline!$I$5:$I$305&lt;=AA$4+0)*(Timeline!$J$5:$J$305&gt;=AA$4+0)),SUMPRODUCT((INDEX(Timeline!$P$5:$AN$305,0,MATCH($A26,Timeline!$P$4:$AN$4,0))="x")*(Timeline!$K$5:$K$305="Task")*ISNUMBER(Timeline!$I$5:$I$305)*ISNUMBER(Timeline!$J$5:$J$305)*(Timeline!$I$5:$I$305&lt;=AA$4+1)*(Timeline!$J$5:$J$305&gt;=AA$4+1)),SUMPRODUCT((INDEX(Timeline!$P$5:$AN$305,0,MATCH($A26,Timeline!$P$4:$AN$4,0))="x")*(Timeline!$K$5:$K$305="Task")*ISNUMBER(Timeline!$I$5:$I$305)*ISNUMBER(Timeline!$J$5:$J$305)*(Timeline!$I$5:$I$305&lt;=AA$4+2)*(Timeline!$J$5:$J$305&gt;=AA$4+2)),SUMPRODUCT((INDEX(Timeline!$P$5:$AN$305,0,MATCH($A26,Timeline!$P$4:$AN$4,0))="x")*(Timeline!$K$5:$K$305="Task")*ISNUMBER(Timeline!$I$5:$I$305)*ISNUMBER(Timeline!$J$5:$J$305)*(Timeline!$I$5:$I$305&lt;=AA$4+3)*(Timeline!$J$5:$J$305&gt;=AA$4+3)),SUMPRODUCT((INDEX(Timeline!$P$5:$AN$305,0,MATCH($A26,Timeline!$P$4:$AN$4,0))="x")*(Timeline!$K$5:$K$305="Task")*ISNUMBER(Timeline!$I$5:$I$305)*ISNUMBER(Timeline!$J$5:$J$305)*(Timeline!$I$5:$I$305&lt;=AA$4+4)*(Timeline!$J$5:$J$305&gt;=AA$4+4)),SUMPRODUCT((INDEX(Timeline!$P$5:$AN$305,0,MATCH($A26,Timeline!$P$4:$AN$4,0))="x")*(Timeline!$K$5:$K$305="Task")*ISNUMBER(Timeline!$I$5:$I$305)*ISNUMBER(Timeline!$J$5:$J$305)*(Timeline!$I$5:$I$305&lt;=AA$4+5)*(Timeline!$J$5:$J$305&gt;=AA$4+5)),SUMPRODUCT((INDEX(Timeline!$P$5:$AN$305,0,MATCH($A26,Timeline!$P$4:$AN$4,0))="x")*(Timeline!$K$5:$K$305="Task")*ISNUMBER(Timeline!$I$5:$I$305)*ISNUMBER(Timeline!$J$5:$J$305)*(Timeline!$I$5:$I$305&lt;=AA$4+6)*(Timeline!$J$5:$J$305&gt;=AA$4+6)))</f>
        <v>1</v>
      </c>
      <c r="AB26" s="67">
        <f>MAX(SUMPRODUCT((INDEX(Timeline!$P$5:$AN$305,0,MATCH($A26,Timeline!$P$4:$AN$4,0))="x")*(Timeline!$K$5:$K$305="Task")*ISNUMBER(Timeline!$I$5:$I$305)*ISNUMBER(Timeline!$J$5:$J$305)*(Timeline!$I$5:$I$305&lt;=AB$4+0)*(Timeline!$J$5:$J$305&gt;=AB$4+0)),SUMPRODUCT((INDEX(Timeline!$P$5:$AN$305,0,MATCH($A26,Timeline!$P$4:$AN$4,0))="x")*(Timeline!$K$5:$K$305="Task")*ISNUMBER(Timeline!$I$5:$I$305)*ISNUMBER(Timeline!$J$5:$J$305)*(Timeline!$I$5:$I$305&lt;=AB$4+1)*(Timeline!$J$5:$J$305&gt;=AB$4+1)),SUMPRODUCT((INDEX(Timeline!$P$5:$AN$305,0,MATCH($A26,Timeline!$P$4:$AN$4,0))="x")*(Timeline!$K$5:$K$305="Task")*ISNUMBER(Timeline!$I$5:$I$305)*ISNUMBER(Timeline!$J$5:$J$305)*(Timeline!$I$5:$I$305&lt;=AB$4+2)*(Timeline!$J$5:$J$305&gt;=AB$4+2)),SUMPRODUCT((INDEX(Timeline!$P$5:$AN$305,0,MATCH($A26,Timeline!$P$4:$AN$4,0))="x")*(Timeline!$K$5:$K$305="Task")*ISNUMBER(Timeline!$I$5:$I$305)*ISNUMBER(Timeline!$J$5:$J$305)*(Timeline!$I$5:$I$305&lt;=AB$4+3)*(Timeline!$J$5:$J$305&gt;=AB$4+3)),SUMPRODUCT((INDEX(Timeline!$P$5:$AN$305,0,MATCH($A26,Timeline!$P$4:$AN$4,0))="x")*(Timeline!$K$5:$K$305="Task")*ISNUMBER(Timeline!$I$5:$I$305)*ISNUMBER(Timeline!$J$5:$J$305)*(Timeline!$I$5:$I$305&lt;=AB$4+4)*(Timeline!$J$5:$J$305&gt;=AB$4+4)),SUMPRODUCT((INDEX(Timeline!$P$5:$AN$305,0,MATCH($A26,Timeline!$P$4:$AN$4,0))="x")*(Timeline!$K$5:$K$305="Task")*ISNUMBER(Timeline!$I$5:$I$305)*ISNUMBER(Timeline!$J$5:$J$305)*(Timeline!$I$5:$I$305&lt;=AB$4+5)*(Timeline!$J$5:$J$305&gt;=AB$4+5)),SUMPRODUCT((INDEX(Timeline!$P$5:$AN$305,0,MATCH($A26,Timeline!$P$4:$AN$4,0))="x")*(Timeline!$K$5:$K$305="Task")*ISNUMBER(Timeline!$I$5:$I$305)*ISNUMBER(Timeline!$J$5:$J$305)*(Timeline!$I$5:$I$305&lt;=AB$4+6)*(Timeline!$J$5:$J$305&gt;=AB$4+6)))</f>
        <v>1</v>
      </c>
      <c r="AC26" s="67">
        <f>MAX(SUMPRODUCT((INDEX(Timeline!$P$5:$AN$305,0,MATCH($A26,Timeline!$P$4:$AN$4,0))="x")*(Timeline!$K$5:$K$305="Task")*ISNUMBER(Timeline!$I$5:$I$305)*ISNUMBER(Timeline!$J$5:$J$305)*(Timeline!$I$5:$I$305&lt;=AC$4+0)*(Timeline!$J$5:$J$305&gt;=AC$4+0)),SUMPRODUCT((INDEX(Timeline!$P$5:$AN$305,0,MATCH($A26,Timeline!$P$4:$AN$4,0))="x")*(Timeline!$K$5:$K$305="Task")*ISNUMBER(Timeline!$I$5:$I$305)*ISNUMBER(Timeline!$J$5:$J$305)*(Timeline!$I$5:$I$305&lt;=AC$4+1)*(Timeline!$J$5:$J$305&gt;=AC$4+1)),SUMPRODUCT((INDEX(Timeline!$P$5:$AN$305,0,MATCH($A26,Timeline!$P$4:$AN$4,0))="x")*(Timeline!$K$5:$K$305="Task")*ISNUMBER(Timeline!$I$5:$I$305)*ISNUMBER(Timeline!$J$5:$J$305)*(Timeline!$I$5:$I$305&lt;=AC$4+2)*(Timeline!$J$5:$J$305&gt;=AC$4+2)),SUMPRODUCT((INDEX(Timeline!$P$5:$AN$305,0,MATCH($A26,Timeline!$P$4:$AN$4,0))="x")*(Timeline!$K$5:$K$305="Task")*ISNUMBER(Timeline!$I$5:$I$305)*ISNUMBER(Timeline!$J$5:$J$305)*(Timeline!$I$5:$I$305&lt;=AC$4+3)*(Timeline!$J$5:$J$305&gt;=AC$4+3)),SUMPRODUCT((INDEX(Timeline!$P$5:$AN$305,0,MATCH($A26,Timeline!$P$4:$AN$4,0))="x")*(Timeline!$K$5:$K$305="Task")*ISNUMBER(Timeline!$I$5:$I$305)*ISNUMBER(Timeline!$J$5:$J$305)*(Timeline!$I$5:$I$305&lt;=AC$4+4)*(Timeline!$J$5:$J$305&gt;=AC$4+4)),SUMPRODUCT((INDEX(Timeline!$P$5:$AN$305,0,MATCH($A26,Timeline!$P$4:$AN$4,0))="x")*(Timeline!$K$5:$K$305="Task")*ISNUMBER(Timeline!$I$5:$I$305)*ISNUMBER(Timeline!$J$5:$J$305)*(Timeline!$I$5:$I$305&lt;=AC$4+5)*(Timeline!$J$5:$J$305&gt;=AC$4+5)),SUMPRODUCT((INDEX(Timeline!$P$5:$AN$305,0,MATCH($A26,Timeline!$P$4:$AN$4,0))="x")*(Timeline!$K$5:$K$305="Task")*ISNUMBER(Timeline!$I$5:$I$305)*ISNUMBER(Timeline!$J$5:$J$305)*(Timeline!$I$5:$I$305&lt;=AC$4+6)*(Timeline!$J$5:$J$305&gt;=AC$4+6)))</f>
        <v>1</v>
      </c>
      <c r="AD26" s="67">
        <f>MAX(SUMPRODUCT((INDEX(Timeline!$P$5:$AN$305,0,MATCH($A26,Timeline!$P$4:$AN$4,0))="x")*(Timeline!$K$5:$K$305="Task")*ISNUMBER(Timeline!$I$5:$I$305)*ISNUMBER(Timeline!$J$5:$J$305)*(Timeline!$I$5:$I$305&lt;=AD$4+0)*(Timeline!$J$5:$J$305&gt;=AD$4+0)),SUMPRODUCT((INDEX(Timeline!$P$5:$AN$305,0,MATCH($A26,Timeline!$P$4:$AN$4,0))="x")*(Timeline!$K$5:$K$305="Task")*ISNUMBER(Timeline!$I$5:$I$305)*ISNUMBER(Timeline!$J$5:$J$305)*(Timeline!$I$5:$I$305&lt;=AD$4+1)*(Timeline!$J$5:$J$305&gt;=AD$4+1)),SUMPRODUCT((INDEX(Timeline!$P$5:$AN$305,0,MATCH($A26,Timeline!$P$4:$AN$4,0))="x")*(Timeline!$K$5:$K$305="Task")*ISNUMBER(Timeline!$I$5:$I$305)*ISNUMBER(Timeline!$J$5:$J$305)*(Timeline!$I$5:$I$305&lt;=AD$4+2)*(Timeline!$J$5:$J$305&gt;=AD$4+2)),SUMPRODUCT((INDEX(Timeline!$P$5:$AN$305,0,MATCH($A26,Timeline!$P$4:$AN$4,0))="x")*(Timeline!$K$5:$K$305="Task")*ISNUMBER(Timeline!$I$5:$I$305)*ISNUMBER(Timeline!$J$5:$J$305)*(Timeline!$I$5:$I$305&lt;=AD$4+3)*(Timeline!$J$5:$J$305&gt;=AD$4+3)),SUMPRODUCT((INDEX(Timeline!$P$5:$AN$305,0,MATCH($A26,Timeline!$P$4:$AN$4,0))="x")*(Timeline!$K$5:$K$305="Task")*ISNUMBER(Timeline!$I$5:$I$305)*ISNUMBER(Timeline!$J$5:$J$305)*(Timeline!$I$5:$I$305&lt;=AD$4+4)*(Timeline!$J$5:$J$305&gt;=AD$4+4)),SUMPRODUCT((INDEX(Timeline!$P$5:$AN$305,0,MATCH($A26,Timeline!$P$4:$AN$4,0))="x")*(Timeline!$K$5:$K$305="Task")*ISNUMBER(Timeline!$I$5:$I$305)*ISNUMBER(Timeline!$J$5:$J$305)*(Timeline!$I$5:$I$305&lt;=AD$4+5)*(Timeline!$J$5:$J$305&gt;=AD$4+5)),SUMPRODUCT((INDEX(Timeline!$P$5:$AN$305,0,MATCH($A26,Timeline!$P$4:$AN$4,0))="x")*(Timeline!$K$5:$K$305="Task")*ISNUMBER(Timeline!$I$5:$I$305)*ISNUMBER(Timeline!$J$5:$J$305)*(Timeline!$I$5:$I$305&lt;=AD$4+6)*(Timeline!$J$5:$J$305&gt;=AD$4+6)))</f>
        <v>1</v>
      </c>
      <c r="AE26" s="67">
        <f>MAX(SUMPRODUCT((INDEX(Timeline!$P$5:$AN$305,0,MATCH($A26,Timeline!$P$4:$AN$4,0))="x")*(Timeline!$K$5:$K$305="Task")*ISNUMBER(Timeline!$I$5:$I$305)*ISNUMBER(Timeline!$J$5:$J$305)*(Timeline!$I$5:$I$305&lt;=AE$4+0)*(Timeline!$J$5:$J$305&gt;=AE$4+0)),SUMPRODUCT((INDEX(Timeline!$P$5:$AN$305,0,MATCH($A26,Timeline!$P$4:$AN$4,0))="x")*(Timeline!$K$5:$K$305="Task")*ISNUMBER(Timeline!$I$5:$I$305)*ISNUMBER(Timeline!$J$5:$J$305)*(Timeline!$I$5:$I$305&lt;=AE$4+1)*(Timeline!$J$5:$J$305&gt;=AE$4+1)),SUMPRODUCT((INDEX(Timeline!$P$5:$AN$305,0,MATCH($A26,Timeline!$P$4:$AN$4,0))="x")*(Timeline!$K$5:$K$305="Task")*ISNUMBER(Timeline!$I$5:$I$305)*ISNUMBER(Timeline!$J$5:$J$305)*(Timeline!$I$5:$I$305&lt;=AE$4+2)*(Timeline!$J$5:$J$305&gt;=AE$4+2)),SUMPRODUCT((INDEX(Timeline!$P$5:$AN$305,0,MATCH($A26,Timeline!$P$4:$AN$4,0))="x")*(Timeline!$K$5:$K$305="Task")*ISNUMBER(Timeline!$I$5:$I$305)*ISNUMBER(Timeline!$J$5:$J$305)*(Timeline!$I$5:$I$305&lt;=AE$4+3)*(Timeline!$J$5:$J$305&gt;=AE$4+3)),SUMPRODUCT((INDEX(Timeline!$P$5:$AN$305,0,MATCH($A26,Timeline!$P$4:$AN$4,0))="x")*(Timeline!$K$5:$K$305="Task")*ISNUMBER(Timeline!$I$5:$I$305)*ISNUMBER(Timeline!$J$5:$J$305)*(Timeline!$I$5:$I$305&lt;=AE$4+4)*(Timeline!$J$5:$J$305&gt;=AE$4+4)),SUMPRODUCT((INDEX(Timeline!$P$5:$AN$305,0,MATCH($A26,Timeline!$P$4:$AN$4,0))="x")*(Timeline!$K$5:$K$305="Task")*ISNUMBER(Timeline!$I$5:$I$305)*ISNUMBER(Timeline!$J$5:$J$305)*(Timeline!$I$5:$I$305&lt;=AE$4+5)*(Timeline!$J$5:$J$305&gt;=AE$4+5)),SUMPRODUCT((INDEX(Timeline!$P$5:$AN$305,0,MATCH($A26,Timeline!$P$4:$AN$4,0))="x")*(Timeline!$K$5:$K$305="Task")*ISNUMBER(Timeline!$I$5:$I$305)*ISNUMBER(Timeline!$J$5:$J$305)*(Timeline!$I$5:$I$305&lt;=AE$4+6)*(Timeline!$J$5:$J$305&gt;=AE$4+6)))</f>
        <v>1</v>
      </c>
      <c r="AF26" s="67">
        <f>MAX(SUMPRODUCT((INDEX(Timeline!$P$5:$AN$305,0,MATCH($A26,Timeline!$P$4:$AN$4,0))="x")*(Timeline!$K$5:$K$305="Task")*ISNUMBER(Timeline!$I$5:$I$305)*ISNUMBER(Timeline!$J$5:$J$305)*(Timeline!$I$5:$I$305&lt;=AF$4+0)*(Timeline!$J$5:$J$305&gt;=AF$4+0)),SUMPRODUCT((INDEX(Timeline!$P$5:$AN$305,0,MATCH($A26,Timeline!$P$4:$AN$4,0))="x")*(Timeline!$K$5:$K$305="Task")*ISNUMBER(Timeline!$I$5:$I$305)*ISNUMBER(Timeline!$J$5:$J$305)*(Timeline!$I$5:$I$305&lt;=AF$4+1)*(Timeline!$J$5:$J$305&gt;=AF$4+1)),SUMPRODUCT((INDEX(Timeline!$P$5:$AN$305,0,MATCH($A26,Timeline!$P$4:$AN$4,0))="x")*(Timeline!$K$5:$K$305="Task")*ISNUMBER(Timeline!$I$5:$I$305)*ISNUMBER(Timeline!$J$5:$J$305)*(Timeline!$I$5:$I$305&lt;=AF$4+2)*(Timeline!$J$5:$J$305&gt;=AF$4+2)),SUMPRODUCT((INDEX(Timeline!$P$5:$AN$305,0,MATCH($A26,Timeline!$P$4:$AN$4,0))="x")*(Timeline!$K$5:$K$305="Task")*ISNUMBER(Timeline!$I$5:$I$305)*ISNUMBER(Timeline!$J$5:$J$305)*(Timeline!$I$5:$I$305&lt;=AF$4+3)*(Timeline!$J$5:$J$305&gt;=AF$4+3)),SUMPRODUCT((INDEX(Timeline!$P$5:$AN$305,0,MATCH($A26,Timeline!$P$4:$AN$4,0))="x")*(Timeline!$K$5:$K$305="Task")*ISNUMBER(Timeline!$I$5:$I$305)*ISNUMBER(Timeline!$J$5:$J$305)*(Timeline!$I$5:$I$305&lt;=AF$4+4)*(Timeline!$J$5:$J$305&gt;=AF$4+4)),SUMPRODUCT((INDEX(Timeline!$P$5:$AN$305,0,MATCH($A26,Timeline!$P$4:$AN$4,0))="x")*(Timeline!$K$5:$K$305="Task")*ISNUMBER(Timeline!$I$5:$I$305)*ISNUMBER(Timeline!$J$5:$J$305)*(Timeline!$I$5:$I$305&lt;=AF$4+5)*(Timeline!$J$5:$J$305&gt;=AF$4+5)),SUMPRODUCT((INDEX(Timeline!$P$5:$AN$305,0,MATCH($A26,Timeline!$P$4:$AN$4,0))="x")*(Timeline!$K$5:$K$305="Task")*ISNUMBER(Timeline!$I$5:$I$305)*ISNUMBER(Timeline!$J$5:$J$305)*(Timeline!$I$5:$I$305&lt;=AF$4+6)*(Timeline!$J$5:$J$305&gt;=AF$4+6)))</f>
        <v>1</v>
      </c>
      <c r="AG26" s="67">
        <f>MAX(SUMPRODUCT((INDEX(Timeline!$P$5:$AN$305,0,MATCH($A26,Timeline!$P$4:$AN$4,0))="x")*(Timeline!$K$5:$K$305="Task")*ISNUMBER(Timeline!$I$5:$I$305)*ISNUMBER(Timeline!$J$5:$J$305)*(Timeline!$I$5:$I$305&lt;=AG$4+0)*(Timeline!$J$5:$J$305&gt;=AG$4+0)),SUMPRODUCT((INDEX(Timeline!$P$5:$AN$305,0,MATCH($A26,Timeline!$P$4:$AN$4,0))="x")*(Timeline!$K$5:$K$305="Task")*ISNUMBER(Timeline!$I$5:$I$305)*ISNUMBER(Timeline!$J$5:$J$305)*(Timeline!$I$5:$I$305&lt;=AG$4+1)*(Timeline!$J$5:$J$305&gt;=AG$4+1)),SUMPRODUCT((INDEX(Timeline!$P$5:$AN$305,0,MATCH($A26,Timeline!$P$4:$AN$4,0))="x")*(Timeline!$K$5:$K$305="Task")*ISNUMBER(Timeline!$I$5:$I$305)*ISNUMBER(Timeline!$J$5:$J$305)*(Timeline!$I$5:$I$305&lt;=AG$4+2)*(Timeline!$J$5:$J$305&gt;=AG$4+2)),SUMPRODUCT((INDEX(Timeline!$P$5:$AN$305,0,MATCH($A26,Timeline!$P$4:$AN$4,0))="x")*(Timeline!$K$5:$K$305="Task")*ISNUMBER(Timeline!$I$5:$I$305)*ISNUMBER(Timeline!$J$5:$J$305)*(Timeline!$I$5:$I$305&lt;=AG$4+3)*(Timeline!$J$5:$J$305&gt;=AG$4+3)),SUMPRODUCT((INDEX(Timeline!$P$5:$AN$305,0,MATCH($A26,Timeline!$P$4:$AN$4,0))="x")*(Timeline!$K$5:$K$305="Task")*ISNUMBER(Timeline!$I$5:$I$305)*ISNUMBER(Timeline!$J$5:$J$305)*(Timeline!$I$5:$I$305&lt;=AG$4+4)*(Timeline!$J$5:$J$305&gt;=AG$4+4)),SUMPRODUCT((INDEX(Timeline!$P$5:$AN$305,0,MATCH($A26,Timeline!$P$4:$AN$4,0))="x")*(Timeline!$K$5:$K$305="Task")*ISNUMBER(Timeline!$I$5:$I$305)*ISNUMBER(Timeline!$J$5:$J$305)*(Timeline!$I$5:$I$305&lt;=AG$4+5)*(Timeline!$J$5:$J$305&gt;=AG$4+5)),SUMPRODUCT((INDEX(Timeline!$P$5:$AN$305,0,MATCH($A26,Timeline!$P$4:$AN$4,0))="x")*(Timeline!$K$5:$K$305="Task")*ISNUMBER(Timeline!$I$5:$I$305)*ISNUMBER(Timeline!$J$5:$J$305)*(Timeline!$I$5:$I$305&lt;=AG$4+6)*(Timeline!$J$5:$J$305&gt;=AG$4+6)))</f>
        <v>0</v>
      </c>
      <c r="AH26" s="67">
        <f>MAX(SUMPRODUCT((INDEX(Timeline!$P$5:$AN$305,0,MATCH($A26,Timeline!$P$4:$AN$4,0))="x")*(Timeline!$K$5:$K$305="Task")*ISNUMBER(Timeline!$I$5:$I$305)*ISNUMBER(Timeline!$J$5:$J$305)*(Timeline!$I$5:$I$305&lt;=AH$4+0)*(Timeline!$J$5:$J$305&gt;=AH$4+0)),SUMPRODUCT((INDEX(Timeline!$P$5:$AN$305,0,MATCH($A26,Timeline!$P$4:$AN$4,0))="x")*(Timeline!$K$5:$K$305="Task")*ISNUMBER(Timeline!$I$5:$I$305)*ISNUMBER(Timeline!$J$5:$J$305)*(Timeline!$I$5:$I$305&lt;=AH$4+1)*(Timeline!$J$5:$J$305&gt;=AH$4+1)),SUMPRODUCT((INDEX(Timeline!$P$5:$AN$305,0,MATCH($A26,Timeline!$P$4:$AN$4,0))="x")*(Timeline!$K$5:$K$305="Task")*ISNUMBER(Timeline!$I$5:$I$305)*ISNUMBER(Timeline!$J$5:$J$305)*(Timeline!$I$5:$I$305&lt;=AH$4+2)*(Timeline!$J$5:$J$305&gt;=AH$4+2)),SUMPRODUCT((INDEX(Timeline!$P$5:$AN$305,0,MATCH($A26,Timeline!$P$4:$AN$4,0))="x")*(Timeline!$K$5:$K$305="Task")*ISNUMBER(Timeline!$I$5:$I$305)*ISNUMBER(Timeline!$J$5:$J$305)*(Timeline!$I$5:$I$305&lt;=AH$4+3)*(Timeline!$J$5:$J$305&gt;=AH$4+3)),SUMPRODUCT((INDEX(Timeline!$P$5:$AN$305,0,MATCH($A26,Timeline!$P$4:$AN$4,0))="x")*(Timeline!$K$5:$K$305="Task")*ISNUMBER(Timeline!$I$5:$I$305)*ISNUMBER(Timeline!$J$5:$J$305)*(Timeline!$I$5:$I$305&lt;=AH$4+4)*(Timeline!$J$5:$J$305&gt;=AH$4+4)),SUMPRODUCT((INDEX(Timeline!$P$5:$AN$305,0,MATCH($A26,Timeline!$P$4:$AN$4,0))="x")*(Timeline!$K$5:$K$305="Task")*ISNUMBER(Timeline!$I$5:$I$305)*ISNUMBER(Timeline!$J$5:$J$305)*(Timeline!$I$5:$I$305&lt;=AH$4+5)*(Timeline!$J$5:$J$305&gt;=AH$4+5)),SUMPRODUCT((INDEX(Timeline!$P$5:$AN$305,0,MATCH($A26,Timeline!$P$4:$AN$4,0))="x")*(Timeline!$K$5:$K$305="Task")*ISNUMBER(Timeline!$I$5:$I$305)*ISNUMBER(Timeline!$J$5:$J$305)*(Timeline!$I$5:$I$305&lt;=AH$4+6)*(Timeline!$J$5:$J$305&gt;=AH$4+6)))</f>
        <v>0</v>
      </c>
      <c r="AI26" s="67">
        <f>MAX(SUMPRODUCT((INDEX(Timeline!$P$5:$AN$305,0,MATCH($A26,Timeline!$P$4:$AN$4,0))="x")*(Timeline!$K$5:$K$305="Task")*ISNUMBER(Timeline!$I$5:$I$305)*ISNUMBER(Timeline!$J$5:$J$305)*(Timeline!$I$5:$I$305&lt;=AI$4+0)*(Timeline!$J$5:$J$305&gt;=AI$4+0)),SUMPRODUCT((INDEX(Timeline!$P$5:$AN$305,0,MATCH($A26,Timeline!$P$4:$AN$4,0))="x")*(Timeline!$K$5:$K$305="Task")*ISNUMBER(Timeline!$I$5:$I$305)*ISNUMBER(Timeline!$J$5:$J$305)*(Timeline!$I$5:$I$305&lt;=AI$4+1)*(Timeline!$J$5:$J$305&gt;=AI$4+1)),SUMPRODUCT((INDEX(Timeline!$P$5:$AN$305,0,MATCH($A26,Timeline!$P$4:$AN$4,0))="x")*(Timeline!$K$5:$K$305="Task")*ISNUMBER(Timeline!$I$5:$I$305)*ISNUMBER(Timeline!$J$5:$J$305)*(Timeline!$I$5:$I$305&lt;=AI$4+2)*(Timeline!$J$5:$J$305&gt;=AI$4+2)),SUMPRODUCT((INDEX(Timeline!$P$5:$AN$305,0,MATCH($A26,Timeline!$P$4:$AN$4,0))="x")*(Timeline!$K$5:$K$305="Task")*ISNUMBER(Timeline!$I$5:$I$305)*ISNUMBER(Timeline!$J$5:$J$305)*(Timeline!$I$5:$I$305&lt;=AI$4+3)*(Timeline!$J$5:$J$305&gt;=AI$4+3)),SUMPRODUCT((INDEX(Timeline!$P$5:$AN$305,0,MATCH($A26,Timeline!$P$4:$AN$4,0))="x")*(Timeline!$K$5:$K$305="Task")*ISNUMBER(Timeline!$I$5:$I$305)*ISNUMBER(Timeline!$J$5:$J$305)*(Timeline!$I$5:$I$305&lt;=AI$4+4)*(Timeline!$J$5:$J$305&gt;=AI$4+4)),SUMPRODUCT((INDEX(Timeline!$P$5:$AN$305,0,MATCH($A26,Timeline!$P$4:$AN$4,0))="x")*(Timeline!$K$5:$K$305="Task")*ISNUMBER(Timeline!$I$5:$I$305)*ISNUMBER(Timeline!$J$5:$J$305)*(Timeline!$I$5:$I$305&lt;=AI$4+5)*(Timeline!$J$5:$J$305&gt;=AI$4+5)),SUMPRODUCT((INDEX(Timeline!$P$5:$AN$305,0,MATCH($A26,Timeline!$P$4:$AN$4,0))="x")*(Timeline!$K$5:$K$305="Task")*ISNUMBER(Timeline!$I$5:$I$305)*ISNUMBER(Timeline!$J$5:$J$305)*(Timeline!$I$5:$I$305&lt;=AI$4+6)*(Timeline!$J$5:$J$305&gt;=AI$4+6)))</f>
        <v>0</v>
      </c>
      <c r="AJ26" s="67">
        <f>MAX(SUMPRODUCT((INDEX(Timeline!$P$5:$AN$305,0,MATCH($A26,Timeline!$P$4:$AN$4,0))="x")*(Timeline!$K$5:$K$305="Task")*ISNUMBER(Timeline!$I$5:$I$305)*ISNUMBER(Timeline!$J$5:$J$305)*(Timeline!$I$5:$I$305&lt;=AJ$4+0)*(Timeline!$J$5:$J$305&gt;=AJ$4+0)),SUMPRODUCT((INDEX(Timeline!$P$5:$AN$305,0,MATCH($A26,Timeline!$P$4:$AN$4,0))="x")*(Timeline!$K$5:$K$305="Task")*ISNUMBER(Timeline!$I$5:$I$305)*ISNUMBER(Timeline!$J$5:$J$305)*(Timeline!$I$5:$I$305&lt;=AJ$4+1)*(Timeline!$J$5:$J$305&gt;=AJ$4+1)),SUMPRODUCT((INDEX(Timeline!$P$5:$AN$305,0,MATCH($A26,Timeline!$P$4:$AN$4,0))="x")*(Timeline!$K$5:$K$305="Task")*ISNUMBER(Timeline!$I$5:$I$305)*ISNUMBER(Timeline!$J$5:$J$305)*(Timeline!$I$5:$I$305&lt;=AJ$4+2)*(Timeline!$J$5:$J$305&gt;=AJ$4+2)),SUMPRODUCT((INDEX(Timeline!$P$5:$AN$305,0,MATCH($A26,Timeline!$P$4:$AN$4,0))="x")*(Timeline!$K$5:$K$305="Task")*ISNUMBER(Timeline!$I$5:$I$305)*ISNUMBER(Timeline!$J$5:$J$305)*(Timeline!$I$5:$I$305&lt;=AJ$4+3)*(Timeline!$J$5:$J$305&gt;=AJ$4+3)),SUMPRODUCT((INDEX(Timeline!$P$5:$AN$305,0,MATCH($A26,Timeline!$P$4:$AN$4,0))="x")*(Timeline!$K$5:$K$305="Task")*ISNUMBER(Timeline!$I$5:$I$305)*ISNUMBER(Timeline!$J$5:$J$305)*(Timeline!$I$5:$I$305&lt;=AJ$4+4)*(Timeline!$J$5:$J$305&gt;=AJ$4+4)),SUMPRODUCT((INDEX(Timeline!$P$5:$AN$305,0,MATCH($A26,Timeline!$P$4:$AN$4,0))="x")*(Timeline!$K$5:$K$305="Task")*ISNUMBER(Timeline!$I$5:$I$305)*ISNUMBER(Timeline!$J$5:$J$305)*(Timeline!$I$5:$I$305&lt;=AJ$4+5)*(Timeline!$J$5:$J$305&gt;=AJ$4+5)),SUMPRODUCT((INDEX(Timeline!$P$5:$AN$305,0,MATCH($A26,Timeline!$P$4:$AN$4,0))="x")*(Timeline!$K$5:$K$305="Task")*ISNUMBER(Timeline!$I$5:$I$305)*ISNUMBER(Timeline!$J$5:$J$305)*(Timeline!$I$5:$I$305&lt;=AJ$4+6)*(Timeline!$J$5:$J$305&gt;=AJ$4+6)))</f>
        <v>0</v>
      </c>
      <c r="AK26" s="67">
        <f>MAX(SUMPRODUCT((INDEX(Timeline!$P$5:$AN$305,0,MATCH($A26,Timeline!$P$4:$AN$4,0))="x")*(Timeline!$K$5:$K$305="Task")*ISNUMBER(Timeline!$I$5:$I$305)*ISNUMBER(Timeline!$J$5:$J$305)*(Timeline!$I$5:$I$305&lt;=AK$4+0)*(Timeline!$J$5:$J$305&gt;=AK$4+0)),SUMPRODUCT((INDEX(Timeline!$P$5:$AN$305,0,MATCH($A26,Timeline!$P$4:$AN$4,0))="x")*(Timeline!$K$5:$K$305="Task")*ISNUMBER(Timeline!$I$5:$I$305)*ISNUMBER(Timeline!$J$5:$J$305)*(Timeline!$I$5:$I$305&lt;=AK$4+1)*(Timeline!$J$5:$J$305&gt;=AK$4+1)),SUMPRODUCT((INDEX(Timeline!$P$5:$AN$305,0,MATCH($A26,Timeline!$P$4:$AN$4,0))="x")*(Timeline!$K$5:$K$305="Task")*ISNUMBER(Timeline!$I$5:$I$305)*ISNUMBER(Timeline!$J$5:$J$305)*(Timeline!$I$5:$I$305&lt;=AK$4+2)*(Timeline!$J$5:$J$305&gt;=AK$4+2)),SUMPRODUCT((INDEX(Timeline!$P$5:$AN$305,0,MATCH($A26,Timeline!$P$4:$AN$4,0))="x")*(Timeline!$K$5:$K$305="Task")*ISNUMBER(Timeline!$I$5:$I$305)*ISNUMBER(Timeline!$J$5:$J$305)*(Timeline!$I$5:$I$305&lt;=AK$4+3)*(Timeline!$J$5:$J$305&gt;=AK$4+3)),SUMPRODUCT((INDEX(Timeline!$P$5:$AN$305,0,MATCH($A26,Timeline!$P$4:$AN$4,0))="x")*(Timeline!$K$5:$K$305="Task")*ISNUMBER(Timeline!$I$5:$I$305)*ISNUMBER(Timeline!$J$5:$J$305)*(Timeline!$I$5:$I$305&lt;=AK$4+4)*(Timeline!$J$5:$J$305&gt;=AK$4+4)),SUMPRODUCT((INDEX(Timeline!$P$5:$AN$305,0,MATCH($A26,Timeline!$P$4:$AN$4,0))="x")*(Timeline!$K$5:$K$305="Task")*ISNUMBER(Timeline!$I$5:$I$305)*ISNUMBER(Timeline!$J$5:$J$305)*(Timeline!$I$5:$I$305&lt;=AK$4+5)*(Timeline!$J$5:$J$305&gt;=AK$4+5)),SUMPRODUCT((INDEX(Timeline!$P$5:$AN$305,0,MATCH($A26,Timeline!$P$4:$AN$4,0))="x")*(Timeline!$K$5:$K$305="Task")*ISNUMBER(Timeline!$I$5:$I$305)*ISNUMBER(Timeline!$J$5:$J$305)*(Timeline!$I$5:$I$305&lt;=AK$4+6)*(Timeline!$J$5:$J$305&gt;=AK$4+6)))</f>
        <v>0</v>
      </c>
      <c r="AL26" s="67">
        <f>MAX(SUMPRODUCT((INDEX(Timeline!$P$5:$AN$305,0,MATCH($A26,Timeline!$P$4:$AN$4,0))="x")*(Timeline!$K$5:$K$305="Task")*ISNUMBER(Timeline!$I$5:$I$305)*ISNUMBER(Timeline!$J$5:$J$305)*(Timeline!$I$5:$I$305&lt;=AL$4+0)*(Timeline!$J$5:$J$305&gt;=AL$4+0)),SUMPRODUCT((INDEX(Timeline!$P$5:$AN$305,0,MATCH($A26,Timeline!$P$4:$AN$4,0))="x")*(Timeline!$K$5:$K$305="Task")*ISNUMBER(Timeline!$I$5:$I$305)*ISNUMBER(Timeline!$J$5:$J$305)*(Timeline!$I$5:$I$305&lt;=AL$4+1)*(Timeline!$J$5:$J$305&gt;=AL$4+1)),SUMPRODUCT((INDEX(Timeline!$P$5:$AN$305,0,MATCH($A26,Timeline!$P$4:$AN$4,0))="x")*(Timeline!$K$5:$K$305="Task")*ISNUMBER(Timeline!$I$5:$I$305)*ISNUMBER(Timeline!$J$5:$J$305)*(Timeline!$I$5:$I$305&lt;=AL$4+2)*(Timeline!$J$5:$J$305&gt;=AL$4+2)),SUMPRODUCT((INDEX(Timeline!$P$5:$AN$305,0,MATCH($A26,Timeline!$P$4:$AN$4,0))="x")*(Timeline!$K$5:$K$305="Task")*ISNUMBER(Timeline!$I$5:$I$305)*ISNUMBER(Timeline!$J$5:$J$305)*(Timeline!$I$5:$I$305&lt;=AL$4+3)*(Timeline!$J$5:$J$305&gt;=AL$4+3)),SUMPRODUCT((INDEX(Timeline!$P$5:$AN$305,0,MATCH($A26,Timeline!$P$4:$AN$4,0))="x")*(Timeline!$K$5:$K$305="Task")*ISNUMBER(Timeline!$I$5:$I$305)*ISNUMBER(Timeline!$J$5:$J$305)*(Timeline!$I$5:$I$305&lt;=AL$4+4)*(Timeline!$J$5:$J$305&gt;=AL$4+4)),SUMPRODUCT((INDEX(Timeline!$P$5:$AN$305,0,MATCH($A26,Timeline!$P$4:$AN$4,0))="x")*(Timeline!$K$5:$K$305="Task")*ISNUMBER(Timeline!$I$5:$I$305)*ISNUMBER(Timeline!$J$5:$J$305)*(Timeline!$I$5:$I$305&lt;=AL$4+5)*(Timeline!$J$5:$J$305&gt;=AL$4+5)),SUMPRODUCT((INDEX(Timeline!$P$5:$AN$305,0,MATCH($A26,Timeline!$P$4:$AN$4,0))="x")*(Timeline!$K$5:$K$305="Task")*ISNUMBER(Timeline!$I$5:$I$305)*ISNUMBER(Timeline!$J$5:$J$305)*(Timeline!$I$5:$I$305&lt;=AL$4+6)*(Timeline!$J$5:$J$305&gt;=AL$4+6)))</f>
        <v>0</v>
      </c>
      <c r="AM26" s="67">
        <f>MAX(SUMPRODUCT((INDEX(Timeline!$P$5:$AN$305,0,MATCH($A26,Timeline!$P$4:$AN$4,0))="x")*(Timeline!$K$5:$K$305="Task")*ISNUMBER(Timeline!$I$5:$I$305)*ISNUMBER(Timeline!$J$5:$J$305)*(Timeline!$I$5:$I$305&lt;=AM$4+0)*(Timeline!$J$5:$J$305&gt;=AM$4+0)),SUMPRODUCT((INDEX(Timeline!$P$5:$AN$305,0,MATCH($A26,Timeline!$P$4:$AN$4,0))="x")*(Timeline!$K$5:$K$305="Task")*ISNUMBER(Timeline!$I$5:$I$305)*ISNUMBER(Timeline!$J$5:$J$305)*(Timeline!$I$5:$I$305&lt;=AM$4+1)*(Timeline!$J$5:$J$305&gt;=AM$4+1)),SUMPRODUCT((INDEX(Timeline!$P$5:$AN$305,0,MATCH($A26,Timeline!$P$4:$AN$4,0))="x")*(Timeline!$K$5:$K$305="Task")*ISNUMBER(Timeline!$I$5:$I$305)*ISNUMBER(Timeline!$J$5:$J$305)*(Timeline!$I$5:$I$305&lt;=AM$4+2)*(Timeline!$J$5:$J$305&gt;=AM$4+2)),SUMPRODUCT((INDEX(Timeline!$P$5:$AN$305,0,MATCH($A26,Timeline!$P$4:$AN$4,0))="x")*(Timeline!$K$5:$K$305="Task")*ISNUMBER(Timeline!$I$5:$I$305)*ISNUMBER(Timeline!$J$5:$J$305)*(Timeline!$I$5:$I$305&lt;=AM$4+3)*(Timeline!$J$5:$J$305&gt;=AM$4+3)),SUMPRODUCT((INDEX(Timeline!$P$5:$AN$305,0,MATCH($A26,Timeline!$P$4:$AN$4,0))="x")*(Timeline!$K$5:$K$305="Task")*ISNUMBER(Timeline!$I$5:$I$305)*ISNUMBER(Timeline!$J$5:$J$305)*(Timeline!$I$5:$I$305&lt;=AM$4+4)*(Timeline!$J$5:$J$305&gt;=AM$4+4)),SUMPRODUCT((INDEX(Timeline!$P$5:$AN$305,0,MATCH($A26,Timeline!$P$4:$AN$4,0))="x")*(Timeline!$K$5:$K$305="Task")*ISNUMBER(Timeline!$I$5:$I$305)*ISNUMBER(Timeline!$J$5:$J$305)*(Timeline!$I$5:$I$305&lt;=AM$4+5)*(Timeline!$J$5:$J$305&gt;=AM$4+5)),SUMPRODUCT((INDEX(Timeline!$P$5:$AN$305,0,MATCH($A26,Timeline!$P$4:$AN$4,0))="x")*(Timeline!$K$5:$K$305="Task")*ISNUMBER(Timeline!$I$5:$I$305)*ISNUMBER(Timeline!$J$5:$J$305)*(Timeline!$I$5:$I$305&lt;=AM$4+6)*(Timeline!$J$5:$J$305&gt;=AM$4+6)))</f>
        <v>0</v>
      </c>
      <c r="AN26" s="67">
        <f>MAX(SUMPRODUCT((INDEX(Timeline!$P$5:$AN$305,0,MATCH($A26,Timeline!$P$4:$AN$4,0))="x")*(Timeline!$K$5:$K$305="Task")*ISNUMBER(Timeline!$I$5:$I$305)*ISNUMBER(Timeline!$J$5:$J$305)*(Timeline!$I$5:$I$305&lt;=AN$4+0)*(Timeline!$J$5:$J$305&gt;=AN$4+0)),SUMPRODUCT((INDEX(Timeline!$P$5:$AN$305,0,MATCH($A26,Timeline!$P$4:$AN$4,0))="x")*(Timeline!$K$5:$K$305="Task")*ISNUMBER(Timeline!$I$5:$I$305)*ISNUMBER(Timeline!$J$5:$J$305)*(Timeline!$I$5:$I$305&lt;=AN$4+1)*(Timeline!$J$5:$J$305&gt;=AN$4+1)),SUMPRODUCT((INDEX(Timeline!$P$5:$AN$305,0,MATCH($A26,Timeline!$P$4:$AN$4,0))="x")*(Timeline!$K$5:$K$305="Task")*ISNUMBER(Timeline!$I$5:$I$305)*ISNUMBER(Timeline!$J$5:$J$305)*(Timeline!$I$5:$I$305&lt;=AN$4+2)*(Timeline!$J$5:$J$305&gt;=AN$4+2)),SUMPRODUCT((INDEX(Timeline!$P$5:$AN$305,0,MATCH($A26,Timeline!$P$4:$AN$4,0))="x")*(Timeline!$K$5:$K$305="Task")*ISNUMBER(Timeline!$I$5:$I$305)*ISNUMBER(Timeline!$J$5:$J$305)*(Timeline!$I$5:$I$305&lt;=AN$4+3)*(Timeline!$J$5:$J$305&gt;=AN$4+3)),SUMPRODUCT((INDEX(Timeline!$P$5:$AN$305,0,MATCH($A26,Timeline!$P$4:$AN$4,0))="x")*(Timeline!$K$5:$K$305="Task")*ISNUMBER(Timeline!$I$5:$I$305)*ISNUMBER(Timeline!$J$5:$J$305)*(Timeline!$I$5:$I$305&lt;=AN$4+4)*(Timeline!$J$5:$J$305&gt;=AN$4+4)),SUMPRODUCT((INDEX(Timeline!$P$5:$AN$305,0,MATCH($A26,Timeline!$P$4:$AN$4,0))="x")*(Timeline!$K$5:$K$305="Task")*ISNUMBER(Timeline!$I$5:$I$305)*ISNUMBER(Timeline!$J$5:$J$305)*(Timeline!$I$5:$I$305&lt;=AN$4+5)*(Timeline!$J$5:$J$305&gt;=AN$4+5)),SUMPRODUCT((INDEX(Timeline!$P$5:$AN$305,0,MATCH($A26,Timeline!$P$4:$AN$4,0))="x")*(Timeline!$K$5:$K$305="Task")*ISNUMBER(Timeline!$I$5:$I$305)*ISNUMBER(Timeline!$J$5:$J$305)*(Timeline!$I$5:$I$305&lt;=AN$4+6)*(Timeline!$J$5:$J$305&gt;=AN$4+6)))</f>
        <v>0</v>
      </c>
      <c r="AO26" s="67">
        <f>MAX(SUMPRODUCT((INDEX(Timeline!$P$5:$AN$305,0,MATCH($A26,Timeline!$P$4:$AN$4,0))="x")*(Timeline!$K$5:$K$305="Task")*ISNUMBER(Timeline!$I$5:$I$305)*ISNUMBER(Timeline!$J$5:$J$305)*(Timeline!$I$5:$I$305&lt;=AO$4+0)*(Timeline!$J$5:$J$305&gt;=AO$4+0)),SUMPRODUCT((INDEX(Timeline!$P$5:$AN$305,0,MATCH($A26,Timeline!$P$4:$AN$4,0))="x")*(Timeline!$K$5:$K$305="Task")*ISNUMBER(Timeline!$I$5:$I$305)*ISNUMBER(Timeline!$J$5:$J$305)*(Timeline!$I$5:$I$305&lt;=AO$4+1)*(Timeline!$J$5:$J$305&gt;=AO$4+1)),SUMPRODUCT((INDEX(Timeline!$P$5:$AN$305,0,MATCH($A26,Timeline!$P$4:$AN$4,0))="x")*(Timeline!$K$5:$K$305="Task")*ISNUMBER(Timeline!$I$5:$I$305)*ISNUMBER(Timeline!$J$5:$J$305)*(Timeline!$I$5:$I$305&lt;=AO$4+2)*(Timeline!$J$5:$J$305&gt;=AO$4+2)),SUMPRODUCT((INDEX(Timeline!$P$5:$AN$305,0,MATCH($A26,Timeline!$P$4:$AN$4,0))="x")*(Timeline!$K$5:$K$305="Task")*ISNUMBER(Timeline!$I$5:$I$305)*ISNUMBER(Timeline!$J$5:$J$305)*(Timeline!$I$5:$I$305&lt;=AO$4+3)*(Timeline!$J$5:$J$305&gt;=AO$4+3)),SUMPRODUCT((INDEX(Timeline!$P$5:$AN$305,0,MATCH($A26,Timeline!$P$4:$AN$4,0))="x")*(Timeline!$K$5:$K$305="Task")*ISNUMBER(Timeline!$I$5:$I$305)*ISNUMBER(Timeline!$J$5:$J$305)*(Timeline!$I$5:$I$305&lt;=AO$4+4)*(Timeline!$J$5:$J$305&gt;=AO$4+4)),SUMPRODUCT((INDEX(Timeline!$P$5:$AN$305,0,MATCH($A26,Timeline!$P$4:$AN$4,0))="x")*(Timeline!$K$5:$K$305="Task")*ISNUMBER(Timeline!$I$5:$I$305)*ISNUMBER(Timeline!$J$5:$J$305)*(Timeline!$I$5:$I$305&lt;=AO$4+5)*(Timeline!$J$5:$J$305&gt;=AO$4+5)),SUMPRODUCT((INDEX(Timeline!$P$5:$AN$305,0,MATCH($A26,Timeline!$P$4:$AN$4,0))="x")*(Timeline!$K$5:$K$305="Task")*ISNUMBER(Timeline!$I$5:$I$305)*ISNUMBER(Timeline!$J$5:$J$305)*(Timeline!$I$5:$I$305&lt;=AO$4+6)*(Timeline!$J$5:$J$305&gt;=AO$4+6)))</f>
        <v>0</v>
      </c>
      <c r="AP26" s="67">
        <f>MAX(SUMPRODUCT((INDEX(Timeline!$P$5:$AN$305,0,MATCH($A26,Timeline!$P$4:$AN$4,0))="x")*(Timeline!$K$5:$K$305="Task")*ISNUMBER(Timeline!$I$5:$I$305)*ISNUMBER(Timeline!$J$5:$J$305)*(Timeline!$I$5:$I$305&lt;=AP$4+0)*(Timeline!$J$5:$J$305&gt;=AP$4+0)),SUMPRODUCT((INDEX(Timeline!$P$5:$AN$305,0,MATCH($A26,Timeline!$P$4:$AN$4,0))="x")*(Timeline!$K$5:$K$305="Task")*ISNUMBER(Timeline!$I$5:$I$305)*ISNUMBER(Timeline!$J$5:$J$305)*(Timeline!$I$5:$I$305&lt;=AP$4+1)*(Timeline!$J$5:$J$305&gt;=AP$4+1)),SUMPRODUCT((INDEX(Timeline!$P$5:$AN$305,0,MATCH($A26,Timeline!$P$4:$AN$4,0))="x")*(Timeline!$K$5:$K$305="Task")*ISNUMBER(Timeline!$I$5:$I$305)*ISNUMBER(Timeline!$J$5:$J$305)*(Timeline!$I$5:$I$305&lt;=AP$4+2)*(Timeline!$J$5:$J$305&gt;=AP$4+2)),SUMPRODUCT((INDEX(Timeline!$P$5:$AN$305,0,MATCH($A26,Timeline!$P$4:$AN$4,0))="x")*(Timeline!$K$5:$K$305="Task")*ISNUMBER(Timeline!$I$5:$I$305)*ISNUMBER(Timeline!$J$5:$J$305)*(Timeline!$I$5:$I$305&lt;=AP$4+3)*(Timeline!$J$5:$J$305&gt;=AP$4+3)),SUMPRODUCT((INDEX(Timeline!$P$5:$AN$305,0,MATCH($A26,Timeline!$P$4:$AN$4,0))="x")*(Timeline!$K$5:$K$305="Task")*ISNUMBER(Timeline!$I$5:$I$305)*ISNUMBER(Timeline!$J$5:$J$305)*(Timeline!$I$5:$I$305&lt;=AP$4+4)*(Timeline!$J$5:$J$305&gt;=AP$4+4)),SUMPRODUCT((INDEX(Timeline!$P$5:$AN$305,0,MATCH($A26,Timeline!$P$4:$AN$4,0))="x")*(Timeline!$K$5:$K$305="Task")*ISNUMBER(Timeline!$I$5:$I$305)*ISNUMBER(Timeline!$J$5:$J$305)*(Timeline!$I$5:$I$305&lt;=AP$4+5)*(Timeline!$J$5:$J$305&gt;=AP$4+5)),SUMPRODUCT((INDEX(Timeline!$P$5:$AN$305,0,MATCH($A26,Timeline!$P$4:$AN$4,0))="x")*(Timeline!$K$5:$K$305="Task")*ISNUMBER(Timeline!$I$5:$I$305)*ISNUMBER(Timeline!$J$5:$J$305)*(Timeline!$I$5:$I$305&lt;=AP$4+6)*(Timeline!$J$5:$J$305&gt;=AP$4+6)))</f>
        <v>0</v>
      </c>
      <c r="AQ26" s="67">
        <f>MAX(SUMPRODUCT((INDEX(Timeline!$P$5:$AN$305,0,MATCH($A26,Timeline!$P$4:$AN$4,0))="x")*(Timeline!$K$5:$K$305="Task")*ISNUMBER(Timeline!$I$5:$I$305)*ISNUMBER(Timeline!$J$5:$J$305)*(Timeline!$I$5:$I$305&lt;=AQ$4+0)*(Timeline!$J$5:$J$305&gt;=AQ$4+0)),SUMPRODUCT((INDEX(Timeline!$P$5:$AN$305,0,MATCH($A26,Timeline!$P$4:$AN$4,0))="x")*(Timeline!$K$5:$K$305="Task")*ISNUMBER(Timeline!$I$5:$I$305)*ISNUMBER(Timeline!$J$5:$J$305)*(Timeline!$I$5:$I$305&lt;=AQ$4+1)*(Timeline!$J$5:$J$305&gt;=AQ$4+1)),SUMPRODUCT((INDEX(Timeline!$P$5:$AN$305,0,MATCH($A26,Timeline!$P$4:$AN$4,0))="x")*(Timeline!$K$5:$K$305="Task")*ISNUMBER(Timeline!$I$5:$I$305)*ISNUMBER(Timeline!$J$5:$J$305)*(Timeline!$I$5:$I$305&lt;=AQ$4+2)*(Timeline!$J$5:$J$305&gt;=AQ$4+2)),SUMPRODUCT((INDEX(Timeline!$P$5:$AN$305,0,MATCH($A26,Timeline!$P$4:$AN$4,0))="x")*(Timeline!$K$5:$K$305="Task")*ISNUMBER(Timeline!$I$5:$I$305)*ISNUMBER(Timeline!$J$5:$J$305)*(Timeline!$I$5:$I$305&lt;=AQ$4+3)*(Timeline!$J$5:$J$305&gt;=AQ$4+3)),SUMPRODUCT((INDEX(Timeline!$P$5:$AN$305,0,MATCH($A26,Timeline!$P$4:$AN$4,0))="x")*(Timeline!$K$5:$K$305="Task")*ISNUMBER(Timeline!$I$5:$I$305)*ISNUMBER(Timeline!$J$5:$J$305)*(Timeline!$I$5:$I$305&lt;=AQ$4+4)*(Timeline!$J$5:$J$305&gt;=AQ$4+4)),SUMPRODUCT((INDEX(Timeline!$P$5:$AN$305,0,MATCH($A26,Timeline!$P$4:$AN$4,0))="x")*(Timeline!$K$5:$K$305="Task")*ISNUMBER(Timeline!$I$5:$I$305)*ISNUMBER(Timeline!$J$5:$J$305)*(Timeline!$I$5:$I$305&lt;=AQ$4+5)*(Timeline!$J$5:$J$305&gt;=AQ$4+5)),SUMPRODUCT((INDEX(Timeline!$P$5:$AN$305,0,MATCH($A26,Timeline!$P$4:$AN$4,0))="x")*(Timeline!$K$5:$K$305="Task")*ISNUMBER(Timeline!$I$5:$I$305)*ISNUMBER(Timeline!$J$5:$J$305)*(Timeline!$I$5:$I$305&lt;=AQ$4+6)*(Timeline!$J$5:$J$305&gt;=AQ$4+6)))</f>
        <v>0</v>
      </c>
      <c r="AR26" s="67">
        <f>MAX(SUMPRODUCT((INDEX(Timeline!$P$5:$AN$305,0,MATCH($A26,Timeline!$P$4:$AN$4,0))="x")*(Timeline!$K$5:$K$305="Task")*ISNUMBER(Timeline!$I$5:$I$305)*ISNUMBER(Timeline!$J$5:$J$305)*(Timeline!$I$5:$I$305&lt;=AR$4+0)*(Timeline!$J$5:$J$305&gt;=AR$4+0)),SUMPRODUCT((INDEX(Timeline!$P$5:$AN$305,0,MATCH($A26,Timeline!$P$4:$AN$4,0))="x")*(Timeline!$K$5:$K$305="Task")*ISNUMBER(Timeline!$I$5:$I$305)*ISNUMBER(Timeline!$J$5:$J$305)*(Timeline!$I$5:$I$305&lt;=AR$4+1)*(Timeline!$J$5:$J$305&gt;=AR$4+1)),SUMPRODUCT((INDEX(Timeline!$P$5:$AN$305,0,MATCH($A26,Timeline!$P$4:$AN$4,0))="x")*(Timeline!$K$5:$K$305="Task")*ISNUMBER(Timeline!$I$5:$I$305)*ISNUMBER(Timeline!$J$5:$J$305)*(Timeline!$I$5:$I$305&lt;=AR$4+2)*(Timeline!$J$5:$J$305&gt;=AR$4+2)),SUMPRODUCT((INDEX(Timeline!$P$5:$AN$305,0,MATCH($A26,Timeline!$P$4:$AN$4,0))="x")*(Timeline!$K$5:$K$305="Task")*ISNUMBER(Timeline!$I$5:$I$305)*ISNUMBER(Timeline!$J$5:$J$305)*(Timeline!$I$5:$I$305&lt;=AR$4+3)*(Timeline!$J$5:$J$305&gt;=AR$4+3)),SUMPRODUCT((INDEX(Timeline!$P$5:$AN$305,0,MATCH($A26,Timeline!$P$4:$AN$4,0))="x")*(Timeline!$K$5:$K$305="Task")*ISNUMBER(Timeline!$I$5:$I$305)*ISNUMBER(Timeline!$J$5:$J$305)*(Timeline!$I$5:$I$305&lt;=AR$4+4)*(Timeline!$J$5:$J$305&gt;=AR$4+4)),SUMPRODUCT((INDEX(Timeline!$P$5:$AN$305,0,MATCH($A26,Timeline!$P$4:$AN$4,0))="x")*(Timeline!$K$5:$K$305="Task")*ISNUMBER(Timeline!$I$5:$I$305)*ISNUMBER(Timeline!$J$5:$J$305)*(Timeline!$I$5:$I$305&lt;=AR$4+5)*(Timeline!$J$5:$J$305&gt;=AR$4+5)),SUMPRODUCT((INDEX(Timeline!$P$5:$AN$305,0,MATCH($A26,Timeline!$P$4:$AN$4,0))="x")*(Timeline!$K$5:$K$305="Task")*ISNUMBER(Timeline!$I$5:$I$305)*ISNUMBER(Timeline!$J$5:$J$305)*(Timeline!$I$5:$I$305&lt;=AR$4+6)*(Timeline!$J$5:$J$305&gt;=AR$4+6)))</f>
        <v>0</v>
      </c>
      <c r="AS26" s="67">
        <f>MAX(SUMPRODUCT((INDEX(Timeline!$P$5:$AN$305,0,MATCH($A26,Timeline!$P$4:$AN$4,0))="x")*(Timeline!$K$5:$K$305="Task")*ISNUMBER(Timeline!$I$5:$I$305)*ISNUMBER(Timeline!$J$5:$J$305)*(Timeline!$I$5:$I$305&lt;=AS$4+0)*(Timeline!$J$5:$J$305&gt;=AS$4+0)),SUMPRODUCT((INDEX(Timeline!$P$5:$AN$305,0,MATCH($A26,Timeline!$P$4:$AN$4,0))="x")*(Timeline!$K$5:$K$305="Task")*ISNUMBER(Timeline!$I$5:$I$305)*ISNUMBER(Timeline!$J$5:$J$305)*(Timeline!$I$5:$I$305&lt;=AS$4+1)*(Timeline!$J$5:$J$305&gt;=AS$4+1)),SUMPRODUCT((INDEX(Timeline!$P$5:$AN$305,0,MATCH($A26,Timeline!$P$4:$AN$4,0))="x")*(Timeline!$K$5:$K$305="Task")*ISNUMBER(Timeline!$I$5:$I$305)*ISNUMBER(Timeline!$J$5:$J$305)*(Timeline!$I$5:$I$305&lt;=AS$4+2)*(Timeline!$J$5:$J$305&gt;=AS$4+2)),SUMPRODUCT((INDEX(Timeline!$P$5:$AN$305,0,MATCH($A26,Timeline!$P$4:$AN$4,0))="x")*(Timeline!$K$5:$K$305="Task")*ISNUMBER(Timeline!$I$5:$I$305)*ISNUMBER(Timeline!$J$5:$J$305)*(Timeline!$I$5:$I$305&lt;=AS$4+3)*(Timeline!$J$5:$J$305&gt;=AS$4+3)),SUMPRODUCT((INDEX(Timeline!$P$5:$AN$305,0,MATCH($A26,Timeline!$P$4:$AN$4,0))="x")*(Timeline!$K$5:$K$305="Task")*ISNUMBER(Timeline!$I$5:$I$305)*ISNUMBER(Timeline!$J$5:$J$305)*(Timeline!$I$5:$I$305&lt;=AS$4+4)*(Timeline!$J$5:$J$305&gt;=AS$4+4)),SUMPRODUCT((INDEX(Timeline!$P$5:$AN$305,0,MATCH($A26,Timeline!$P$4:$AN$4,0))="x")*(Timeline!$K$5:$K$305="Task")*ISNUMBER(Timeline!$I$5:$I$305)*ISNUMBER(Timeline!$J$5:$J$305)*(Timeline!$I$5:$I$305&lt;=AS$4+5)*(Timeline!$J$5:$J$305&gt;=AS$4+5)),SUMPRODUCT((INDEX(Timeline!$P$5:$AN$305,0,MATCH($A26,Timeline!$P$4:$AN$4,0))="x")*(Timeline!$K$5:$K$305="Task")*ISNUMBER(Timeline!$I$5:$I$305)*ISNUMBER(Timeline!$J$5:$J$305)*(Timeline!$I$5:$I$305&lt;=AS$4+6)*(Timeline!$J$5:$J$305&gt;=AS$4+6)))</f>
        <v>0</v>
      </c>
      <c r="AT26" s="67">
        <f>MAX(SUMPRODUCT((INDEX(Timeline!$P$5:$AN$305,0,MATCH($A26,Timeline!$P$4:$AN$4,0))="x")*(Timeline!$K$5:$K$305="Task")*ISNUMBER(Timeline!$I$5:$I$305)*ISNUMBER(Timeline!$J$5:$J$305)*(Timeline!$I$5:$I$305&lt;=AT$4+0)*(Timeline!$J$5:$J$305&gt;=AT$4+0)),SUMPRODUCT((INDEX(Timeline!$P$5:$AN$305,0,MATCH($A26,Timeline!$P$4:$AN$4,0))="x")*(Timeline!$K$5:$K$305="Task")*ISNUMBER(Timeline!$I$5:$I$305)*ISNUMBER(Timeline!$J$5:$J$305)*(Timeline!$I$5:$I$305&lt;=AT$4+1)*(Timeline!$J$5:$J$305&gt;=AT$4+1)),SUMPRODUCT((INDEX(Timeline!$P$5:$AN$305,0,MATCH($A26,Timeline!$P$4:$AN$4,0))="x")*(Timeline!$K$5:$K$305="Task")*ISNUMBER(Timeline!$I$5:$I$305)*ISNUMBER(Timeline!$J$5:$J$305)*(Timeline!$I$5:$I$305&lt;=AT$4+2)*(Timeline!$J$5:$J$305&gt;=AT$4+2)),SUMPRODUCT((INDEX(Timeline!$P$5:$AN$305,0,MATCH($A26,Timeline!$P$4:$AN$4,0))="x")*(Timeline!$K$5:$K$305="Task")*ISNUMBER(Timeline!$I$5:$I$305)*ISNUMBER(Timeline!$J$5:$J$305)*(Timeline!$I$5:$I$305&lt;=AT$4+3)*(Timeline!$J$5:$J$305&gt;=AT$4+3)),SUMPRODUCT((INDEX(Timeline!$P$5:$AN$305,0,MATCH($A26,Timeline!$P$4:$AN$4,0))="x")*(Timeline!$K$5:$K$305="Task")*ISNUMBER(Timeline!$I$5:$I$305)*ISNUMBER(Timeline!$J$5:$J$305)*(Timeline!$I$5:$I$305&lt;=AT$4+4)*(Timeline!$J$5:$J$305&gt;=AT$4+4)),SUMPRODUCT((INDEX(Timeline!$P$5:$AN$305,0,MATCH($A26,Timeline!$P$4:$AN$4,0))="x")*(Timeline!$K$5:$K$305="Task")*ISNUMBER(Timeline!$I$5:$I$305)*ISNUMBER(Timeline!$J$5:$J$305)*(Timeline!$I$5:$I$305&lt;=AT$4+5)*(Timeline!$J$5:$J$305&gt;=AT$4+5)),SUMPRODUCT((INDEX(Timeline!$P$5:$AN$305,0,MATCH($A26,Timeline!$P$4:$AN$4,0))="x")*(Timeline!$K$5:$K$305="Task")*ISNUMBER(Timeline!$I$5:$I$305)*ISNUMBER(Timeline!$J$5:$J$305)*(Timeline!$I$5:$I$305&lt;=AT$4+6)*(Timeline!$J$5:$J$305&gt;=AT$4+6)))</f>
        <v>0</v>
      </c>
      <c r="AU26" s="67">
        <f>MAX(SUMPRODUCT((INDEX(Timeline!$P$5:$AN$305,0,MATCH($A26,Timeline!$P$4:$AN$4,0))="x")*(Timeline!$K$5:$K$305="Task")*ISNUMBER(Timeline!$I$5:$I$305)*ISNUMBER(Timeline!$J$5:$J$305)*(Timeline!$I$5:$I$305&lt;=AU$4+0)*(Timeline!$J$5:$J$305&gt;=AU$4+0)),SUMPRODUCT((INDEX(Timeline!$P$5:$AN$305,0,MATCH($A26,Timeline!$P$4:$AN$4,0))="x")*(Timeline!$K$5:$K$305="Task")*ISNUMBER(Timeline!$I$5:$I$305)*ISNUMBER(Timeline!$J$5:$J$305)*(Timeline!$I$5:$I$305&lt;=AU$4+1)*(Timeline!$J$5:$J$305&gt;=AU$4+1)),SUMPRODUCT((INDEX(Timeline!$P$5:$AN$305,0,MATCH($A26,Timeline!$P$4:$AN$4,0))="x")*(Timeline!$K$5:$K$305="Task")*ISNUMBER(Timeline!$I$5:$I$305)*ISNUMBER(Timeline!$J$5:$J$305)*(Timeline!$I$5:$I$305&lt;=AU$4+2)*(Timeline!$J$5:$J$305&gt;=AU$4+2)),SUMPRODUCT((INDEX(Timeline!$P$5:$AN$305,0,MATCH($A26,Timeline!$P$4:$AN$4,0))="x")*(Timeline!$K$5:$K$305="Task")*ISNUMBER(Timeline!$I$5:$I$305)*ISNUMBER(Timeline!$J$5:$J$305)*(Timeline!$I$5:$I$305&lt;=AU$4+3)*(Timeline!$J$5:$J$305&gt;=AU$4+3)),SUMPRODUCT((INDEX(Timeline!$P$5:$AN$305,0,MATCH($A26,Timeline!$P$4:$AN$4,0))="x")*(Timeline!$K$5:$K$305="Task")*ISNUMBER(Timeline!$I$5:$I$305)*ISNUMBER(Timeline!$J$5:$J$305)*(Timeline!$I$5:$I$305&lt;=AU$4+4)*(Timeline!$J$5:$J$305&gt;=AU$4+4)),SUMPRODUCT((INDEX(Timeline!$P$5:$AN$305,0,MATCH($A26,Timeline!$P$4:$AN$4,0))="x")*(Timeline!$K$5:$K$305="Task")*ISNUMBER(Timeline!$I$5:$I$305)*ISNUMBER(Timeline!$J$5:$J$305)*(Timeline!$I$5:$I$305&lt;=AU$4+5)*(Timeline!$J$5:$J$305&gt;=AU$4+5)),SUMPRODUCT((INDEX(Timeline!$P$5:$AN$305,0,MATCH($A26,Timeline!$P$4:$AN$4,0))="x")*(Timeline!$K$5:$K$305="Task")*ISNUMBER(Timeline!$I$5:$I$305)*ISNUMBER(Timeline!$J$5:$J$305)*(Timeline!$I$5:$I$305&lt;=AU$4+6)*(Timeline!$J$5:$J$305&gt;=AU$4+6)))</f>
        <v>0</v>
      </c>
      <c r="AV26" s="67">
        <f>MAX(SUMPRODUCT((INDEX(Timeline!$P$5:$AN$305,0,MATCH($A26,Timeline!$P$4:$AN$4,0))="x")*(Timeline!$K$5:$K$305="Task")*ISNUMBER(Timeline!$I$5:$I$305)*ISNUMBER(Timeline!$J$5:$J$305)*(Timeline!$I$5:$I$305&lt;=AV$4+0)*(Timeline!$J$5:$J$305&gt;=AV$4+0)),SUMPRODUCT((INDEX(Timeline!$P$5:$AN$305,0,MATCH($A26,Timeline!$P$4:$AN$4,0))="x")*(Timeline!$K$5:$K$305="Task")*ISNUMBER(Timeline!$I$5:$I$305)*ISNUMBER(Timeline!$J$5:$J$305)*(Timeline!$I$5:$I$305&lt;=AV$4+1)*(Timeline!$J$5:$J$305&gt;=AV$4+1)),SUMPRODUCT((INDEX(Timeline!$P$5:$AN$305,0,MATCH($A26,Timeline!$P$4:$AN$4,0))="x")*(Timeline!$K$5:$K$305="Task")*ISNUMBER(Timeline!$I$5:$I$305)*ISNUMBER(Timeline!$J$5:$J$305)*(Timeline!$I$5:$I$305&lt;=AV$4+2)*(Timeline!$J$5:$J$305&gt;=AV$4+2)),SUMPRODUCT((INDEX(Timeline!$P$5:$AN$305,0,MATCH($A26,Timeline!$P$4:$AN$4,0))="x")*(Timeline!$K$5:$K$305="Task")*ISNUMBER(Timeline!$I$5:$I$305)*ISNUMBER(Timeline!$J$5:$J$305)*(Timeline!$I$5:$I$305&lt;=AV$4+3)*(Timeline!$J$5:$J$305&gt;=AV$4+3)),SUMPRODUCT((INDEX(Timeline!$P$5:$AN$305,0,MATCH($A26,Timeline!$P$4:$AN$4,0))="x")*(Timeline!$K$5:$K$305="Task")*ISNUMBER(Timeline!$I$5:$I$305)*ISNUMBER(Timeline!$J$5:$J$305)*(Timeline!$I$5:$I$305&lt;=AV$4+4)*(Timeline!$J$5:$J$305&gt;=AV$4+4)),SUMPRODUCT((INDEX(Timeline!$P$5:$AN$305,0,MATCH($A26,Timeline!$P$4:$AN$4,0))="x")*(Timeline!$K$5:$K$305="Task")*ISNUMBER(Timeline!$I$5:$I$305)*ISNUMBER(Timeline!$J$5:$J$305)*(Timeline!$I$5:$I$305&lt;=AV$4+5)*(Timeline!$J$5:$J$305&gt;=AV$4+5)),SUMPRODUCT((INDEX(Timeline!$P$5:$AN$305,0,MATCH($A26,Timeline!$P$4:$AN$4,0))="x")*(Timeline!$K$5:$K$305="Task")*ISNUMBER(Timeline!$I$5:$I$305)*ISNUMBER(Timeline!$J$5:$J$305)*(Timeline!$I$5:$I$305&lt;=AV$4+6)*(Timeline!$J$5:$J$305&gt;=AV$4+6)))</f>
        <v>0</v>
      </c>
      <c r="AW26" s="67">
        <f>MAX(SUMPRODUCT((INDEX(Timeline!$P$5:$AN$305,0,MATCH($A26,Timeline!$P$4:$AN$4,0))="x")*(Timeline!$K$5:$K$305="Task")*ISNUMBER(Timeline!$I$5:$I$305)*ISNUMBER(Timeline!$J$5:$J$305)*(Timeline!$I$5:$I$305&lt;=AW$4+0)*(Timeline!$J$5:$J$305&gt;=AW$4+0)),SUMPRODUCT((INDEX(Timeline!$P$5:$AN$305,0,MATCH($A26,Timeline!$P$4:$AN$4,0))="x")*(Timeline!$K$5:$K$305="Task")*ISNUMBER(Timeline!$I$5:$I$305)*ISNUMBER(Timeline!$J$5:$J$305)*(Timeline!$I$5:$I$305&lt;=AW$4+1)*(Timeline!$J$5:$J$305&gt;=AW$4+1)),SUMPRODUCT((INDEX(Timeline!$P$5:$AN$305,0,MATCH($A26,Timeline!$P$4:$AN$4,0))="x")*(Timeline!$K$5:$K$305="Task")*ISNUMBER(Timeline!$I$5:$I$305)*ISNUMBER(Timeline!$J$5:$J$305)*(Timeline!$I$5:$I$305&lt;=AW$4+2)*(Timeline!$J$5:$J$305&gt;=AW$4+2)),SUMPRODUCT((INDEX(Timeline!$P$5:$AN$305,0,MATCH($A26,Timeline!$P$4:$AN$4,0))="x")*(Timeline!$K$5:$K$305="Task")*ISNUMBER(Timeline!$I$5:$I$305)*ISNUMBER(Timeline!$J$5:$J$305)*(Timeline!$I$5:$I$305&lt;=AW$4+3)*(Timeline!$J$5:$J$305&gt;=AW$4+3)),SUMPRODUCT((INDEX(Timeline!$P$5:$AN$305,0,MATCH($A26,Timeline!$P$4:$AN$4,0))="x")*(Timeline!$K$5:$K$305="Task")*ISNUMBER(Timeline!$I$5:$I$305)*ISNUMBER(Timeline!$J$5:$J$305)*(Timeline!$I$5:$I$305&lt;=AW$4+4)*(Timeline!$J$5:$J$305&gt;=AW$4+4)),SUMPRODUCT((INDEX(Timeline!$P$5:$AN$305,0,MATCH($A26,Timeline!$P$4:$AN$4,0))="x")*(Timeline!$K$5:$K$305="Task")*ISNUMBER(Timeline!$I$5:$I$305)*ISNUMBER(Timeline!$J$5:$J$305)*(Timeline!$I$5:$I$305&lt;=AW$4+5)*(Timeline!$J$5:$J$305&gt;=AW$4+5)),SUMPRODUCT((INDEX(Timeline!$P$5:$AN$305,0,MATCH($A26,Timeline!$P$4:$AN$4,0))="x")*(Timeline!$K$5:$K$305="Task")*ISNUMBER(Timeline!$I$5:$I$305)*ISNUMBER(Timeline!$J$5:$J$305)*(Timeline!$I$5:$I$305&lt;=AW$4+6)*(Timeline!$J$5:$J$305&gt;=AW$4+6)))</f>
        <v>0</v>
      </c>
      <c r="AX26" s="67">
        <f>MAX(SUMPRODUCT((INDEX(Timeline!$P$5:$AN$305,0,MATCH($A26,Timeline!$P$4:$AN$4,0))="x")*(Timeline!$K$5:$K$305="Task")*ISNUMBER(Timeline!$I$5:$I$305)*ISNUMBER(Timeline!$J$5:$J$305)*(Timeline!$I$5:$I$305&lt;=AX$4+0)*(Timeline!$J$5:$J$305&gt;=AX$4+0)),SUMPRODUCT((INDEX(Timeline!$P$5:$AN$305,0,MATCH($A26,Timeline!$P$4:$AN$4,0))="x")*(Timeline!$K$5:$K$305="Task")*ISNUMBER(Timeline!$I$5:$I$305)*ISNUMBER(Timeline!$J$5:$J$305)*(Timeline!$I$5:$I$305&lt;=AX$4+1)*(Timeline!$J$5:$J$305&gt;=AX$4+1)),SUMPRODUCT((INDEX(Timeline!$P$5:$AN$305,0,MATCH($A26,Timeline!$P$4:$AN$4,0))="x")*(Timeline!$K$5:$K$305="Task")*ISNUMBER(Timeline!$I$5:$I$305)*ISNUMBER(Timeline!$J$5:$J$305)*(Timeline!$I$5:$I$305&lt;=AX$4+2)*(Timeline!$J$5:$J$305&gt;=AX$4+2)),SUMPRODUCT((INDEX(Timeline!$P$5:$AN$305,0,MATCH($A26,Timeline!$P$4:$AN$4,0))="x")*(Timeline!$K$5:$K$305="Task")*ISNUMBER(Timeline!$I$5:$I$305)*ISNUMBER(Timeline!$J$5:$J$305)*(Timeline!$I$5:$I$305&lt;=AX$4+3)*(Timeline!$J$5:$J$305&gt;=AX$4+3)),SUMPRODUCT((INDEX(Timeline!$P$5:$AN$305,0,MATCH($A26,Timeline!$P$4:$AN$4,0))="x")*(Timeline!$K$5:$K$305="Task")*ISNUMBER(Timeline!$I$5:$I$305)*ISNUMBER(Timeline!$J$5:$J$305)*(Timeline!$I$5:$I$305&lt;=AX$4+4)*(Timeline!$J$5:$J$305&gt;=AX$4+4)),SUMPRODUCT((INDEX(Timeline!$P$5:$AN$305,0,MATCH($A26,Timeline!$P$4:$AN$4,0))="x")*(Timeline!$K$5:$K$305="Task")*ISNUMBER(Timeline!$I$5:$I$305)*ISNUMBER(Timeline!$J$5:$J$305)*(Timeline!$I$5:$I$305&lt;=AX$4+5)*(Timeline!$J$5:$J$305&gt;=AX$4+5)),SUMPRODUCT((INDEX(Timeline!$P$5:$AN$305,0,MATCH($A26,Timeline!$P$4:$AN$4,0))="x")*(Timeline!$K$5:$K$305="Task")*ISNUMBER(Timeline!$I$5:$I$305)*ISNUMBER(Timeline!$J$5:$J$305)*(Timeline!$I$5:$I$305&lt;=AX$4+6)*(Timeline!$J$5:$J$305&gt;=AX$4+6)))</f>
        <v>0</v>
      </c>
      <c r="AY26" s="67">
        <f>MAX(SUMPRODUCT((INDEX(Timeline!$P$5:$AN$305,0,MATCH($A26,Timeline!$P$4:$AN$4,0))="x")*(Timeline!$K$5:$K$305="Task")*ISNUMBER(Timeline!$I$5:$I$305)*ISNUMBER(Timeline!$J$5:$J$305)*(Timeline!$I$5:$I$305&lt;=AY$4+0)*(Timeline!$J$5:$J$305&gt;=AY$4+0)),SUMPRODUCT((INDEX(Timeline!$P$5:$AN$305,0,MATCH($A26,Timeline!$P$4:$AN$4,0))="x")*(Timeline!$K$5:$K$305="Task")*ISNUMBER(Timeline!$I$5:$I$305)*ISNUMBER(Timeline!$J$5:$J$305)*(Timeline!$I$5:$I$305&lt;=AY$4+1)*(Timeline!$J$5:$J$305&gt;=AY$4+1)),SUMPRODUCT((INDEX(Timeline!$P$5:$AN$305,0,MATCH($A26,Timeline!$P$4:$AN$4,0))="x")*(Timeline!$K$5:$K$305="Task")*ISNUMBER(Timeline!$I$5:$I$305)*ISNUMBER(Timeline!$J$5:$J$305)*(Timeline!$I$5:$I$305&lt;=AY$4+2)*(Timeline!$J$5:$J$305&gt;=AY$4+2)),SUMPRODUCT((INDEX(Timeline!$P$5:$AN$305,0,MATCH($A26,Timeline!$P$4:$AN$4,0))="x")*(Timeline!$K$5:$K$305="Task")*ISNUMBER(Timeline!$I$5:$I$305)*ISNUMBER(Timeline!$J$5:$J$305)*(Timeline!$I$5:$I$305&lt;=AY$4+3)*(Timeline!$J$5:$J$305&gt;=AY$4+3)),SUMPRODUCT((INDEX(Timeline!$P$5:$AN$305,0,MATCH($A26,Timeline!$P$4:$AN$4,0))="x")*(Timeline!$K$5:$K$305="Task")*ISNUMBER(Timeline!$I$5:$I$305)*ISNUMBER(Timeline!$J$5:$J$305)*(Timeline!$I$5:$I$305&lt;=AY$4+4)*(Timeline!$J$5:$J$305&gt;=AY$4+4)),SUMPRODUCT((INDEX(Timeline!$P$5:$AN$305,0,MATCH($A26,Timeline!$P$4:$AN$4,0))="x")*(Timeline!$K$5:$K$305="Task")*ISNUMBER(Timeline!$I$5:$I$305)*ISNUMBER(Timeline!$J$5:$J$305)*(Timeline!$I$5:$I$305&lt;=AY$4+5)*(Timeline!$J$5:$J$305&gt;=AY$4+5)),SUMPRODUCT((INDEX(Timeline!$P$5:$AN$305,0,MATCH($A26,Timeline!$P$4:$AN$4,0))="x")*(Timeline!$K$5:$K$305="Task")*ISNUMBER(Timeline!$I$5:$I$305)*ISNUMBER(Timeline!$J$5:$J$305)*(Timeline!$I$5:$I$305&lt;=AY$4+6)*(Timeline!$J$5:$J$305&gt;=AY$4+6)))</f>
        <v>0</v>
      </c>
      <c r="AZ26" s="67">
        <f>MAX(SUMPRODUCT((INDEX(Timeline!$P$5:$AN$305,0,MATCH($A26,Timeline!$P$4:$AN$4,0))="x")*(Timeline!$K$5:$K$305="Task")*ISNUMBER(Timeline!$I$5:$I$305)*ISNUMBER(Timeline!$J$5:$J$305)*(Timeline!$I$5:$I$305&lt;=AZ$4+0)*(Timeline!$J$5:$J$305&gt;=AZ$4+0)),SUMPRODUCT((INDEX(Timeline!$P$5:$AN$305,0,MATCH($A26,Timeline!$P$4:$AN$4,0))="x")*(Timeline!$K$5:$K$305="Task")*ISNUMBER(Timeline!$I$5:$I$305)*ISNUMBER(Timeline!$J$5:$J$305)*(Timeline!$I$5:$I$305&lt;=AZ$4+1)*(Timeline!$J$5:$J$305&gt;=AZ$4+1)),SUMPRODUCT((INDEX(Timeline!$P$5:$AN$305,0,MATCH($A26,Timeline!$P$4:$AN$4,0))="x")*(Timeline!$K$5:$K$305="Task")*ISNUMBER(Timeline!$I$5:$I$305)*ISNUMBER(Timeline!$J$5:$J$305)*(Timeline!$I$5:$I$305&lt;=AZ$4+2)*(Timeline!$J$5:$J$305&gt;=AZ$4+2)),SUMPRODUCT((INDEX(Timeline!$P$5:$AN$305,0,MATCH($A26,Timeline!$P$4:$AN$4,0))="x")*(Timeline!$K$5:$K$305="Task")*ISNUMBER(Timeline!$I$5:$I$305)*ISNUMBER(Timeline!$J$5:$J$305)*(Timeline!$I$5:$I$305&lt;=AZ$4+3)*(Timeline!$J$5:$J$305&gt;=AZ$4+3)),SUMPRODUCT((INDEX(Timeline!$P$5:$AN$305,0,MATCH($A26,Timeline!$P$4:$AN$4,0))="x")*(Timeline!$K$5:$K$305="Task")*ISNUMBER(Timeline!$I$5:$I$305)*ISNUMBER(Timeline!$J$5:$J$305)*(Timeline!$I$5:$I$305&lt;=AZ$4+4)*(Timeline!$J$5:$J$305&gt;=AZ$4+4)),SUMPRODUCT((INDEX(Timeline!$P$5:$AN$305,0,MATCH($A26,Timeline!$P$4:$AN$4,0))="x")*(Timeline!$K$5:$K$305="Task")*ISNUMBER(Timeline!$I$5:$I$305)*ISNUMBER(Timeline!$J$5:$J$305)*(Timeline!$I$5:$I$305&lt;=AZ$4+5)*(Timeline!$J$5:$J$305&gt;=AZ$4+5)),SUMPRODUCT((INDEX(Timeline!$P$5:$AN$305,0,MATCH($A26,Timeline!$P$4:$AN$4,0))="x")*(Timeline!$K$5:$K$305="Task")*ISNUMBER(Timeline!$I$5:$I$305)*ISNUMBER(Timeline!$J$5:$J$305)*(Timeline!$I$5:$I$305&lt;=AZ$4+6)*(Timeline!$J$5:$J$305&gt;=AZ$4+6)))</f>
        <v>0</v>
      </c>
      <c r="BA26" s="67">
        <f>MAX(SUMPRODUCT((INDEX(Timeline!$P$5:$AN$305,0,MATCH($A26,Timeline!$P$4:$AN$4,0))="x")*(Timeline!$K$5:$K$305="Task")*ISNUMBER(Timeline!$I$5:$I$305)*ISNUMBER(Timeline!$J$5:$J$305)*(Timeline!$I$5:$I$305&lt;=BA$4+0)*(Timeline!$J$5:$J$305&gt;=BA$4+0)),SUMPRODUCT((INDEX(Timeline!$P$5:$AN$305,0,MATCH($A26,Timeline!$P$4:$AN$4,0))="x")*(Timeline!$K$5:$K$305="Task")*ISNUMBER(Timeline!$I$5:$I$305)*ISNUMBER(Timeline!$J$5:$J$305)*(Timeline!$I$5:$I$305&lt;=BA$4+1)*(Timeline!$J$5:$J$305&gt;=BA$4+1)),SUMPRODUCT((INDEX(Timeline!$P$5:$AN$305,0,MATCH($A26,Timeline!$P$4:$AN$4,0))="x")*(Timeline!$K$5:$K$305="Task")*ISNUMBER(Timeline!$I$5:$I$305)*ISNUMBER(Timeline!$J$5:$J$305)*(Timeline!$I$5:$I$305&lt;=BA$4+2)*(Timeline!$J$5:$J$305&gt;=BA$4+2)),SUMPRODUCT((INDEX(Timeline!$P$5:$AN$305,0,MATCH($A26,Timeline!$P$4:$AN$4,0))="x")*(Timeline!$K$5:$K$305="Task")*ISNUMBER(Timeline!$I$5:$I$305)*ISNUMBER(Timeline!$J$5:$J$305)*(Timeline!$I$5:$I$305&lt;=BA$4+3)*(Timeline!$J$5:$J$305&gt;=BA$4+3)),SUMPRODUCT((INDEX(Timeline!$P$5:$AN$305,0,MATCH($A26,Timeline!$P$4:$AN$4,0))="x")*(Timeline!$K$5:$K$305="Task")*ISNUMBER(Timeline!$I$5:$I$305)*ISNUMBER(Timeline!$J$5:$J$305)*(Timeline!$I$5:$I$305&lt;=BA$4+4)*(Timeline!$J$5:$J$305&gt;=BA$4+4)),SUMPRODUCT((INDEX(Timeline!$P$5:$AN$305,0,MATCH($A26,Timeline!$P$4:$AN$4,0))="x")*(Timeline!$K$5:$K$305="Task")*ISNUMBER(Timeline!$I$5:$I$305)*ISNUMBER(Timeline!$J$5:$J$305)*(Timeline!$I$5:$I$305&lt;=BA$4+5)*(Timeline!$J$5:$J$305&gt;=BA$4+5)),SUMPRODUCT((INDEX(Timeline!$P$5:$AN$305,0,MATCH($A26,Timeline!$P$4:$AN$4,0))="x")*(Timeline!$K$5:$K$305="Task")*ISNUMBER(Timeline!$I$5:$I$305)*ISNUMBER(Timeline!$J$5:$J$305)*(Timeline!$I$5:$I$305&lt;=BA$4+6)*(Timeline!$J$5:$J$305&gt;=BA$4+6)))</f>
        <v>0</v>
      </c>
    </row>
    <row r="27" spans="1:53" ht="15" customHeight="1">
      <c r="A27" s="66" t="s">
        <v>58</v>
      </c>
      <c r="B27" s="66" t="s">
        <v>20</v>
      </c>
      <c r="C27" s="67">
        <f>MAX(SUMPRODUCT((INDEX(Timeline!$P$5:$AN$305,0,MATCH($A27,Timeline!$P$4:$AN$4,0))="x")*(Timeline!$K$5:$K$305="Task")*ISNUMBER(Timeline!$I$5:$I$305)*ISNUMBER(Timeline!$J$5:$J$305)*(Timeline!$I$5:$I$305&lt;=C$4+0)*(Timeline!$J$5:$J$305&gt;=C$4+0)),SUMPRODUCT((INDEX(Timeline!$P$5:$AN$305,0,MATCH($A27,Timeline!$P$4:$AN$4,0))="x")*(Timeline!$K$5:$K$305="Task")*ISNUMBER(Timeline!$I$5:$I$305)*ISNUMBER(Timeline!$J$5:$J$305)*(Timeline!$I$5:$I$305&lt;=C$4+1)*(Timeline!$J$5:$J$305&gt;=C$4+1)),SUMPRODUCT((INDEX(Timeline!$P$5:$AN$305,0,MATCH($A27,Timeline!$P$4:$AN$4,0))="x")*(Timeline!$K$5:$K$305="Task")*ISNUMBER(Timeline!$I$5:$I$305)*ISNUMBER(Timeline!$J$5:$J$305)*(Timeline!$I$5:$I$305&lt;=C$4+2)*(Timeline!$J$5:$J$305&gt;=C$4+2)),SUMPRODUCT((INDEX(Timeline!$P$5:$AN$305,0,MATCH($A27,Timeline!$P$4:$AN$4,0))="x")*(Timeline!$K$5:$K$305="Task")*ISNUMBER(Timeline!$I$5:$I$305)*ISNUMBER(Timeline!$J$5:$J$305)*(Timeline!$I$5:$I$305&lt;=C$4+3)*(Timeline!$J$5:$J$305&gt;=C$4+3)),SUMPRODUCT((INDEX(Timeline!$P$5:$AN$305,0,MATCH($A27,Timeline!$P$4:$AN$4,0))="x")*(Timeline!$K$5:$K$305="Task")*ISNUMBER(Timeline!$I$5:$I$305)*ISNUMBER(Timeline!$J$5:$J$305)*(Timeline!$I$5:$I$305&lt;=C$4+4)*(Timeline!$J$5:$J$305&gt;=C$4+4)),SUMPRODUCT((INDEX(Timeline!$P$5:$AN$305,0,MATCH($A27,Timeline!$P$4:$AN$4,0))="x")*(Timeline!$K$5:$K$305="Task")*ISNUMBER(Timeline!$I$5:$I$305)*ISNUMBER(Timeline!$J$5:$J$305)*(Timeline!$I$5:$I$305&lt;=C$4+5)*(Timeline!$J$5:$J$305&gt;=C$4+5)),SUMPRODUCT((INDEX(Timeline!$P$5:$AN$305,0,MATCH($A27,Timeline!$P$4:$AN$4,0))="x")*(Timeline!$K$5:$K$305="Task")*ISNUMBER(Timeline!$I$5:$I$305)*ISNUMBER(Timeline!$J$5:$J$305)*(Timeline!$I$5:$I$305&lt;=C$4+6)*(Timeline!$J$5:$J$305&gt;=C$4+6)))</f>
        <v>0</v>
      </c>
      <c r="D27" s="67">
        <f>MAX(SUMPRODUCT((INDEX(Timeline!$P$5:$AN$305,0,MATCH($A27,Timeline!$P$4:$AN$4,0))="x")*(Timeline!$K$5:$K$305="Task")*ISNUMBER(Timeline!$I$5:$I$305)*ISNUMBER(Timeline!$J$5:$J$305)*(Timeline!$I$5:$I$305&lt;=D$4+0)*(Timeline!$J$5:$J$305&gt;=D$4+0)),SUMPRODUCT((INDEX(Timeline!$P$5:$AN$305,0,MATCH($A27,Timeline!$P$4:$AN$4,0))="x")*(Timeline!$K$5:$K$305="Task")*ISNUMBER(Timeline!$I$5:$I$305)*ISNUMBER(Timeline!$J$5:$J$305)*(Timeline!$I$5:$I$305&lt;=D$4+1)*(Timeline!$J$5:$J$305&gt;=D$4+1)),SUMPRODUCT((INDEX(Timeline!$P$5:$AN$305,0,MATCH($A27,Timeline!$P$4:$AN$4,0))="x")*(Timeline!$K$5:$K$305="Task")*ISNUMBER(Timeline!$I$5:$I$305)*ISNUMBER(Timeline!$J$5:$J$305)*(Timeline!$I$5:$I$305&lt;=D$4+2)*(Timeline!$J$5:$J$305&gt;=D$4+2)),SUMPRODUCT((INDEX(Timeline!$P$5:$AN$305,0,MATCH($A27,Timeline!$P$4:$AN$4,0))="x")*(Timeline!$K$5:$K$305="Task")*ISNUMBER(Timeline!$I$5:$I$305)*ISNUMBER(Timeline!$J$5:$J$305)*(Timeline!$I$5:$I$305&lt;=D$4+3)*(Timeline!$J$5:$J$305&gt;=D$4+3)),SUMPRODUCT((INDEX(Timeline!$P$5:$AN$305,0,MATCH($A27,Timeline!$P$4:$AN$4,0))="x")*(Timeline!$K$5:$K$305="Task")*ISNUMBER(Timeline!$I$5:$I$305)*ISNUMBER(Timeline!$J$5:$J$305)*(Timeline!$I$5:$I$305&lt;=D$4+4)*(Timeline!$J$5:$J$305&gt;=D$4+4)),SUMPRODUCT((INDEX(Timeline!$P$5:$AN$305,0,MATCH($A27,Timeline!$P$4:$AN$4,0))="x")*(Timeline!$K$5:$K$305="Task")*ISNUMBER(Timeline!$I$5:$I$305)*ISNUMBER(Timeline!$J$5:$J$305)*(Timeline!$I$5:$I$305&lt;=D$4+5)*(Timeline!$J$5:$J$305&gt;=D$4+5)),SUMPRODUCT((INDEX(Timeline!$P$5:$AN$305,0,MATCH($A27,Timeline!$P$4:$AN$4,0))="x")*(Timeline!$K$5:$K$305="Task")*ISNUMBER(Timeline!$I$5:$I$305)*ISNUMBER(Timeline!$J$5:$J$305)*(Timeline!$I$5:$I$305&lt;=D$4+6)*(Timeline!$J$5:$J$305&gt;=D$4+6)))</f>
        <v>0</v>
      </c>
      <c r="E27" s="67">
        <f>MAX(SUMPRODUCT((INDEX(Timeline!$P$5:$AN$305,0,MATCH($A27,Timeline!$P$4:$AN$4,0))="x")*(Timeline!$K$5:$K$305="Task")*ISNUMBER(Timeline!$I$5:$I$305)*ISNUMBER(Timeline!$J$5:$J$305)*(Timeline!$I$5:$I$305&lt;=E$4+0)*(Timeline!$J$5:$J$305&gt;=E$4+0)),SUMPRODUCT((INDEX(Timeline!$P$5:$AN$305,0,MATCH($A27,Timeline!$P$4:$AN$4,0))="x")*(Timeline!$K$5:$K$305="Task")*ISNUMBER(Timeline!$I$5:$I$305)*ISNUMBER(Timeline!$J$5:$J$305)*(Timeline!$I$5:$I$305&lt;=E$4+1)*(Timeline!$J$5:$J$305&gt;=E$4+1)),SUMPRODUCT((INDEX(Timeline!$P$5:$AN$305,0,MATCH($A27,Timeline!$P$4:$AN$4,0))="x")*(Timeline!$K$5:$K$305="Task")*ISNUMBER(Timeline!$I$5:$I$305)*ISNUMBER(Timeline!$J$5:$J$305)*(Timeline!$I$5:$I$305&lt;=E$4+2)*(Timeline!$J$5:$J$305&gt;=E$4+2)),SUMPRODUCT((INDEX(Timeline!$P$5:$AN$305,0,MATCH($A27,Timeline!$P$4:$AN$4,0))="x")*(Timeline!$K$5:$K$305="Task")*ISNUMBER(Timeline!$I$5:$I$305)*ISNUMBER(Timeline!$J$5:$J$305)*(Timeline!$I$5:$I$305&lt;=E$4+3)*(Timeline!$J$5:$J$305&gt;=E$4+3)),SUMPRODUCT((INDEX(Timeline!$P$5:$AN$305,0,MATCH($A27,Timeline!$P$4:$AN$4,0))="x")*(Timeline!$K$5:$K$305="Task")*ISNUMBER(Timeline!$I$5:$I$305)*ISNUMBER(Timeline!$J$5:$J$305)*(Timeline!$I$5:$I$305&lt;=E$4+4)*(Timeline!$J$5:$J$305&gt;=E$4+4)),SUMPRODUCT((INDEX(Timeline!$P$5:$AN$305,0,MATCH($A27,Timeline!$P$4:$AN$4,0))="x")*(Timeline!$K$5:$K$305="Task")*ISNUMBER(Timeline!$I$5:$I$305)*ISNUMBER(Timeline!$J$5:$J$305)*(Timeline!$I$5:$I$305&lt;=E$4+5)*(Timeline!$J$5:$J$305&gt;=E$4+5)),SUMPRODUCT((INDEX(Timeline!$P$5:$AN$305,0,MATCH($A27,Timeline!$P$4:$AN$4,0))="x")*(Timeline!$K$5:$K$305="Task")*ISNUMBER(Timeline!$I$5:$I$305)*ISNUMBER(Timeline!$J$5:$J$305)*(Timeline!$I$5:$I$305&lt;=E$4+6)*(Timeline!$J$5:$J$305&gt;=E$4+6)))</f>
        <v>0</v>
      </c>
      <c r="F27" s="67">
        <f>MAX(SUMPRODUCT((INDEX(Timeline!$P$5:$AN$305,0,MATCH($A27,Timeline!$P$4:$AN$4,0))="x")*(Timeline!$K$5:$K$305="Task")*ISNUMBER(Timeline!$I$5:$I$305)*ISNUMBER(Timeline!$J$5:$J$305)*(Timeline!$I$5:$I$305&lt;=F$4+0)*(Timeline!$J$5:$J$305&gt;=F$4+0)),SUMPRODUCT((INDEX(Timeline!$P$5:$AN$305,0,MATCH($A27,Timeline!$P$4:$AN$4,0))="x")*(Timeline!$K$5:$K$305="Task")*ISNUMBER(Timeline!$I$5:$I$305)*ISNUMBER(Timeline!$J$5:$J$305)*(Timeline!$I$5:$I$305&lt;=F$4+1)*(Timeline!$J$5:$J$305&gt;=F$4+1)),SUMPRODUCT((INDEX(Timeline!$P$5:$AN$305,0,MATCH($A27,Timeline!$P$4:$AN$4,0))="x")*(Timeline!$K$5:$K$305="Task")*ISNUMBER(Timeline!$I$5:$I$305)*ISNUMBER(Timeline!$J$5:$J$305)*(Timeline!$I$5:$I$305&lt;=F$4+2)*(Timeline!$J$5:$J$305&gt;=F$4+2)),SUMPRODUCT((INDEX(Timeline!$P$5:$AN$305,0,MATCH($A27,Timeline!$P$4:$AN$4,0))="x")*(Timeline!$K$5:$K$305="Task")*ISNUMBER(Timeline!$I$5:$I$305)*ISNUMBER(Timeline!$J$5:$J$305)*(Timeline!$I$5:$I$305&lt;=F$4+3)*(Timeline!$J$5:$J$305&gt;=F$4+3)),SUMPRODUCT((INDEX(Timeline!$P$5:$AN$305,0,MATCH($A27,Timeline!$P$4:$AN$4,0))="x")*(Timeline!$K$5:$K$305="Task")*ISNUMBER(Timeline!$I$5:$I$305)*ISNUMBER(Timeline!$J$5:$J$305)*(Timeline!$I$5:$I$305&lt;=F$4+4)*(Timeline!$J$5:$J$305&gt;=F$4+4)),SUMPRODUCT((INDEX(Timeline!$P$5:$AN$305,0,MATCH($A27,Timeline!$P$4:$AN$4,0))="x")*(Timeline!$K$5:$K$305="Task")*ISNUMBER(Timeline!$I$5:$I$305)*ISNUMBER(Timeline!$J$5:$J$305)*(Timeline!$I$5:$I$305&lt;=F$4+5)*(Timeline!$J$5:$J$305&gt;=F$4+5)),SUMPRODUCT((INDEX(Timeline!$P$5:$AN$305,0,MATCH($A27,Timeline!$P$4:$AN$4,0))="x")*(Timeline!$K$5:$K$305="Task")*ISNUMBER(Timeline!$I$5:$I$305)*ISNUMBER(Timeline!$J$5:$J$305)*(Timeline!$I$5:$I$305&lt;=F$4+6)*(Timeline!$J$5:$J$305&gt;=F$4+6)))</f>
        <v>1</v>
      </c>
      <c r="G27" s="67">
        <f>MAX(SUMPRODUCT((INDEX(Timeline!$P$5:$AN$305,0,MATCH($A27,Timeline!$P$4:$AN$4,0))="x")*(Timeline!$K$5:$K$305="Task")*ISNUMBER(Timeline!$I$5:$I$305)*ISNUMBER(Timeline!$J$5:$J$305)*(Timeline!$I$5:$I$305&lt;=G$4+0)*(Timeline!$J$5:$J$305&gt;=G$4+0)),SUMPRODUCT((INDEX(Timeline!$P$5:$AN$305,0,MATCH($A27,Timeline!$P$4:$AN$4,0))="x")*(Timeline!$K$5:$K$305="Task")*ISNUMBER(Timeline!$I$5:$I$305)*ISNUMBER(Timeline!$J$5:$J$305)*(Timeline!$I$5:$I$305&lt;=G$4+1)*(Timeline!$J$5:$J$305&gt;=G$4+1)),SUMPRODUCT((INDEX(Timeline!$P$5:$AN$305,0,MATCH($A27,Timeline!$P$4:$AN$4,0))="x")*(Timeline!$K$5:$K$305="Task")*ISNUMBER(Timeline!$I$5:$I$305)*ISNUMBER(Timeline!$J$5:$J$305)*(Timeline!$I$5:$I$305&lt;=G$4+2)*(Timeline!$J$5:$J$305&gt;=G$4+2)),SUMPRODUCT((INDEX(Timeline!$P$5:$AN$305,0,MATCH($A27,Timeline!$P$4:$AN$4,0))="x")*(Timeline!$K$5:$K$305="Task")*ISNUMBER(Timeline!$I$5:$I$305)*ISNUMBER(Timeline!$J$5:$J$305)*(Timeline!$I$5:$I$305&lt;=G$4+3)*(Timeline!$J$5:$J$305&gt;=G$4+3)),SUMPRODUCT((INDEX(Timeline!$P$5:$AN$305,0,MATCH($A27,Timeline!$P$4:$AN$4,0))="x")*(Timeline!$K$5:$K$305="Task")*ISNUMBER(Timeline!$I$5:$I$305)*ISNUMBER(Timeline!$J$5:$J$305)*(Timeline!$I$5:$I$305&lt;=G$4+4)*(Timeline!$J$5:$J$305&gt;=G$4+4)),SUMPRODUCT((INDEX(Timeline!$P$5:$AN$305,0,MATCH($A27,Timeline!$P$4:$AN$4,0))="x")*(Timeline!$K$5:$K$305="Task")*ISNUMBER(Timeline!$I$5:$I$305)*ISNUMBER(Timeline!$J$5:$J$305)*(Timeline!$I$5:$I$305&lt;=G$4+5)*(Timeline!$J$5:$J$305&gt;=G$4+5)),SUMPRODUCT((INDEX(Timeline!$P$5:$AN$305,0,MATCH($A27,Timeline!$P$4:$AN$4,0))="x")*(Timeline!$K$5:$K$305="Task")*ISNUMBER(Timeline!$I$5:$I$305)*ISNUMBER(Timeline!$J$5:$J$305)*(Timeline!$I$5:$I$305&lt;=G$4+6)*(Timeline!$J$5:$J$305&gt;=G$4+6)))</f>
        <v>1</v>
      </c>
      <c r="H27" s="67">
        <f>MAX(SUMPRODUCT((INDEX(Timeline!$P$5:$AN$305,0,MATCH($A27,Timeline!$P$4:$AN$4,0))="x")*(Timeline!$K$5:$K$305="Task")*ISNUMBER(Timeline!$I$5:$I$305)*ISNUMBER(Timeline!$J$5:$J$305)*(Timeline!$I$5:$I$305&lt;=H$4+0)*(Timeline!$J$5:$J$305&gt;=H$4+0)),SUMPRODUCT((INDEX(Timeline!$P$5:$AN$305,0,MATCH($A27,Timeline!$P$4:$AN$4,0))="x")*(Timeline!$K$5:$K$305="Task")*ISNUMBER(Timeline!$I$5:$I$305)*ISNUMBER(Timeline!$J$5:$J$305)*(Timeline!$I$5:$I$305&lt;=H$4+1)*(Timeline!$J$5:$J$305&gt;=H$4+1)),SUMPRODUCT((INDEX(Timeline!$P$5:$AN$305,0,MATCH($A27,Timeline!$P$4:$AN$4,0))="x")*(Timeline!$K$5:$K$305="Task")*ISNUMBER(Timeline!$I$5:$I$305)*ISNUMBER(Timeline!$J$5:$J$305)*(Timeline!$I$5:$I$305&lt;=H$4+2)*(Timeline!$J$5:$J$305&gt;=H$4+2)),SUMPRODUCT((INDEX(Timeline!$P$5:$AN$305,0,MATCH($A27,Timeline!$P$4:$AN$4,0))="x")*(Timeline!$K$5:$K$305="Task")*ISNUMBER(Timeline!$I$5:$I$305)*ISNUMBER(Timeline!$J$5:$J$305)*(Timeline!$I$5:$I$305&lt;=H$4+3)*(Timeline!$J$5:$J$305&gt;=H$4+3)),SUMPRODUCT((INDEX(Timeline!$P$5:$AN$305,0,MATCH($A27,Timeline!$P$4:$AN$4,0))="x")*(Timeline!$K$5:$K$305="Task")*ISNUMBER(Timeline!$I$5:$I$305)*ISNUMBER(Timeline!$J$5:$J$305)*(Timeline!$I$5:$I$305&lt;=H$4+4)*(Timeline!$J$5:$J$305&gt;=H$4+4)),SUMPRODUCT((INDEX(Timeline!$P$5:$AN$305,0,MATCH($A27,Timeline!$P$4:$AN$4,0))="x")*(Timeline!$K$5:$K$305="Task")*ISNUMBER(Timeline!$I$5:$I$305)*ISNUMBER(Timeline!$J$5:$J$305)*(Timeline!$I$5:$I$305&lt;=H$4+5)*(Timeline!$J$5:$J$305&gt;=H$4+5)),SUMPRODUCT((INDEX(Timeline!$P$5:$AN$305,0,MATCH($A27,Timeline!$P$4:$AN$4,0))="x")*(Timeline!$K$5:$K$305="Task")*ISNUMBER(Timeline!$I$5:$I$305)*ISNUMBER(Timeline!$J$5:$J$305)*(Timeline!$I$5:$I$305&lt;=H$4+6)*(Timeline!$J$5:$J$305&gt;=H$4+6)))</f>
        <v>0</v>
      </c>
      <c r="I27" s="67">
        <f>MAX(SUMPRODUCT((INDEX(Timeline!$P$5:$AN$305,0,MATCH($A27,Timeline!$P$4:$AN$4,0))="x")*(Timeline!$K$5:$K$305="Task")*ISNUMBER(Timeline!$I$5:$I$305)*ISNUMBER(Timeline!$J$5:$J$305)*(Timeline!$I$5:$I$305&lt;=I$4+0)*(Timeline!$J$5:$J$305&gt;=I$4+0)),SUMPRODUCT((INDEX(Timeline!$P$5:$AN$305,0,MATCH($A27,Timeline!$P$4:$AN$4,0))="x")*(Timeline!$K$5:$K$305="Task")*ISNUMBER(Timeline!$I$5:$I$305)*ISNUMBER(Timeline!$J$5:$J$305)*(Timeline!$I$5:$I$305&lt;=I$4+1)*(Timeline!$J$5:$J$305&gt;=I$4+1)),SUMPRODUCT((INDEX(Timeline!$P$5:$AN$305,0,MATCH($A27,Timeline!$P$4:$AN$4,0))="x")*(Timeline!$K$5:$K$305="Task")*ISNUMBER(Timeline!$I$5:$I$305)*ISNUMBER(Timeline!$J$5:$J$305)*(Timeline!$I$5:$I$305&lt;=I$4+2)*(Timeline!$J$5:$J$305&gt;=I$4+2)),SUMPRODUCT((INDEX(Timeline!$P$5:$AN$305,0,MATCH($A27,Timeline!$P$4:$AN$4,0))="x")*(Timeline!$K$5:$K$305="Task")*ISNUMBER(Timeline!$I$5:$I$305)*ISNUMBER(Timeline!$J$5:$J$305)*(Timeline!$I$5:$I$305&lt;=I$4+3)*(Timeline!$J$5:$J$305&gt;=I$4+3)),SUMPRODUCT((INDEX(Timeline!$P$5:$AN$305,0,MATCH($A27,Timeline!$P$4:$AN$4,0))="x")*(Timeline!$K$5:$K$305="Task")*ISNUMBER(Timeline!$I$5:$I$305)*ISNUMBER(Timeline!$J$5:$J$305)*(Timeline!$I$5:$I$305&lt;=I$4+4)*(Timeline!$J$5:$J$305&gt;=I$4+4)),SUMPRODUCT((INDEX(Timeline!$P$5:$AN$305,0,MATCH($A27,Timeline!$P$4:$AN$4,0))="x")*(Timeline!$K$5:$K$305="Task")*ISNUMBER(Timeline!$I$5:$I$305)*ISNUMBER(Timeline!$J$5:$J$305)*(Timeline!$I$5:$I$305&lt;=I$4+5)*(Timeline!$J$5:$J$305&gt;=I$4+5)),SUMPRODUCT((INDEX(Timeline!$P$5:$AN$305,0,MATCH($A27,Timeline!$P$4:$AN$4,0))="x")*(Timeline!$K$5:$K$305="Task")*ISNUMBER(Timeline!$I$5:$I$305)*ISNUMBER(Timeline!$J$5:$J$305)*(Timeline!$I$5:$I$305&lt;=I$4+6)*(Timeline!$J$5:$J$305&gt;=I$4+6)))</f>
        <v>1</v>
      </c>
      <c r="J27" s="67">
        <f>MAX(SUMPRODUCT((INDEX(Timeline!$P$5:$AN$305,0,MATCH($A27,Timeline!$P$4:$AN$4,0))="x")*(Timeline!$K$5:$K$305="Task")*ISNUMBER(Timeline!$I$5:$I$305)*ISNUMBER(Timeline!$J$5:$J$305)*(Timeline!$I$5:$I$305&lt;=J$4+0)*(Timeline!$J$5:$J$305&gt;=J$4+0)),SUMPRODUCT((INDEX(Timeline!$P$5:$AN$305,0,MATCH($A27,Timeline!$P$4:$AN$4,0))="x")*(Timeline!$K$5:$K$305="Task")*ISNUMBER(Timeline!$I$5:$I$305)*ISNUMBER(Timeline!$J$5:$J$305)*(Timeline!$I$5:$I$305&lt;=J$4+1)*(Timeline!$J$5:$J$305&gt;=J$4+1)),SUMPRODUCT((INDEX(Timeline!$P$5:$AN$305,0,MATCH($A27,Timeline!$P$4:$AN$4,0))="x")*(Timeline!$K$5:$K$305="Task")*ISNUMBER(Timeline!$I$5:$I$305)*ISNUMBER(Timeline!$J$5:$J$305)*(Timeline!$I$5:$I$305&lt;=J$4+2)*(Timeline!$J$5:$J$305&gt;=J$4+2)),SUMPRODUCT((INDEX(Timeline!$P$5:$AN$305,0,MATCH($A27,Timeline!$P$4:$AN$4,0))="x")*(Timeline!$K$5:$K$305="Task")*ISNUMBER(Timeline!$I$5:$I$305)*ISNUMBER(Timeline!$J$5:$J$305)*(Timeline!$I$5:$I$305&lt;=J$4+3)*(Timeline!$J$5:$J$305&gt;=J$4+3)),SUMPRODUCT((INDEX(Timeline!$P$5:$AN$305,0,MATCH($A27,Timeline!$P$4:$AN$4,0))="x")*(Timeline!$K$5:$K$305="Task")*ISNUMBER(Timeline!$I$5:$I$305)*ISNUMBER(Timeline!$J$5:$J$305)*(Timeline!$I$5:$I$305&lt;=J$4+4)*(Timeline!$J$5:$J$305&gt;=J$4+4)),SUMPRODUCT((INDEX(Timeline!$P$5:$AN$305,0,MATCH($A27,Timeline!$P$4:$AN$4,0))="x")*(Timeline!$K$5:$K$305="Task")*ISNUMBER(Timeline!$I$5:$I$305)*ISNUMBER(Timeline!$J$5:$J$305)*(Timeline!$I$5:$I$305&lt;=J$4+5)*(Timeline!$J$5:$J$305&gt;=J$4+5)),SUMPRODUCT((INDEX(Timeline!$P$5:$AN$305,0,MATCH($A27,Timeline!$P$4:$AN$4,0))="x")*(Timeline!$K$5:$K$305="Task")*ISNUMBER(Timeline!$I$5:$I$305)*ISNUMBER(Timeline!$J$5:$J$305)*(Timeline!$I$5:$I$305&lt;=J$4+6)*(Timeline!$J$5:$J$305&gt;=J$4+6)))</f>
        <v>0</v>
      </c>
      <c r="K27" s="67">
        <f>MAX(SUMPRODUCT((INDEX(Timeline!$P$5:$AN$305,0,MATCH($A27,Timeline!$P$4:$AN$4,0))="x")*(Timeline!$K$5:$K$305="Task")*ISNUMBER(Timeline!$I$5:$I$305)*ISNUMBER(Timeline!$J$5:$J$305)*(Timeline!$I$5:$I$305&lt;=K$4+0)*(Timeline!$J$5:$J$305&gt;=K$4+0)),SUMPRODUCT((INDEX(Timeline!$P$5:$AN$305,0,MATCH($A27,Timeline!$P$4:$AN$4,0))="x")*(Timeline!$K$5:$K$305="Task")*ISNUMBER(Timeline!$I$5:$I$305)*ISNUMBER(Timeline!$J$5:$J$305)*(Timeline!$I$5:$I$305&lt;=K$4+1)*(Timeline!$J$5:$J$305&gt;=K$4+1)),SUMPRODUCT((INDEX(Timeline!$P$5:$AN$305,0,MATCH($A27,Timeline!$P$4:$AN$4,0))="x")*(Timeline!$K$5:$K$305="Task")*ISNUMBER(Timeline!$I$5:$I$305)*ISNUMBER(Timeline!$J$5:$J$305)*(Timeline!$I$5:$I$305&lt;=K$4+2)*(Timeline!$J$5:$J$305&gt;=K$4+2)),SUMPRODUCT((INDEX(Timeline!$P$5:$AN$305,0,MATCH($A27,Timeline!$P$4:$AN$4,0))="x")*(Timeline!$K$5:$K$305="Task")*ISNUMBER(Timeline!$I$5:$I$305)*ISNUMBER(Timeline!$J$5:$J$305)*(Timeline!$I$5:$I$305&lt;=K$4+3)*(Timeline!$J$5:$J$305&gt;=K$4+3)),SUMPRODUCT((INDEX(Timeline!$P$5:$AN$305,0,MATCH($A27,Timeline!$P$4:$AN$4,0))="x")*(Timeline!$K$5:$K$305="Task")*ISNUMBER(Timeline!$I$5:$I$305)*ISNUMBER(Timeline!$J$5:$J$305)*(Timeline!$I$5:$I$305&lt;=K$4+4)*(Timeline!$J$5:$J$305&gt;=K$4+4)),SUMPRODUCT((INDEX(Timeline!$P$5:$AN$305,0,MATCH($A27,Timeline!$P$4:$AN$4,0))="x")*(Timeline!$K$5:$K$305="Task")*ISNUMBER(Timeline!$I$5:$I$305)*ISNUMBER(Timeline!$J$5:$J$305)*(Timeline!$I$5:$I$305&lt;=K$4+5)*(Timeline!$J$5:$J$305&gt;=K$4+5)),SUMPRODUCT((INDEX(Timeline!$P$5:$AN$305,0,MATCH($A27,Timeline!$P$4:$AN$4,0))="x")*(Timeline!$K$5:$K$305="Task")*ISNUMBER(Timeline!$I$5:$I$305)*ISNUMBER(Timeline!$J$5:$J$305)*(Timeline!$I$5:$I$305&lt;=K$4+6)*(Timeline!$J$5:$J$305&gt;=K$4+6)))</f>
        <v>5</v>
      </c>
      <c r="L27" s="67">
        <f>MAX(SUMPRODUCT((INDEX(Timeline!$P$5:$AN$305,0,MATCH($A27,Timeline!$P$4:$AN$4,0))="x")*(Timeline!$K$5:$K$305="Task")*ISNUMBER(Timeline!$I$5:$I$305)*ISNUMBER(Timeline!$J$5:$J$305)*(Timeline!$I$5:$I$305&lt;=L$4+0)*(Timeline!$J$5:$J$305&gt;=L$4+0)),SUMPRODUCT((INDEX(Timeline!$P$5:$AN$305,0,MATCH($A27,Timeline!$P$4:$AN$4,0))="x")*(Timeline!$K$5:$K$305="Task")*ISNUMBER(Timeline!$I$5:$I$305)*ISNUMBER(Timeline!$J$5:$J$305)*(Timeline!$I$5:$I$305&lt;=L$4+1)*(Timeline!$J$5:$J$305&gt;=L$4+1)),SUMPRODUCT((INDEX(Timeline!$P$5:$AN$305,0,MATCH($A27,Timeline!$P$4:$AN$4,0))="x")*(Timeline!$K$5:$K$305="Task")*ISNUMBER(Timeline!$I$5:$I$305)*ISNUMBER(Timeline!$J$5:$J$305)*(Timeline!$I$5:$I$305&lt;=L$4+2)*(Timeline!$J$5:$J$305&gt;=L$4+2)),SUMPRODUCT((INDEX(Timeline!$P$5:$AN$305,0,MATCH($A27,Timeline!$P$4:$AN$4,0))="x")*(Timeline!$K$5:$K$305="Task")*ISNUMBER(Timeline!$I$5:$I$305)*ISNUMBER(Timeline!$J$5:$J$305)*(Timeline!$I$5:$I$305&lt;=L$4+3)*(Timeline!$J$5:$J$305&gt;=L$4+3)),SUMPRODUCT((INDEX(Timeline!$P$5:$AN$305,0,MATCH($A27,Timeline!$P$4:$AN$4,0))="x")*(Timeline!$K$5:$K$305="Task")*ISNUMBER(Timeline!$I$5:$I$305)*ISNUMBER(Timeline!$J$5:$J$305)*(Timeline!$I$5:$I$305&lt;=L$4+4)*(Timeline!$J$5:$J$305&gt;=L$4+4)),SUMPRODUCT((INDEX(Timeline!$P$5:$AN$305,0,MATCH($A27,Timeline!$P$4:$AN$4,0))="x")*(Timeline!$K$5:$K$305="Task")*ISNUMBER(Timeline!$I$5:$I$305)*ISNUMBER(Timeline!$J$5:$J$305)*(Timeline!$I$5:$I$305&lt;=L$4+5)*(Timeline!$J$5:$J$305&gt;=L$4+5)),SUMPRODUCT((INDEX(Timeline!$P$5:$AN$305,0,MATCH($A27,Timeline!$P$4:$AN$4,0))="x")*(Timeline!$K$5:$K$305="Task")*ISNUMBER(Timeline!$I$5:$I$305)*ISNUMBER(Timeline!$J$5:$J$305)*(Timeline!$I$5:$I$305&lt;=L$4+6)*(Timeline!$J$5:$J$305&gt;=L$4+6)))</f>
        <v>5</v>
      </c>
      <c r="M27" s="67">
        <f>MAX(SUMPRODUCT((INDEX(Timeline!$P$5:$AN$305,0,MATCH($A27,Timeline!$P$4:$AN$4,0))="x")*(Timeline!$K$5:$K$305="Task")*ISNUMBER(Timeline!$I$5:$I$305)*ISNUMBER(Timeline!$J$5:$J$305)*(Timeline!$I$5:$I$305&lt;=M$4+0)*(Timeline!$J$5:$J$305&gt;=M$4+0)),SUMPRODUCT((INDEX(Timeline!$P$5:$AN$305,0,MATCH($A27,Timeline!$P$4:$AN$4,0))="x")*(Timeline!$K$5:$K$305="Task")*ISNUMBER(Timeline!$I$5:$I$305)*ISNUMBER(Timeline!$J$5:$J$305)*(Timeline!$I$5:$I$305&lt;=M$4+1)*(Timeline!$J$5:$J$305&gt;=M$4+1)),SUMPRODUCT((INDEX(Timeline!$P$5:$AN$305,0,MATCH($A27,Timeline!$P$4:$AN$4,0))="x")*(Timeline!$K$5:$K$305="Task")*ISNUMBER(Timeline!$I$5:$I$305)*ISNUMBER(Timeline!$J$5:$J$305)*(Timeline!$I$5:$I$305&lt;=M$4+2)*(Timeline!$J$5:$J$305&gt;=M$4+2)),SUMPRODUCT((INDEX(Timeline!$P$5:$AN$305,0,MATCH($A27,Timeline!$P$4:$AN$4,0))="x")*(Timeline!$K$5:$K$305="Task")*ISNUMBER(Timeline!$I$5:$I$305)*ISNUMBER(Timeline!$J$5:$J$305)*(Timeline!$I$5:$I$305&lt;=M$4+3)*(Timeline!$J$5:$J$305&gt;=M$4+3)),SUMPRODUCT((INDEX(Timeline!$P$5:$AN$305,0,MATCH($A27,Timeline!$P$4:$AN$4,0))="x")*(Timeline!$K$5:$K$305="Task")*ISNUMBER(Timeline!$I$5:$I$305)*ISNUMBER(Timeline!$J$5:$J$305)*(Timeline!$I$5:$I$305&lt;=M$4+4)*(Timeline!$J$5:$J$305&gt;=M$4+4)),SUMPRODUCT((INDEX(Timeline!$P$5:$AN$305,0,MATCH($A27,Timeline!$P$4:$AN$4,0))="x")*(Timeline!$K$5:$K$305="Task")*ISNUMBER(Timeline!$I$5:$I$305)*ISNUMBER(Timeline!$J$5:$J$305)*(Timeline!$I$5:$I$305&lt;=M$4+5)*(Timeline!$J$5:$J$305&gt;=M$4+5)),SUMPRODUCT((INDEX(Timeline!$P$5:$AN$305,0,MATCH($A27,Timeline!$P$4:$AN$4,0))="x")*(Timeline!$K$5:$K$305="Task")*ISNUMBER(Timeline!$I$5:$I$305)*ISNUMBER(Timeline!$J$5:$J$305)*(Timeline!$I$5:$I$305&lt;=M$4+6)*(Timeline!$J$5:$J$305&gt;=M$4+6)))</f>
        <v>1</v>
      </c>
      <c r="N27" s="67">
        <f>MAX(SUMPRODUCT((INDEX(Timeline!$P$5:$AN$305,0,MATCH($A27,Timeline!$P$4:$AN$4,0))="x")*(Timeline!$K$5:$K$305="Task")*ISNUMBER(Timeline!$I$5:$I$305)*ISNUMBER(Timeline!$J$5:$J$305)*(Timeline!$I$5:$I$305&lt;=N$4+0)*(Timeline!$J$5:$J$305&gt;=N$4+0)),SUMPRODUCT((INDEX(Timeline!$P$5:$AN$305,0,MATCH($A27,Timeline!$P$4:$AN$4,0))="x")*(Timeline!$K$5:$K$305="Task")*ISNUMBER(Timeline!$I$5:$I$305)*ISNUMBER(Timeline!$J$5:$J$305)*(Timeline!$I$5:$I$305&lt;=N$4+1)*(Timeline!$J$5:$J$305&gt;=N$4+1)),SUMPRODUCT((INDEX(Timeline!$P$5:$AN$305,0,MATCH($A27,Timeline!$P$4:$AN$4,0))="x")*(Timeline!$K$5:$K$305="Task")*ISNUMBER(Timeline!$I$5:$I$305)*ISNUMBER(Timeline!$J$5:$J$305)*(Timeline!$I$5:$I$305&lt;=N$4+2)*(Timeline!$J$5:$J$305&gt;=N$4+2)),SUMPRODUCT((INDEX(Timeline!$P$5:$AN$305,0,MATCH($A27,Timeline!$P$4:$AN$4,0))="x")*(Timeline!$K$5:$K$305="Task")*ISNUMBER(Timeline!$I$5:$I$305)*ISNUMBER(Timeline!$J$5:$J$305)*(Timeline!$I$5:$I$305&lt;=N$4+3)*(Timeline!$J$5:$J$305&gt;=N$4+3)),SUMPRODUCT((INDEX(Timeline!$P$5:$AN$305,0,MATCH($A27,Timeline!$P$4:$AN$4,0))="x")*(Timeline!$K$5:$K$305="Task")*ISNUMBER(Timeline!$I$5:$I$305)*ISNUMBER(Timeline!$J$5:$J$305)*(Timeline!$I$5:$I$305&lt;=N$4+4)*(Timeline!$J$5:$J$305&gt;=N$4+4)),SUMPRODUCT((INDEX(Timeline!$P$5:$AN$305,0,MATCH($A27,Timeline!$P$4:$AN$4,0))="x")*(Timeline!$K$5:$K$305="Task")*ISNUMBER(Timeline!$I$5:$I$305)*ISNUMBER(Timeline!$J$5:$J$305)*(Timeline!$I$5:$I$305&lt;=N$4+5)*(Timeline!$J$5:$J$305&gt;=N$4+5)),SUMPRODUCT((INDEX(Timeline!$P$5:$AN$305,0,MATCH($A27,Timeline!$P$4:$AN$4,0))="x")*(Timeline!$K$5:$K$305="Task")*ISNUMBER(Timeline!$I$5:$I$305)*ISNUMBER(Timeline!$J$5:$J$305)*(Timeline!$I$5:$I$305&lt;=N$4+6)*(Timeline!$J$5:$J$305&gt;=N$4+6)))</f>
        <v>1</v>
      </c>
      <c r="O27" s="67">
        <f>MAX(SUMPRODUCT((INDEX(Timeline!$P$5:$AN$305,0,MATCH($A27,Timeline!$P$4:$AN$4,0))="x")*(Timeline!$K$5:$K$305="Task")*ISNUMBER(Timeline!$I$5:$I$305)*ISNUMBER(Timeline!$J$5:$J$305)*(Timeline!$I$5:$I$305&lt;=O$4+0)*(Timeline!$J$5:$J$305&gt;=O$4+0)),SUMPRODUCT((INDEX(Timeline!$P$5:$AN$305,0,MATCH($A27,Timeline!$P$4:$AN$4,0))="x")*(Timeline!$K$5:$K$305="Task")*ISNUMBER(Timeline!$I$5:$I$305)*ISNUMBER(Timeline!$J$5:$J$305)*(Timeline!$I$5:$I$305&lt;=O$4+1)*(Timeline!$J$5:$J$305&gt;=O$4+1)),SUMPRODUCT((INDEX(Timeline!$P$5:$AN$305,0,MATCH($A27,Timeline!$P$4:$AN$4,0))="x")*(Timeline!$K$5:$K$305="Task")*ISNUMBER(Timeline!$I$5:$I$305)*ISNUMBER(Timeline!$J$5:$J$305)*(Timeline!$I$5:$I$305&lt;=O$4+2)*(Timeline!$J$5:$J$305&gt;=O$4+2)),SUMPRODUCT((INDEX(Timeline!$P$5:$AN$305,0,MATCH($A27,Timeline!$P$4:$AN$4,0))="x")*(Timeline!$K$5:$K$305="Task")*ISNUMBER(Timeline!$I$5:$I$305)*ISNUMBER(Timeline!$J$5:$J$305)*(Timeline!$I$5:$I$305&lt;=O$4+3)*(Timeline!$J$5:$J$305&gt;=O$4+3)),SUMPRODUCT((INDEX(Timeline!$P$5:$AN$305,0,MATCH($A27,Timeline!$P$4:$AN$4,0))="x")*(Timeline!$K$5:$K$305="Task")*ISNUMBER(Timeline!$I$5:$I$305)*ISNUMBER(Timeline!$J$5:$J$305)*(Timeline!$I$5:$I$305&lt;=O$4+4)*(Timeline!$J$5:$J$305&gt;=O$4+4)),SUMPRODUCT((INDEX(Timeline!$P$5:$AN$305,0,MATCH($A27,Timeline!$P$4:$AN$4,0))="x")*(Timeline!$K$5:$K$305="Task")*ISNUMBER(Timeline!$I$5:$I$305)*ISNUMBER(Timeline!$J$5:$J$305)*(Timeline!$I$5:$I$305&lt;=O$4+5)*(Timeline!$J$5:$J$305&gt;=O$4+5)),SUMPRODUCT((INDEX(Timeline!$P$5:$AN$305,0,MATCH($A27,Timeline!$P$4:$AN$4,0))="x")*(Timeline!$K$5:$K$305="Task")*ISNUMBER(Timeline!$I$5:$I$305)*ISNUMBER(Timeline!$J$5:$J$305)*(Timeline!$I$5:$I$305&lt;=O$4+6)*(Timeline!$J$5:$J$305&gt;=O$4+6)))</f>
        <v>1</v>
      </c>
      <c r="P27" s="67">
        <f>MAX(SUMPRODUCT((INDEX(Timeline!$P$5:$AN$305,0,MATCH($A27,Timeline!$P$4:$AN$4,0))="x")*(Timeline!$K$5:$K$305="Task")*ISNUMBER(Timeline!$I$5:$I$305)*ISNUMBER(Timeline!$J$5:$J$305)*(Timeline!$I$5:$I$305&lt;=P$4+0)*(Timeline!$J$5:$J$305&gt;=P$4+0)),SUMPRODUCT((INDEX(Timeline!$P$5:$AN$305,0,MATCH($A27,Timeline!$P$4:$AN$4,0))="x")*(Timeline!$K$5:$K$305="Task")*ISNUMBER(Timeline!$I$5:$I$305)*ISNUMBER(Timeline!$J$5:$J$305)*(Timeline!$I$5:$I$305&lt;=P$4+1)*(Timeline!$J$5:$J$305&gt;=P$4+1)),SUMPRODUCT((INDEX(Timeline!$P$5:$AN$305,0,MATCH($A27,Timeline!$P$4:$AN$4,0))="x")*(Timeline!$K$5:$K$305="Task")*ISNUMBER(Timeline!$I$5:$I$305)*ISNUMBER(Timeline!$J$5:$J$305)*(Timeline!$I$5:$I$305&lt;=P$4+2)*(Timeline!$J$5:$J$305&gt;=P$4+2)),SUMPRODUCT((INDEX(Timeline!$P$5:$AN$305,0,MATCH($A27,Timeline!$P$4:$AN$4,0))="x")*(Timeline!$K$5:$K$305="Task")*ISNUMBER(Timeline!$I$5:$I$305)*ISNUMBER(Timeline!$J$5:$J$305)*(Timeline!$I$5:$I$305&lt;=P$4+3)*(Timeline!$J$5:$J$305&gt;=P$4+3)),SUMPRODUCT((INDEX(Timeline!$P$5:$AN$305,0,MATCH($A27,Timeline!$P$4:$AN$4,0))="x")*(Timeline!$K$5:$K$305="Task")*ISNUMBER(Timeline!$I$5:$I$305)*ISNUMBER(Timeline!$J$5:$J$305)*(Timeline!$I$5:$I$305&lt;=P$4+4)*(Timeline!$J$5:$J$305&gt;=P$4+4)),SUMPRODUCT((INDEX(Timeline!$P$5:$AN$305,0,MATCH($A27,Timeline!$P$4:$AN$4,0))="x")*(Timeline!$K$5:$K$305="Task")*ISNUMBER(Timeline!$I$5:$I$305)*ISNUMBER(Timeline!$J$5:$J$305)*(Timeline!$I$5:$I$305&lt;=P$4+5)*(Timeline!$J$5:$J$305&gt;=P$4+5)),SUMPRODUCT((INDEX(Timeline!$P$5:$AN$305,0,MATCH($A27,Timeline!$P$4:$AN$4,0))="x")*(Timeline!$K$5:$K$305="Task")*ISNUMBER(Timeline!$I$5:$I$305)*ISNUMBER(Timeline!$J$5:$J$305)*(Timeline!$I$5:$I$305&lt;=P$4+6)*(Timeline!$J$5:$J$305&gt;=P$4+6)))</f>
        <v>1</v>
      </c>
      <c r="Q27" s="67">
        <f>MAX(SUMPRODUCT((INDEX(Timeline!$P$5:$AN$305,0,MATCH($A27,Timeline!$P$4:$AN$4,0))="x")*(Timeline!$K$5:$K$305="Task")*ISNUMBER(Timeline!$I$5:$I$305)*ISNUMBER(Timeline!$J$5:$J$305)*(Timeline!$I$5:$I$305&lt;=Q$4+0)*(Timeline!$J$5:$J$305&gt;=Q$4+0)),SUMPRODUCT((INDEX(Timeline!$P$5:$AN$305,0,MATCH($A27,Timeline!$P$4:$AN$4,0))="x")*(Timeline!$K$5:$K$305="Task")*ISNUMBER(Timeline!$I$5:$I$305)*ISNUMBER(Timeline!$J$5:$J$305)*(Timeline!$I$5:$I$305&lt;=Q$4+1)*(Timeline!$J$5:$J$305&gt;=Q$4+1)),SUMPRODUCT((INDEX(Timeline!$P$5:$AN$305,0,MATCH($A27,Timeline!$P$4:$AN$4,0))="x")*(Timeline!$K$5:$K$305="Task")*ISNUMBER(Timeline!$I$5:$I$305)*ISNUMBER(Timeline!$J$5:$J$305)*(Timeline!$I$5:$I$305&lt;=Q$4+2)*(Timeline!$J$5:$J$305&gt;=Q$4+2)),SUMPRODUCT((INDEX(Timeline!$P$5:$AN$305,0,MATCH($A27,Timeline!$P$4:$AN$4,0))="x")*(Timeline!$K$5:$K$305="Task")*ISNUMBER(Timeline!$I$5:$I$305)*ISNUMBER(Timeline!$J$5:$J$305)*(Timeline!$I$5:$I$305&lt;=Q$4+3)*(Timeline!$J$5:$J$305&gt;=Q$4+3)),SUMPRODUCT((INDEX(Timeline!$P$5:$AN$305,0,MATCH($A27,Timeline!$P$4:$AN$4,0))="x")*(Timeline!$K$5:$K$305="Task")*ISNUMBER(Timeline!$I$5:$I$305)*ISNUMBER(Timeline!$J$5:$J$305)*(Timeline!$I$5:$I$305&lt;=Q$4+4)*(Timeline!$J$5:$J$305&gt;=Q$4+4)),SUMPRODUCT((INDEX(Timeline!$P$5:$AN$305,0,MATCH($A27,Timeline!$P$4:$AN$4,0))="x")*(Timeline!$K$5:$K$305="Task")*ISNUMBER(Timeline!$I$5:$I$305)*ISNUMBER(Timeline!$J$5:$J$305)*(Timeline!$I$5:$I$305&lt;=Q$4+5)*(Timeline!$J$5:$J$305&gt;=Q$4+5)),SUMPRODUCT((INDEX(Timeline!$P$5:$AN$305,0,MATCH($A27,Timeline!$P$4:$AN$4,0))="x")*(Timeline!$K$5:$K$305="Task")*ISNUMBER(Timeline!$I$5:$I$305)*ISNUMBER(Timeline!$J$5:$J$305)*(Timeline!$I$5:$I$305&lt;=Q$4+6)*(Timeline!$J$5:$J$305&gt;=Q$4+6)))</f>
        <v>0</v>
      </c>
      <c r="R27" s="67">
        <f>MAX(SUMPRODUCT((INDEX(Timeline!$P$5:$AN$305,0,MATCH($A27,Timeline!$P$4:$AN$4,0))="x")*(Timeline!$K$5:$K$305="Task")*ISNUMBER(Timeline!$I$5:$I$305)*ISNUMBER(Timeline!$J$5:$J$305)*(Timeline!$I$5:$I$305&lt;=R$4+0)*(Timeline!$J$5:$J$305&gt;=R$4+0)),SUMPRODUCT((INDEX(Timeline!$P$5:$AN$305,0,MATCH($A27,Timeline!$P$4:$AN$4,0))="x")*(Timeline!$K$5:$K$305="Task")*ISNUMBER(Timeline!$I$5:$I$305)*ISNUMBER(Timeline!$J$5:$J$305)*(Timeline!$I$5:$I$305&lt;=R$4+1)*(Timeline!$J$5:$J$305&gt;=R$4+1)),SUMPRODUCT((INDEX(Timeline!$P$5:$AN$305,0,MATCH($A27,Timeline!$P$4:$AN$4,0))="x")*(Timeline!$K$5:$K$305="Task")*ISNUMBER(Timeline!$I$5:$I$305)*ISNUMBER(Timeline!$J$5:$J$305)*(Timeline!$I$5:$I$305&lt;=R$4+2)*(Timeline!$J$5:$J$305&gt;=R$4+2)),SUMPRODUCT((INDEX(Timeline!$P$5:$AN$305,0,MATCH($A27,Timeline!$P$4:$AN$4,0))="x")*(Timeline!$K$5:$K$305="Task")*ISNUMBER(Timeline!$I$5:$I$305)*ISNUMBER(Timeline!$J$5:$J$305)*(Timeline!$I$5:$I$305&lt;=R$4+3)*(Timeline!$J$5:$J$305&gt;=R$4+3)),SUMPRODUCT((INDEX(Timeline!$P$5:$AN$305,0,MATCH($A27,Timeline!$P$4:$AN$4,0))="x")*(Timeline!$K$5:$K$305="Task")*ISNUMBER(Timeline!$I$5:$I$305)*ISNUMBER(Timeline!$J$5:$J$305)*(Timeline!$I$5:$I$305&lt;=R$4+4)*(Timeline!$J$5:$J$305&gt;=R$4+4)),SUMPRODUCT((INDEX(Timeline!$P$5:$AN$305,0,MATCH($A27,Timeline!$P$4:$AN$4,0))="x")*(Timeline!$K$5:$K$305="Task")*ISNUMBER(Timeline!$I$5:$I$305)*ISNUMBER(Timeline!$J$5:$J$305)*(Timeline!$I$5:$I$305&lt;=R$4+5)*(Timeline!$J$5:$J$305&gt;=R$4+5)),SUMPRODUCT((INDEX(Timeline!$P$5:$AN$305,0,MATCH($A27,Timeline!$P$4:$AN$4,0))="x")*(Timeline!$K$5:$K$305="Task")*ISNUMBER(Timeline!$I$5:$I$305)*ISNUMBER(Timeline!$J$5:$J$305)*(Timeline!$I$5:$I$305&lt;=R$4+6)*(Timeline!$J$5:$J$305&gt;=R$4+6)))</f>
        <v>0</v>
      </c>
      <c r="S27" s="67">
        <f>MAX(SUMPRODUCT((INDEX(Timeline!$P$5:$AN$305,0,MATCH($A27,Timeline!$P$4:$AN$4,0))="x")*(Timeline!$K$5:$K$305="Task")*ISNUMBER(Timeline!$I$5:$I$305)*ISNUMBER(Timeline!$J$5:$J$305)*(Timeline!$I$5:$I$305&lt;=S$4+0)*(Timeline!$J$5:$J$305&gt;=S$4+0)),SUMPRODUCT((INDEX(Timeline!$P$5:$AN$305,0,MATCH($A27,Timeline!$P$4:$AN$4,0))="x")*(Timeline!$K$5:$K$305="Task")*ISNUMBER(Timeline!$I$5:$I$305)*ISNUMBER(Timeline!$J$5:$J$305)*(Timeline!$I$5:$I$305&lt;=S$4+1)*(Timeline!$J$5:$J$305&gt;=S$4+1)),SUMPRODUCT((INDEX(Timeline!$P$5:$AN$305,0,MATCH($A27,Timeline!$P$4:$AN$4,0))="x")*(Timeline!$K$5:$K$305="Task")*ISNUMBER(Timeline!$I$5:$I$305)*ISNUMBER(Timeline!$J$5:$J$305)*(Timeline!$I$5:$I$305&lt;=S$4+2)*(Timeline!$J$5:$J$305&gt;=S$4+2)),SUMPRODUCT((INDEX(Timeline!$P$5:$AN$305,0,MATCH($A27,Timeline!$P$4:$AN$4,0))="x")*(Timeline!$K$5:$K$305="Task")*ISNUMBER(Timeline!$I$5:$I$305)*ISNUMBER(Timeline!$J$5:$J$305)*(Timeline!$I$5:$I$305&lt;=S$4+3)*(Timeline!$J$5:$J$305&gt;=S$4+3)),SUMPRODUCT((INDEX(Timeline!$P$5:$AN$305,0,MATCH($A27,Timeline!$P$4:$AN$4,0))="x")*(Timeline!$K$5:$K$305="Task")*ISNUMBER(Timeline!$I$5:$I$305)*ISNUMBER(Timeline!$J$5:$J$305)*(Timeline!$I$5:$I$305&lt;=S$4+4)*(Timeline!$J$5:$J$305&gt;=S$4+4)),SUMPRODUCT((INDEX(Timeline!$P$5:$AN$305,0,MATCH($A27,Timeline!$P$4:$AN$4,0))="x")*(Timeline!$K$5:$K$305="Task")*ISNUMBER(Timeline!$I$5:$I$305)*ISNUMBER(Timeline!$J$5:$J$305)*(Timeline!$I$5:$I$305&lt;=S$4+5)*(Timeline!$J$5:$J$305&gt;=S$4+5)),SUMPRODUCT((INDEX(Timeline!$P$5:$AN$305,0,MATCH($A27,Timeline!$P$4:$AN$4,0))="x")*(Timeline!$K$5:$K$305="Task")*ISNUMBER(Timeline!$I$5:$I$305)*ISNUMBER(Timeline!$J$5:$J$305)*(Timeline!$I$5:$I$305&lt;=S$4+6)*(Timeline!$J$5:$J$305&gt;=S$4+6)))</f>
        <v>0</v>
      </c>
      <c r="T27" s="67">
        <f>MAX(SUMPRODUCT((INDEX(Timeline!$P$5:$AN$305,0,MATCH($A27,Timeline!$P$4:$AN$4,0))="x")*(Timeline!$K$5:$K$305="Task")*ISNUMBER(Timeline!$I$5:$I$305)*ISNUMBER(Timeline!$J$5:$J$305)*(Timeline!$I$5:$I$305&lt;=T$4+0)*(Timeline!$J$5:$J$305&gt;=T$4+0)),SUMPRODUCT((INDEX(Timeline!$P$5:$AN$305,0,MATCH($A27,Timeline!$P$4:$AN$4,0))="x")*(Timeline!$K$5:$K$305="Task")*ISNUMBER(Timeline!$I$5:$I$305)*ISNUMBER(Timeline!$J$5:$J$305)*(Timeline!$I$5:$I$305&lt;=T$4+1)*(Timeline!$J$5:$J$305&gt;=T$4+1)),SUMPRODUCT((INDEX(Timeline!$P$5:$AN$305,0,MATCH($A27,Timeline!$P$4:$AN$4,0))="x")*(Timeline!$K$5:$K$305="Task")*ISNUMBER(Timeline!$I$5:$I$305)*ISNUMBER(Timeline!$J$5:$J$305)*(Timeline!$I$5:$I$305&lt;=T$4+2)*(Timeline!$J$5:$J$305&gt;=T$4+2)),SUMPRODUCT((INDEX(Timeline!$P$5:$AN$305,0,MATCH($A27,Timeline!$P$4:$AN$4,0))="x")*(Timeline!$K$5:$K$305="Task")*ISNUMBER(Timeline!$I$5:$I$305)*ISNUMBER(Timeline!$J$5:$J$305)*(Timeline!$I$5:$I$305&lt;=T$4+3)*(Timeline!$J$5:$J$305&gt;=T$4+3)),SUMPRODUCT((INDEX(Timeline!$P$5:$AN$305,0,MATCH($A27,Timeline!$P$4:$AN$4,0))="x")*(Timeline!$K$5:$K$305="Task")*ISNUMBER(Timeline!$I$5:$I$305)*ISNUMBER(Timeline!$J$5:$J$305)*(Timeline!$I$5:$I$305&lt;=T$4+4)*(Timeline!$J$5:$J$305&gt;=T$4+4)),SUMPRODUCT((INDEX(Timeline!$P$5:$AN$305,0,MATCH($A27,Timeline!$P$4:$AN$4,0))="x")*(Timeline!$K$5:$K$305="Task")*ISNUMBER(Timeline!$I$5:$I$305)*ISNUMBER(Timeline!$J$5:$J$305)*(Timeline!$I$5:$I$305&lt;=T$4+5)*(Timeline!$J$5:$J$305&gt;=T$4+5)),SUMPRODUCT((INDEX(Timeline!$P$5:$AN$305,0,MATCH($A27,Timeline!$P$4:$AN$4,0))="x")*(Timeline!$K$5:$K$305="Task")*ISNUMBER(Timeline!$I$5:$I$305)*ISNUMBER(Timeline!$J$5:$J$305)*(Timeline!$I$5:$I$305&lt;=T$4+6)*(Timeline!$J$5:$J$305&gt;=T$4+6)))</f>
        <v>0</v>
      </c>
      <c r="U27" s="67">
        <f>MAX(SUMPRODUCT((INDEX(Timeline!$P$5:$AN$305,0,MATCH($A27,Timeline!$P$4:$AN$4,0))="x")*(Timeline!$K$5:$K$305="Task")*ISNUMBER(Timeline!$I$5:$I$305)*ISNUMBER(Timeline!$J$5:$J$305)*(Timeline!$I$5:$I$305&lt;=U$4+0)*(Timeline!$J$5:$J$305&gt;=U$4+0)),SUMPRODUCT((INDEX(Timeline!$P$5:$AN$305,0,MATCH($A27,Timeline!$P$4:$AN$4,0))="x")*(Timeline!$K$5:$K$305="Task")*ISNUMBER(Timeline!$I$5:$I$305)*ISNUMBER(Timeline!$J$5:$J$305)*(Timeline!$I$5:$I$305&lt;=U$4+1)*(Timeline!$J$5:$J$305&gt;=U$4+1)),SUMPRODUCT((INDEX(Timeline!$P$5:$AN$305,0,MATCH($A27,Timeline!$P$4:$AN$4,0))="x")*(Timeline!$K$5:$K$305="Task")*ISNUMBER(Timeline!$I$5:$I$305)*ISNUMBER(Timeline!$J$5:$J$305)*(Timeline!$I$5:$I$305&lt;=U$4+2)*(Timeline!$J$5:$J$305&gt;=U$4+2)),SUMPRODUCT((INDEX(Timeline!$P$5:$AN$305,0,MATCH($A27,Timeline!$P$4:$AN$4,0))="x")*(Timeline!$K$5:$K$305="Task")*ISNUMBER(Timeline!$I$5:$I$305)*ISNUMBER(Timeline!$J$5:$J$305)*(Timeline!$I$5:$I$305&lt;=U$4+3)*(Timeline!$J$5:$J$305&gt;=U$4+3)),SUMPRODUCT((INDEX(Timeline!$P$5:$AN$305,0,MATCH($A27,Timeline!$P$4:$AN$4,0))="x")*(Timeline!$K$5:$K$305="Task")*ISNUMBER(Timeline!$I$5:$I$305)*ISNUMBER(Timeline!$J$5:$J$305)*(Timeline!$I$5:$I$305&lt;=U$4+4)*(Timeline!$J$5:$J$305&gt;=U$4+4)),SUMPRODUCT((INDEX(Timeline!$P$5:$AN$305,0,MATCH($A27,Timeline!$P$4:$AN$4,0))="x")*(Timeline!$K$5:$K$305="Task")*ISNUMBER(Timeline!$I$5:$I$305)*ISNUMBER(Timeline!$J$5:$J$305)*(Timeline!$I$5:$I$305&lt;=U$4+5)*(Timeline!$J$5:$J$305&gt;=U$4+5)),SUMPRODUCT((INDEX(Timeline!$P$5:$AN$305,0,MATCH($A27,Timeline!$P$4:$AN$4,0))="x")*(Timeline!$K$5:$K$305="Task")*ISNUMBER(Timeline!$I$5:$I$305)*ISNUMBER(Timeline!$J$5:$J$305)*(Timeline!$I$5:$I$305&lt;=U$4+6)*(Timeline!$J$5:$J$305&gt;=U$4+6)))</f>
        <v>0</v>
      </c>
      <c r="V27" s="67">
        <f>MAX(SUMPRODUCT((INDEX(Timeline!$P$5:$AN$305,0,MATCH($A27,Timeline!$P$4:$AN$4,0))="x")*(Timeline!$K$5:$K$305="Task")*ISNUMBER(Timeline!$I$5:$I$305)*ISNUMBER(Timeline!$J$5:$J$305)*(Timeline!$I$5:$I$305&lt;=V$4+0)*(Timeline!$J$5:$J$305&gt;=V$4+0)),SUMPRODUCT((INDEX(Timeline!$P$5:$AN$305,0,MATCH($A27,Timeline!$P$4:$AN$4,0))="x")*(Timeline!$K$5:$K$305="Task")*ISNUMBER(Timeline!$I$5:$I$305)*ISNUMBER(Timeline!$J$5:$J$305)*(Timeline!$I$5:$I$305&lt;=V$4+1)*(Timeline!$J$5:$J$305&gt;=V$4+1)),SUMPRODUCT((INDEX(Timeline!$P$5:$AN$305,0,MATCH($A27,Timeline!$P$4:$AN$4,0))="x")*(Timeline!$K$5:$K$305="Task")*ISNUMBER(Timeline!$I$5:$I$305)*ISNUMBER(Timeline!$J$5:$J$305)*(Timeline!$I$5:$I$305&lt;=V$4+2)*(Timeline!$J$5:$J$305&gt;=V$4+2)),SUMPRODUCT((INDEX(Timeline!$P$5:$AN$305,0,MATCH($A27,Timeline!$P$4:$AN$4,0))="x")*(Timeline!$K$5:$K$305="Task")*ISNUMBER(Timeline!$I$5:$I$305)*ISNUMBER(Timeline!$J$5:$J$305)*(Timeline!$I$5:$I$305&lt;=V$4+3)*(Timeline!$J$5:$J$305&gt;=V$4+3)),SUMPRODUCT((INDEX(Timeline!$P$5:$AN$305,0,MATCH($A27,Timeline!$P$4:$AN$4,0))="x")*(Timeline!$K$5:$K$305="Task")*ISNUMBER(Timeline!$I$5:$I$305)*ISNUMBER(Timeline!$J$5:$J$305)*(Timeline!$I$5:$I$305&lt;=V$4+4)*(Timeline!$J$5:$J$305&gt;=V$4+4)),SUMPRODUCT((INDEX(Timeline!$P$5:$AN$305,0,MATCH($A27,Timeline!$P$4:$AN$4,0))="x")*(Timeline!$K$5:$K$305="Task")*ISNUMBER(Timeline!$I$5:$I$305)*ISNUMBER(Timeline!$J$5:$J$305)*(Timeline!$I$5:$I$305&lt;=V$4+5)*(Timeline!$J$5:$J$305&gt;=V$4+5)),SUMPRODUCT((INDEX(Timeline!$P$5:$AN$305,0,MATCH($A27,Timeline!$P$4:$AN$4,0))="x")*(Timeline!$K$5:$K$305="Task")*ISNUMBER(Timeline!$I$5:$I$305)*ISNUMBER(Timeline!$J$5:$J$305)*(Timeline!$I$5:$I$305&lt;=V$4+6)*(Timeline!$J$5:$J$305&gt;=V$4+6)))</f>
        <v>0</v>
      </c>
      <c r="W27" s="67">
        <f>MAX(SUMPRODUCT((INDEX(Timeline!$P$5:$AN$305,0,MATCH($A27,Timeline!$P$4:$AN$4,0))="x")*(Timeline!$K$5:$K$305="Task")*ISNUMBER(Timeline!$I$5:$I$305)*ISNUMBER(Timeline!$J$5:$J$305)*(Timeline!$I$5:$I$305&lt;=W$4+0)*(Timeline!$J$5:$J$305&gt;=W$4+0)),SUMPRODUCT((INDEX(Timeline!$P$5:$AN$305,0,MATCH($A27,Timeline!$P$4:$AN$4,0))="x")*(Timeline!$K$5:$K$305="Task")*ISNUMBER(Timeline!$I$5:$I$305)*ISNUMBER(Timeline!$J$5:$J$305)*(Timeline!$I$5:$I$305&lt;=W$4+1)*(Timeline!$J$5:$J$305&gt;=W$4+1)),SUMPRODUCT((INDEX(Timeline!$P$5:$AN$305,0,MATCH($A27,Timeline!$P$4:$AN$4,0))="x")*(Timeline!$K$5:$K$305="Task")*ISNUMBER(Timeline!$I$5:$I$305)*ISNUMBER(Timeline!$J$5:$J$305)*(Timeline!$I$5:$I$305&lt;=W$4+2)*(Timeline!$J$5:$J$305&gt;=W$4+2)),SUMPRODUCT((INDEX(Timeline!$P$5:$AN$305,0,MATCH($A27,Timeline!$P$4:$AN$4,0))="x")*(Timeline!$K$5:$K$305="Task")*ISNUMBER(Timeline!$I$5:$I$305)*ISNUMBER(Timeline!$J$5:$J$305)*(Timeline!$I$5:$I$305&lt;=W$4+3)*(Timeline!$J$5:$J$305&gt;=W$4+3)),SUMPRODUCT((INDEX(Timeline!$P$5:$AN$305,0,MATCH($A27,Timeline!$P$4:$AN$4,0))="x")*(Timeline!$K$5:$K$305="Task")*ISNUMBER(Timeline!$I$5:$I$305)*ISNUMBER(Timeline!$J$5:$J$305)*(Timeline!$I$5:$I$305&lt;=W$4+4)*(Timeline!$J$5:$J$305&gt;=W$4+4)),SUMPRODUCT((INDEX(Timeline!$P$5:$AN$305,0,MATCH($A27,Timeline!$P$4:$AN$4,0))="x")*(Timeline!$K$5:$K$305="Task")*ISNUMBER(Timeline!$I$5:$I$305)*ISNUMBER(Timeline!$J$5:$J$305)*(Timeline!$I$5:$I$305&lt;=W$4+5)*(Timeline!$J$5:$J$305&gt;=W$4+5)),SUMPRODUCT((INDEX(Timeline!$P$5:$AN$305,0,MATCH($A27,Timeline!$P$4:$AN$4,0))="x")*(Timeline!$K$5:$K$305="Task")*ISNUMBER(Timeline!$I$5:$I$305)*ISNUMBER(Timeline!$J$5:$J$305)*(Timeline!$I$5:$I$305&lt;=W$4+6)*(Timeline!$J$5:$J$305&gt;=W$4+6)))</f>
        <v>0</v>
      </c>
      <c r="X27" s="67">
        <f>MAX(SUMPRODUCT((INDEX(Timeline!$P$5:$AN$305,0,MATCH($A27,Timeline!$P$4:$AN$4,0))="x")*(Timeline!$K$5:$K$305="Task")*ISNUMBER(Timeline!$I$5:$I$305)*ISNUMBER(Timeline!$J$5:$J$305)*(Timeline!$I$5:$I$305&lt;=X$4+0)*(Timeline!$J$5:$J$305&gt;=X$4+0)),SUMPRODUCT((INDEX(Timeline!$P$5:$AN$305,0,MATCH($A27,Timeline!$P$4:$AN$4,0))="x")*(Timeline!$K$5:$K$305="Task")*ISNUMBER(Timeline!$I$5:$I$305)*ISNUMBER(Timeline!$J$5:$J$305)*(Timeline!$I$5:$I$305&lt;=X$4+1)*(Timeline!$J$5:$J$305&gt;=X$4+1)),SUMPRODUCT((INDEX(Timeline!$P$5:$AN$305,0,MATCH($A27,Timeline!$P$4:$AN$4,0))="x")*(Timeline!$K$5:$K$305="Task")*ISNUMBER(Timeline!$I$5:$I$305)*ISNUMBER(Timeline!$J$5:$J$305)*(Timeline!$I$5:$I$305&lt;=X$4+2)*(Timeline!$J$5:$J$305&gt;=X$4+2)),SUMPRODUCT((INDEX(Timeline!$P$5:$AN$305,0,MATCH($A27,Timeline!$P$4:$AN$4,0))="x")*(Timeline!$K$5:$K$305="Task")*ISNUMBER(Timeline!$I$5:$I$305)*ISNUMBER(Timeline!$J$5:$J$305)*(Timeline!$I$5:$I$305&lt;=X$4+3)*(Timeline!$J$5:$J$305&gt;=X$4+3)),SUMPRODUCT((INDEX(Timeline!$P$5:$AN$305,0,MATCH($A27,Timeline!$P$4:$AN$4,0))="x")*(Timeline!$K$5:$K$305="Task")*ISNUMBER(Timeline!$I$5:$I$305)*ISNUMBER(Timeline!$J$5:$J$305)*(Timeline!$I$5:$I$305&lt;=X$4+4)*(Timeline!$J$5:$J$305&gt;=X$4+4)),SUMPRODUCT((INDEX(Timeline!$P$5:$AN$305,0,MATCH($A27,Timeline!$P$4:$AN$4,0))="x")*(Timeline!$K$5:$K$305="Task")*ISNUMBER(Timeline!$I$5:$I$305)*ISNUMBER(Timeline!$J$5:$J$305)*(Timeline!$I$5:$I$305&lt;=X$4+5)*(Timeline!$J$5:$J$305&gt;=X$4+5)),SUMPRODUCT((INDEX(Timeline!$P$5:$AN$305,0,MATCH($A27,Timeline!$P$4:$AN$4,0))="x")*(Timeline!$K$5:$K$305="Task")*ISNUMBER(Timeline!$I$5:$I$305)*ISNUMBER(Timeline!$J$5:$J$305)*(Timeline!$I$5:$I$305&lt;=X$4+6)*(Timeline!$J$5:$J$305&gt;=X$4+6)))</f>
        <v>1</v>
      </c>
      <c r="Y27" s="67">
        <f>MAX(SUMPRODUCT((INDEX(Timeline!$P$5:$AN$305,0,MATCH($A27,Timeline!$P$4:$AN$4,0))="x")*(Timeline!$K$5:$K$305="Task")*ISNUMBER(Timeline!$I$5:$I$305)*ISNUMBER(Timeline!$J$5:$J$305)*(Timeline!$I$5:$I$305&lt;=Y$4+0)*(Timeline!$J$5:$J$305&gt;=Y$4+0)),SUMPRODUCT((INDEX(Timeline!$P$5:$AN$305,0,MATCH($A27,Timeline!$P$4:$AN$4,0))="x")*(Timeline!$K$5:$K$305="Task")*ISNUMBER(Timeline!$I$5:$I$305)*ISNUMBER(Timeline!$J$5:$J$305)*(Timeline!$I$5:$I$305&lt;=Y$4+1)*(Timeline!$J$5:$J$305&gt;=Y$4+1)),SUMPRODUCT((INDEX(Timeline!$P$5:$AN$305,0,MATCH($A27,Timeline!$P$4:$AN$4,0))="x")*(Timeline!$K$5:$K$305="Task")*ISNUMBER(Timeline!$I$5:$I$305)*ISNUMBER(Timeline!$J$5:$J$305)*(Timeline!$I$5:$I$305&lt;=Y$4+2)*(Timeline!$J$5:$J$305&gt;=Y$4+2)),SUMPRODUCT((INDEX(Timeline!$P$5:$AN$305,0,MATCH($A27,Timeline!$P$4:$AN$4,0))="x")*(Timeline!$K$5:$K$305="Task")*ISNUMBER(Timeline!$I$5:$I$305)*ISNUMBER(Timeline!$J$5:$J$305)*(Timeline!$I$5:$I$305&lt;=Y$4+3)*(Timeline!$J$5:$J$305&gt;=Y$4+3)),SUMPRODUCT((INDEX(Timeline!$P$5:$AN$305,0,MATCH($A27,Timeline!$P$4:$AN$4,0))="x")*(Timeline!$K$5:$K$305="Task")*ISNUMBER(Timeline!$I$5:$I$305)*ISNUMBER(Timeline!$J$5:$J$305)*(Timeline!$I$5:$I$305&lt;=Y$4+4)*(Timeline!$J$5:$J$305&gt;=Y$4+4)),SUMPRODUCT((INDEX(Timeline!$P$5:$AN$305,0,MATCH($A27,Timeline!$P$4:$AN$4,0))="x")*(Timeline!$K$5:$K$305="Task")*ISNUMBER(Timeline!$I$5:$I$305)*ISNUMBER(Timeline!$J$5:$J$305)*(Timeline!$I$5:$I$305&lt;=Y$4+5)*(Timeline!$J$5:$J$305&gt;=Y$4+5)),SUMPRODUCT((INDEX(Timeline!$P$5:$AN$305,0,MATCH($A27,Timeline!$P$4:$AN$4,0))="x")*(Timeline!$K$5:$K$305="Task")*ISNUMBER(Timeline!$I$5:$I$305)*ISNUMBER(Timeline!$J$5:$J$305)*(Timeline!$I$5:$I$305&lt;=Y$4+6)*(Timeline!$J$5:$J$305&gt;=Y$4+6)))</f>
        <v>1</v>
      </c>
      <c r="Z27" s="67">
        <f>MAX(SUMPRODUCT((INDEX(Timeline!$P$5:$AN$305,0,MATCH($A27,Timeline!$P$4:$AN$4,0))="x")*(Timeline!$K$5:$K$305="Task")*ISNUMBER(Timeline!$I$5:$I$305)*ISNUMBER(Timeline!$J$5:$J$305)*(Timeline!$I$5:$I$305&lt;=Z$4+0)*(Timeline!$J$5:$J$305&gt;=Z$4+0)),SUMPRODUCT((INDEX(Timeline!$P$5:$AN$305,0,MATCH($A27,Timeline!$P$4:$AN$4,0))="x")*(Timeline!$K$5:$K$305="Task")*ISNUMBER(Timeline!$I$5:$I$305)*ISNUMBER(Timeline!$J$5:$J$305)*(Timeline!$I$5:$I$305&lt;=Z$4+1)*(Timeline!$J$5:$J$305&gt;=Z$4+1)),SUMPRODUCT((INDEX(Timeline!$P$5:$AN$305,0,MATCH($A27,Timeline!$P$4:$AN$4,0))="x")*(Timeline!$K$5:$K$305="Task")*ISNUMBER(Timeline!$I$5:$I$305)*ISNUMBER(Timeline!$J$5:$J$305)*(Timeline!$I$5:$I$305&lt;=Z$4+2)*(Timeline!$J$5:$J$305&gt;=Z$4+2)),SUMPRODUCT((INDEX(Timeline!$P$5:$AN$305,0,MATCH($A27,Timeline!$P$4:$AN$4,0))="x")*(Timeline!$K$5:$K$305="Task")*ISNUMBER(Timeline!$I$5:$I$305)*ISNUMBER(Timeline!$J$5:$J$305)*(Timeline!$I$5:$I$305&lt;=Z$4+3)*(Timeline!$J$5:$J$305&gt;=Z$4+3)),SUMPRODUCT((INDEX(Timeline!$P$5:$AN$305,0,MATCH($A27,Timeline!$P$4:$AN$4,0))="x")*(Timeline!$K$5:$K$305="Task")*ISNUMBER(Timeline!$I$5:$I$305)*ISNUMBER(Timeline!$J$5:$J$305)*(Timeline!$I$5:$I$305&lt;=Z$4+4)*(Timeline!$J$5:$J$305&gt;=Z$4+4)),SUMPRODUCT((INDEX(Timeline!$P$5:$AN$305,0,MATCH($A27,Timeline!$P$4:$AN$4,0))="x")*(Timeline!$K$5:$K$305="Task")*ISNUMBER(Timeline!$I$5:$I$305)*ISNUMBER(Timeline!$J$5:$J$305)*(Timeline!$I$5:$I$305&lt;=Z$4+5)*(Timeline!$J$5:$J$305&gt;=Z$4+5)),SUMPRODUCT((INDEX(Timeline!$P$5:$AN$305,0,MATCH($A27,Timeline!$P$4:$AN$4,0))="x")*(Timeline!$K$5:$K$305="Task")*ISNUMBER(Timeline!$I$5:$I$305)*ISNUMBER(Timeline!$J$5:$J$305)*(Timeline!$I$5:$I$305&lt;=Z$4+6)*(Timeline!$J$5:$J$305&gt;=Z$4+6)))</f>
        <v>1</v>
      </c>
      <c r="AA27" s="67">
        <f>MAX(SUMPRODUCT((INDEX(Timeline!$P$5:$AN$305,0,MATCH($A27,Timeline!$P$4:$AN$4,0))="x")*(Timeline!$K$5:$K$305="Task")*ISNUMBER(Timeline!$I$5:$I$305)*ISNUMBER(Timeline!$J$5:$J$305)*(Timeline!$I$5:$I$305&lt;=AA$4+0)*(Timeline!$J$5:$J$305&gt;=AA$4+0)),SUMPRODUCT((INDEX(Timeline!$P$5:$AN$305,0,MATCH($A27,Timeline!$P$4:$AN$4,0))="x")*(Timeline!$K$5:$K$305="Task")*ISNUMBER(Timeline!$I$5:$I$305)*ISNUMBER(Timeline!$J$5:$J$305)*(Timeline!$I$5:$I$305&lt;=AA$4+1)*(Timeline!$J$5:$J$305&gt;=AA$4+1)),SUMPRODUCT((INDEX(Timeline!$P$5:$AN$305,0,MATCH($A27,Timeline!$P$4:$AN$4,0))="x")*(Timeline!$K$5:$K$305="Task")*ISNUMBER(Timeline!$I$5:$I$305)*ISNUMBER(Timeline!$J$5:$J$305)*(Timeline!$I$5:$I$305&lt;=AA$4+2)*(Timeline!$J$5:$J$305&gt;=AA$4+2)),SUMPRODUCT((INDEX(Timeline!$P$5:$AN$305,0,MATCH($A27,Timeline!$P$4:$AN$4,0))="x")*(Timeline!$K$5:$K$305="Task")*ISNUMBER(Timeline!$I$5:$I$305)*ISNUMBER(Timeline!$J$5:$J$305)*(Timeline!$I$5:$I$305&lt;=AA$4+3)*(Timeline!$J$5:$J$305&gt;=AA$4+3)),SUMPRODUCT((INDEX(Timeline!$P$5:$AN$305,0,MATCH($A27,Timeline!$P$4:$AN$4,0))="x")*(Timeline!$K$5:$K$305="Task")*ISNUMBER(Timeline!$I$5:$I$305)*ISNUMBER(Timeline!$J$5:$J$305)*(Timeline!$I$5:$I$305&lt;=AA$4+4)*(Timeline!$J$5:$J$305&gt;=AA$4+4)),SUMPRODUCT((INDEX(Timeline!$P$5:$AN$305,0,MATCH($A27,Timeline!$P$4:$AN$4,0))="x")*(Timeline!$K$5:$K$305="Task")*ISNUMBER(Timeline!$I$5:$I$305)*ISNUMBER(Timeline!$J$5:$J$305)*(Timeline!$I$5:$I$305&lt;=AA$4+5)*(Timeline!$J$5:$J$305&gt;=AA$4+5)),SUMPRODUCT((INDEX(Timeline!$P$5:$AN$305,0,MATCH($A27,Timeline!$P$4:$AN$4,0))="x")*(Timeline!$K$5:$K$305="Task")*ISNUMBER(Timeline!$I$5:$I$305)*ISNUMBER(Timeline!$J$5:$J$305)*(Timeline!$I$5:$I$305&lt;=AA$4+6)*(Timeline!$J$5:$J$305&gt;=AA$4+6)))</f>
        <v>1</v>
      </c>
      <c r="AB27" s="67">
        <f>MAX(SUMPRODUCT((INDEX(Timeline!$P$5:$AN$305,0,MATCH($A27,Timeline!$P$4:$AN$4,0))="x")*(Timeline!$K$5:$K$305="Task")*ISNUMBER(Timeline!$I$5:$I$305)*ISNUMBER(Timeline!$J$5:$J$305)*(Timeline!$I$5:$I$305&lt;=AB$4+0)*(Timeline!$J$5:$J$305&gt;=AB$4+0)),SUMPRODUCT((INDEX(Timeline!$P$5:$AN$305,0,MATCH($A27,Timeline!$P$4:$AN$4,0))="x")*(Timeline!$K$5:$K$305="Task")*ISNUMBER(Timeline!$I$5:$I$305)*ISNUMBER(Timeline!$J$5:$J$305)*(Timeline!$I$5:$I$305&lt;=AB$4+1)*(Timeline!$J$5:$J$305&gt;=AB$4+1)),SUMPRODUCT((INDEX(Timeline!$P$5:$AN$305,0,MATCH($A27,Timeline!$P$4:$AN$4,0))="x")*(Timeline!$K$5:$K$305="Task")*ISNUMBER(Timeline!$I$5:$I$305)*ISNUMBER(Timeline!$J$5:$J$305)*(Timeline!$I$5:$I$305&lt;=AB$4+2)*(Timeline!$J$5:$J$305&gt;=AB$4+2)),SUMPRODUCT((INDEX(Timeline!$P$5:$AN$305,0,MATCH($A27,Timeline!$P$4:$AN$4,0))="x")*(Timeline!$K$5:$K$305="Task")*ISNUMBER(Timeline!$I$5:$I$305)*ISNUMBER(Timeline!$J$5:$J$305)*(Timeline!$I$5:$I$305&lt;=AB$4+3)*(Timeline!$J$5:$J$305&gt;=AB$4+3)),SUMPRODUCT((INDEX(Timeline!$P$5:$AN$305,0,MATCH($A27,Timeline!$P$4:$AN$4,0))="x")*(Timeline!$K$5:$K$305="Task")*ISNUMBER(Timeline!$I$5:$I$305)*ISNUMBER(Timeline!$J$5:$J$305)*(Timeline!$I$5:$I$305&lt;=AB$4+4)*(Timeline!$J$5:$J$305&gt;=AB$4+4)),SUMPRODUCT((INDEX(Timeline!$P$5:$AN$305,0,MATCH($A27,Timeline!$P$4:$AN$4,0))="x")*(Timeline!$K$5:$K$305="Task")*ISNUMBER(Timeline!$I$5:$I$305)*ISNUMBER(Timeline!$J$5:$J$305)*(Timeline!$I$5:$I$305&lt;=AB$4+5)*(Timeline!$J$5:$J$305&gt;=AB$4+5)),SUMPRODUCT((INDEX(Timeline!$P$5:$AN$305,0,MATCH($A27,Timeline!$P$4:$AN$4,0))="x")*(Timeline!$K$5:$K$305="Task")*ISNUMBER(Timeline!$I$5:$I$305)*ISNUMBER(Timeline!$J$5:$J$305)*(Timeline!$I$5:$I$305&lt;=AB$4+6)*(Timeline!$J$5:$J$305&gt;=AB$4+6)))</f>
        <v>1</v>
      </c>
      <c r="AC27" s="67">
        <f>MAX(SUMPRODUCT((INDEX(Timeline!$P$5:$AN$305,0,MATCH($A27,Timeline!$P$4:$AN$4,0))="x")*(Timeline!$K$5:$K$305="Task")*ISNUMBER(Timeline!$I$5:$I$305)*ISNUMBER(Timeline!$J$5:$J$305)*(Timeline!$I$5:$I$305&lt;=AC$4+0)*(Timeline!$J$5:$J$305&gt;=AC$4+0)),SUMPRODUCT((INDEX(Timeline!$P$5:$AN$305,0,MATCH($A27,Timeline!$P$4:$AN$4,0))="x")*(Timeline!$K$5:$K$305="Task")*ISNUMBER(Timeline!$I$5:$I$305)*ISNUMBER(Timeline!$J$5:$J$305)*(Timeline!$I$5:$I$305&lt;=AC$4+1)*(Timeline!$J$5:$J$305&gt;=AC$4+1)),SUMPRODUCT((INDEX(Timeline!$P$5:$AN$305,0,MATCH($A27,Timeline!$P$4:$AN$4,0))="x")*(Timeline!$K$5:$K$305="Task")*ISNUMBER(Timeline!$I$5:$I$305)*ISNUMBER(Timeline!$J$5:$J$305)*(Timeline!$I$5:$I$305&lt;=AC$4+2)*(Timeline!$J$5:$J$305&gt;=AC$4+2)),SUMPRODUCT((INDEX(Timeline!$P$5:$AN$305,0,MATCH($A27,Timeline!$P$4:$AN$4,0))="x")*(Timeline!$K$5:$K$305="Task")*ISNUMBER(Timeline!$I$5:$I$305)*ISNUMBER(Timeline!$J$5:$J$305)*(Timeline!$I$5:$I$305&lt;=AC$4+3)*(Timeline!$J$5:$J$305&gt;=AC$4+3)),SUMPRODUCT((INDEX(Timeline!$P$5:$AN$305,0,MATCH($A27,Timeline!$P$4:$AN$4,0))="x")*(Timeline!$K$5:$K$305="Task")*ISNUMBER(Timeline!$I$5:$I$305)*ISNUMBER(Timeline!$J$5:$J$305)*(Timeline!$I$5:$I$305&lt;=AC$4+4)*(Timeline!$J$5:$J$305&gt;=AC$4+4)),SUMPRODUCT((INDEX(Timeline!$P$5:$AN$305,0,MATCH($A27,Timeline!$P$4:$AN$4,0))="x")*(Timeline!$K$5:$K$305="Task")*ISNUMBER(Timeline!$I$5:$I$305)*ISNUMBER(Timeline!$J$5:$J$305)*(Timeline!$I$5:$I$305&lt;=AC$4+5)*(Timeline!$J$5:$J$305&gt;=AC$4+5)),SUMPRODUCT((INDEX(Timeline!$P$5:$AN$305,0,MATCH($A27,Timeline!$P$4:$AN$4,0))="x")*(Timeline!$K$5:$K$305="Task")*ISNUMBER(Timeline!$I$5:$I$305)*ISNUMBER(Timeline!$J$5:$J$305)*(Timeline!$I$5:$I$305&lt;=AC$4+6)*(Timeline!$J$5:$J$305&gt;=AC$4+6)))</f>
        <v>1</v>
      </c>
      <c r="AD27" s="67">
        <f>MAX(SUMPRODUCT((INDEX(Timeline!$P$5:$AN$305,0,MATCH($A27,Timeline!$P$4:$AN$4,0))="x")*(Timeline!$K$5:$K$305="Task")*ISNUMBER(Timeline!$I$5:$I$305)*ISNUMBER(Timeline!$J$5:$J$305)*(Timeline!$I$5:$I$305&lt;=AD$4+0)*(Timeline!$J$5:$J$305&gt;=AD$4+0)),SUMPRODUCT((INDEX(Timeline!$P$5:$AN$305,0,MATCH($A27,Timeline!$P$4:$AN$4,0))="x")*(Timeline!$K$5:$K$305="Task")*ISNUMBER(Timeline!$I$5:$I$305)*ISNUMBER(Timeline!$J$5:$J$305)*(Timeline!$I$5:$I$305&lt;=AD$4+1)*(Timeline!$J$5:$J$305&gt;=AD$4+1)),SUMPRODUCT((INDEX(Timeline!$P$5:$AN$305,0,MATCH($A27,Timeline!$P$4:$AN$4,0))="x")*(Timeline!$K$5:$K$305="Task")*ISNUMBER(Timeline!$I$5:$I$305)*ISNUMBER(Timeline!$J$5:$J$305)*(Timeline!$I$5:$I$305&lt;=AD$4+2)*(Timeline!$J$5:$J$305&gt;=AD$4+2)),SUMPRODUCT((INDEX(Timeline!$P$5:$AN$305,0,MATCH($A27,Timeline!$P$4:$AN$4,0))="x")*(Timeline!$K$5:$K$305="Task")*ISNUMBER(Timeline!$I$5:$I$305)*ISNUMBER(Timeline!$J$5:$J$305)*(Timeline!$I$5:$I$305&lt;=AD$4+3)*(Timeline!$J$5:$J$305&gt;=AD$4+3)),SUMPRODUCT((INDEX(Timeline!$P$5:$AN$305,0,MATCH($A27,Timeline!$P$4:$AN$4,0))="x")*(Timeline!$K$5:$K$305="Task")*ISNUMBER(Timeline!$I$5:$I$305)*ISNUMBER(Timeline!$J$5:$J$305)*(Timeline!$I$5:$I$305&lt;=AD$4+4)*(Timeline!$J$5:$J$305&gt;=AD$4+4)),SUMPRODUCT((INDEX(Timeline!$P$5:$AN$305,0,MATCH($A27,Timeline!$P$4:$AN$4,0))="x")*(Timeline!$K$5:$K$305="Task")*ISNUMBER(Timeline!$I$5:$I$305)*ISNUMBER(Timeline!$J$5:$J$305)*(Timeline!$I$5:$I$305&lt;=AD$4+5)*(Timeline!$J$5:$J$305&gt;=AD$4+5)),SUMPRODUCT((INDEX(Timeline!$P$5:$AN$305,0,MATCH($A27,Timeline!$P$4:$AN$4,0))="x")*(Timeline!$K$5:$K$305="Task")*ISNUMBER(Timeline!$I$5:$I$305)*ISNUMBER(Timeline!$J$5:$J$305)*(Timeline!$I$5:$I$305&lt;=AD$4+6)*(Timeline!$J$5:$J$305&gt;=AD$4+6)))</f>
        <v>1</v>
      </c>
      <c r="AE27" s="67">
        <f>MAX(SUMPRODUCT((INDEX(Timeline!$P$5:$AN$305,0,MATCH($A27,Timeline!$P$4:$AN$4,0))="x")*(Timeline!$K$5:$K$305="Task")*ISNUMBER(Timeline!$I$5:$I$305)*ISNUMBER(Timeline!$J$5:$J$305)*(Timeline!$I$5:$I$305&lt;=AE$4+0)*(Timeline!$J$5:$J$305&gt;=AE$4+0)),SUMPRODUCT((INDEX(Timeline!$P$5:$AN$305,0,MATCH($A27,Timeline!$P$4:$AN$4,0))="x")*(Timeline!$K$5:$K$305="Task")*ISNUMBER(Timeline!$I$5:$I$305)*ISNUMBER(Timeline!$J$5:$J$305)*(Timeline!$I$5:$I$305&lt;=AE$4+1)*(Timeline!$J$5:$J$305&gt;=AE$4+1)),SUMPRODUCT((INDEX(Timeline!$P$5:$AN$305,0,MATCH($A27,Timeline!$P$4:$AN$4,0))="x")*(Timeline!$K$5:$K$305="Task")*ISNUMBER(Timeline!$I$5:$I$305)*ISNUMBER(Timeline!$J$5:$J$305)*(Timeline!$I$5:$I$305&lt;=AE$4+2)*(Timeline!$J$5:$J$305&gt;=AE$4+2)),SUMPRODUCT((INDEX(Timeline!$P$5:$AN$305,0,MATCH($A27,Timeline!$P$4:$AN$4,0))="x")*(Timeline!$K$5:$K$305="Task")*ISNUMBER(Timeline!$I$5:$I$305)*ISNUMBER(Timeline!$J$5:$J$305)*(Timeline!$I$5:$I$305&lt;=AE$4+3)*(Timeline!$J$5:$J$305&gt;=AE$4+3)),SUMPRODUCT((INDEX(Timeline!$P$5:$AN$305,0,MATCH($A27,Timeline!$P$4:$AN$4,0))="x")*(Timeline!$K$5:$K$305="Task")*ISNUMBER(Timeline!$I$5:$I$305)*ISNUMBER(Timeline!$J$5:$J$305)*(Timeline!$I$5:$I$305&lt;=AE$4+4)*(Timeline!$J$5:$J$305&gt;=AE$4+4)),SUMPRODUCT((INDEX(Timeline!$P$5:$AN$305,0,MATCH($A27,Timeline!$P$4:$AN$4,0))="x")*(Timeline!$K$5:$K$305="Task")*ISNUMBER(Timeline!$I$5:$I$305)*ISNUMBER(Timeline!$J$5:$J$305)*(Timeline!$I$5:$I$305&lt;=AE$4+5)*(Timeline!$J$5:$J$305&gt;=AE$4+5)),SUMPRODUCT((INDEX(Timeline!$P$5:$AN$305,0,MATCH($A27,Timeline!$P$4:$AN$4,0))="x")*(Timeline!$K$5:$K$305="Task")*ISNUMBER(Timeline!$I$5:$I$305)*ISNUMBER(Timeline!$J$5:$J$305)*(Timeline!$I$5:$I$305&lt;=AE$4+6)*(Timeline!$J$5:$J$305&gt;=AE$4+6)))</f>
        <v>1</v>
      </c>
      <c r="AF27" s="67">
        <f>MAX(SUMPRODUCT((INDEX(Timeline!$P$5:$AN$305,0,MATCH($A27,Timeline!$P$4:$AN$4,0))="x")*(Timeline!$K$5:$K$305="Task")*ISNUMBER(Timeline!$I$5:$I$305)*ISNUMBER(Timeline!$J$5:$J$305)*(Timeline!$I$5:$I$305&lt;=AF$4+0)*(Timeline!$J$5:$J$305&gt;=AF$4+0)),SUMPRODUCT((INDEX(Timeline!$P$5:$AN$305,0,MATCH($A27,Timeline!$P$4:$AN$4,0))="x")*(Timeline!$K$5:$K$305="Task")*ISNUMBER(Timeline!$I$5:$I$305)*ISNUMBER(Timeline!$J$5:$J$305)*(Timeline!$I$5:$I$305&lt;=AF$4+1)*(Timeline!$J$5:$J$305&gt;=AF$4+1)),SUMPRODUCT((INDEX(Timeline!$P$5:$AN$305,0,MATCH($A27,Timeline!$P$4:$AN$4,0))="x")*(Timeline!$K$5:$K$305="Task")*ISNUMBER(Timeline!$I$5:$I$305)*ISNUMBER(Timeline!$J$5:$J$305)*(Timeline!$I$5:$I$305&lt;=AF$4+2)*(Timeline!$J$5:$J$305&gt;=AF$4+2)),SUMPRODUCT((INDEX(Timeline!$P$5:$AN$305,0,MATCH($A27,Timeline!$P$4:$AN$4,0))="x")*(Timeline!$K$5:$K$305="Task")*ISNUMBER(Timeline!$I$5:$I$305)*ISNUMBER(Timeline!$J$5:$J$305)*(Timeline!$I$5:$I$305&lt;=AF$4+3)*(Timeline!$J$5:$J$305&gt;=AF$4+3)),SUMPRODUCT((INDEX(Timeline!$P$5:$AN$305,0,MATCH($A27,Timeline!$P$4:$AN$4,0))="x")*(Timeline!$K$5:$K$305="Task")*ISNUMBER(Timeline!$I$5:$I$305)*ISNUMBER(Timeline!$J$5:$J$305)*(Timeline!$I$5:$I$305&lt;=AF$4+4)*(Timeline!$J$5:$J$305&gt;=AF$4+4)),SUMPRODUCT((INDEX(Timeline!$P$5:$AN$305,0,MATCH($A27,Timeline!$P$4:$AN$4,0))="x")*(Timeline!$K$5:$K$305="Task")*ISNUMBER(Timeline!$I$5:$I$305)*ISNUMBER(Timeline!$J$5:$J$305)*(Timeline!$I$5:$I$305&lt;=AF$4+5)*(Timeline!$J$5:$J$305&gt;=AF$4+5)),SUMPRODUCT((INDEX(Timeline!$P$5:$AN$305,0,MATCH($A27,Timeline!$P$4:$AN$4,0))="x")*(Timeline!$K$5:$K$305="Task")*ISNUMBER(Timeline!$I$5:$I$305)*ISNUMBER(Timeline!$J$5:$J$305)*(Timeline!$I$5:$I$305&lt;=AF$4+6)*(Timeline!$J$5:$J$305&gt;=AF$4+6)))</f>
        <v>1</v>
      </c>
      <c r="AG27" s="67">
        <f>MAX(SUMPRODUCT((INDEX(Timeline!$P$5:$AN$305,0,MATCH($A27,Timeline!$P$4:$AN$4,0))="x")*(Timeline!$K$5:$K$305="Task")*ISNUMBER(Timeline!$I$5:$I$305)*ISNUMBER(Timeline!$J$5:$J$305)*(Timeline!$I$5:$I$305&lt;=AG$4+0)*(Timeline!$J$5:$J$305&gt;=AG$4+0)),SUMPRODUCT((INDEX(Timeline!$P$5:$AN$305,0,MATCH($A27,Timeline!$P$4:$AN$4,0))="x")*(Timeline!$K$5:$K$305="Task")*ISNUMBER(Timeline!$I$5:$I$305)*ISNUMBER(Timeline!$J$5:$J$305)*(Timeline!$I$5:$I$305&lt;=AG$4+1)*(Timeline!$J$5:$J$305&gt;=AG$4+1)),SUMPRODUCT((INDEX(Timeline!$P$5:$AN$305,0,MATCH($A27,Timeline!$P$4:$AN$4,0))="x")*(Timeline!$K$5:$K$305="Task")*ISNUMBER(Timeline!$I$5:$I$305)*ISNUMBER(Timeline!$J$5:$J$305)*(Timeline!$I$5:$I$305&lt;=AG$4+2)*(Timeline!$J$5:$J$305&gt;=AG$4+2)),SUMPRODUCT((INDEX(Timeline!$P$5:$AN$305,0,MATCH($A27,Timeline!$P$4:$AN$4,0))="x")*(Timeline!$K$5:$K$305="Task")*ISNUMBER(Timeline!$I$5:$I$305)*ISNUMBER(Timeline!$J$5:$J$305)*(Timeline!$I$5:$I$305&lt;=AG$4+3)*(Timeline!$J$5:$J$305&gt;=AG$4+3)),SUMPRODUCT((INDEX(Timeline!$P$5:$AN$305,0,MATCH($A27,Timeline!$P$4:$AN$4,0))="x")*(Timeline!$K$5:$K$305="Task")*ISNUMBER(Timeline!$I$5:$I$305)*ISNUMBER(Timeline!$J$5:$J$305)*(Timeline!$I$5:$I$305&lt;=AG$4+4)*(Timeline!$J$5:$J$305&gt;=AG$4+4)),SUMPRODUCT((INDEX(Timeline!$P$5:$AN$305,0,MATCH($A27,Timeline!$P$4:$AN$4,0))="x")*(Timeline!$K$5:$K$305="Task")*ISNUMBER(Timeline!$I$5:$I$305)*ISNUMBER(Timeline!$J$5:$J$305)*(Timeline!$I$5:$I$305&lt;=AG$4+5)*(Timeline!$J$5:$J$305&gt;=AG$4+5)),SUMPRODUCT((INDEX(Timeline!$P$5:$AN$305,0,MATCH($A27,Timeline!$P$4:$AN$4,0))="x")*(Timeline!$K$5:$K$305="Task")*ISNUMBER(Timeline!$I$5:$I$305)*ISNUMBER(Timeline!$J$5:$J$305)*(Timeline!$I$5:$I$305&lt;=AG$4+6)*(Timeline!$J$5:$J$305&gt;=AG$4+6)))</f>
        <v>0</v>
      </c>
      <c r="AH27" s="67">
        <f>MAX(SUMPRODUCT((INDEX(Timeline!$P$5:$AN$305,0,MATCH($A27,Timeline!$P$4:$AN$4,0))="x")*(Timeline!$K$5:$K$305="Task")*ISNUMBER(Timeline!$I$5:$I$305)*ISNUMBER(Timeline!$J$5:$J$305)*(Timeline!$I$5:$I$305&lt;=AH$4+0)*(Timeline!$J$5:$J$305&gt;=AH$4+0)),SUMPRODUCT((INDEX(Timeline!$P$5:$AN$305,0,MATCH($A27,Timeline!$P$4:$AN$4,0))="x")*(Timeline!$K$5:$K$305="Task")*ISNUMBER(Timeline!$I$5:$I$305)*ISNUMBER(Timeline!$J$5:$J$305)*(Timeline!$I$5:$I$305&lt;=AH$4+1)*(Timeline!$J$5:$J$305&gt;=AH$4+1)),SUMPRODUCT((INDEX(Timeline!$P$5:$AN$305,0,MATCH($A27,Timeline!$P$4:$AN$4,0))="x")*(Timeline!$K$5:$K$305="Task")*ISNUMBER(Timeline!$I$5:$I$305)*ISNUMBER(Timeline!$J$5:$J$305)*(Timeline!$I$5:$I$305&lt;=AH$4+2)*(Timeline!$J$5:$J$305&gt;=AH$4+2)),SUMPRODUCT((INDEX(Timeline!$P$5:$AN$305,0,MATCH($A27,Timeline!$P$4:$AN$4,0))="x")*(Timeline!$K$5:$K$305="Task")*ISNUMBER(Timeline!$I$5:$I$305)*ISNUMBER(Timeline!$J$5:$J$305)*(Timeline!$I$5:$I$305&lt;=AH$4+3)*(Timeline!$J$5:$J$305&gt;=AH$4+3)),SUMPRODUCT((INDEX(Timeline!$P$5:$AN$305,0,MATCH($A27,Timeline!$P$4:$AN$4,0))="x")*(Timeline!$K$5:$K$305="Task")*ISNUMBER(Timeline!$I$5:$I$305)*ISNUMBER(Timeline!$J$5:$J$305)*(Timeline!$I$5:$I$305&lt;=AH$4+4)*(Timeline!$J$5:$J$305&gt;=AH$4+4)),SUMPRODUCT((INDEX(Timeline!$P$5:$AN$305,0,MATCH($A27,Timeline!$P$4:$AN$4,0))="x")*(Timeline!$K$5:$K$305="Task")*ISNUMBER(Timeline!$I$5:$I$305)*ISNUMBER(Timeline!$J$5:$J$305)*(Timeline!$I$5:$I$305&lt;=AH$4+5)*(Timeline!$J$5:$J$305&gt;=AH$4+5)),SUMPRODUCT((INDEX(Timeline!$P$5:$AN$305,0,MATCH($A27,Timeline!$P$4:$AN$4,0))="x")*(Timeline!$K$5:$K$305="Task")*ISNUMBER(Timeline!$I$5:$I$305)*ISNUMBER(Timeline!$J$5:$J$305)*(Timeline!$I$5:$I$305&lt;=AH$4+6)*(Timeline!$J$5:$J$305&gt;=AH$4+6)))</f>
        <v>0</v>
      </c>
      <c r="AI27" s="67">
        <f>MAX(SUMPRODUCT((INDEX(Timeline!$P$5:$AN$305,0,MATCH($A27,Timeline!$P$4:$AN$4,0))="x")*(Timeline!$K$5:$K$305="Task")*ISNUMBER(Timeline!$I$5:$I$305)*ISNUMBER(Timeline!$J$5:$J$305)*(Timeline!$I$5:$I$305&lt;=AI$4+0)*(Timeline!$J$5:$J$305&gt;=AI$4+0)),SUMPRODUCT((INDEX(Timeline!$P$5:$AN$305,0,MATCH($A27,Timeline!$P$4:$AN$4,0))="x")*(Timeline!$K$5:$K$305="Task")*ISNUMBER(Timeline!$I$5:$I$305)*ISNUMBER(Timeline!$J$5:$J$305)*(Timeline!$I$5:$I$305&lt;=AI$4+1)*(Timeline!$J$5:$J$305&gt;=AI$4+1)),SUMPRODUCT((INDEX(Timeline!$P$5:$AN$305,0,MATCH($A27,Timeline!$P$4:$AN$4,0))="x")*(Timeline!$K$5:$K$305="Task")*ISNUMBER(Timeline!$I$5:$I$305)*ISNUMBER(Timeline!$J$5:$J$305)*(Timeline!$I$5:$I$305&lt;=AI$4+2)*(Timeline!$J$5:$J$305&gt;=AI$4+2)),SUMPRODUCT((INDEX(Timeline!$P$5:$AN$305,0,MATCH($A27,Timeline!$P$4:$AN$4,0))="x")*(Timeline!$K$5:$K$305="Task")*ISNUMBER(Timeline!$I$5:$I$305)*ISNUMBER(Timeline!$J$5:$J$305)*(Timeline!$I$5:$I$305&lt;=AI$4+3)*(Timeline!$J$5:$J$305&gt;=AI$4+3)),SUMPRODUCT((INDEX(Timeline!$P$5:$AN$305,0,MATCH($A27,Timeline!$P$4:$AN$4,0))="x")*(Timeline!$K$5:$K$305="Task")*ISNUMBER(Timeline!$I$5:$I$305)*ISNUMBER(Timeline!$J$5:$J$305)*(Timeline!$I$5:$I$305&lt;=AI$4+4)*(Timeline!$J$5:$J$305&gt;=AI$4+4)),SUMPRODUCT((INDEX(Timeline!$P$5:$AN$305,0,MATCH($A27,Timeline!$P$4:$AN$4,0))="x")*(Timeline!$K$5:$K$305="Task")*ISNUMBER(Timeline!$I$5:$I$305)*ISNUMBER(Timeline!$J$5:$J$305)*(Timeline!$I$5:$I$305&lt;=AI$4+5)*(Timeline!$J$5:$J$305&gt;=AI$4+5)),SUMPRODUCT((INDEX(Timeline!$P$5:$AN$305,0,MATCH($A27,Timeline!$P$4:$AN$4,0))="x")*(Timeline!$K$5:$K$305="Task")*ISNUMBER(Timeline!$I$5:$I$305)*ISNUMBER(Timeline!$J$5:$J$305)*(Timeline!$I$5:$I$305&lt;=AI$4+6)*(Timeline!$J$5:$J$305&gt;=AI$4+6)))</f>
        <v>0</v>
      </c>
      <c r="AJ27" s="67">
        <f>MAX(SUMPRODUCT((INDEX(Timeline!$P$5:$AN$305,0,MATCH($A27,Timeline!$P$4:$AN$4,0))="x")*(Timeline!$K$5:$K$305="Task")*ISNUMBER(Timeline!$I$5:$I$305)*ISNUMBER(Timeline!$J$5:$J$305)*(Timeline!$I$5:$I$305&lt;=AJ$4+0)*(Timeline!$J$5:$J$305&gt;=AJ$4+0)),SUMPRODUCT((INDEX(Timeline!$P$5:$AN$305,0,MATCH($A27,Timeline!$P$4:$AN$4,0))="x")*(Timeline!$K$5:$K$305="Task")*ISNUMBER(Timeline!$I$5:$I$305)*ISNUMBER(Timeline!$J$5:$J$305)*(Timeline!$I$5:$I$305&lt;=AJ$4+1)*(Timeline!$J$5:$J$305&gt;=AJ$4+1)),SUMPRODUCT((INDEX(Timeline!$P$5:$AN$305,0,MATCH($A27,Timeline!$P$4:$AN$4,0))="x")*(Timeline!$K$5:$K$305="Task")*ISNUMBER(Timeline!$I$5:$I$305)*ISNUMBER(Timeline!$J$5:$J$305)*(Timeline!$I$5:$I$305&lt;=AJ$4+2)*(Timeline!$J$5:$J$305&gt;=AJ$4+2)),SUMPRODUCT((INDEX(Timeline!$P$5:$AN$305,0,MATCH($A27,Timeline!$P$4:$AN$4,0))="x")*(Timeline!$K$5:$K$305="Task")*ISNUMBER(Timeline!$I$5:$I$305)*ISNUMBER(Timeline!$J$5:$J$305)*(Timeline!$I$5:$I$305&lt;=AJ$4+3)*(Timeline!$J$5:$J$305&gt;=AJ$4+3)),SUMPRODUCT((INDEX(Timeline!$P$5:$AN$305,0,MATCH($A27,Timeline!$P$4:$AN$4,0))="x")*(Timeline!$K$5:$K$305="Task")*ISNUMBER(Timeline!$I$5:$I$305)*ISNUMBER(Timeline!$J$5:$J$305)*(Timeline!$I$5:$I$305&lt;=AJ$4+4)*(Timeline!$J$5:$J$305&gt;=AJ$4+4)),SUMPRODUCT((INDEX(Timeline!$P$5:$AN$305,0,MATCH($A27,Timeline!$P$4:$AN$4,0))="x")*(Timeline!$K$5:$K$305="Task")*ISNUMBER(Timeline!$I$5:$I$305)*ISNUMBER(Timeline!$J$5:$J$305)*(Timeline!$I$5:$I$305&lt;=AJ$4+5)*(Timeline!$J$5:$J$305&gt;=AJ$4+5)),SUMPRODUCT((INDEX(Timeline!$P$5:$AN$305,0,MATCH($A27,Timeline!$P$4:$AN$4,0))="x")*(Timeline!$K$5:$K$305="Task")*ISNUMBER(Timeline!$I$5:$I$305)*ISNUMBER(Timeline!$J$5:$J$305)*(Timeline!$I$5:$I$305&lt;=AJ$4+6)*(Timeline!$J$5:$J$305&gt;=AJ$4+6)))</f>
        <v>0</v>
      </c>
      <c r="AK27" s="67">
        <f>MAX(SUMPRODUCT((INDEX(Timeline!$P$5:$AN$305,0,MATCH($A27,Timeline!$P$4:$AN$4,0))="x")*(Timeline!$K$5:$K$305="Task")*ISNUMBER(Timeline!$I$5:$I$305)*ISNUMBER(Timeline!$J$5:$J$305)*(Timeline!$I$5:$I$305&lt;=AK$4+0)*(Timeline!$J$5:$J$305&gt;=AK$4+0)),SUMPRODUCT((INDEX(Timeline!$P$5:$AN$305,0,MATCH($A27,Timeline!$P$4:$AN$4,0))="x")*(Timeline!$K$5:$K$305="Task")*ISNUMBER(Timeline!$I$5:$I$305)*ISNUMBER(Timeline!$J$5:$J$305)*(Timeline!$I$5:$I$305&lt;=AK$4+1)*(Timeline!$J$5:$J$305&gt;=AK$4+1)),SUMPRODUCT((INDEX(Timeline!$P$5:$AN$305,0,MATCH($A27,Timeline!$P$4:$AN$4,0))="x")*(Timeline!$K$5:$K$305="Task")*ISNUMBER(Timeline!$I$5:$I$305)*ISNUMBER(Timeline!$J$5:$J$305)*(Timeline!$I$5:$I$305&lt;=AK$4+2)*(Timeline!$J$5:$J$305&gt;=AK$4+2)),SUMPRODUCT((INDEX(Timeline!$P$5:$AN$305,0,MATCH($A27,Timeline!$P$4:$AN$4,0))="x")*(Timeline!$K$5:$K$305="Task")*ISNUMBER(Timeline!$I$5:$I$305)*ISNUMBER(Timeline!$J$5:$J$305)*(Timeline!$I$5:$I$305&lt;=AK$4+3)*(Timeline!$J$5:$J$305&gt;=AK$4+3)),SUMPRODUCT((INDEX(Timeline!$P$5:$AN$305,0,MATCH($A27,Timeline!$P$4:$AN$4,0))="x")*(Timeline!$K$5:$K$305="Task")*ISNUMBER(Timeline!$I$5:$I$305)*ISNUMBER(Timeline!$J$5:$J$305)*(Timeline!$I$5:$I$305&lt;=AK$4+4)*(Timeline!$J$5:$J$305&gt;=AK$4+4)),SUMPRODUCT((INDEX(Timeline!$P$5:$AN$305,0,MATCH($A27,Timeline!$P$4:$AN$4,0))="x")*(Timeline!$K$5:$K$305="Task")*ISNUMBER(Timeline!$I$5:$I$305)*ISNUMBER(Timeline!$J$5:$J$305)*(Timeline!$I$5:$I$305&lt;=AK$4+5)*(Timeline!$J$5:$J$305&gt;=AK$4+5)),SUMPRODUCT((INDEX(Timeline!$P$5:$AN$305,0,MATCH($A27,Timeline!$P$4:$AN$4,0))="x")*(Timeline!$K$5:$K$305="Task")*ISNUMBER(Timeline!$I$5:$I$305)*ISNUMBER(Timeline!$J$5:$J$305)*(Timeline!$I$5:$I$305&lt;=AK$4+6)*(Timeline!$J$5:$J$305&gt;=AK$4+6)))</f>
        <v>0</v>
      </c>
      <c r="AL27" s="67">
        <f>MAX(SUMPRODUCT((INDEX(Timeline!$P$5:$AN$305,0,MATCH($A27,Timeline!$P$4:$AN$4,0))="x")*(Timeline!$K$5:$K$305="Task")*ISNUMBER(Timeline!$I$5:$I$305)*ISNUMBER(Timeline!$J$5:$J$305)*(Timeline!$I$5:$I$305&lt;=AL$4+0)*(Timeline!$J$5:$J$305&gt;=AL$4+0)),SUMPRODUCT((INDEX(Timeline!$P$5:$AN$305,0,MATCH($A27,Timeline!$P$4:$AN$4,0))="x")*(Timeline!$K$5:$K$305="Task")*ISNUMBER(Timeline!$I$5:$I$305)*ISNUMBER(Timeline!$J$5:$J$305)*(Timeline!$I$5:$I$305&lt;=AL$4+1)*(Timeline!$J$5:$J$305&gt;=AL$4+1)),SUMPRODUCT((INDEX(Timeline!$P$5:$AN$305,0,MATCH($A27,Timeline!$P$4:$AN$4,0))="x")*(Timeline!$K$5:$K$305="Task")*ISNUMBER(Timeline!$I$5:$I$305)*ISNUMBER(Timeline!$J$5:$J$305)*(Timeline!$I$5:$I$305&lt;=AL$4+2)*(Timeline!$J$5:$J$305&gt;=AL$4+2)),SUMPRODUCT((INDEX(Timeline!$P$5:$AN$305,0,MATCH($A27,Timeline!$P$4:$AN$4,0))="x")*(Timeline!$K$5:$K$305="Task")*ISNUMBER(Timeline!$I$5:$I$305)*ISNUMBER(Timeline!$J$5:$J$305)*(Timeline!$I$5:$I$305&lt;=AL$4+3)*(Timeline!$J$5:$J$305&gt;=AL$4+3)),SUMPRODUCT((INDEX(Timeline!$P$5:$AN$305,0,MATCH($A27,Timeline!$P$4:$AN$4,0))="x")*(Timeline!$K$5:$K$305="Task")*ISNUMBER(Timeline!$I$5:$I$305)*ISNUMBER(Timeline!$J$5:$J$305)*(Timeline!$I$5:$I$305&lt;=AL$4+4)*(Timeline!$J$5:$J$305&gt;=AL$4+4)),SUMPRODUCT((INDEX(Timeline!$P$5:$AN$305,0,MATCH($A27,Timeline!$P$4:$AN$4,0))="x")*(Timeline!$K$5:$K$305="Task")*ISNUMBER(Timeline!$I$5:$I$305)*ISNUMBER(Timeline!$J$5:$J$305)*(Timeline!$I$5:$I$305&lt;=AL$4+5)*(Timeline!$J$5:$J$305&gt;=AL$4+5)),SUMPRODUCT((INDEX(Timeline!$P$5:$AN$305,0,MATCH($A27,Timeline!$P$4:$AN$4,0))="x")*(Timeline!$K$5:$K$305="Task")*ISNUMBER(Timeline!$I$5:$I$305)*ISNUMBER(Timeline!$J$5:$J$305)*(Timeline!$I$5:$I$305&lt;=AL$4+6)*(Timeline!$J$5:$J$305&gt;=AL$4+6)))</f>
        <v>0</v>
      </c>
      <c r="AM27" s="67">
        <f>MAX(SUMPRODUCT((INDEX(Timeline!$P$5:$AN$305,0,MATCH($A27,Timeline!$P$4:$AN$4,0))="x")*(Timeline!$K$5:$K$305="Task")*ISNUMBER(Timeline!$I$5:$I$305)*ISNUMBER(Timeline!$J$5:$J$305)*(Timeline!$I$5:$I$305&lt;=AM$4+0)*(Timeline!$J$5:$J$305&gt;=AM$4+0)),SUMPRODUCT((INDEX(Timeline!$P$5:$AN$305,0,MATCH($A27,Timeline!$P$4:$AN$4,0))="x")*(Timeline!$K$5:$K$305="Task")*ISNUMBER(Timeline!$I$5:$I$305)*ISNUMBER(Timeline!$J$5:$J$305)*(Timeline!$I$5:$I$305&lt;=AM$4+1)*(Timeline!$J$5:$J$305&gt;=AM$4+1)),SUMPRODUCT((INDEX(Timeline!$P$5:$AN$305,0,MATCH($A27,Timeline!$P$4:$AN$4,0))="x")*(Timeline!$K$5:$K$305="Task")*ISNUMBER(Timeline!$I$5:$I$305)*ISNUMBER(Timeline!$J$5:$J$305)*(Timeline!$I$5:$I$305&lt;=AM$4+2)*(Timeline!$J$5:$J$305&gt;=AM$4+2)),SUMPRODUCT((INDEX(Timeline!$P$5:$AN$305,0,MATCH($A27,Timeline!$P$4:$AN$4,0))="x")*(Timeline!$K$5:$K$305="Task")*ISNUMBER(Timeline!$I$5:$I$305)*ISNUMBER(Timeline!$J$5:$J$305)*(Timeline!$I$5:$I$305&lt;=AM$4+3)*(Timeline!$J$5:$J$305&gt;=AM$4+3)),SUMPRODUCT((INDEX(Timeline!$P$5:$AN$305,0,MATCH($A27,Timeline!$P$4:$AN$4,0))="x")*(Timeline!$K$5:$K$305="Task")*ISNUMBER(Timeline!$I$5:$I$305)*ISNUMBER(Timeline!$J$5:$J$305)*(Timeline!$I$5:$I$305&lt;=AM$4+4)*(Timeline!$J$5:$J$305&gt;=AM$4+4)),SUMPRODUCT((INDEX(Timeline!$P$5:$AN$305,0,MATCH($A27,Timeline!$P$4:$AN$4,0))="x")*(Timeline!$K$5:$K$305="Task")*ISNUMBER(Timeline!$I$5:$I$305)*ISNUMBER(Timeline!$J$5:$J$305)*(Timeline!$I$5:$I$305&lt;=AM$4+5)*(Timeline!$J$5:$J$305&gt;=AM$4+5)),SUMPRODUCT((INDEX(Timeline!$P$5:$AN$305,0,MATCH($A27,Timeline!$P$4:$AN$4,0))="x")*(Timeline!$K$5:$K$305="Task")*ISNUMBER(Timeline!$I$5:$I$305)*ISNUMBER(Timeline!$J$5:$J$305)*(Timeline!$I$5:$I$305&lt;=AM$4+6)*(Timeline!$J$5:$J$305&gt;=AM$4+6)))</f>
        <v>0</v>
      </c>
      <c r="AN27" s="67">
        <f>MAX(SUMPRODUCT((INDEX(Timeline!$P$5:$AN$305,0,MATCH($A27,Timeline!$P$4:$AN$4,0))="x")*(Timeline!$K$5:$K$305="Task")*ISNUMBER(Timeline!$I$5:$I$305)*ISNUMBER(Timeline!$J$5:$J$305)*(Timeline!$I$5:$I$305&lt;=AN$4+0)*(Timeline!$J$5:$J$305&gt;=AN$4+0)),SUMPRODUCT((INDEX(Timeline!$P$5:$AN$305,0,MATCH($A27,Timeline!$P$4:$AN$4,0))="x")*(Timeline!$K$5:$K$305="Task")*ISNUMBER(Timeline!$I$5:$I$305)*ISNUMBER(Timeline!$J$5:$J$305)*(Timeline!$I$5:$I$305&lt;=AN$4+1)*(Timeline!$J$5:$J$305&gt;=AN$4+1)),SUMPRODUCT((INDEX(Timeline!$P$5:$AN$305,0,MATCH($A27,Timeline!$P$4:$AN$4,0))="x")*(Timeline!$K$5:$K$305="Task")*ISNUMBER(Timeline!$I$5:$I$305)*ISNUMBER(Timeline!$J$5:$J$305)*(Timeline!$I$5:$I$305&lt;=AN$4+2)*(Timeline!$J$5:$J$305&gt;=AN$4+2)),SUMPRODUCT((INDEX(Timeline!$P$5:$AN$305,0,MATCH($A27,Timeline!$P$4:$AN$4,0))="x")*(Timeline!$K$5:$K$305="Task")*ISNUMBER(Timeline!$I$5:$I$305)*ISNUMBER(Timeline!$J$5:$J$305)*(Timeline!$I$5:$I$305&lt;=AN$4+3)*(Timeline!$J$5:$J$305&gt;=AN$4+3)),SUMPRODUCT((INDEX(Timeline!$P$5:$AN$305,0,MATCH($A27,Timeline!$P$4:$AN$4,0))="x")*(Timeline!$K$5:$K$305="Task")*ISNUMBER(Timeline!$I$5:$I$305)*ISNUMBER(Timeline!$J$5:$J$305)*(Timeline!$I$5:$I$305&lt;=AN$4+4)*(Timeline!$J$5:$J$305&gt;=AN$4+4)),SUMPRODUCT((INDEX(Timeline!$P$5:$AN$305,0,MATCH($A27,Timeline!$P$4:$AN$4,0))="x")*(Timeline!$K$5:$K$305="Task")*ISNUMBER(Timeline!$I$5:$I$305)*ISNUMBER(Timeline!$J$5:$J$305)*(Timeline!$I$5:$I$305&lt;=AN$4+5)*(Timeline!$J$5:$J$305&gt;=AN$4+5)),SUMPRODUCT((INDEX(Timeline!$P$5:$AN$305,0,MATCH($A27,Timeline!$P$4:$AN$4,0))="x")*(Timeline!$K$5:$K$305="Task")*ISNUMBER(Timeline!$I$5:$I$305)*ISNUMBER(Timeline!$J$5:$J$305)*(Timeline!$I$5:$I$305&lt;=AN$4+6)*(Timeline!$J$5:$J$305&gt;=AN$4+6)))</f>
        <v>0</v>
      </c>
      <c r="AO27" s="67">
        <f>MAX(SUMPRODUCT((INDEX(Timeline!$P$5:$AN$305,0,MATCH($A27,Timeline!$P$4:$AN$4,0))="x")*(Timeline!$K$5:$K$305="Task")*ISNUMBER(Timeline!$I$5:$I$305)*ISNUMBER(Timeline!$J$5:$J$305)*(Timeline!$I$5:$I$305&lt;=AO$4+0)*(Timeline!$J$5:$J$305&gt;=AO$4+0)),SUMPRODUCT((INDEX(Timeline!$P$5:$AN$305,0,MATCH($A27,Timeline!$P$4:$AN$4,0))="x")*(Timeline!$K$5:$K$305="Task")*ISNUMBER(Timeline!$I$5:$I$305)*ISNUMBER(Timeline!$J$5:$J$305)*(Timeline!$I$5:$I$305&lt;=AO$4+1)*(Timeline!$J$5:$J$305&gt;=AO$4+1)),SUMPRODUCT((INDEX(Timeline!$P$5:$AN$305,0,MATCH($A27,Timeline!$P$4:$AN$4,0))="x")*(Timeline!$K$5:$K$305="Task")*ISNUMBER(Timeline!$I$5:$I$305)*ISNUMBER(Timeline!$J$5:$J$305)*(Timeline!$I$5:$I$305&lt;=AO$4+2)*(Timeline!$J$5:$J$305&gt;=AO$4+2)),SUMPRODUCT((INDEX(Timeline!$P$5:$AN$305,0,MATCH($A27,Timeline!$P$4:$AN$4,0))="x")*(Timeline!$K$5:$K$305="Task")*ISNUMBER(Timeline!$I$5:$I$305)*ISNUMBER(Timeline!$J$5:$J$305)*(Timeline!$I$5:$I$305&lt;=AO$4+3)*(Timeline!$J$5:$J$305&gt;=AO$4+3)),SUMPRODUCT((INDEX(Timeline!$P$5:$AN$305,0,MATCH($A27,Timeline!$P$4:$AN$4,0))="x")*(Timeline!$K$5:$K$305="Task")*ISNUMBER(Timeline!$I$5:$I$305)*ISNUMBER(Timeline!$J$5:$J$305)*(Timeline!$I$5:$I$305&lt;=AO$4+4)*(Timeline!$J$5:$J$305&gt;=AO$4+4)),SUMPRODUCT((INDEX(Timeline!$P$5:$AN$305,0,MATCH($A27,Timeline!$P$4:$AN$4,0))="x")*(Timeline!$K$5:$K$305="Task")*ISNUMBER(Timeline!$I$5:$I$305)*ISNUMBER(Timeline!$J$5:$J$305)*(Timeline!$I$5:$I$305&lt;=AO$4+5)*(Timeline!$J$5:$J$305&gt;=AO$4+5)),SUMPRODUCT((INDEX(Timeline!$P$5:$AN$305,0,MATCH($A27,Timeline!$P$4:$AN$4,0))="x")*(Timeline!$K$5:$K$305="Task")*ISNUMBER(Timeline!$I$5:$I$305)*ISNUMBER(Timeline!$J$5:$J$305)*(Timeline!$I$5:$I$305&lt;=AO$4+6)*(Timeline!$J$5:$J$305&gt;=AO$4+6)))</f>
        <v>0</v>
      </c>
      <c r="AP27" s="67">
        <f>MAX(SUMPRODUCT((INDEX(Timeline!$P$5:$AN$305,0,MATCH($A27,Timeline!$P$4:$AN$4,0))="x")*(Timeline!$K$5:$K$305="Task")*ISNUMBER(Timeline!$I$5:$I$305)*ISNUMBER(Timeline!$J$5:$J$305)*(Timeline!$I$5:$I$305&lt;=AP$4+0)*(Timeline!$J$5:$J$305&gt;=AP$4+0)),SUMPRODUCT((INDEX(Timeline!$P$5:$AN$305,0,MATCH($A27,Timeline!$P$4:$AN$4,0))="x")*(Timeline!$K$5:$K$305="Task")*ISNUMBER(Timeline!$I$5:$I$305)*ISNUMBER(Timeline!$J$5:$J$305)*(Timeline!$I$5:$I$305&lt;=AP$4+1)*(Timeline!$J$5:$J$305&gt;=AP$4+1)),SUMPRODUCT((INDEX(Timeline!$P$5:$AN$305,0,MATCH($A27,Timeline!$P$4:$AN$4,0))="x")*(Timeline!$K$5:$K$305="Task")*ISNUMBER(Timeline!$I$5:$I$305)*ISNUMBER(Timeline!$J$5:$J$305)*(Timeline!$I$5:$I$305&lt;=AP$4+2)*(Timeline!$J$5:$J$305&gt;=AP$4+2)),SUMPRODUCT((INDEX(Timeline!$P$5:$AN$305,0,MATCH($A27,Timeline!$P$4:$AN$4,0))="x")*(Timeline!$K$5:$K$305="Task")*ISNUMBER(Timeline!$I$5:$I$305)*ISNUMBER(Timeline!$J$5:$J$305)*(Timeline!$I$5:$I$305&lt;=AP$4+3)*(Timeline!$J$5:$J$305&gt;=AP$4+3)),SUMPRODUCT((INDEX(Timeline!$P$5:$AN$305,0,MATCH($A27,Timeline!$P$4:$AN$4,0))="x")*(Timeline!$K$5:$K$305="Task")*ISNUMBER(Timeline!$I$5:$I$305)*ISNUMBER(Timeline!$J$5:$J$305)*(Timeline!$I$5:$I$305&lt;=AP$4+4)*(Timeline!$J$5:$J$305&gt;=AP$4+4)),SUMPRODUCT((INDEX(Timeline!$P$5:$AN$305,0,MATCH($A27,Timeline!$P$4:$AN$4,0))="x")*(Timeline!$K$5:$K$305="Task")*ISNUMBER(Timeline!$I$5:$I$305)*ISNUMBER(Timeline!$J$5:$J$305)*(Timeline!$I$5:$I$305&lt;=AP$4+5)*(Timeline!$J$5:$J$305&gt;=AP$4+5)),SUMPRODUCT((INDEX(Timeline!$P$5:$AN$305,0,MATCH($A27,Timeline!$P$4:$AN$4,0))="x")*(Timeline!$K$5:$K$305="Task")*ISNUMBER(Timeline!$I$5:$I$305)*ISNUMBER(Timeline!$J$5:$J$305)*(Timeline!$I$5:$I$305&lt;=AP$4+6)*(Timeline!$J$5:$J$305&gt;=AP$4+6)))</f>
        <v>0</v>
      </c>
      <c r="AQ27" s="67">
        <f>MAX(SUMPRODUCT((INDEX(Timeline!$P$5:$AN$305,0,MATCH($A27,Timeline!$P$4:$AN$4,0))="x")*(Timeline!$K$5:$K$305="Task")*ISNUMBER(Timeline!$I$5:$I$305)*ISNUMBER(Timeline!$J$5:$J$305)*(Timeline!$I$5:$I$305&lt;=AQ$4+0)*(Timeline!$J$5:$J$305&gt;=AQ$4+0)),SUMPRODUCT((INDEX(Timeline!$P$5:$AN$305,0,MATCH($A27,Timeline!$P$4:$AN$4,0))="x")*(Timeline!$K$5:$K$305="Task")*ISNUMBER(Timeline!$I$5:$I$305)*ISNUMBER(Timeline!$J$5:$J$305)*(Timeline!$I$5:$I$305&lt;=AQ$4+1)*(Timeline!$J$5:$J$305&gt;=AQ$4+1)),SUMPRODUCT((INDEX(Timeline!$P$5:$AN$305,0,MATCH($A27,Timeline!$P$4:$AN$4,0))="x")*(Timeline!$K$5:$K$305="Task")*ISNUMBER(Timeline!$I$5:$I$305)*ISNUMBER(Timeline!$J$5:$J$305)*(Timeline!$I$5:$I$305&lt;=AQ$4+2)*(Timeline!$J$5:$J$305&gt;=AQ$4+2)),SUMPRODUCT((INDEX(Timeline!$P$5:$AN$305,0,MATCH($A27,Timeline!$P$4:$AN$4,0))="x")*(Timeline!$K$5:$K$305="Task")*ISNUMBER(Timeline!$I$5:$I$305)*ISNUMBER(Timeline!$J$5:$J$305)*(Timeline!$I$5:$I$305&lt;=AQ$4+3)*(Timeline!$J$5:$J$305&gt;=AQ$4+3)),SUMPRODUCT((INDEX(Timeline!$P$5:$AN$305,0,MATCH($A27,Timeline!$P$4:$AN$4,0))="x")*(Timeline!$K$5:$K$305="Task")*ISNUMBER(Timeline!$I$5:$I$305)*ISNUMBER(Timeline!$J$5:$J$305)*(Timeline!$I$5:$I$305&lt;=AQ$4+4)*(Timeline!$J$5:$J$305&gt;=AQ$4+4)),SUMPRODUCT((INDEX(Timeline!$P$5:$AN$305,0,MATCH($A27,Timeline!$P$4:$AN$4,0))="x")*(Timeline!$K$5:$K$305="Task")*ISNUMBER(Timeline!$I$5:$I$305)*ISNUMBER(Timeline!$J$5:$J$305)*(Timeline!$I$5:$I$305&lt;=AQ$4+5)*(Timeline!$J$5:$J$305&gt;=AQ$4+5)),SUMPRODUCT((INDEX(Timeline!$P$5:$AN$305,0,MATCH($A27,Timeline!$P$4:$AN$4,0))="x")*(Timeline!$K$5:$K$305="Task")*ISNUMBER(Timeline!$I$5:$I$305)*ISNUMBER(Timeline!$J$5:$J$305)*(Timeline!$I$5:$I$305&lt;=AQ$4+6)*(Timeline!$J$5:$J$305&gt;=AQ$4+6)))</f>
        <v>0</v>
      </c>
      <c r="AR27" s="67">
        <f>MAX(SUMPRODUCT((INDEX(Timeline!$P$5:$AN$305,0,MATCH($A27,Timeline!$P$4:$AN$4,0))="x")*(Timeline!$K$5:$K$305="Task")*ISNUMBER(Timeline!$I$5:$I$305)*ISNUMBER(Timeline!$J$5:$J$305)*(Timeline!$I$5:$I$305&lt;=AR$4+0)*(Timeline!$J$5:$J$305&gt;=AR$4+0)),SUMPRODUCT((INDEX(Timeline!$P$5:$AN$305,0,MATCH($A27,Timeline!$P$4:$AN$4,0))="x")*(Timeline!$K$5:$K$305="Task")*ISNUMBER(Timeline!$I$5:$I$305)*ISNUMBER(Timeline!$J$5:$J$305)*(Timeline!$I$5:$I$305&lt;=AR$4+1)*(Timeline!$J$5:$J$305&gt;=AR$4+1)),SUMPRODUCT((INDEX(Timeline!$P$5:$AN$305,0,MATCH($A27,Timeline!$P$4:$AN$4,0))="x")*(Timeline!$K$5:$K$305="Task")*ISNUMBER(Timeline!$I$5:$I$305)*ISNUMBER(Timeline!$J$5:$J$305)*(Timeline!$I$5:$I$305&lt;=AR$4+2)*(Timeline!$J$5:$J$305&gt;=AR$4+2)),SUMPRODUCT((INDEX(Timeline!$P$5:$AN$305,0,MATCH($A27,Timeline!$P$4:$AN$4,0))="x")*(Timeline!$K$5:$K$305="Task")*ISNUMBER(Timeline!$I$5:$I$305)*ISNUMBER(Timeline!$J$5:$J$305)*(Timeline!$I$5:$I$305&lt;=AR$4+3)*(Timeline!$J$5:$J$305&gt;=AR$4+3)),SUMPRODUCT((INDEX(Timeline!$P$5:$AN$305,0,MATCH($A27,Timeline!$P$4:$AN$4,0))="x")*(Timeline!$K$5:$K$305="Task")*ISNUMBER(Timeline!$I$5:$I$305)*ISNUMBER(Timeline!$J$5:$J$305)*(Timeline!$I$5:$I$305&lt;=AR$4+4)*(Timeline!$J$5:$J$305&gt;=AR$4+4)),SUMPRODUCT((INDEX(Timeline!$P$5:$AN$305,0,MATCH($A27,Timeline!$P$4:$AN$4,0))="x")*(Timeline!$K$5:$K$305="Task")*ISNUMBER(Timeline!$I$5:$I$305)*ISNUMBER(Timeline!$J$5:$J$305)*(Timeline!$I$5:$I$305&lt;=AR$4+5)*(Timeline!$J$5:$J$305&gt;=AR$4+5)),SUMPRODUCT((INDEX(Timeline!$P$5:$AN$305,0,MATCH($A27,Timeline!$P$4:$AN$4,0))="x")*(Timeline!$K$5:$K$305="Task")*ISNUMBER(Timeline!$I$5:$I$305)*ISNUMBER(Timeline!$J$5:$J$305)*(Timeline!$I$5:$I$305&lt;=AR$4+6)*(Timeline!$J$5:$J$305&gt;=AR$4+6)))</f>
        <v>0</v>
      </c>
      <c r="AS27" s="67">
        <f>MAX(SUMPRODUCT((INDEX(Timeline!$P$5:$AN$305,0,MATCH($A27,Timeline!$P$4:$AN$4,0))="x")*(Timeline!$K$5:$K$305="Task")*ISNUMBER(Timeline!$I$5:$I$305)*ISNUMBER(Timeline!$J$5:$J$305)*(Timeline!$I$5:$I$305&lt;=AS$4+0)*(Timeline!$J$5:$J$305&gt;=AS$4+0)),SUMPRODUCT((INDEX(Timeline!$P$5:$AN$305,0,MATCH($A27,Timeline!$P$4:$AN$4,0))="x")*(Timeline!$K$5:$K$305="Task")*ISNUMBER(Timeline!$I$5:$I$305)*ISNUMBER(Timeline!$J$5:$J$305)*(Timeline!$I$5:$I$305&lt;=AS$4+1)*(Timeline!$J$5:$J$305&gt;=AS$4+1)),SUMPRODUCT((INDEX(Timeline!$P$5:$AN$305,0,MATCH($A27,Timeline!$P$4:$AN$4,0))="x")*(Timeline!$K$5:$K$305="Task")*ISNUMBER(Timeline!$I$5:$I$305)*ISNUMBER(Timeline!$J$5:$J$305)*(Timeline!$I$5:$I$305&lt;=AS$4+2)*(Timeline!$J$5:$J$305&gt;=AS$4+2)),SUMPRODUCT((INDEX(Timeline!$P$5:$AN$305,0,MATCH($A27,Timeline!$P$4:$AN$4,0))="x")*(Timeline!$K$5:$K$305="Task")*ISNUMBER(Timeline!$I$5:$I$305)*ISNUMBER(Timeline!$J$5:$J$305)*(Timeline!$I$5:$I$305&lt;=AS$4+3)*(Timeline!$J$5:$J$305&gt;=AS$4+3)),SUMPRODUCT((INDEX(Timeline!$P$5:$AN$305,0,MATCH($A27,Timeline!$P$4:$AN$4,0))="x")*(Timeline!$K$5:$K$305="Task")*ISNUMBER(Timeline!$I$5:$I$305)*ISNUMBER(Timeline!$J$5:$J$305)*(Timeline!$I$5:$I$305&lt;=AS$4+4)*(Timeline!$J$5:$J$305&gt;=AS$4+4)),SUMPRODUCT((INDEX(Timeline!$P$5:$AN$305,0,MATCH($A27,Timeline!$P$4:$AN$4,0))="x")*(Timeline!$K$5:$K$305="Task")*ISNUMBER(Timeline!$I$5:$I$305)*ISNUMBER(Timeline!$J$5:$J$305)*(Timeline!$I$5:$I$305&lt;=AS$4+5)*(Timeline!$J$5:$J$305&gt;=AS$4+5)),SUMPRODUCT((INDEX(Timeline!$P$5:$AN$305,0,MATCH($A27,Timeline!$P$4:$AN$4,0))="x")*(Timeline!$K$5:$K$305="Task")*ISNUMBER(Timeline!$I$5:$I$305)*ISNUMBER(Timeline!$J$5:$J$305)*(Timeline!$I$5:$I$305&lt;=AS$4+6)*(Timeline!$J$5:$J$305&gt;=AS$4+6)))</f>
        <v>0</v>
      </c>
      <c r="AT27" s="67">
        <f>MAX(SUMPRODUCT((INDEX(Timeline!$P$5:$AN$305,0,MATCH($A27,Timeline!$P$4:$AN$4,0))="x")*(Timeline!$K$5:$K$305="Task")*ISNUMBER(Timeline!$I$5:$I$305)*ISNUMBER(Timeline!$J$5:$J$305)*(Timeline!$I$5:$I$305&lt;=AT$4+0)*(Timeline!$J$5:$J$305&gt;=AT$4+0)),SUMPRODUCT((INDEX(Timeline!$P$5:$AN$305,0,MATCH($A27,Timeline!$P$4:$AN$4,0))="x")*(Timeline!$K$5:$K$305="Task")*ISNUMBER(Timeline!$I$5:$I$305)*ISNUMBER(Timeline!$J$5:$J$305)*(Timeline!$I$5:$I$305&lt;=AT$4+1)*(Timeline!$J$5:$J$305&gt;=AT$4+1)),SUMPRODUCT((INDEX(Timeline!$P$5:$AN$305,0,MATCH($A27,Timeline!$P$4:$AN$4,0))="x")*(Timeline!$K$5:$K$305="Task")*ISNUMBER(Timeline!$I$5:$I$305)*ISNUMBER(Timeline!$J$5:$J$305)*(Timeline!$I$5:$I$305&lt;=AT$4+2)*(Timeline!$J$5:$J$305&gt;=AT$4+2)),SUMPRODUCT((INDEX(Timeline!$P$5:$AN$305,0,MATCH($A27,Timeline!$P$4:$AN$4,0))="x")*(Timeline!$K$5:$K$305="Task")*ISNUMBER(Timeline!$I$5:$I$305)*ISNUMBER(Timeline!$J$5:$J$305)*(Timeline!$I$5:$I$305&lt;=AT$4+3)*(Timeline!$J$5:$J$305&gt;=AT$4+3)),SUMPRODUCT((INDEX(Timeline!$P$5:$AN$305,0,MATCH($A27,Timeline!$P$4:$AN$4,0))="x")*(Timeline!$K$5:$K$305="Task")*ISNUMBER(Timeline!$I$5:$I$305)*ISNUMBER(Timeline!$J$5:$J$305)*(Timeline!$I$5:$I$305&lt;=AT$4+4)*(Timeline!$J$5:$J$305&gt;=AT$4+4)),SUMPRODUCT((INDEX(Timeline!$P$5:$AN$305,0,MATCH($A27,Timeline!$P$4:$AN$4,0))="x")*(Timeline!$K$5:$K$305="Task")*ISNUMBER(Timeline!$I$5:$I$305)*ISNUMBER(Timeline!$J$5:$J$305)*(Timeline!$I$5:$I$305&lt;=AT$4+5)*(Timeline!$J$5:$J$305&gt;=AT$4+5)),SUMPRODUCT((INDEX(Timeline!$P$5:$AN$305,0,MATCH($A27,Timeline!$P$4:$AN$4,0))="x")*(Timeline!$K$5:$K$305="Task")*ISNUMBER(Timeline!$I$5:$I$305)*ISNUMBER(Timeline!$J$5:$J$305)*(Timeline!$I$5:$I$305&lt;=AT$4+6)*(Timeline!$J$5:$J$305&gt;=AT$4+6)))</f>
        <v>0</v>
      </c>
      <c r="AU27" s="67">
        <f>MAX(SUMPRODUCT((INDEX(Timeline!$P$5:$AN$305,0,MATCH($A27,Timeline!$P$4:$AN$4,0))="x")*(Timeline!$K$5:$K$305="Task")*ISNUMBER(Timeline!$I$5:$I$305)*ISNUMBER(Timeline!$J$5:$J$305)*(Timeline!$I$5:$I$305&lt;=AU$4+0)*(Timeline!$J$5:$J$305&gt;=AU$4+0)),SUMPRODUCT((INDEX(Timeline!$P$5:$AN$305,0,MATCH($A27,Timeline!$P$4:$AN$4,0))="x")*(Timeline!$K$5:$K$305="Task")*ISNUMBER(Timeline!$I$5:$I$305)*ISNUMBER(Timeline!$J$5:$J$305)*(Timeline!$I$5:$I$305&lt;=AU$4+1)*(Timeline!$J$5:$J$305&gt;=AU$4+1)),SUMPRODUCT((INDEX(Timeline!$P$5:$AN$305,0,MATCH($A27,Timeline!$P$4:$AN$4,0))="x")*(Timeline!$K$5:$K$305="Task")*ISNUMBER(Timeline!$I$5:$I$305)*ISNUMBER(Timeline!$J$5:$J$305)*(Timeline!$I$5:$I$305&lt;=AU$4+2)*(Timeline!$J$5:$J$305&gt;=AU$4+2)),SUMPRODUCT((INDEX(Timeline!$P$5:$AN$305,0,MATCH($A27,Timeline!$P$4:$AN$4,0))="x")*(Timeline!$K$5:$K$305="Task")*ISNUMBER(Timeline!$I$5:$I$305)*ISNUMBER(Timeline!$J$5:$J$305)*(Timeline!$I$5:$I$305&lt;=AU$4+3)*(Timeline!$J$5:$J$305&gt;=AU$4+3)),SUMPRODUCT((INDEX(Timeline!$P$5:$AN$305,0,MATCH($A27,Timeline!$P$4:$AN$4,0))="x")*(Timeline!$K$5:$K$305="Task")*ISNUMBER(Timeline!$I$5:$I$305)*ISNUMBER(Timeline!$J$5:$J$305)*(Timeline!$I$5:$I$305&lt;=AU$4+4)*(Timeline!$J$5:$J$305&gt;=AU$4+4)),SUMPRODUCT((INDEX(Timeline!$P$5:$AN$305,0,MATCH($A27,Timeline!$P$4:$AN$4,0))="x")*(Timeline!$K$5:$K$305="Task")*ISNUMBER(Timeline!$I$5:$I$305)*ISNUMBER(Timeline!$J$5:$J$305)*(Timeline!$I$5:$I$305&lt;=AU$4+5)*(Timeline!$J$5:$J$305&gt;=AU$4+5)),SUMPRODUCT((INDEX(Timeline!$P$5:$AN$305,0,MATCH($A27,Timeline!$P$4:$AN$4,0))="x")*(Timeline!$K$5:$K$305="Task")*ISNUMBER(Timeline!$I$5:$I$305)*ISNUMBER(Timeline!$J$5:$J$305)*(Timeline!$I$5:$I$305&lt;=AU$4+6)*(Timeline!$J$5:$J$305&gt;=AU$4+6)))</f>
        <v>0</v>
      </c>
      <c r="AV27" s="67">
        <f>MAX(SUMPRODUCT((INDEX(Timeline!$P$5:$AN$305,0,MATCH($A27,Timeline!$P$4:$AN$4,0))="x")*(Timeline!$K$5:$K$305="Task")*ISNUMBER(Timeline!$I$5:$I$305)*ISNUMBER(Timeline!$J$5:$J$305)*(Timeline!$I$5:$I$305&lt;=AV$4+0)*(Timeline!$J$5:$J$305&gt;=AV$4+0)),SUMPRODUCT((INDEX(Timeline!$P$5:$AN$305,0,MATCH($A27,Timeline!$P$4:$AN$4,0))="x")*(Timeline!$K$5:$K$305="Task")*ISNUMBER(Timeline!$I$5:$I$305)*ISNUMBER(Timeline!$J$5:$J$305)*(Timeline!$I$5:$I$305&lt;=AV$4+1)*(Timeline!$J$5:$J$305&gt;=AV$4+1)),SUMPRODUCT((INDEX(Timeline!$P$5:$AN$305,0,MATCH($A27,Timeline!$P$4:$AN$4,0))="x")*(Timeline!$K$5:$K$305="Task")*ISNUMBER(Timeline!$I$5:$I$305)*ISNUMBER(Timeline!$J$5:$J$305)*(Timeline!$I$5:$I$305&lt;=AV$4+2)*(Timeline!$J$5:$J$305&gt;=AV$4+2)),SUMPRODUCT((INDEX(Timeline!$P$5:$AN$305,0,MATCH($A27,Timeline!$P$4:$AN$4,0))="x")*(Timeline!$K$5:$K$305="Task")*ISNUMBER(Timeline!$I$5:$I$305)*ISNUMBER(Timeline!$J$5:$J$305)*(Timeline!$I$5:$I$305&lt;=AV$4+3)*(Timeline!$J$5:$J$305&gt;=AV$4+3)),SUMPRODUCT((INDEX(Timeline!$P$5:$AN$305,0,MATCH($A27,Timeline!$P$4:$AN$4,0))="x")*(Timeline!$K$5:$K$305="Task")*ISNUMBER(Timeline!$I$5:$I$305)*ISNUMBER(Timeline!$J$5:$J$305)*(Timeline!$I$5:$I$305&lt;=AV$4+4)*(Timeline!$J$5:$J$305&gt;=AV$4+4)),SUMPRODUCT((INDEX(Timeline!$P$5:$AN$305,0,MATCH($A27,Timeline!$P$4:$AN$4,0))="x")*(Timeline!$K$5:$K$305="Task")*ISNUMBER(Timeline!$I$5:$I$305)*ISNUMBER(Timeline!$J$5:$J$305)*(Timeline!$I$5:$I$305&lt;=AV$4+5)*(Timeline!$J$5:$J$305&gt;=AV$4+5)),SUMPRODUCT((INDEX(Timeline!$P$5:$AN$305,0,MATCH($A27,Timeline!$P$4:$AN$4,0))="x")*(Timeline!$K$5:$K$305="Task")*ISNUMBER(Timeline!$I$5:$I$305)*ISNUMBER(Timeline!$J$5:$J$305)*(Timeline!$I$5:$I$305&lt;=AV$4+6)*(Timeline!$J$5:$J$305&gt;=AV$4+6)))</f>
        <v>0</v>
      </c>
      <c r="AW27" s="67">
        <f>MAX(SUMPRODUCT((INDEX(Timeline!$P$5:$AN$305,0,MATCH($A27,Timeline!$P$4:$AN$4,0))="x")*(Timeline!$K$5:$K$305="Task")*ISNUMBER(Timeline!$I$5:$I$305)*ISNUMBER(Timeline!$J$5:$J$305)*(Timeline!$I$5:$I$305&lt;=AW$4+0)*(Timeline!$J$5:$J$305&gt;=AW$4+0)),SUMPRODUCT((INDEX(Timeline!$P$5:$AN$305,0,MATCH($A27,Timeline!$P$4:$AN$4,0))="x")*(Timeline!$K$5:$K$305="Task")*ISNUMBER(Timeline!$I$5:$I$305)*ISNUMBER(Timeline!$J$5:$J$305)*(Timeline!$I$5:$I$305&lt;=AW$4+1)*(Timeline!$J$5:$J$305&gt;=AW$4+1)),SUMPRODUCT((INDEX(Timeline!$P$5:$AN$305,0,MATCH($A27,Timeline!$P$4:$AN$4,0))="x")*(Timeline!$K$5:$K$305="Task")*ISNUMBER(Timeline!$I$5:$I$305)*ISNUMBER(Timeline!$J$5:$J$305)*(Timeline!$I$5:$I$305&lt;=AW$4+2)*(Timeline!$J$5:$J$305&gt;=AW$4+2)),SUMPRODUCT((INDEX(Timeline!$P$5:$AN$305,0,MATCH($A27,Timeline!$P$4:$AN$4,0))="x")*(Timeline!$K$5:$K$305="Task")*ISNUMBER(Timeline!$I$5:$I$305)*ISNUMBER(Timeline!$J$5:$J$305)*(Timeline!$I$5:$I$305&lt;=AW$4+3)*(Timeline!$J$5:$J$305&gt;=AW$4+3)),SUMPRODUCT((INDEX(Timeline!$P$5:$AN$305,0,MATCH($A27,Timeline!$P$4:$AN$4,0))="x")*(Timeline!$K$5:$K$305="Task")*ISNUMBER(Timeline!$I$5:$I$305)*ISNUMBER(Timeline!$J$5:$J$305)*(Timeline!$I$5:$I$305&lt;=AW$4+4)*(Timeline!$J$5:$J$305&gt;=AW$4+4)),SUMPRODUCT((INDEX(Timeline!$P$5:$AN$305,0,MATCH($A27,Timeline!$P$4:$AN$4,0))="x")*(Timeline!$K$5:$K$305="Task")*ISNUMBER(Timeline!$I$5:$I$305)*ISNUMBER(Timeline!$J$5:$J$305)*(Timeline!$I$5:$I$305&lt;=AW$4+5)*(Timeline!$J$5:$J$305&gt;=AW$4+5)),SUMPRODUCT((INDEX(Timeline!$P$5:$AN$305,0,MATCH($A27,Timeline!$P$4:$AN$4,0))="x")*(Timeline!$K$5:$K$305="Task")*ISNUMBER(Timeline!$I$5:$I$305)*ISNUMBER(Timeline!$J$5:$J$305)*(Timeline!$I$5:$I$305&lt;=AW$4+6)*(Timeline!$J$5:$J$305&gt;=AW$4+6)))</f>
        <v>0</v>
      </c>
      <c r="AX27" s="67">
        <f>MAX(SUMPRODUCT((INDEX(Timeline!$P$5:$AN$305,0,MATCH($A27,Timeline!$P$4:$AN$4,0))="x")*(Timeline!$K$5:$K$305="Task")*ISNUMBER(Timeline!$I$5:$I$305)*ISNUMBER(Timeline!$J$5:$J$305)*(Timeline!$I$5:$I$305&lt;=AX$4+0)*(Timeline!$J$5:$J$305&gt;=AX$4+0)),SUMPRODUCT((INDEX(Timeline!$P$5:$AN$305,0,MATCH($A27,Timeline!$P$4:$AN$4,0))="x")*(Timeline!$K$5:$K$305="Task")*ISNUMBER(Timeline!$I$5:$I$305)*ISNUMBER(Timeline!$J$5:$J$305)*(Timeline!$I$5:$I$305&lt;=AX$4+1)*(Timeline!$J$5:$J$305&gt;=AX$4+1)),SUMPRODUCT((INDEX(Timeline!$P$5:$AN$305,0,MATCH($A27,Timeline!$P$4:$AN$4,0))="x")*(Timeline!$K$5:$K$305="Task")*ISNUMBER(Timeline!$I$5:$I$305)*ISNUMBER(Timeline!$J$5:$J$305)*(Timeline!$I$5:$I$305&lt;=AX$4+2)*(Timeline!$J$5:$J$305&gt;=AX$4+2)),SUMPRODUCT((INDEX(Timeline!$P$5:$AN$305,0,MATCH($A27,Timeline!$P$4:$AN$4,0))="x")*(Timeline!$K$5:$K$305="Task")*ISNUMBER(Timeline!$I$5:$I$305)*ISNUMBER(Timeline!$J$5:$J$305)*(Timeline!$I$5:$I$305&lt;=AX$4+3)*(Timeline!$J$5:$J$305&gt;=AX$4+3)),SUMPRODUCT((INDEX(Timeline!$P$5:$AN$305,0,MATCH($A27,Timeline!$P$4:$AN$4,0))="x")*(Timeline!$K$5:$K$305="Task")*ISNUMBER(Timeline!$I$5:$I$305)*ISNUMBER(Timeline!$J$5:$J$305)*(Timeline!$I$5:$I$305&lt;=AX$4+4)*(Timeline!$J$5:$J$305&gt;=AX$4+4)),SUMPRODUCT((INDEX(Timeline!$P$5:$AN$305,0,MATCH($A27,Timeline!$P$4:$AN$4,0))="x")*(Timeline!$K$5:$K$305="Task")*ISNUMBER(Timeline!$I$5:$I$305)*ISNUMBER(Timeline!$J$5:$J$305)*(Timeline!$I$5:$I$305&lt;=AX$4+5)*(Timeline!$J$5:$J$305&gt;=AX$4+5)),SUMPRODUCT((INDEX(Timeline!$P$5:$AN$305,0,MATCH($A27,Timeline!$P$4:$AN$4,0))="x")*(Timeline!$K$5:$K$305="Task")*ISNUMBER(Timeline!$I$5:$I$305)*ISNUMBER(Timeline!$J$5:$J$305)*(Timeline!$I$5:$I$305&lt;=AX$4+6)*(Timeline!$J$5:$J$305&gt;=AX$4+6)))</f>
        <v>0</v>
      </c>
      <c r="AY27" s="67">
        <f>MAX(SUMPRODUCT((INDEX(Timeline!$P$5:$AN$305,0,MATCH($A27,Timeline!$P$4:$AN$4,0))="x")*(Timeline!$K$5:$K$305="Task")*ISNUMBER(Timeline!$I$5:$I$305)*ISNUMBER(Timeline!$J$5:$J$305)*(Timeline!$I$5:$I$305&lt;=AY$4+0)*(Timeline!$J$5:$J$305&gt;=AY$4+0)),SUMPRODUCT((INDEX(Timeline!$P$5:$AN$305,0,MATCH($A27,Timeline!$P$4:$AN$4,0))="x")*(Timeline!$K$5:$K$305="Task")*ISNUMBER(Timeline!$I$5:$I$305)*ISNUMBER(Timeline!$J$5:$J$305)*(Timeline!$I$5:$I$305&lt;=AY$4+1)*(Timeline!$J$5:$J$305&gt;=AY$4+1)),SUMPRODUCT((INDEX(Timeline!$P$5:$AN$305,0,MATCH($A27,Timeline!$P$4:$AN$4,0))="x")*(Timeline!$K$5:$K$305="Task")*ISNUMBER(Timeline!$I$5:$I$305)*ISNUMBER(Timeline!$J$5:$J$305)*(Timeline!$I$5:$I$305&lt;=AY$4+2)*(Timeline!$J$5:$J$305&gt;=AY$4+2)),SUMPRODUCT((INDEX(Timeline!$P$5:$AN$305,0,MATCH($A27,Timeline!$P$4:$AN$4,0))="x")*(Timeline!$K$5:$K$305="Task")*ISNUMBER(Timeline!$I$5:$I$305)*ISNUMBER(Timeline!$J$5:$J$305)*(Timeline!$I$5:$I$305&lt;=AY$4+3)*(Timeline!$J$5:$J$305&gt;=AY$4+3)),SUMPRODUCT((INDEX(Timeline!$P$5:$AN$305,0,MATCH($A27,Timeline!$P$4:$AN$4,0))="x")*(Timeline!$K$5:$K$305="Task")*ISNUMBER(Timeline!$I$5:$I$305)*ISNUMBER(Timeline!$J$5:$J$305)*(Timeline!$I$5:$I$305&lt;=AY$4+4)*(Timeline!$J$5:$J$305&gt;=AY$4+4)),SUMPRODUCT((INDEX(Timeline!$P$5:$AN$305,0,MATCH($A27,Timeline!$P$4:$AN$4,0))="x")*(Timeline!$K$5:$K$305="Task")*ISNUMBER(Timeline!$I$5:$I$305)*ISNUMBER(Timeline!$J$5:$J$305)*(Timeline!$I$5:$I$305&lt;=AY$4+5)*(Timeline!$J$5:$J$305&gt;=AY$4+5)),SUMPRODUCT((INDEX(Timeline!$P$5:$AN$305,0,MATCH($A27,Timeline!$P$4:$AN$4,0))="x")*(Timeline!$K$5:$K$305="Task")*ISNUMBER(Timeline!$I$5:$I$305)*ISNUMBER(Timeline!$J$5:$J$305)*(Timeline!$I$5:$I$305&lt;=AY$4+6)*(Timeline!$J$5:$J$305&gt;=AY$4+6)))</f>
        <v>0</v>
      </c>
      <c r="AZ27" s="67">
        <f>MAX(SUMPRODUCT((INDEX(Timeline!$P$5:$AN$305,0,MATCH($A27,Timeline!$P$4:$AN$4,0))="x")*(Timeline!$K$5:$K$305="Task")*ISNUMBER(Timeline!$I$5:$I$305)*ISNUMBER(Timeline!$J$5:$J$305)*(Timeline!$I$5:$I$305&lt;=AZ$4+0)*(Timeline!$J$5:$J$305&gt;=AZ$4+0)),SUMPRODUCT((INDEX(Timeline!$P$5:$AN$305,0,MATCH($A27,Timeline!$P$4:$AN$4,0))="x")*(Timeline!$K$5:$K$305="Task")*ISNUMBER(Timeline!$I$5:$I$305)*ISNUMBER(Timeline!$J$5:$J$305)*(Timeline!$I$5:$I$305&lt;=AZ$4+1)*(Timeline!$J$5:$J$305&gt;=AZ$4+1)),SUMPRODUCT((INDEX(Timeline!$P$5:$AN$305,0,MATCH($A27,Timeline!$P$4:$AN$4,0))="x")*(Timeline!$K$5:$K$305="Task")*ISNUMBER(Timeline!$I$5:$I$305)*ISNUMBER(Timeline!$J$5:$J$305)*(Timeline!$I$5:$I$305&lt;=AZ$4+2)*(Timeline!$J$5:$J$305&gt;=AZ$4+2)),SUMPRODUCT((INDEX(Timeline!$P$5:$AN$305,0,MATCH($A27,Timeline!$P$4:$AN$4,0))="x")*(Timeline!$K$5:$K$305="Task")*ISNUMBER(Timeline!$I$5:$I$305)*ISNUMBER(Timeline!$J$5:$J$305)*(Timeline!$I$5:$I$305&lt;=AZ$4+3)*(Timeline!$J$5:$J$305&gt;=AZ$4+3)),SUMPRODUCT((INDEX(Timeline!$P$5:$AN$305,0,MATCH($A27,Timeline!$P$4:$AN$4,0))="x")*(Timeline!$K$5:$K$305="Task")*ISNUMBER(Timeline!$I$5:$I$305)*ISNUMBER(Timeline!$J$5:$J$305)*(Timeline!$I$5:$I$305&lt;=AZ$4+4)*(Timeline!$J$5:$J$305&gt;=AZ$4+4)),SUMPRODUCT((INDEX(Timeline!$P$5:$AN$305,0,MATCH($A27,Timeline!$P$4:$AN$4,0))="x")*(Timeline!$K$5:$K$305="Task")*ISNUMBER(Timeline!$I$5:$I$305)*ISNUMBER(Timeline!$J$5:$J$305)*(Timeline!$I$5:$I$305&lt;=AZ$4+5)*(Timeline!$J$5:$J$305&gt;=AZ$4+5)),SUMPRODUCT((INDEX(Timeline!$P$5:$AN$305,0,MATCH($A27,Timeline!$P$4:$AN$4,0))="x")*(Timeline!$K$5:$K$305="Task")*ISNUMBER(Timeline!$I$5:$I$305)*ISNUMBER(Timeline!$J$5:$J$305)*(Timeline!$I$5:$I$305&lt;=AZ$4+6)*(Timeline!$J$5:$J$305&gt;=AZ$4+6)))</f>
        <v>0</v>
      </c>
      <c r="BA27" s="67">
        <f>MAX(SUMPRODUCT((INDEX(Timeline!$P$5:$AN$305,0,MATCH($A27,Timeline!$P$4:$AN$4,0))="x")*(Timeline!$K$5:$K$305="Task")*ISNUMBER(Timeline!$I$5:$I$305)*ISNUMBER(Timeline!$J$5:$J$305)*(Timeline!$I$5:$I$305&lt;=BA$4+0)*(Timeline!$J$5:$J$305&gt;=BA$4+0)),SUMPRODUCT((INDEX(Timeline!$P$5:$AN$305,0,MATCH($A27,Timeline!$P$4:$AN$4,0))="x")*(Timeline!$K$5:$K$305="Task")*ISNUMBER(Timeline!$I$5:$I$305)*ISNUMBER(Timeline!$J$5:$J$305)*(Timeline!$I$5:$I$305&lt;=BA$4+1)*(Timeline!$J$5:$J$305&gt;=BA$4+1)),SUMPRODUCT((INDEX(Timeline!$P$5:$AN$305,0,MATCH($A27,Timeline!$P$4:$AN$4,0))="x")*(Timeline!$K$5:$K$305="Task")*ISNUMBER(Timeline!$I$5:$I$305)*ISNUMBER(Timeline!$J$5:$J$305)*(Timeline!$I$5:$I$305&lt;=BA$4+2)*(Timeline!$J$5:$J$305&gt;=BA$4+2)),SUMPRODUCT((INDEX(Timeline!$P$5:$AN$305,0,MATCH($A27,Timeline!$P$4:$AN$4,0))="x")*(Timeline!$K$5:$K$305="Task")*ISNUMBER(Timeline!$I$5:$I$305)*ISNUMBER(Timeline!$J$5:$J$305)*(Timeline!$I$5:$I$305&lt;=BA$4+3)*(Timeline!$J$5:$J$305&gt;=BA$4+3)),SUMPRODUCT((INDEX(Timeline!$P$5:$AN$305,0,MATCH($A27,Timeline!$P$4:$AN$4,0))="x")*(Timeline!$K$5:$K$305="Task")*ISNUMBER(Timeline!$I$5:$I$305)*ISNUMBER(Timeline!$J$5:$J$305)*(Timeline!$I$5:$I$305&lt;=BA$4+4)*(Timeline!$J$5:$J$305&gt;=BA$4+4)),SUMPRODUCT((INDEX(Timeline!$P$5:$AN$305,0,MATCH($A27,Timeline!$P$4:$AN$4,0))="x")*(Timeline!$K$5:$K$305="Task")*ISNUMBER(Timeline!$I$5:$I$305)*ISNUMBER(Timeline!$J$5:$J$305)*(Timeline!$I$5:$I$305&lt;=BA$4+5)*(Timeline!$J$5:$J$305&gt;=BA$4+5)),SUMPRODUCT((INDEX(Timeline!$P$5:$AN$305,0,MATCH($A27,Timeline!$P$4:$AN$4,0))="x")*(Timeline!$K$5:$K$305="Task")*ISNUMBER(Timeline!$I$5:$I$305)*ISNUMBER(Timeline!$J$5:$J$305)*(Timeline!$I$5:$I$305&lt;=BA$4+6)*(Timeline!$J$5:$J$305&gt;=BA$4+6)))</f>
        <v>0</v>
      </c>
    </row>
    <row r="28" spans="1:53" ht="15" customHeight="1">
      <c r="A28" s="66" t="s">
        <v>59</v>
      </c>
      <c r="B28" s="66" t="s">
        <v>20</v>
      </c>
      <c r="C28" s="67">
        <f>MAX(SUMPRODUCT((INDEX(Timeline!$P$5:$AN$305,0,MATCH($A28,Timeline!$P$4:$AN$4,0))="x")*(Timeline!$K$5:$K$305="Task")*ISNUMBER(Timeline!$I$5:$I$305)*ISNUMBER(Timeline!$J$5:$J$305)*(Timeline!$I$5:$I$305&lt;=C$4+0)*(Timeline!$J$5:$J$305&gt;=C$4+0)),SUMPRODUCT((INDEX(Timeline!$P$5:$AN$305,0,MATCH($A28,Timeline!$P$4:$AN$4,0))="x")*(Timeline!$K$5:$K$305="Task")*ISNUMBER(Timeline!$I$5:$I$305)*ISNUMBER(Timeline!$J$5:$J$305)*(Timeline!$I$5:$I$305&lt;=C$4+1)*(Timeline!$J$5:$J$305&gt;=C$4+1)),SUMPRODUCT((INDEX(Timeline!$P$5:$AN$305,0,MATCH($A28,Timeline!$P$4:$AN$4,0))="x")*(Timeline!$K$5:$K$305="Task")*ISNUMBER(Timeline!$I$5:$I$305)*ISNUMBER(Timeline!$J$5:$J$305)*(Timeline!$I$5:$I$305&lt;=C$4+2)*(Timeline!$J$5:$J$305&gt;=C$4+2)),SUMPRODUCT((INDEX(Timeline!$P$5:$AN$305,0,MATCH($A28,Timeline!$P$4:$AN$4,0))="x")*(Timeline!$K$5:$K$305="Task")*ISNUMBER(Timeline!$I$5:$I$305)*ISNUMBER(Timeline!$J$5:$J$305)*(Timeline!$I$5:$I$305&lt;=C$4+3)*(Timeline!$J$5:$J$305&gt;=C$4+3)),SUMPRODUCT((INDEX(Timeline!$P$5:$AN$305,0,MATCH($A28,Timeline!$P$4:$AN$4,0))="x")*(Timeline!$K$5:$K$305="Task")*ISNUMBER(Timeline!$I$5:$I$305)*ISNUMBER(Timeline!$J$5:$J$305)*(Timeline!$I$5:$I$305&lt;=C$4+4)*(Timeline!$J$5:$J$305&gt;=C$4+4)),SUMPRODUCT((INDEX(Timeline!$P$5:$AN$305,0,MATCH($A28,Timeline!$P$4:$AN$4,0))="x")*(Timeline!$K$5:$K$305="Task")*ISNUMBER(Timeline!$I$5:$I$305)*ISNUMBER(Timeline!$J$5:$J$305)*(Timeline!$I$5:$I$305&lt;=C$4+5)*(Timeline!$J$5:$J$305&gt;=C$4+5)),SUMPRODUCT((INDEX(Timeline!$P$5:$AN$305,0,MATCH($A28,Timeline!$P$4:$AN$4,0))="x")*(Timeline!$K$5:$K$305="Task")*ISNUMBER(Timeline!$I$5:$I$305)*ISNUMBER(Timeline!$J$5:$J$305)*(Timeline!$I$5:$I$305&lt;=C$4+6)*(Timeline!$J$5:$J$305&gt;=C$4+6)))</f>
        <v>0</v>
      </c>
      <c r="D28" s="67">
        <f>MAX(SUMPRODUCT((INDEX(Timeline!$P$5:$AN$305,0,MATCH($A28,Timeline!$P$4:$AN$4,0))="x")*(Timeline!$K$5:$K$305="Task")*ISNUMBER(Timeline!$I$5:$I$305)*ISNUMBER(Timeline!$J$5:$J$305)*(Timeline!$I$5:$I$305&lt;=D$4+0)*(Timeline!$J$5:$J$305&gt;=D$4+0)),SUMPRODUCT((INDEX(Timeline!$P$5:$AN$305,0,MATCH($A28,Timeline!$P$4:$AN$4,0))="x")*(Timeline!$K$5:$K$305="Task")*ISNUMBER(Timeline!$I$5:$I$305)*ISNUMBER(Timeline!$J$5:$J$305)*(Timeline!$I$5:$I$305&lt;=D$4+1)*(Timeline!$J$5:$J$305&gt;=D$4+1)),SUMPRODUCT((INDEX(Timeline!$P$5:$AN$305,0,MATCH($A28,Timeline!$P$4:$AN$4,0))="x")*(Timeline!$K$5:$K$305="Task")*ISNUMBER(Timeline!$I$5:$I$305)*ISNUMBER(Timeline!$J$5:$J$305)*(Timeline!$I$5:$I$305&lt;=D$4+2)*(Timeline!$J$5:$J$305&gt;=D$4+2)),SUMPRODUCT((INDEX(Timeline!$P$5:$AN$305,0,MATCH($A28,Timeline!$P$4:$AN$4,0))="x")*(Timeline!$K$5:$K$305="Task")*ISNUMBER(Timeline!$I$5:$I$305)*ISNUMBER(Timeline!$J$5:$J$305)*(Timeline!$I$5:$I$305&lt;=D$4+3)*(Timeline!$J$5:$J$305&gt;=D$4+3)),SUMPRODUCT((INDEX(Timeline!$P$5:$AN$305,0,MATCH($A28,Timeline!$P$4:$AN$4,0))="x")*(Timeline!$K$5:$K$305="Task")*ISNUMBER(Timeline!$I$5:$I$305)*ISNUMBER(Timeline!$J$5:$J$305)*(Timeline!$I$5:$I$305&lt;=D$4+4)*(Timeline!$J$5:$J$305&gt;=D$4+4)),SUMPRODUCT((INDEX(Timeline!$P$5:$AN$305,0,MATCH($A28,Timeline!$P$4:$AN$4,0))="x")*(Timeline!$K$5:$K$305="Task")*ISNUMBER(Timeline!$I$5:$I$305)*ISNUMBER(Timeline!$J$5:$J$305)*(Timeline!$I$5:$I$305&lt;=D$4+5)*(Timeline!$J$5:$J$305&gt;=D$4+5)),SUMPRODUCT((INDEX(Timeline!$P$5:$AN$305,0,MATCH($A28,Timeline!$P$4:$AN$4,0))="x")*(Timeline!$K$5:$K$305="Task")*ISNUMBER(Timeline!$I$5:$I$305)*ISNUMBER(Timeline!$J$5:$J$305)*(Timeline!$I$5:$I$305&lt;=D$4+6)*(Timeline!$J$5:$J$305&gt;=D$4+6)))</f>
        <v>0</v>
      </c>
      <c r="E28" s="67">
        <f>MAX(SUMPRODUCT((INDEX(Timeline!$P$5:$AN$305,0,MATCH($A28,Timeline!$P$4:$AN$4,0))="x")*(Timeline!$K$5:$K$305="Task")*ISNUMBER(Timeline!$I$5:$I$305)*ISNUMBER(Timeline!$J$5:$J$305)*(Timeline!$I$5:$I$305&lt;=E$4+0)*(Timeline!$J$5:$J$305&gt;=E$4+0)),SUMPRODUCT((INDEX(Timeline!$P$5:$AN$305,0,MATCH($A28,Timeline!$P$4:$AN$4,0))="x")*(Timeline!$K$5:$K$305="Task")*ISNUMBER(Timeline!$I$5:$I$305)*ISNUMBER(Timeline!$J$5:$J$305)*(Timeline!$I$5:$I$305&lt;=E$4+1)*(Timeline!$J$5:$J$305&gt;=E$4+1)),SUMPRODUCT((INDEX(Timeline!$P$5:$AN$305,0,MATCH($A28,Timeline!$P$4:$AN$4,0))="x")*(Timeline!$K$5:$K$305="Task")*ISNUMBER(Timeline!$I$5:$I$305)*ISNUMBER(Timeline!$J$5:$J$305)*(Timeline!$I$5:$I$305&lt;=E$4+2)*(Timeline!$J$5:$J$305&gt;=E$4+2)),SUMPRODUCT((INDEX(Timeline!$P$5:$AN$305,0,MATCH($A28,Timeline!$P$4:$AN$4,0))="x")*(Timeline!$K$5:$K$305="Task")*ISNUMBER(Timeline!$I$5:$I$305)*ISNUMBER(Timeline!$J$5:$J$305)*(Timeline!$I$5:$I$305&lt;=E$4+3)*(Timeline!$J$5:$J$305&gt;=E$4+3)),SUMPRODUCT((INDEX(Timeline!$P$5:$AN$305,0,MATCH($A28,Timeline!$P$4:$AN$4,0))="x")*(Timeline!$K$5:$K$305="Task")*ISNUMBER(Timeline!$I$5:$I$305)*ISNUMBER(Timeline!$J$5:$J$305)*(Timeline!$I$5:$I$305&lt;=E$4+4)*(Timeline!$J$5:$J$305&gt;=E$4+4)),SUMPRODUCT((INDEX(Timeline!$P$5:$AN$305,0,MATCH($A28,Timeline!$P$4:$AN$4,0))="x")*(Timeline!$K$5:$K$305="Task")*ISNUMBER(Timeline!$I$5:$I$305)*ISNUMBER(Timeline!$J$5:$J$305)*(Timeline!$I$5:$I$305&lt;=E$4+5)*(Timeline!$J$5:$J$305&gt;=E$4+5)),SUMPRODUCT((INDEX(Timeline!$P$5:$AN$305,0,MATCH($A28,Timeline!$P$4:$AN$4,0))="x")*(Timeline!$K$5:$K$305="Task")*ISNUMBER(Timeline!$I$5:$I$305)*ISNUMBER(Timeline!$J$5:$J$305)*(Timeline!$I$5:$I$305&lt;=E$4+6)*(Timeline!$J$5:$J$305&gt;=E$4+6)))</f>
        <v>0</v>
      </c>
      <c r="F28" s="67">
        <f>MAX(SUMPRODUCT((INDEX(Timeline!$P$5:$AN$305,0,MATCH($A28,Timeline!$P$4:$AN$4,0))="x")*(Timeline!$K$5:$K$305="Task")*ISNUMBER(Timeline!$I$5:$I$305)*ISNUMBER(Timeline!$J$5:$J$305)*(Timeline!$I$5:$I$305&lt;=F$4+0)*(Timeline!$J$5:$J$305&gt;=F$4+0)),SUMPRODUCT((INDEX(Timeline!$P$5:$AN$305,0,MATCH($A28,Timeline!$P$4:$AN$4,0))="x")*(Timeline!$K$5:$K$305="Task")*ISNUMBER(Timeline!$I$5:$I$305)*ISNUMBER(Timeline!$J$5:$J$305)*(Timeline!$I$5:$I$305&lt;=F$4+1)*(Timeline!$J$5:$J$305&gt;=F$4+1)),SUMPRODUCT((INDEX(Timeline!$P$5:$AN$305,0,MATCH($A28,Timeline!$P$4:$AN$4,0))="x")*(Timeline!$K$5:$K$305="Task")*ISNUMBER(Timeline!$I$5:$I$305)*ISNUMBER(Timeline!$J$5:$J$305)*(Timeline!$I$5:$I$305&lt;=F$4+2)*(Timeline!$J$5:$J$305&gt;=F$4+2)),SUMPRODUCT((INDEX(Timeline!$P$5:$AN$305,0,MATCH($A28,Timeline!$P$4:$AN$4,0))="x")*(Timeline!$K$5:$K$305="Task")*ISNUMBER(Timeline!$I$5:$I$305)*ISNUMBER(Timeline!$J$5:$J$305)*(Timeline!$I$5:$I$305&lt;=F$4+3)*(Timeline!$J$5:$J$305&gt;=F$4+3)),SUMPRODUCT((INDEX(Timeline!$P$5:$AN$305,0,MATCH($A28,Timeline!$P$4:$AN$4,0))="x")*(Timeline!$K$5:$K$305="Task")*ISNUMBER(Timeline!$I$5:$I$305)*ISNUMBER(Timeline!$J$5:$J$305)*(Timeline!$I$5:$I$305&lt;=F$4+4)*(Timeline!$J$5:$J$305&gt;=F$4+4)),SUMPRODUCT((INDEX(Timeline!$P$5:$AN$305,0,MATCH($A28,Timeline!$P$4:$AN$4,0))="x")*(Timeline!$K$5:$K$305="Task")*ISNUMBER(Timeline!$I$5:$I$305)*ISNUMBER(Timeline!$J$5:$J$305)*(Timeline!$I$5:$I$305&lt;=F$4+5)*(Timeline!$J$5:$J$305&gt;=F$4+5)),SUMPRODUCT((INDEX(Timeline!$P$5:$AN$305,0,MATCH($A28,Timeline!$P$4:$AN$4,0))="x")*(Timeline!$K$5:$K$305="Task")*ISNUMBER(Timeline!$I$5:$I$305)*ISNUMBER(Timeline!$J$5:$J$305)*(Timeline!$I$5:$I$305&lt;=F$4+6)*(Timeline!$J$5:$J$305&gt;=F$4+6)))</f>
        <v>0</v>
      </c>
      <c r="G28" s="67">
        <f>MAX(SUMPRODUCT((INDEX(Timeline!$P$5:$AN$305,0,MATCH($A28,Timeline!$P$4:$AN$4,0))="x")*(Timeline!$K$5:$K$305="Task")*ISNUMBER(Timeline!$I$5:$I$305)*ISNUMBER(Timeline!$J$5:$J$305)*(Timeline!$I$5:$I$305&lt;=G$4+0)*(Timeline!$J$5:$J$305&gt;=G$4+0)),SUMPRODUCT((INDEX(Timeline!$P$5:$AN$305,0,MATCH($A28,Timeline!$P$4:$AN$4,0))="x")*(Timeline!$K$5:$K$305="Task")*ISNUMBER(Timeline!$I$5:$I$305)*ISNUMBER(Timeline!$J$5:$J$305)*(Timeline!$I$5:$I$305&lt;=G$4+1)*(Timeline!$J$5:$J$305&gt;=G$4+1)),SUMPRODUCT((INDEX(Timeline!$P$5:$AN$305,0,MATCH($A28,Timeline!$P$4:$AN$4,0))="x")*(Timeline!$K$5:$K$305="Task")*ISNUMBER(Timeline!$I$5:$I$305)*ISNUMBER(Timeline!$J$5:$J$305)*(Timeline!$I$5:$I$305&lt;=G$4+2)*(Timeline!$J$5:$J$305&gt;=G$4+2)),SUMPRODUCT((INDEX(Timeline!$P$5:$AN$305,0,MATCH($A28,Timeline!$P$4:$AN$4,0))="x")*(Timeline!$K$5:$K$305="Task")*ISNUMBER(Timeline!$I$5:$I$305)*ISNUMBER(Timeline!$J$5:$J$305)*(Timeline!$I$5:$I$305&lt;=G$4+3)*(Timeline!$J$5:$J$305&gt;=G$4+3)),SUMPRODUCT((INDEX(Timeline!$P$5:$AN$305,0,MATCH($A28,Timeline!$P$4:$AN$4,0))="x")*(Timeline!$K$5:$K$305="Task")*ISNUMBER(Timeline!$I$5:$I$305)*ISNUMBER(Timeline!$J$5:$J$305)*(Timeline!$I$5:$I$305&lt;=G$4+4)*(Timeline!$J$5:$J$305&gt;=G$4+4)),SUMPRODUCT((INDEX(Timeline!$P$5:$AN$305,0,MATCH($A28,Timeline!$P$4:$AN$4,0))="x")*(Timeline!$K$5:$K$305="Task")*ISNUMBER(Timeline!$I$5:$I$305)*ISNUMBER(Timeline!$J$5:$J$305)*(Timeline!$I$5:$I$305&lt;=G$4+5)*(Timeline!$J$5:$J$305&gt;=G$4+5)),SUMPRODUCT((INDEX(Timeline!$P$5:$AN$305,0,MATCH($A28,Timeline!$P$4:$AN$4,0))="x")*(Timeline!$K$5:$K$305="Task")*ISNUMBER(Timeline!$I$5:$I$305)*ISNUMBER(Timeline!$J$5:$J$305)*(Timeline!$I$5:$I$305&lt;=G$4+6)*(Timeline!$J$5:$J$305&gt;=G$4+6)))</f>
        <v>0</v>
      </c>
      <c r="H28" s="67">
        <f>MAX(SUMPRODUCT((INDEX(Timeline!$P$5:$AN$305,0,MATCH($A28,Timeline!$P$4:$AN$4,0))="x")*(Timeline!$K$5:$K$305="Task")*ISNUMBER(Timeline!$I$5:$I$305)*ISNUMBER(Timeline!$J$5:$J$305)*(Timeline!$I$5:$I$305&lt;=H$4+0)*(Timeline!$J$5:$J$305&gt;=H$4+0)),SUMPRODUCT((INDEX(Timeline!$P$5:$AN$305,0,MATCH($A28,Timeline!$P$4:$AN$4,0))="x")*(Timeline!$K$5:$K$305="Task")*ISNUMBER(Timeline!$I$5:$I$305)*ISNUMBER(Timeline!$J$5:$J$305)*(Timeline!$I$5:$I$305&lt;=H$4+1)*(Timeline!$J$5:$J$305&gt;=H$4+1)),SUMPRODUCT((INDEX(Timeline!$P$5:$AN$305,0,MATCH($A28,Timeline!$P$4:$AN$4,0))="x")*(Timeline!$K$5:$K$305="Task")*ISNUMBER(Timeline!$I$5:$I$305)*ISNUMBER(Timeline!$J$5:$J$305)*(Timeline!$I$5:$I$305&lt;=H$4+2)*(Timeline!$J$5:$J$305&gt;=H$4+2)),SUMPRODUCT((INDEX(Timeline!$P$5:$AN$305,0,MATCH($A28,Timeline!$P$4:$AN$4,0))="x")*(Timeline!$K$5:$K$305="Task")*ISNUMBER(Timeline!$I$5:$I$305)*ISNUMBER(Timeline!$J$5:$J$305)*(Timeline!$I$5:$I$305&lt;=H$4+3)*(Timeline!$J$5:$J$305&gt;=H$4+3)),SUMPRODUCT((INDEX(Timeline!$P$5:$AN$305,0,MATCH($A28,Timeline!$P$4:$AN$4,0))="x")*(Timeline!$K$5:$K$305="Task")*ISNUMBER(Timeline!$I$5:$I$305)*ISNUMBER(Timeline!$J$5:$J$305)*(Timeline!$I$5:$I$305&lt;=H$4+4)*(Timeline!$J$5:$J$305&gt;=H$4+4)),SUMPRODUCT((INDEX(Timeline!$P$5:$AN$305,0,MATCH($A28,Timeline!$P$4:$AN$4,0))="x")*(Timeline!$K$5:$K$305="Task")*ISNUMBER(Timeline!$I$5:$I$305)*ISNUMBER(Timeline!$J$5:$J$305)*(Timeline!$I$5:$I$305&lt;=H$4+5)*(Timeline!$J$5:$J$305&gt;=H$4+5)),SUMPRODUCT((INDEX(Timeline!$P$5:$AN$305,0,MATCH($A28,Timeline!$P$4:$AN$4,0))="x")*(Timeline!$K$5:$K$305="Task")*ISNUMBER(Timeline!$I$5:$I$305)*ISNUMBER(Timeline!$J$5:$J$305)*(Timeline!$I$5:$I$305&lt;=H$4+6)*(Timeline!$J$5:$J$305&gt;=H$4+6)))</f>
        <v>0</v>
      </c>
      <c r="I28" s="67">
        <f>MAX(SUMPRODUCT((INDEX(Timeline!$P$5:$AN$305,0,MATCH($A28,Timeline!$P$4:$AN$4,0))="x")*(Timeline!$K$5:$K$305="Task")*ISNUMBER(Timeline!$I$5:$I$305)*ISNUMBER(Timeline!$J$5:$J$305)*(Timeline!$I$5:$I$305&lt;=I$4+0)*(Timeline!$J$5:$J$305&gt;=I$4+0)),SUMPRODUCT((INDEX(Timeline!$P$5:$AN$305,0,MATCH($A28,Timeline!$P$4:$AN$4,0))="x")*(Timeline!$K$5:$K$305="Task")*ISNUMBER(Timeline!$I$5:$I$305)*ISNUMBER(Timeline!$J$5:$J$305)*(Timeline!$I$5:$I$305&lt;=I$4+1)*(Timeline!$J$5:$J$305&gt;=I$4+1)),SUMPRODUCT((INDEX(Timeline!$P$5:$AN$305,0,MATCH($A28,Timeline!$P$4:$AN$4,0))="x")*(Timeline!$K$5:$K$305="Task")*ISNUMBER(Timeline!$I$5:$I$305)*ISNUMBER(Timeline!$J$5:$J$305)*(Timeline!$I$5:$I$305&lt;=I$4+2)*(Timeline!$J$5:$J$305&gt;=I$4+2)),SUMPRODUCT((INDEX(Timeline!$P$5:$AN$305,0,MATCH($A28,Timeline!$P$4:$AN$4,0))="x")*(Timeline!$K$5:$K$305="Task")*ISNUMBER(Timeline!$I$5:$I$305)*ISNUMBER(Timeline!$J$5:$J$305)*(Timeline!$I$5:$I$305&lt;=I$4+3)*(Timeline!$J$5:$J$305&gt;=I$4+3)),SUMPRODUCT((INDEX(Timeline!$P$5:$AN$305,0,MATCH($A28,Timeline!$P$4:$AN$4,0))="x")*(Timeline!$K$5:$K$305="Task")*ISNUMBER(Timeline!$I$5:$I$305)*ISNUMBER(Timeline!$J$5:$J$305)*(Timeline!$I$5:$I$305&lt;=I$4+4)*(Timeline!$J$5:$J$305&gt;=I$4+4)),SUMPRODUCT((INDEX(Timeline!$P$5:$AN$305,0,MATCH($A28,Timeline!$P$4:$AN$4,0))="x")*(Timeline!$K$5:$K$305="Task")*ISNUMBER(Timeline!$I$5:$I$305)*ISNUMBER(Timeline!$J$5:$J$305)*(Timeline!$I$5:$I$305&lt;=I$4+5)*(Timeline!$J$5:$J$305&gt;=I$4+5)),SUMPRODUCT((INDEX(Timeline!$P$5:$AN$305,0,MATCH($A28,Timeline!$P$4:$AN$4,0))="x")*(Timeline!$K$5:$K$305="Task")*ISNUMBER(Timeline!$I$5:$I$305)*ISNUMBER(Timeline!$J$5:$J$305)*(Timeline!$I$5:$I$305&lt;=I$4+6)*(Timeline!$J$5:$J$305&gt;=I$4+6)))</f>
        <v>0</v>
      </c>
      <c r="J28" s="67">
        <f>MAX(SUMPRODUCT((INDEX(Timeline!$P$5:$AN$305,0,MATCH($A28,Timeline!$P$4:$AN$4,0))="x")*(Timeline!$K$5:$K$305="Task")*ISNUMBER(Timeline!$I$5:$I$305)*ISNUMBER(Timeline!$J$5:$J$305)*(Timeline!$I$5:$I$305&lt;=J$4+0)*(Timeline!$J$5:$J$305&gt;=J$4+0)),SUMPRODUCT((INDEX(Timeline!$P$5:$AN$305,0,MATCH($A28,Timeline!$P$4:$AN$4,0))="x")*(Timeline!$K$5:$K$305="Task")*ISNUMBER(Timeline!$I$5:$I$305)*ISNUMBER(Timeline!$J$5:$J$305)*(Timeline!$I$5:$I$305&lt;=J$4+1)*(Timeline!$J$5:$J$305&gt;=J$4+1)),SUMPRODUCT((INDEX(Timeline!$P$5:$AN$305,0,MATCH($A28,Timeline!$P$4:$AN$4,0))="x")*(Timeline!$K$5:$K$305="Task")*ISNUMBER(Timeline!$I$5:$I$305)*ISNUMBER(Timeline!$J$5:$J$305)*(Timeline!$I$5:$I$305&lt;=J$4+2)*(Timeline!$J$5:$J$305&gt;=J$4+2)),SUMPRODUCT((INDEX(Timeline!$P$5:$AN$305,0,MATCH($A28,Timeline!$P$4:$AN$4,0))="x")*(Timeline!$K$5:$K$305="Task")*ISNUMBER(Timeline!$I$5:$I$305)*ISNUMBER(Timeline!$J$5:$J$305)*(Timeline!$I$5:$I$305&lt;=J$4+3)*(Timeline!$J$5:$J$305&gt;=J$4+3)),SUMPRODUCT((INDEX(Timeline!$P$5:$AN$305,0,MATCH($A28,Timeline!$P$4:$AN$4,0))="x")*(Timeline!$K$5:$K$305="Task")*ISNUMBER(Timeline!$I$5:$I$305)*ISNUMBER(Timeline!$J$5:$J$305)*(Timeline!$I$5:$I$305&lt;=J$4+4)*(Timeline!$J$5:$J$305&gt;=J$4+4)),SUMPRODUCT((INDEX(Timeline!$P$5:$AN$305,0,MATCH($A28,Timeline!$P$4:$AN$4,0))="x")*(Timeline!$K$5:$K$305="Task")*ISNUMBER(Timeline!$I$5:$I$305)*ISNUMBER(Timeline!$J$5:$J$305)*(Timeline!$I$5:$I$305&lt;=J$4+5)*(Timeline!$J$5:$J$305&gt;=J$4+5)),SUMPRODUCT((INDEX(Timeline!$P$5:$AN$305,0,MATCH($A28,Timeline!$P$4:$AN$4,0))="x")*(Timeline!$K$5:$K$305="Task")*ISNUMBER(Timeline!$I$5:$I$305)*ISNUMBER(Timeline!$J$5:$J$305)*(Timeline!$I$5:$I$305&lt;=J$4+6)*(Timeline!$J$5:$J$305&gt;=J$4+6)))</f>
        <v>0</v>
      </c>
      <c r="K28" s="67">
        <f>MAX(SUMPRODUCT((INDEX(Timeline!$P$5:$AN$305,0,MATCH($A28,Timeline!$P$4:$AN$4,0))="x")*(Timeline!$K$5:$K$305="Task")*ISNUMBER(Timeline!$I$5:$I$305)*ISNUMBER(Timeline!$J$5:$J$305)*(Timeline!$I$5:$I$305&lt;=K$4+0)*(Timeline!$J$5:$J$305&gt;=K$4+0)),SUMPRODUCT((INDEX(Timeline!$P$5:$AN$305,0,MATCH($A28,Timeline!$P$4:$AN$4,0))="x")*(Timeline!$K$5:$K$305="Task")*ISNUMBER(Timeline!$I$5:$I$305)*ISNUMBER(Timeline!$J$5:$J$305)*(Timeline!$I$5:$I$305&lt;=K$4+1)*(Timeline!$J$5:$J$305&gt;=K$4+1)),SUMPRODUCT((INDEX(Timeline!$P$5:$AN$305,0,MATCH($A28,Timeline!$P$4:$AN$4,0))="x")*(Timeline!$K$5:$K$305="Task")*ISNUMBER(Timeline!$I$5:$I$305)*ISNUMBER(Timeline!$J$5:$J$305)*(Timeline!$I$5:$I$305&lt;=K$4+2)*(Timeline!$J$5:$J$305&gt;=K$4+2)),SUMPRODUCT((INDEX(Timeline!$P$5:$AN$305,0,MATCH($A28,Timeline!$P$4:$AN$4,0))="x")*(Timeline!$K$5:$K$305="Task")*ISNUMBER(Timeline!$I$5:$I$305)*ISNUMBER(Timeline!$J$5:$J$305)*(Timeline!$I$5:$I$305&lt;=K$4+3)*(Timeline!$J$5:$J$305&gt;=K$4+3)),SUMPRODUCT((INDEX(Timeline!$P$5:$AN$305,0,MATCH($A28,Timeline!$P$4:$AN$4,0))="x")*(Timeline!$K$5:$K$305="Task")*ISNUMBER(Timeline!$I$5:$I$305)*ISNUMBER(Timeline!$J$5:$J$305)*(Timeline!$I$5:$I$305&lt;=K$4+4)*(Timeline!$J$5:$J$305&gt;=K$4+4)),SUMPRODUCT((INDEX(Timeline!$P$5:$AN$305,0,MATCH($A28,Timeline!$P$4:$AN$4,0))="x")*(Timeline!$K$5:$K$305="Task")*ISNUMBER(Timeline!$I$5:$I$305)*ISNUMBER(Timeline!$J$5:$J$305)*(Timeline!$I$5:$I$305&lt;=K$4+5)*(Timeline!$J$5:$J$305&gt;=K$4+5)),SUMPRODUCT((INDEX(Timeline!$P$5:$AN$305,0,MATCH($A28,Timeline!$P$4:$AN$4,0))="x")*(Timeline!$K$5:$K$305="Task")*ISNUMBER(Timeline!$I$5:$I$305)*ISNUMBER(Timeline!$J$5:$J$305)*(Timeline!$I$5:$I$305&lt;=K$4+6)*(Timeline!$J$5:$J$305&gt;=K$4+6)))</f>
        <v>0</v>
      </c>
      <c r="L28" s="67">
        <f>MAX(SUMPRODUCT((INDEX(Timeline!$P$5:$AN$305,0,MATCH($A28,Timeline!$P$4:$AN$4,0))="x")*(Timeline!$K$5:$K$305="Task")*ISNUMBER(Timeline!$I$5:$I$305)*ISNUMBER(Timeline!$J$5:$J$305)*(Timeline!$I$5:$I$305&lt;=L$4+0)*(Timeline!$J$5:$J$305&gt;=L$4+0)),SUMPRODUCT((INDEX(Timeline!$P$5:$AN$305,0,MATCH($A28,Timeline!$P$4:$AN$4,0))="x")*(Timeline!$K$5:$K$305="Task")*ISNUMBER(Timeline!$I$5:$I$305)*ISNUMBER(Timeline!$J$5:$J$305)*(Timeline!$I$5:$I$305&lt;=L$4+1)*(Timeline!$J$5:$J$305&gt;=L$4+1)),SUMPRODUCT((INDEX(Timeline!$P$5:$AN$305,0,MATCH($A28,Timeline!$P$4:$AN$4,0))="x")*(Timeline!$K$5:$K$305="Task")*ISNUMBER(Timeline!$I$5:$I$305)*ISNUMBER(Timeline!$J$5:$J$305)*(Timeline!$I$5:$I$305&lt;=L$4+2)*(Timeline!$J$5:$J$305&gt;=L$4+2)),SUMPRODUCT((INDEX(Timeline!$P$5:$AN$305,0,MATCH($A28,Timeline!$P$4:$AN$4,0))="x")*(Timeline!$K$5:$K$305="Task")*ISNUMBER(Timeline!$I$5:$I$305)*ISNUMBER(Timeline!$J$5:$J$305)*(Timeline!$I$5:$I$305&lt;=L$4+3)*(Timeline!$J$5:$J$305&gt;=L$4+3)),SUMPRODUCT((INDEX(Timeline!$P$5:$AN$305,0,MATCH($A28,Timeline!$P$4:$AN$4,0))="x")*(Timeline!$K$5:$K$305="Task")*ISNUMBER(Timeline!$I$5:$I$305)*ISNUMBER(Timeline!$J$5:$J$305)*(Timeline!$I$5:$I$305&lt;=L$4+4)*(Timeline!$J$5:$J$305&gt;=L$4+4)),SUMPRODUCT((INDEX(Timeline!$P$5:$AN$305,0,MATCH($A28,Timeline!$P$4:$AN$4,0))="x")*(Timeline!$K$5:$K$305="Task")*ISNUMBER(Timeline!$I$5:$I$305)*ISNUMBER(Timeline!$J$5:$J$305)*(Timeline!$I$5:$I$305&lt;=L$4+5)*(Timeline!$J$5:$J$305&gt;=L$4+5)),SUMPRODUCT((INDEX(Timeline!$P$5:$AN$305,0,MATCH($A28,Timeline!$P$4:$AN$4,0))="x")*(Timeline!$K$5:$K$305="Task")*ISNUMBER(Timeline!$I$5:$I$305)*ISNUMBER(Timeline!$J$5:$J$305)*(Timeline!$I$5:$I$305&lt;=L$4+6)*(Timeline!$J$5:$J$305&gt;=L$4+6)))</f>
        <v>0</v>
      </c>
      <c r="M28" s="67">
        <f>MAX(SUMPRODUCT((INDEX(Timeline!$P$5:$AN$305,0,MATCH($A28,Timeline!$P$4:$AN$4,0))="x")*(Timeline!$K$5:$K$305="Task")*ISNUMBER(Timeline!$I$5:$I$305)*ISNUMBER(Timeline!$J$5:$J$305)*(Timeline!$I$5:$I$305&lt;=M$4+0)*(Timeline!$J$5:$J$305&gt;=M$4+0)),SUMPRODUCT((INDEX(Timeline!$P$5:$AN$305,0,MATCH($A28,Timeline!$P$4:$AN$4,0))="x")*(Timeline!$K$5:$K$305="Task")*ISNUMBER(Timeline!$I$5:$I$305)*ISNUMBER(Timeline!$J$5:$J$305)*(Timeline!$I$5:$I$305&lt;=M$4+1)*(Timeline!$J$5:$J$305&gt;=M$4+1)),SUMPRODUCT((INDEX(Timeline!$P$5:$AN$305,0,MATCH($A28,Timeline!$P$4:$AN$4,0))="x")*(Timeline!$K$5:$K$305="Task")*ISNUMBER(Timeline!$I$5:$I$305)*ISNUMBER(Timeline!$J$5:$J$305)*(Timeline!$I$5:$I$305&lt;=M$4+2)*(Timeline!$J$5:$J$305&gt;=M$4+2)),SUMPRODUCT((INDEX(Timeline!$P$5:$AN$305,0,MATCH($A28,Timeline!$P$4:$AN$4,0))="x")*(Timeline!$K$5:$K$305="Task")*ISNUMBER(Timeline!$I$5:$I$305)*ISNUMBER(Timeline!$J$5:$J$305)*(Timeline!$I$5:$I$305&lt;=M$4+3)*(Timeline!$J$5:$J$305&gt;=M$4+3)),SUMPRODUCT((INDEX(Timeline!$P$5:$AN$305,0,MATCH($A28,Timeline!$P$4:$AN$4,0))="x")*(Timeline!$K$5:$K$305="Task")*ISNUMBER(Timeline!$I$5:$I$305)*ISNUMBER(Timeline!$J$5:$J$305)*(Timeline!$I$5:$I$305&lt;=M$4+4)*(Timeline!$J$5:$J$305&gt;=M$4+4)),SUMPRODUCT((INDEX(Timeline!$P$5:$AN$305,0,MATCH($A28,Timeline!$P$4:$AN$4,0))="x")*(Timeline!$K$5:$K$305="Task")*ISNUMBER(Timeline!$I$5:$I$305)*ISNUMBER(Timeline!$J$5:$J$305)*(Timeline!$I$5:$I$305&lt;=M$4+5)*(Timeline!$J$5:$J$305&gt;=M$4+5)),SUMPRODUCT((INDEX(Timeline!$P$5:$AN$305,0,MATCH($A28,Timeline!$P$4:$AN$4,0))="x")*(Timeline!$K$5:$K$305="Task")*ISNUMBER(Timeline!$I$5:$I$305)*ISNUMBER(Timeline!$J$5:$J$305)*(Timeline!$I$5:$I$305&lt;=M$4+6)*(Timeline!$J$5:$J$305&gt;=M$4+6)))</f>
        <v>0</v>
      </c>
      <c r="N28" s="67">
        <f>MAX(SUMPRODUCT((INDEX(Timeline!$P$5:$AN$305,0,MATCH($A28,Timeline!$P$4:$AN$4,0))="x")*(Timeline!$K$5:$K$305="Task")*ISNUMBER(Timeline!$I$5:$I$305)*ISNUMBER(Timeline!$J$5:$J$305)*(Timeline!$I$5:$I$305&lt;=N$4+0)*(Timeline!$J$5:$J$305&gt;=N$4+0)),SUMPRODUCT((INDEX(Timeline!$P$5:$AN$305,0,MATCH($A28,Timeline!$P$4:$AN$4,0))="x")*(Timeline!$K$5:$K$305="Task")*ISNUMBER(Timeline!$I$5:$I$305)*ISNUMBER(Timeline!$J$5:$J$305)*(Timeline!$I$5:$I$305&lt;=N$4+1)*(Timeline!$J$5:$J$305&gt;=N$4+1)),SUMPRODUCT((INDEX(Timeline!$P$5:$AN$305,0,MATCH($A28,Timeline!$P$4:$AN$4,0))="x")*(Timeline!$K$5:$K$305="Task")*ISNUMBER(Timeline!$I$5:$I$305)*ISNUMBER(Timeline!$J$5:$J$305)*(Timeline!$I$5:$I$305&lt;=N$4+2)*(Timeline!$J$5:$J$305&gt;=N$4+2)),SUMPRODUCT((INDEX(Timeline!$P$5:$AN$305,0,MATCH($A28,Timeline!$P$4:$AN$4,0))="x")*(Timeline!$K$5:$K$305="Task")*ISNUMBER(Timeline!$I$5:$I$305)*ISNUMBER(Timeline!$J$5:$J$305)*(Timeline!$I$5:$I$305&lt;=N$4+3)*(Timeline!$J$5:$J$305&gt;=N$4+3)),SUMPRODUCT((INDEX(Timeline!$P$5:$AN$305,0,MATCH($A28,Timeline!$P$4:$AN$4,0))="x")*(Timeline!$K$5:$K$305="Task")*ISNUMBER(Timeline!$I$5:$I$305)*ISNUMBER(Timeline!$J$5:$J$305)*(Timeline!$I$5:$I$305&lt;=N$4+4)*(Timeline!$J$5:$J$305&gt;=N$4+4)),SUMPRODUCT((INDEX(Timeline!$P$5:$AN$305,0,MATCH($A28,Timeline!$P$4:$AN$4,0))="x")*(Timeline!$K$5:$K$305="Task")*ISNUMBER(Timeline!$I$5:$I$305)*ISNUMBER(Timeline!$J$5:$J$305)*(Timeline!$I$5:$I$305&lt;=N$4+5)*(Timeline!$J$5:$J$305&gt;=N$4+5)),SUMPRODUCT((INDEX(Timeline!$P$5:$AN$305,0,MATCH($A28,Timeline!$P$4:$AN$4,0))="x")*(Timeline!$K$5:$K$305="Task")*ISNUMBER(Timeline!$I$5:$I$305)*ISNUMBER(Timeline!$J$5:$J$305)*(Timeline!$I$5:$I$305&lt;=N$4+6)*(Timeline!$J$5:$J$305&gt;=N$4+6)))</f>
        <v>0</v>
      </c>
      <c r="O28" s="67">
        <f>MAX(SUMPRODUCT((INDEX(Timeline!$P$5:$AN$305,0,MATCH($A28,Timeline!$P$4:$AN$4,0))="x")*(Timeline!$K$5:$K$305="Task")*ISNUMBER(Timeline!$I$5:$I$305)*ISNUMBER(Timeline!$J$5:$J$305)*(Timeline!$I$5:$I$305&lt;=O$4+0)*(Timeline!$J$5:$J$305&gt;=O$4+0)),SUMPRODUCT((INDEX(Timeline!$P$5:$AN$305,0,MATCH($A28,Timeline!$P$4:$AN$4,0))="x")*(Timeline!$K$5:$K$305="Task")*ISNUMBER(Timeline!$I$5:$I$305)*ISNUMBER(Timeline!$J$5:$J$305)*(Timeline!$I$5:$I$305&lt;=O$4+1)*(Timeline!$J$5:$J$305&gt;=O$4+1)),SUMPRODUCT((INDEX(Timeline!$P$5:$AN$305,0,MATCH($A28,Timeline!$P$4:$AN$4,0))="x")*(Timeline!$K$5:$K$305="Task")*ISNUMBER(Timeline!$I$5:$I$305)*ISNUMBER(Timeline!$J$5:$J$305)*(Timeline!$I$5:$I$305&lt;=O$4+2)*(Timeline!$J$5:$J$305&gt;=O$4+2)),SUMPRODUCT((INDEX(Timeline!$P$5:$AN$305,0,MATCH($A28,Timeline!$P$4:$AN$4,0))="x")*(Timeline!$K$5:$K$305="Task")*ISNUMBER(Timeline!$I$5:$I$305)*ISNUMBER(Timeline!$J$5:$J$305)*(Timeline!$I$5:$I$305&lt;=O$4+3)*(Timeline!$J$5:$J$305&gt;=O$4+3)),SUMPRODUCT((INDEX(Timeline!$P$5:$AN$305,0,MATCH($A28,Timeline!$P$4:$AN$4,0))="x")*(Timeline!$K$5:$K$305="Task")*ISNUMBER(Timeline!$I$5:$I$305)*ISNUMBER(Timeline!$J$5:$J$305)*(Timeline!$I$5:$I$305&lt;=O$4+4)*(Timeline!$J$5:$J$305&gt;=O$4+4)),SUMPRODUCT((INDEX(Timeline!$P$5:$AN$305,0,MATCH($A28,Timeline!$P$4:$AN$4,0))="x")*(Timeline!$K$5:$K$305="Task")*ISNUMBER(Timeline!$I$5:$I$305)*ISNUMBER(Timeline!$J$5:$J$305)*(Timeline!$I$5:$I$305&lt;=O$4+5)*(Timeline!$J$5:$J$305&gt;=O$4+5)),SUMPRODUCT((INDEX(Timeline!$P$5:$AN$305,0,MATCH($A28,Timeline!$P$4:$AN$4,0))="x")*(Timeline!$K$5:$K$305="Task")*ISNUMBER(Timeline!$I$5:$I$305)*ISNUMBER(Timeline!$J$5:$J$305)*(Timeline!$I$5:$I$305&lt;=O$4+6)*(Timeline!$J$5:$J$305&gt;=O$4+6)))</f>
        <v>0</v>
      </c>
      <c r="P28" s="67">
        <f>MAX(SUMPRODUCT((INDEX(Timeline!$P$5:$AN$305,0,MATCH($A28,Timeline!$P$4:$AN$4,0))="x")*(Timeline!$K$5:$K$305="Task")*ISNUMBER(Timeline!$I$5:$I$305)*ISNUMBER(Timeline!$J$5:$J$305)*(Timeline!$I$5:$I$305&lt;=P$4+0)*(Timeline!$J$5:$J$305&gt;=P$4+0)),SUMPRODUCT((INDEX(Timeline!$P$5:$AN$305,0,MATCH($A28,Timeline!$P$4:$AN$4,0))="x")*(Timeline!$K$5:$K$305="Task")*ISNUMBER(Timeline!$I$5:$I$305)*ISNUMBER(Timeline!$J$5:$J$305)*(Timeline!$I$5:$I$305&lt;=P$4+1)*(Timeline!$J$5:$J$305&gt;=P$4+1)),SUMPRODUCT((INDEX(Timeline!$P$5:$AN$305,0,MATCH($A28,Timeline!$P$4:$AN$4,0))="x")*(Timeline!$K$5:$K$305="Task")*ISNUMBER(Timeline!$I$5:$I$305)*ISNUMBER(Timeline!$J$5:$J$305)*(Timeline!$I$5:$I$305&lt;=P$4+2)*(Timeline!$J$5:$J$305&gt;=P$4+2)),SUMPRODUCT((INDEX(Timeline!$P$5:$AN$305,0,MATCH($A28,Timeline!$P$4:$AN$4,0))="x")*(Timeline!$K$5:$K$305="Task")*ISNUMBER(Timeline!$I$5:$I$305)*ISNUMBER(Timeline!$J$5:$J$305)*(Timeline!$I$5:$I$305&lt;=P$4+3)*(Timeline!$J$5:$J$305&gt;=P$4+3)),SUMPRODUCT((INDEX(Timeline!$P$5:$AN$305,0,MATCH($A28,Timeline!$P$4:$AN$4,0))="x")*(Timeline!$K$5:$K$305="Task")*ISNUMBER(Timeline!$I$5:$I$305)*ISNUMBER(Timeline!$J$5:$J$305)*(Timeline!$I$5:$I$305&lt;=P$4+4)*(Timeline!$J$5:$J$305&gt;=P$4+4)),SUMPRODUCT((INDEX(Timeline!$P$5:$AN$305,0,MATCH($A28,Timeline!$P$4:$AN$4,0))="x")*(Timeline!$K$5:$K$305="Task")*ISNUMBER(Timeline!$I$5:$I$305)*ISNUMBER(Timeline!$J$5:$J$305)*(Timeline!$I$5:$I$305&lt;=P$4+5)*(Timeline!$J$5:$J$305&gt;=P$4+5)),SUMPRODUCT((INDEX(Timeline!$P$5:$AN$305,0,MATCH($A28,Timeline!$P$4:$AN$4,0))="x")*(Timeline!$K$5:$K$305="Task")*ISNUMBER(Timeline!$I$5:$I$305)*ISNUMBER(Timeline!$J$5:$J$305)*(Timeline!$I$5:$I$305&lt;=P$4+6)*(Timeline!$J$5:$J$305&gt;=P$4+6)))</f>
        <v>0</v>
      </c>
      <c r="Q28" s="67">
        <f>MAX(SUMPRODUCT((INDEX(Timeline!$P$5:$AN$305,0,MATCH($A28,Timeline!$P$4:$AN$4,0))="x")*(Timeline!$K$5:$K$305="Task")*ISNUMBER(Timeline!$I$5:$I$305)*ISNUMBER(Timeline!$J$5:$J$305)*(Timeline!$I$5:$I$305&lt;=Q$4+0)*(Timeline!$J$5:$J$305&gt;=Q$4+0)),SUMPRODUCT((INDEX(Timeline!$P$5:$AN$305,0,MATCH($A28,Timeline!$P$4:$AN$4,0))="x")*(Timeline!$K$5:$K$305="Task")*ISNUMBER(Timeline!$I$5:$I$305)*ISNUMBER(Timeline!$J$5:$J$305)*(Timeline!$I$5:$I$305&lt;=Q$4+1)*(Timeline!$J$5:$J$305&gt;=Q$4+1)),SUMPRODUCT((INDEX(Timeline!$P$5:$AN$305,0,MATCH($A28,Timeline!$P$4:$AN$4,0))="x")*(Timeline!$K$5:$K$305="Task")*ISNUMBER(Timeline!$I$5:$I$305)*ISNUMBER(Timeline!$J$5:$J$305)*(Timeline!$I$5:$I$305&lt;=Q$4+2)*(Timeline!$J$5:$J$305&gt;=Q$4+2)),SUMPRODUCT((INDEX(Timeline!$P$5:$AN$305,0,MATCH($A28,Timeline!$P$4:$AN$4,0))="x")*(Timeline!$K$5:$K$305="Task")*ISNUMBER(Timeline!$I$5:$I$305)*ISNUMBER(Timeline!$J$5:$J$305)*(Timeline!$I$5:$I$305&lt;=Q$4+3)*(Timeline!$J$5:$J$305&gt;=Q$4+3)),SUMPRODUCT((INDEX(Timeline!$P$5:$AN$305,0,MATCH($A28,Timeline!$P$4:$AN$4,0))="x")*(Timeline!$K$5:$K$305="Task")*ISNUMBER(Timeline!$I$5:$I$305)*ISNUMBER(Timeline!$J$5:$J$305)*(Timeline!$I$5:$I$305&lt;=Q$4+4)*(Timeline!$J$5:$J$305&gt;=Q$4+4)),SUMPRODUCT((INDEX(Timeline!$P$5:$AN$305,0,MATCH($A28,Timeline!$P$4:$AN$4,0))="x")*(Timeline!$K$5:$K$305="Task")*ISNUMBER(Timeline!$I$5:$I$305)*ISNUMBER(Timeline!$J$5:$J$305)*(Timeline!$I$5:$I$305&lt;=Q$4+5)*(Timeline!$J$5:$J$305&gt;=Q$4+5)),SUMPRODUCT((INDEX(Timeline!$P$5:$AN$305,0,MATCH($A28,Timeline!$P$4:$AN$4,0))="x")*(Timeline!$K$5:$K$305="Task")*ISNUMBER(Timeline!$I$5:$I$305)*ISNUMBER(Timeline!$J$5:$J$305)*(Timeline!$I$5:$I$305&lt;=Q$4+6)*(Timeline!$J$5:$J$305&gt;=Q$4+6)))</f>
        <v>0</v>
      </c>
      <c r="R28" s="67">
        <f>MAX(SUMPRODUCT((INDEX(Timeline!$P$5:$AN$305,0,MATCH($A28,Timeline!$P$4:$AN$4,0))="x")*(Timeline!$K$5:$K$305="Task")*ISNUMBER(Timeline!$I$5:$I$305)*ISNUMBER(Timeline!$J$5:$J$305)*(Timeline!$I$5:$I$305&lt;=R$4+0)*(Timeline!$J$5:$J$305&gt;=R$4+0)),SUMPRODUCT((INDEX(Timeline!$P$5:$AN$305,0,MATCH($A28,Timeline!$P$4:$AN$4,0))="x")*(Timeline!$K$5:$K$305="Task")*ISNUMBER(Timeline!$I$5:$I$305)*ISNUMBER(Timeline!$J$5:$J$305)*(Timeline!$I$5:$I$305&lt;=R$4+1)*(Timeline!$J$5:$J$305&gt;=R$4+1)),SUMPRODUCT((INDEX(Timeline!$P$5:$AN$305,0,MATCH($A28,Timeline!$P$4:$AN$4,0))="x")*(Timeline!$K$5:$K$305="Task")*ISNUMBER(Timeline!$I$5:$I$305)*ISNUMBER(Timeline!$J$5:$J$305)*(Timeline!$I$5:$I$305&lt;=R$4+2)*(Timeline!$J$5:$J$305&gt;=R$4+2)),SUMPRODUCT((INDEX(Timeline!$P$5:$AN$305,0,MATCH($A28,Timeline!$P$4:$AN$4,0))="x")*(Timeline!$K$5:$K$305="Task")*ISNUMBER(Timeline!$I$5:$I$305)*ISNUMBER(Timeline!$J$5:$J$305)*(Timeline!$I$5:$I$305&lt;=R$4+3)*(Timeline!$J$5:$J$305&gt;=R$4+3)),SUMPRODUCT((INDEX(Timeline!$P$5:$AN$305,0,MATCH($A28,Timeline!$P$4:$AN$4,0))="x")*(Timeline!$K$5:$K$305="Task")*ISNUMBER(Timeline!$I$5:$I$305)*ISNUMBER(Timeline!$J$5:$J$305)*(Timeline!$I$5:$I$305&lt;=R$4+4)*(Timeline!$J$5:$J$305&gt;=R$4+4)),SUMPRODUCT((INDEX(Timeline!$P$5:$AN$305,0,MATCH($A28,Timeline!$P$4:$AN$4,0))="x")*(Timeline!$K$5:$K$305="Task")*ISNUMBER(Timeline!$I$5:$I$305)*ISNUMBER(Timeline!$J$5:$J$305)*(Timeline!$I$5:$I$305&lt;=R$4+5)*(Timeline!$J$5:$J$305&gt;=R$4+5)),SUMPRODUCT((INDEX(Timeline!$P$5:$AN$305,0,MATCH($A28,Timeline!$P$4:$AN$4,0))="x")*(Timeline!$K$5:$K$305="Task")*ISNUMBER(Timeline!$I$5:$I$305)*ISNUMBER(Timeline!$J$5:$J$305)*(Timeline!$I$5:$I$305&lt;=R$4+6)*(Timeline!$J$5:$J$305&gt;=R$4+6)))</f>
        <v>0</v>
      </c>
      <c r="S28" s="67">
        <f>MAX(SUMPRODUCT((INDEX(Timeline!$P$5:$AN$305,0,MATCH($A28,Timeline!$P$4:$AN$4,0))="x")*(Timeline!$K$5:$K$305="Task")*ISNUMBER(Timeline!$I$5:$I$305)*ISNUMBER(Timeline!$J$5:$J$305)*(Timeline!$I$5:$I$305&lt;=S$4+0)*(Timeline!$J$5:$J$305&gt;=S$4+0)),SUMPRODUCT((INDEX(Timeline!$P$5:$AN$305,0,MATCH($A28,Timeline!$P$4:$AN$4,0))="x")*(Timeline!$K$5:$K$305="Task")*ISNUMBER(Timeline!$I$5:$I$305)*ISNUMBER(Timeline!$J$5:$J$305)*(Timeline!$I$5:$I$305&lt;=S$4+1)*(Timeline!$J$5:$J$305&gt;=S$4+1)),SUMPRODUCT((INDEX(Timeline!$P$5:$AN$305,0,MATCH($A28,Timeline!$P$4:$AN$4,0))="x")*(Timeline!$K$5:$K$305="Task")*ISNUMBER(Timeline!$I$5:$I$305)*ISNUMBER(Timeline!$J$5:$J$305)*(Timeline!$I$5:$I$305&lt;=S$4+2)*(Timeline!$J$5:$J$305&gt;=S$4+2)),SUMPRODUCT((INDEX(Timeline!$P$5:$AN$305,0,MATCH($A28,Timeline!$P$4:$AN$4,0))="x")*(Timeline!$K$5:$K$305="Task")*ISNUMBER(Timeline!$I$5:$I$305)*ISNUMBER(Timeline!$J$5:$J$305)*(Timeline!$I$5:$I$305&lt;=S$4+3)*(Timeline!$J$5:$J$305&gt;=S$4+3)),SUMPRODUCT((INDEX(Timeline!$P$5:$AN$305,0,MATCH($A28,Timeline!$P$4:$AN$4,0))="x")*(Timeline!$K$5:$K$305="Task")*ISNUMBER(Timeline!$I$5:$I$305)*ISNUMBER(Timeline!$J$5:$J$305)*(Timeline!$I$5:$I$305&lt;=S$4+4)*(Timeline!$J$5:$J$305&gt;=S$4+4)),SUMPRODUCT((INDEX(Timeline!$P$5:$AN$305,0,MATCH($A28,Timeline!$P$4:$AN$4,0))="x")*(Timeline!$K$5:$K$305="Task")*ISNUMBER(Timeline!$I$5:$I$305)*ISNUMBER(Timeline!$J$5:$J$305)*(Timeline!$I$5:$I$305&lt;=S$4+5)*(Timeline!$J$5:$J$305&gt;=S$4+5)),SUMPRODUCT((INDEX(Timeline!$P$5:$AN$305,0,MATCH($A28,Timeline!$P$4:$AN$4,0))="x")*(Timeline!$K$5:$K$305="Task")*ISNUMBER(Timeline!$I$5:$I$305)*ISNUMBER(Timeline!$J$5:$J$305)*(Timeline!$I$5:$I$305&lt;=S$4+6)*(Timeline!$J$5:$J$305&gt;=S$4+6)))</f>
        <v>0</v>
      </c>
      <c r="T28" s="67">
        <f>MAX(SUMPRODUCT((INDEX(Timeline!$P$5:$AN$305,0,MATCH($A28,Timeline!$P$4:$AN$4,0))="x")*(Timeline!$K$5:$K$305="Task")*ISNUMBER(Timeline!$I$5:$I$305)*ISNUMBER(Timeline!$J$5:$J$305)*(Timeline!$I$5:$I$305&lt;=T$4+0)*(Timeline!$J$5:$J$305&gt;=T$4+0)),SUMPRODUCT((INDEX(Timeline!$P$5:$AN$305,0,MATCH($A28,Timeline!$P$4:$AN$4,0))="x")*(Timeline!$K$5:$K$305="Task")*ISNUMBER(Timeline!$I$5:$I$305)*ISNUMBER(Timeline!$J$5:$J$305)*(Timeline!$I$5:$I$305&lt;=T$4+1)*(Timeline!$J$5:$J$305&gt;=T$4+1)),SUMPRODUCT((INDEX(Timeline!$P$5:$AN$305,0,MATCH($A28,Timeline!$P$4:$AN$4,0))="x")*(Timeline!$K$5:$K$305="Task")*ISNUMBER(Timeline!$I$5:$I$305)*ISNUMBER(Timeline!$J$5:$J$305)*(Timeline!$I$5:$I$305&lt;=T$4+2)*(Timeline!$J$5:$J$305&gt;=T$4+2)),SUMPRODUCT((INDEX(Timeline!$P$5:$AN$305,0,MATCH($A28,Timeline!$P$4:$AN$4,0))="x")*(Timeline!$K$5:$K$305="Task")*ISNUMBER(Timeline!$I$5:$I$305)*ISNUMBER(Timeline!$J$5:$J$305)*(Timeline!$I$5:$I$305&lt;=T$4+3)*(Timeline!$J$5:$J$305&gt;=T$4+3)),SUMPRODUCT((INDEX(Timeline!$P$5:$AN$305,0,MATCH($A28,Timeline!$P$4:$AN$4,0))="x")*(Timeline!$K$5:$K$305="Task")*ISNUMBER(Timeline!$I$5:$I$305)*ISNUMBER(Timeline!$J$5:$J$305)*(Timeline!$I$5:$I$305&lt;=T$4+4)*(Timeline!$J$5:$J$305&gt;=T$4+4)),SUMPRODUCT((INDEX(Timeline!$P$5:$AN$305,0,MATCH($A28,Timeline!$P$4:$AN$4,0))="x")*(Timeline!$K$5:$K$305="Task")*ISNUMBER(Timeline!$I$5:$I$305)*ISNUMBER(Timeline!$J$5:$J$305)*(Timeline!$I$5:$I$305&lt;=T$4+5)*(Timeline!$J$5:$J$305&gt;=T$4+5)),SUMPRODUCT((INDEX(Timeline!$P$5:$AN$305,0,MATCH($A28,Timeline!$P$4:$AN$4,0))="x")*(Timeline!$K$5:$K$305="Task")*ISNUMBER(Timeline!$I$5:$I$305)*ISNUMBER(Timeline!$J$5:$J$305)*(Timeline!$I$5:$I$305&lt;=T$4+6)*(Timeline!$J$5:$J$305&gt;=T$4+6)))</f>
        <v>0</v>
      </c>
      <c r="U28" s="67">
        <f>MAX(SUMPRODUCT((INDEX(Timeline!$P$5:$AN$305,0,MATCH($A28,Timeline!$P$4:$AN$4,0))="x")*(Timeline!$K$5:$K$305="Task")*ISNUMBER(Timeline!$I$5:$I$305)*ISNUMBER(Timeline!$J$5:$J$305)*(Timeline!$I$5:$I$305&lt;=U$4+0)*(Timeline!$J$5:$J$305&gt;=U$4+0)),SUMPRODUCT((INDEX(Timeline!$P$5:$AN$305,0,MATCH($A28,Timeline!$P$4:$AN$4,0))="x")*(Timeline!$K$5:$K$305="Task")*ISNUMBER(Timeline!$I$5:$I$305)*ISNUMBER(Timeline!$J$5:$J$305)*(Timeline!$I$5:$I$305&lt;=U$4+1)*(Timeline!$J$5:$J$305&gt;=U$4+1)),SUMPRODUCT((INDEX(Timeline!$P$5:$AN$305,0,MATCH($A28,Timeline!$P$4:$AN$4,0))="x")*(Timeline!$K$5:$K$305="Task")*ISNUMBER(Timeline!$I$5:$I$305)*ISNUMBER(Timeline!$J$5:$J$305)*(Timeline!$I$5:$I$305&lt;=U$4+2)*(Timeline!$J$5:$J$305&gt;=U$4+2)),SUMPRODUCT((INDEX(Timeline!$P$5:$AN$305,0,MATCH($A28,Timeline!$P$4:$AN$4,0))="x")*(Timeline!$K$5:$K$305="Task")*ISNUMBER(Timeline!$I$5:$I$305)*ISNUMBER(Timeline!$J$5:$J$305)*(Timeline!$I$5:$I$305&lt;=U$4+3)*(Timeline!$J$5:$J$305&gt;=U$4+3)),SUMPRODUCT((INDEX(Timeline!$P$5:$AN$305,0,MATCH($A28,Timeline!$P$4:$AN$4,0))="x")*(Timeline!$K$5:$K$305="Task")*ISNUMBER(Timeline!$I$5:$I$305)*ISNUMBER(Timeline!$J$5:$J$305)*(Timeline!$I$5:$I$305&lt;=U$4+4)*(Timeline!$J$5:$J$305&gt;=U$4+4)),SUMPRODUCT((INDEX(Timeline!$P$5:$AN$305,0,MATCH($A28,Timeline!$P$4:$AN$4,0))="x")*(Timeline!$K$5:$K$305="Task")*ISNUMBER(Timeline!$I$5:$I$305)*ISNUMBER(Timeline!$J$5:$J$305)*(Timeline!$I$5:$I$305&lt;=U$4+5)*(Timeline!$J$5:$J$305&gt;=U$4+5)),SUMPRODUCT((INDEX(Timeline!$P$5:$AN$305,0,MATCH($A28,Timeline!$P$4:$AN$4,0))="x")*(Timeline!$K$5:$K$305="Task")*ISNUMBER(Timeline!$I$5:$I$305)*ISNUMBER(Timeline!$J$5:$J$305)*(Timeline!$I$5:$I$305&lt;=U$4+6)*(Timeline!$J$5:$J$305&gt;=U$4+6)))</f>
        <v>0</v>
      </c>
      <c r="V28" s="67">
        <f>MAX(SUMPRODUCT((INDEX(Timeline!$P$5:$AN$305,0,MATCH($A28,Timeline!$P$4:$AN$4,0))="x")*(Timeline!$K$5:$K$305="Task")*ISNUMBER(Timeline!$I$5:$I$305)*ISNUMBER(Timeline!$J$5:$J$305)*(Timeline!$I$5:$I$305&lt;=V$4+0)*(Timeline!$J$5:$J$305&gt;=V$4+0)),SUMPRODUCT((INDEX(Timeline!$P$5:$AN$305,0,MATCH($A28,Timeline!$P$4:$AN$4,0))="x")*(Timeline!$K$5:$K$305="Task")*ISNUMBER(Timeline!$I$5:$I$305)*ISNUMBER(Timeline!$J$5:$J$305)*(Timeline!$I$5:$I$305&lt;=V$4+1)*(Timeline!$J$5:$J$305&gt;=V$4+1)),SUMPRODUCT((INDEX(Timeline!$P$5:$AN$305,0,MATCH($A28,Timeline!$P$4:$AN$4,0))="x")*(Timeline!$K$5:$K$305="Task")*ISNUMBER(Timeline!$I$5:$I$305)*ISNUMBER(Timeline!$J$5:$J$305)*(Timeline!$I$5:$I$305&lt;=V$4+2)*(Timeline!$J$5:$J$305&gt;=V$4+2)),SUMPRODUCT((INDEX(Timeline!$P$5:$AN$305,0,MATCH($A28,Timeline!$P$4:$AN$4,0))="x")*(Timeline!$K$5:$K$305="Task")*ISNUMBER(Timeline!$I$5:$I$305)*ISNUMBER(Timeline!$J$5:$J$305)*(Timeline!$I$5:$I$305&lt;=V$4+3)*(Timeline!$J$5:$J$305&gt;=V$4+3)),SUMPRODUCT((INDEX(Timeline!$P$5:$AN$305,0,MATCH($A28,Timeline!$P$4:$AN$4,0))="x")*(Timeline!$K$5:$K$305="Task")*ISNUMBER(Timeline!$I$5:$I$305)*ISNUMBER(Timeline!$J$5:$J$305)*(Timeline!$I$5:$I$305&lt;=V$4+4)*(Timeline!$J$5:$J$305&gt;=V$4+4)),SUMPRODUCT((INDEX(Timeline!$P$5:$AN$305,0,MATCH($A28,Timeline!$P$4:$AN$4,0))="x")*(Timeline!$K$5:$K$305="Task")*ISNUMBER(Timeline!$I$5:$I$305)*ISNUMBER(Timeline!$J$5:$J$305)*(Timeline!$I$5:$I$305&lt;=V$4+5)*(Timeline!$J$5:$J$305&gt;=V$4+5)),SUMPRODUCT((INDEX(Timeline!$P$5:$AN$305,0,MATCH($A28,Timeline!$P$4:$AN$4,0))="x")*(Timeline!$K$5:$K$305="Task")*ISNUMBER(Timeline!$I$5:$I$305)*ISNUMBER(Timeline!$J$5:$J$305)*(Timeline!$I$5:$I$305&lt;=V$4+6)*(Timeline!$J$5:$J$305&gt;=V$4+6)))</f>
        <v>0</v>
      </c>
      <c r="W28" s="67">
        <f>MAX(SUMPRODUCT((INDEX(Timeline!$P$5:$AN$305,0,MATCH($A28,Timeline!$P$4:$AN$4,0))="x")*(Timeline!$K$5:$K$305="Task")*ISNUMBER(Timeline!$I$5:$I$305)*ISNUMBER(Timeline!$J$5:$J$305)*(Timeline!$I$5:$I$305&lt;=W$4+0)*(Timeline!$J$5:$J$305&gt;=W$4+0)),SUMPRODUCT((INDEX(Timeline!$P$5:$AN$305,0,MATCH($A28,Timeline!$P$4:$AN$4,0))="x")*(Timeline!$K$5:$K$305="Task")*ISNUMBER(Timeline!$I$5:$I$305)*ISNUMBER(Timeline!$J$5:$J$305)*(Timeline!$I$5:$I$305&lt;=W$4+1)*(Timeline!$J$5:$J$305&gt;=W$4+1)),SUMPRODUCT((INDEX(Timeline!$P$5:$AN$305,0,MATCH($A28,Timeline!$P$4:$AN$4,0))="x")*(Timeline!$K$5:$K$305="Task")*ISNUMBER(Timeline!$I$5:$I$305)*ISNUMBER(Timeline!$J$5:$J$305)*(Timeline!$I$5:$I$305&lt;=W$4+2)*(Timeline!$J$5:$J$305&gt;=W$4+2)),SUMPRODUCT((INDEX(Timeline!$P$5:$AN$305,0,MATCH($A28,Timeline!$P$4:$AN$4,0))="x")*(Timeline!$K$5:$K$305="Task")*ISNUMBER(Timeline!$I$5:$I$305)*ISNUMBER(Timeline!$J$5:$J$305)*(Timeline!$I$5:$I$305&lt;=W$4+3)*(Timeline!$J$5:$J$305&gt;=W$4+3)),SUMPRODUCT((INDEX(Timeline!$P$5:$AN$305,0,MATCH($A28,Timeline!$P$4:$AN$4,0))="x")*(Timeline!$K$5:$K$305="Task")*ISNUMBER(Timeline!$I$5:$I$305)*ISNUMBER(Timeline!$J$5:$J$305)*(Timeline!$I$5:$I$305&lt;=W$4+4)*(Timeline!$J$5:$J$305&gt;=W$4+4)),SUMPRODUCT((INDEX(Timeline!$P$5:$AN$305,0,MATCH($A28,Timeline!$P$4:$AN$4,0))="x")*(Timeline!$K$5:$K$305="Task")*ISNUMBER(Timeline!$I$5:$I$305)*ISNUMBER(Timeline!$J$5:$J$305)*(Timeline!$I$5:$I$305&lt;=W$4+5)*(Timeline!$J$5:$J$305&gt;=W$4+5)),SUMPRODUCT((INDEX(Timeline!$P$5:$AN$305,0,MATCH($A28,Timeline!$P$4:$AN$4,0))="x")*(Timeline!$K$5:$K$305="Task")*ISNUMBER(Timeline!$I$5:$I$305)*ISNUMBER(Timeline!$J$5:$J$305)*(Timeline!$I$5:$I$305&lt;=W$4+6)*(Timeline!$J$5:$J$305&gt;=W$4+6)))</f>
        <v>0</v>
      </c>
      <c r="X28" s="67">
        <f>MAX(SUMPRODUCT((INDEX(Timeline!$P$5:$AN$305,0,MATCH($A28,Timeline!$P$4:$AN$4,0))="x")*(Timeline!$K$5:$K$305="Task")*ISNUMBER(Timeline!$I$5:$I$305)*ISNUMBER(Timeline!$J$5:$J$305)*(Timeline!$I$5:$I$305&lt;=X$4+0)*(Timeline!$J$5:$J$305&gt;=X$4+0)),SUMPRODUCT((INDEX(Timeline!$P$5:$AN$305,0,MATCH($A28,Timeline!$P$4:$AN$4,0))="x")*(Timeline!$K$5:$K$305="Task")*ISNUMBER(Timeline!$I$5:$I$305)*ISNUMBER(Timeline!$J$5:$J$305)*(Timeline!$I$5:$I$305&lt;=X$4+1)*(Timeline!$J$5:$J$305&gt;=X$4+1)),SUMPRODUCT((INDEX(Timeline!$P$5:$AN$305,0,MATCH($A28,Timeline!$P$4:$AN$4,0))="x")*(Timeline!$K$5:$K$305="Task")*ISNUMBER(Timeline!$I$5:$I$305)*ISNUMBER(Timeline!$J$5:$J$305)*(Timeline!$I$5:$I$305&lt;=X$4+2)*(Timeline!$J$5:$J$305&gt;=X$4+2)),SUMPRODUCT((INDEX(Timeline!$P$5:$AN$305,0,MATCH($A28,Timeline!$P$4:$AN$4,0))="x")*(Timeline!$K$5:$K$305="Task")*ISNUMBER(Timeline!$I$5:$I$305)*ISNUMBER(Timeline!$J$5:$J$305)*(Timeline!$I$5:$I$305&lt;=X$4+3)*(Timeline!$J$5:$J$305&gt;=X$4+3)),SUMPRODUCT((INDEX(Timeline!$P$5:$AN$305,0,MATCH($A28,Timeline!$P$4:$AN$4,0))="x")*(Timeline!$K$5:$K$305="Task")*ISNUMBER(Timeline!$I$5:$I$305)*ISNUMBER(Timeline!$J$5:$J$305)*(Timeline!$I$5:$I$305&lt;=X$4+4)*(Timeline!$J$5:$J$305&gt;=X$4+4)),SUMPRODUCT((INDEX(Timeline!$P$5:$AN$305,0,MATCH($A28,Timeline!$P$4:$AN$4,0))="x")*(Timeline!$K$5:$K$305="Task")*ISNUMBER(Timeline!$I$5:$I$305)*ISNUMBER(Timeline!$J$5:$J$305)*(Timeline!$I$5:$I$305&lt;=X$4+5)*(Timeline!$J$5:$J$305&gt;=X$4+5)),SUMPRODUCT((INDEX(Timeline!$P$5:$AN$305,0,MATCH($A28,Timeline!$P$4:$AN$4,0))="x")*(Timeline!$K$5:$K$305="Task")*ISNUMBER(Timeline!$I$5:$I$305)*ISNUMBER(Timeline!$J$5:$J$305)*(Timeline!$I$5:$I$305&lt;=X$4+6)*(Timeline!$J$5:$J$305&gt;=X$4+6)))</f>
        <v>0</v>
      </c>
      <c r="Y28" s="67">
        <f>MAX(SUMPRODUCT((INDEX(Timeline!$P$5:$AN$305,0,MATCH($A28,Timeline!$P$4:$AN$4,0))="x")*(Timeline!$K$5:$K$305="Task")*ISNUMBER(Timeline!$I$5:$I$305)*ISNUMBER(Timeline!$J$5:$J$305)*(Timeline!$I$5:$I$305&lt;=Y$4+0)*(Timeline!$J$5:$J$305&gt;=Y$4+0)),SUMPRODUCT((INDEX(Timeline!$P$5:$AN$305,0,MATCH($A28,Timeline!$P$4:$AN$4,0))="x")*(Timeline!$K$5:$K$305="Task")*ISNUMBER(Timeline!$I$5:$I$305)*ISNUMBER(Timeline!$J$5:$J$305)*(Timeline!$I$5:$I$305&lt;=Y$4+1)*(Timeline!$J$5:$J$305&gt;=Y$4+1)),SUMPRODUCT((INDEX(Timeline!$P$5:$AN$305,0,MATCH($A28,Timeline!$P$4:$AN$4,0))="x")*(Timeline!$K$5:$K$305="Task")*ISNUMBER(Timeline!$I$5:$I$305)*ISNUMBER(Timeline!$J$5:$J$305)*(Timeline!$I$5:$I$305&lt;=Y$4+2)*(Timeline!$J$5:$J$305&gt;=Y$4+2)),SUMPRODUCT((INDEX(Timeline!$P$5:$AN$305,0,MATCH($A28,Timeline!$P$4:$AN$4,0))="x")*(Timeline!$K$5:$K$305="Task")*ISNUMBER(Timeline!$I$5:$I$305)*ISNUMBER(Timeline!$J$5:$J$305)*(Timeline!$I$5:$I$305&lt;=Y$4+3)*(Timeline!$J$5:$J$305&gt;=Y$4+3)),SUMPRODUCT((INDEX(Timeline!$P$5:$AN$305,0,MATCH($A28,Timeline!$P$4:$AN$4,0))="x")*(Timeline!$K$5:$K$305="Task")*ISNUMBER(Timeline!$I$5:$I$305)*ISNUMBER(Timeline!$J$5:$J$305)*(Timeline!$I$5:$I$305&lt;=Y$4+4)*(Timeline!$J$5:$J$305&gt;=Y$4+4)),SUMPRODUCT((INDEX(Timeline!$P$5:$AN$305,0,MATCH($A28,Timeline!$P$4:$AN$4,0))="x")*(Timeline!$K$5:$K$305="Task")*ISNUMBER(Timeline!$I$5:$I$305)*ISNUMBER(Timeline!$J$5:$J$305)*(Timeline!$I$5:$I$305&lt;=Y$4+5)*(Timeline!$J$5:$J$305&gt;=Y$4+5)),SUMPRODUCT((INDEX(Timeline!$P$5:$AN$305,0,MATCH($A28,Timeline!$P$4:$AN$4,0))="x")*(Timeline!$K$5:$K$305="Task")*ISNUMBER(Timeline!$I$5:$I$305)*ISNUMBER(Timeline!$J$5:$J$305)*(Timeline!$I$5:$I$305&lt;=Y$4+6)*(Timeline!$J$5:$J$305&gt;=Y$4+6)))</f>
        <v>0</v>
      </c>
      <c r="Z28" s="67">
        <f>MAX(SUMPRODUCT((INDEX(Timeline!$P$5:$AN$305,0,MATCH($A28,Timeline!$P$4:$AN$4,0))="x")*(Timeline!$K$5:$K$305="Task")*ISNUMBER(Timeline!$I$5:$I$305)*ISNUMBER(Timeline!$J$5:$J$305)*(Timeline!$I$5:$I$305&lt;=Z$4+0)*(Timeline!$J$5:$J$305&gt;=Z$4+0)),SUMPRODUCT((INDEX(Timeline!$P$5:$AN$305,0,MATCH($A28,Timeline!$P$4:$AN$4,0))="x")*(Timeline!$K$5:$K$305="Task")*ISNUMBER(Timeline!$I$5:$I$305)*ISNUMBER(Timeline!$J$5:$J$305)*(Timeline!$I$5:$I$305&lt;=Z$4+1)*(Timeline!$J$5:$J$305&gt;=Z$4+1)),SUMPRODUCT((INDEX(Timeline!$P$5:$AN$305,0,MATCH($A28,Timeline!$P$4:$AN$4,0))="x")*(Timeline!$K$5:$K$305="Task")*ISNUMBER(Timeline!$I$5:$I$305)*ISNUMBER(Timeline!$J$5:$J$305)*(Timeline!$I$5:$I$305&lt;=Z$4+2)*(Timeline!$J$5:$J$305&gt;=Z$4+2)),SUMPRODUCT((INDEX(Timeline!$P$5:$AN$305,0,MATCH($A28,Timeline!$P$4:$AN$4,0))="x")*(Timeline!$K$5:$K$305="Task")*ISNUMBER(Timeline!$I$5:$I$305)*ISNUMBER(Timeline!$J$5:$J$305)*(Timeline!$I$5:$I$305&lt;=Z$4+3)*(Timeline!$J$5:$J$305&gt;=Z$4+3)),SUMPRODUCT((INDEX(Timeline!$P$5:$AN$305,0,MATCH($A28,Timeline!$P$4:$AN$4,0))="x")*(Timeline!$K$5:$K$305="Task")*ISNUMBER(Timeline!$I$5:$I$305)*ISNUMBER(Timeline!$J$5:$J$305)*(Timeline!$I$5:$I$305&lt;=Z$4+4)*(Timeline!$J$5:$J$305&gt;=Z$4+4)),SUMPRODUCT((INDEX(Timeline!$P$5:$AN$305,0,MATCH($A28,Timeline!$P$4:$AN$4,0))="x")*(Timeline!$K$5:$K$305="Task")*ISNUMBER(Timeline!$I$5:$I$305)*ISNUMBER(Timeline!$J$5:$J$305)*(Timeline!$I$5:$I$305&lt;=Z$4+5)*(Timeline!$J$5:$J$305&gt;=Z$4+5)),SUMPRODUCT((INDEX(Timeline!$P$5:$AN$305,0,MATCH($A28,Timeline!$P$4:$AN$4,0))="x")*(Timeline!$K$5:$K$305="Task")*ISNUMBER(Timeline!$I$5:$I$305)*ISNUMBER(Timeline!$J$5:$J$305)*(Timeline!$I$5:$I$305&lt;=Z$4+6)*(Timeline!$J$5:$J$305&gt;=Z$4+6)))</f>
        <v>0</v>
      </c>
      <c r="AA28" s="67">
        <f>MAX(SUMPRODUCT((INDEX(Timeline!$P$5:$AN$305,0,MATCH($A28,Timeline!$P$4:$AN$4,0))="x")*(Timeline!$K$5:$K$305="Task")*ISNUMBER(Timeline!$I$5:$I$305)*ISNUMBER(Timeline!$J$5:$J$305)*(Timeline!$I$5:$I$305&lt;=AA$4+0)*(Timeline!$J$5:$J$305&gt;=AA$4+0)),SUMPRODUCT((INDEX(Timeline!$P$5:$AN$305,0,MATCH($A28,Timeline!$P$4:$AN$4,0))="x")*(Timeline!$K$5:$K$305="Task")*ISNUMBER(Timeline!$I$5:$I$305)*ISNUMBER(Timeline!$J$5:$J$305)*(Timeline!$I$5:$I$305&lt;=AA$4+1)*(Timeline!$J$5:$J$305&gt;=AA$4+1)),SUMPRODUCT((INDEX(Timeline!$P$5:$AN$305,0,MATCH($A28,Timeline!$P$4:$AN$4,0))="x")*(Timeline!$K$5:$K$305="Task")*ISNUMBER(Timeline!$I$5:$I$305)*ISNUMBER(Timeline!$J$5:$J$305)*(Timeline!$I$5:$I$305&lt;=AA$4+2)*(Timeline!$J$5:$J$305&gt;=AA$4+2)),SUMPRODUCT((INDEX(Timeline!$P$5:$AN$305,0,MATCH($A28,Timeline!$P$4:$AN$4,0))="x")*(Timeline!$K$5:$K$305="Task")*ISNUMBER(Timeline!$I$5:$I$305)*ISNUMBER(Timeline!$J$5:$J$305)*(Timeline!$I$5:$I$305&lt;=AA$4+3)*(Timeline!$J$5:$J$305&gt;=AA$4+3)),SUMPRODUCT((INDEX(Timeline!$P$5:$AN$305,0,MATCH($A28,Timeline!$P$4:$AN$4,0))="x")*(Timeline!$K$5:$K$305="Task")*ISNUMBER(Timeline!$I$5:$I$305)*ISNUMBER(Timeline!$J$5:$J$305)*(Timeline!$I$5:$I$305&lt;=AA$4+4)*(Timeline!$J$5:$J$305&gt;=AA$4+4)),SUMPRODUCT((INDEX(Timeline!$P$5:$AN$305,0,MATCH($A28,Timeline!$P$4:$AN$4,0))="x")*(Timeline!$K$5:$K$305="Task")*ISNUMBER(Timeline!$I$5:$I$305)*ISNUMBER(Timeline!$J$5:$J$305)*(Timeline!$I$5:$I$305&lt;=AA$4+5)*(Timeline!$J$5:$J$305&gt;=AA$4+5)),SUMPRODUCT((INDEX(Timeline!$P$5:$AN$305,0,MATCH($A28,Timeline!$P$4:$AN$4,0))="x")*(Timeline!$K$5:$K$305="Task")*ISNUMBER(Timeline!$I$5:$I$305)*ISNUMBER(Timeline!$J$5:$J$305)*(Timeline!$I$5:$I$305&lt;=AA$4+6)*(Timeline!$J$5:$J$305&gt;=AA$4+6)))</f>
        <v>0</v>
      </c>
      <c r="AB28" s="67">
        <f>MAX(SUMPRODUCT((INDEX(Timeline!$P$5:$AN$305,0,MATCH($A28,Timeline!$P$4:$AN$4,0))="x")*(Timeline!$K$5:$K$305="Task")*ISNUMBER(Timeline!$I$5:$I$305)*ISNUMBER(Timeline!$J$5:$J$305)*(Timeline!$I$5:$I$305&lt;=AB$4+0)*(Timeline!$J$5:$J$305&gt;=AB$4+0)),SUMPRODUCT((INDEX(Timeline!$P$5:$AN$305,0,MATCH($A28,Timeline!$P$4:$AN$4,0))="x")*(Timeline!$K$5:$K$305="Task")*ISNUMBER(Timeline!$I$5:$I$305)*ISNUMBER(Timeline!$J$5:$J$305)*(Timeline!$I$5:$I$305&lt;=AB$4+1)*(Timeline!$J$5:$J$305&gt;=AB$4+1)),SUMPRODUCT((INDEX(Timeline!$P$5:$AN$305,0,MATCH($A28,Timeline!$P$4:$AN$4,0))="x")*(Timeline!$K$5:$K$305="Task")*ISNUMBER(Timeline!$I$5:$I$305)*ISNUMBER(Timeline!$J$5:$J$305)*(Timeline!$I$5:$I$305&lt;=AB$4+2)*(Timeline!$J$5:$J$305&gt;=AB$4+2)),SUMPRODUCT((INDEX(Timeline!$P$5:$AN$305,0,MATCH($A28,Timeline!$P$4:$AN$4,0))="x")*(Timeline!$K$5:$K$305="Task")*ISNUMBER(Timeline!$I$5:$I$305)*ISNUMBER(Timeline!$J$5:$J$305)*(Timeline!$I$5:$I$305&lt;=AB$4+3)*(Timeline!$J$5:$J$305&gt;=AB$4+3)),SUMPRODUCT((INDEX(Timeline!$P$5:$AN$305,0,MATCH($A28,Timeline!$P$4:$AN$4,0))="x")*(Timeline!$K$5:$K$305="Task")*ISNUMBER(Timeline!$I$5:$I$305)*ISNUMBER(Timeline!$J$5:$J$305)*(Timeline!$I$5:$I$305&lt;=AB$4+4)*(Timeline!$J$5:$J$305&gt;=AB$4+4)),SUMPRODUCT((INDEX(Timeline!$P$5:$AN$305,0,MATCH($A28,Timeline!$P$4:$AN$4,0))="x")*(Timeline!$K$5:$K$305="Task")*ISNUMBER(Timeline!$I$5:$I$305)*ISNUMBER(Timeline!$J$5:$J$305)*(Timeline!$I$5:$I$305&lt;=AB$4+5)*(Timeline!$J$5:$J$305&gt;=AB$4+5)),SUMPRODUCT((INDEX(Timeline!$P$5:$AN$305,0,MATCH($A28,Timeline!$P$4:$AN$4,0))="x")*(Timeline!$K$5:$K$305="Task")*ISNUMBER(Timeline!$I$5:$I$305)*ISNUMBER(Timeline!$J$5:$J$305)*(Timeline!$I$5:$I$305&lt;=AB$4+6)*(Timeline!$J$5:$J$305&gt;=AB$4+6)))</f>
        <v>0</v>
      </c>
      <c r="AC28" s="67">
        <f>MAX(SUMPRODUCT((INDEX(Timeline!$P$5:$AN$305,0,MATCH($A28,Timeline!$P$4:$AN$4,0))="x")*(Timeline!$K$5:$K$305="Task")*ISNUMBER(Timeline!$I$5:$I$305)*ISNUMBER(Timeline!$J$5:$J$305)*(Timeline!$I$5:$I$305&lt;=AC$4+0)*(Timeline!$J$5:$J$305&gt;=AC$4+0)),SUMPRODUCT((INDEX(Timeline!$P$5:$AN$305,0,MATCH($A28,Timeline!$P$4:$AN$4,0))="x")*(Timeline!$K$5:$K$305="Task")*ISNUMBER(Timeline!$I$5:$I$305)*ISNUMBER(Timeline!$J$5:$J$305)*(Timeline!$I$5:$I$305&lt;=AC$4+1)*(Timeline!$J$5:$J$305&gt;=AC$4+1)),SUMPRODUCT((INDEX(Timeline!$P$5:$AN$305,0,MATCH($A28,Timeline!$P$4:$AN$4,0))="x")*(Timeline!$K$5:$K$305="Task")*ISNUMBER(Timeline!$I$5:$I$305)*ISNUMBER(Timeline!$J$5:$J$305)*(Timeline!$I$5:$I$305&lt;=AC$4+2)*(Timeline!$J$5:$J$305&gt;=AC$4+2)),SUMPRODUCT((INDEX(Timeline!$P$5:$AN$305,0,MATCH($A28,Timeline!$P$4:$AN$4,0))="x")*(Timeline!$K$5:$K$305="Task")*ISNUMBER(Timeline!$I$5:$I$305)*ISNUMBER(Timeline!$J$5:$J$305)*(Timeline!$I$5:$I$305&lt;=AC$4+3)*(Timeline!$J$5:$J$305&gt;=AC$4+3)),SUMPRODUCT((INDEX(Timeline!$P$5:$AN$305,0,MATCH($A28,Timeline!$P$4:$AN$4,0))="x")*(Timeline!$K$5:$K$305="Task")*ISNUMBER(Timeline!$I$5:$I$305)*ISNUMBER(Timeline!$J$5:$J$305)*(Timeline!$I$5:$I$305&lt;=AC$4+4)*(Timeline!$J$5:$J$305&gt;=AC$4+4)),SUMPRODUCT((INDEX(Timeline!$P$5:$AN$305,0,MATCH($A28,Timeline!$P$4:$AN$4,0))="x")*(Timeline!$K$5:$K$305="Task")*ISNUMBER(Timeline!$I$5:$I$305)*ISNUMBER(Timeline!$J$5:$J$305)*(Timeline!$I$5:$I$305&lt;=AC$4+5)*(Timeline!$J$5:$J$305&gt;=AC$4+5)),SUMPRODUCT((INDEX(Timeline!$P$5:$AN$305,0,MATCH($A28,Timeline!$P$4:$AN$4,0))="x")*(Timeline!$K$5:$K$305="Task")*ISNUMBER(Timeline!$I$5:$I$305)*ISNUMBER(Timeline!$J$5:$J$305)*(Timeline!$I$5:$I$305&lt;=AC$4+6)*(Timeline!$J$5:$J$305&gt;=AC$4+6)))</f>
        <v>0</v>
      </c>
      <c r="AD28" s="67">
        <f>MAX(SUMPRODUCT((INDEX(Timeline!$P$5:$AN$305,0,MATCH($A28,Timeline!$P$4:$AN$4,0))="x")*(Timeline!$K$5:$K$305="Task")*ISNUMBER(Timeline!$I$5:$I$305)*ISNUMBER(Timeline!$J$5:$J$305)*(Timeline!$I$5:$I$305&lt;=AD$4+0)*(Timeline!$J$5:$J$305&gt;=AD$4+0)),SUMPRODUCT((INDEX(Timeline!$P$5:$AN$305,0,MATCH($A28,Timeline!$P$4:$AN$4,0))="x")*(Timeline!$K$5:$K$305="Task")*ISNUMBER(Timeline!$I$5:$I$305)*ISNUMBER(Timeline!$J$5:$J$305)*(Timeline!$I$5:$I$305&lt;=AD$4+1)*(Timeline!$J$5:$J$305&gt;=AD$4+1)),SUMPRODUCT((INDEX(Timeline!$P$5:$AN$305,0,MATCH($A28,Timeline!$P$4:$AN$4,0))="x")*(Timeline!$K$5:$K$305="Task")*ISNUMBER(Timeline!$I$5:$I$305)*ISNUMBER(Timeline!$J$5:$J$305)*(Timeline!$I$5:$I$305&lt;=AD$4+2)*(Timeline!$J$5:$J$305&gt;=AD$4+2)),SUMPRODUCT((INDEX(Timeline!$P$5:$AN$305,0,MATCH($A28,Timeline!$P$4:$AN$4,0))="x")*(Timeline!$K$5:$K$305="Task")*ISNUMBER(Timeline!$I$5:$I$305)*ISNUMBER(Timeline!$J$5:$J$305)*(Timeline!$I$5:$I$305&lt;=AD$4+3)*(Timeline!$J$5:$J$305&gt;=AD$4+3)),SUMPRODUCT((INDEX(Timeline!$P$5:$AN$305,0,MATCH($A28,Timeline!$P$4:$AN$4,0))="x")*(Timeline!$K$5:$K$305="Task")*ISNUMBER(Timeline!$I$5:$I$305)*ISNUMBER(Timeline!$J$5:$J$305)*(Timeline!$I$5:$I$305&lt;=AD$4+4)*(Timeline!$J$5:$J$305&gt;=AD$4+4)),SUMPRODUCT((INDEX(Timeline!$P$5:$AN$305,0,MATCH($A28,Timeline!$P$4:$AN$4,0))="x")*(Timeline!$K$5:$K$305="Task")*ISNUMBER(Timeline!$I$5:$I$305)*ISNUMBER(Timeline!$J$5:$J$305)*(Timeline!$I$5:$I$305&lt;=AD$4+5)*(Timeline!$J$5:$J$305&gt;=AD$4+5)),SUMPRODUCT((INDEX(Timeline!$P$5:$AN$305,0,MATCH($A28,Timeline!$P$4:$AN$4,0))="x")*(Timeline!$K$5:$K$305="Task")*ISNUMBER(Timeline!$I$5:$I$305)*ISNUMBER(Timeline!$J$5:$J$305)*(Timeline!$I$5:$I$305&lt;=AD$4+6)*(Timeline!$J$5:$J$305&gt;=AD$4+6)))</f>
        <v>0</v>
      </c>
      <c r="AE28" s="67">
        <f>MAX(SUMPRODUCT((INDEX(Timeline!$P$5:$AN$305,0,MATCH($A28,Timeline!$P$4:$AN$4,0))="x")*(Timeline!$K$5:$K$305="Task")*ISNUMBER(Timeline!$I$5:$I$305)*ISNUMBER(Timeline!$J$5:$J$305)*(Timeline!$I$5:$I$305&lt;=AE$4+0)*(Timeline!$J$5:$J$305&gt;=AE$4+0)),SUMPRODUCT((INDEX(Timeline!$P$5:$AN$305,0,MATCH($A28,Timeline!$P$4:$AN$4,0))="x")*(Timeline!$K$5:$K$305="Task")*ISNUMBER(Timeline!$I$5:$I$305)*ISNUMBER(Timeline!$J$5:$J$305)*(Timeline!$I$5:$I$305&lt;=AE$4+1)*(Timeline!$J$5:$J$305&gt;=AE$4+1)),SUMPRODUCT((INDEX(Timeline!$P$5:$AN$305,0,MATCH($A28,Timeline!$P$4:$AN$4,0))="x")*(Timeline!$K$5:$K$305="Task")*ISNUMBER(Timeline!$I$5:$I$305)*ISNUMBER(Timeline!$J$5:$J$305)*(Timeline!$I$5:$I$305&lt;=AE$4+2)*(Timeline!$J$5:$J$305&gt;=AE$4+2)),SUMPRODUCT((INDEX(Timeline!$P$5:$AN$305,0,MATCH($A28,Timeline!$P$4:$AN$4,0))="x")*(Timeline!$K$5:$K$305="Task")*ISNUMBER(Timeline!$I$5:$I$305)*ISNUMBER(Timeline!$J$5:$J$305)*(Timeline!$I$5:$I$305&lt;=AE$4+3)*(Timeline!$J$5:$J$305&gt;=AE$4+3)),SUMPRODUCT((INDEX(Timeline!$P$5:$AN$305,0,MATCH($A28,Timeline!$P$4:$AN$4,0))="x")*(Timeline!$K$5:$K$305="Task")*ISNUMBER(Timeline!$I$5:$I$305)*ISNUMBER(Timeline!$J$5:$J$305)*(Timeline!$I$5:$I$305&lt;=AE$4+4)*(Timeline!$J$5:$J$305&gt;=AE$4+4)),SUMPRODUCT((INDEX(Timeline!$P$5:$AN$305,0,MATCH($A28,Timeline!$P$4:$AN$4,0))="x")*(Timeline!$K$5:$K$305="Task")*ISNUMBER(Timeline!$I$5:$I$305)*ISNUMBER(Timeline!$J$5:$J$305)*(Timeline!$I$5:$I$305&lt;=AE$4+5)*(Timeline!$J$5:$J$305&gt;=AE$4+5)),SUMPRODUCT((INDEX(Timeline!$P$5:$AN$305,0,MATCH($A28,Timeline!$P$4:$AN$4,0))="x")*(Timeline!$K$5:$K$305="Task")*ISNUMBER(Timeline!$I$5:$I$305)*ISNUMBER(Timeline!$J$5:$J$305)*(Timeline!$I$5:$I$305&lt;=AE$4+6)*(Timeline!$J$5:$J$305&gt;=AE$4+6)))</f>
        <v>0</v>
      </c>
      <c r="AF28" s="67">
        <f>MAX(SUMPRODUCT((INDEX(Timeline!$P$5:$AN$305,0,MATCH($A28,Timeline!$P$4:$AN$4,0))="x")*(Timeline!$K$5:$K$305="Task")*ISNUMBER(Timeline!$I$5:$I$305)*ISNUMBER(Timeline!$J$5:$J$305)*(Timeline!$I$5:$I$305&lt;=AF$4+0)*(Timeline!$J$5:$J$305&gt;=AF$4+0)),SUMPRODUCT((INDEX(Timeline!$P$5:$AN$305,0,MATCH($A28,Timeline!$P$4:$AN$4,0))="x")*(Timeline!$K$5:$K$305="Task")*ISNUMBER(Timeline!$I$5:$I$305)*ISNUMBER(Timeline!$J$5:$J$305)*(Timeline!$I$5:$I$305&lt;=AF$4+1)*(Timeline!$J$5:$J$305&gt;=AF$4+1)),SUMPRODUCT((INDEX(Timeline!$P$5:$AN$305,0,MATCH($A28,Timeline!$P$4:$AN$4,0))="x")*(Timeline!$K$5:$K$305="Task")*ISNUMBER(Timeline!$I$5:$I$305)*ISNUMBER(Timeline!$J$5:$J$305)*(Timeline!$I$5:$I$305&lt;=AF$4+2)*(Timeline!$J$5:$J$305&gt;=AF$4+2)),SUMPRODUCT((INDEX(Timeline!$P$5:$AN$305,0,MATCH($A28,Timeline!$P$4:$AN$4,0))="x")*(Timeline!$K$5:$K$305="Task")*ISNUMBER(Timeline!$I$5:$I$305)*ISNUMBER(Timeline!$J$5:$J$305)*(Timeline!$I$5:$I$305&lt;=AF$4+3)*(Timeline!$J$5:$J$305&gt;=AF$4+3)),SUMPRODUCT((INDEX(Timeline!$P$5:$AN$305,0,MATCH($A28,Timeline!$P$4:$AN$4,0))="x")*(Timeline!$K$5:$K$305="Task")*ISNUMBER(Timeline!$I$5:$I$305)*ISNUMBER(Timeline!$J$5:$J$305)*(Timeline!$I$5:$I$305&lt;=AF$4+4)*(Timeline!$J$5:$J$305&gt;=AF$4+4)),SUMPRODUCT((INDEX(Timeline!$P$5:$AN$305,0,MATCH($A28,Timeline!$P$4:$AN$4,0))="x")*(Timeline!$K$5:$K$305="Task")*ISNUMBER(Timeline!$I$5:$I$305)*ISNUMBER(Timeline!$J$5:$J$305)*(Timeline!$I$5:$I$305&lt;=AF$4+5)*(Timeline!$J$5:$J$305&gt;=AF$4+5)),SUMPRODUCT((INDEX(Timeline!$P$5:$AN$305,0,MATCH($A28,Timeline!$P$4:$AN$4,0))="x")*(Timeline!$K$5:$K$305="Task")*ISNUMBER(Timeline!$I$5:$I$305)*ISNUMBER(Timeline!$J$5:$J$305)*(Timeline!$I$5:$I$305&lt;=AF$4+6)*(Timeline!$J$5:$J$305&gt;=AF$4+6)))</f>
        <v>0</v>
      </c>
      <c r="AG28" s="67">
        <f>MAX(SUMPRODUCT((INDEX(Timeline!$P$5:$AN$305,0,MATCH($A28,Timeline!$P$4:$AN$4,0))="x")*(Timeline!$K$5:$K$305="Task")*ISNUMBER(Timeline!$I$5:$I$305)*ISNUMBER(Timeline!$J$5:$J$305)*(Timeline!$I$5:$I$305&lt;=AG$4+0)*(Timeline!$J$5:$J$305&gt;=AG$4+0)),SUMPRODUCT((INDEX(Timeline!$P$5:$AN$305,0,MATCH($A28,Timeline!$P$4:$AN$4,0))="x")*(Timeline!$K$5:$K$305="Task")*ISNUMBER(Timeline!$I$5:$I$305)*ISNUMBER(Timeline!$J$5:$J$305)*(Timeline!$I$5:$I$305&lt;=AG$4+1)*(Timeline!$J$5:$J$305&gt;=AG$4+1)),SUMPRODUCT((INDEX(Timeline!$P$5:$AN$305,0,MATCH($A28,Timeline!$P$4:$AN$4,0))="x")*(Timeline!$K$5:$K$305="Task")*ISNUMBER(Timeline!$I$5:$I$305)*ISNUMBER(Timeline!$J$5:$J$305)*(Timeline!$I$5:$I$305&lt;=AG$4+2)*(Timeline!$J$5:$J$305&gt;=AG$4+2)),SUMPRODUCT((INDEX(Timeline!$P$5:$AN$305,0,MATCH($A28,Timeline!$P$4:$AN$4,0))="x")*(Timeline!$K$5:$K$305="Task")*ISNUMBER(Timeline!$I$5:$I$305)*ISNUMBER(Timeline!$J$5:$J$305)*(Timeline!$I$5:$I$305&lt;=AG$4+3)*(Timeline!$J$5:$J$305&gt;=AG$4+3)),SUMPRODUCT((INDEX(Timeline!$P$5:$AN$305,0,MATCH($A28,Timeline!$P$4:$AN$4,0))="x")*(Timeline!$K$5:$K$305="Task")*ISNUMBER(Timeline!$I$5:$I$305)*ISNUMBER(Timeline!$J$5:$J$305)*(Timeline!$I$5:$I$305&lt;=AG$4+4)*(Timeline!$J$5:$J$305&gt;=AG$4+4)),SUMPRODUCT((INDEX(Timeline!$P$5:$AN$305,0,MATCH($A28,Timeline!$P$4:$AN$4,0))="x")*(Timeline!$K$5:$K$305="Task")*ISNUMBER(Timeline!$I$5:$I$305)*ISNUMBER(Timeline!$J$5:$J$305)*(Timeline!$I$5:$I$305&lt;=AG$4+5)*(Timeline!$J$5:$J$305&gt;=AG$4+5)),SUMPRODUCT((INDEX(Timeline!$P$5:$AN$305,0,MATCH($A28,Timeline!$P$4:$AN$4,0))="x")*(Timeline!$K$5:$K$305="Task")*ISNUMBER(Timeline!$I$5:$I$305)*ISNUMBER(Timeline!$J$5:$J$305)*(Timeline!$I$5:$I$305&lt;=AG$4+6)*(Timeline!$J$5:$J$305&gt;=AG$4+6)))</f>
        <v>0</v>
      </c>
      <c r="AH28" s="67">
        <f>MAX(SUMPRODUCT((INDEX(Timeline!$P$5:$AN$305,0,MATCH($A28,Timeline!$P$4:$AN$4,0))="x")*(Timeline!$K$5:$K$305="Task")*ISNUMBER(Timeline!$I$5:$I$305)*ISNUMBER(Timeline!$J$5:$J$305)*(Timeline!$I$5:$I$305&lt;=AH$4+0)*(Timeline!$J$5:$J$305&gt;=AH$4+0)),SUMPRODUCT((INDEX(Timeline!$P$5:$AN$305,0,MATCH($A28,Timeline!$P$4:$AN$4,0))="x")*(Timeline!$K$5:$K$305="Task")*ISNUMBER(Timeline!$I$5:$I$305)*ISNUMBER(Timeline!$J$5:$J$305)*(Timeline!$I$5:$I$305&lt;=AH$4+1)*(Timeline!$J$5:$J$305&gt;=AH$4+1)),SUMPRODUCT((INDEX(Timeline!$P$5:$AN$305,0,MATCH($A28,Timeline!$P$4:$AN$4,0))="x")*(Timeline!$K$5:$K$305="Task")*ISNUMBER(Timeline!$I$5:$I$305)*ISNUMBER(Timeline!$J$5:$J$305)*(Timeline!$I$5:$I$305&lt;=AH$4+2)*(Timeline!$J$5:$J$305&gt;=AH$4+2)),SUMPRODUCT((INDEX(Timeline!$P$5:$AN$305,0,MATCH($A28,Timeline!$P$4:$AN$4,0))="x")*(Timeline!$K$5:$K$305="Task")*ISNUMBER(Timeline!$I$5:$I$305)*ISNUMBER(Timeline!$J$5:$J$305)*(Timeline!$I$5:$I$305&lt;=AH$4+3)*(Timeline!$J$5:$J$305&gt;=AH$4+3)),SUMPRODUCT((INDEX(Timeline!$P$5:$AN$305,0,MATCH($A28,Timeline!$P$4:$AN$4,0))="x")*(Timeline!$K$5:$K$305="Task")*ISNUMBER(Timeline!$I$5:$I$305)*ISNUMBER(Timeline!$J$5:$J$305)*(Timeline!$I$5:$I$305&lt;=AH$4+4)*(Timeline!$J$5:$J$305&gt;=AH$4+4)),SUMPRODUCT((INDEX(Timeline!$P$5:$AN$305,0,MATCH($A28,Timeline!$P$4:$AN$4,0))="x")*(Timeline!$K$5:$K$305="Task")*ISNUMBER(Timeline!$I$5:$I$305)*ISNUMBER(Timeline!$J$5:$J$305)*(Timeline!$I$5:$I$305&lt;=AH$4+5)*(Timeline!$J$5:$J$305&gt;=AH$4+5)),SUMPRODUCT((INDEX(Timeline!$P$5:$AN$305,0,MATCH($A28,Timeline!$P$4:$AN$4,0))="x")*(Timeline!$K$5:$K$305="Task")*ISNUMBER(Timeline!$I$5:$I$305)*ISNUMBER(Timeline!$J$5:$J$305)*(Timeline!$I$5:$I$305&lt;=AH$4+6)*(Timeline!$J$5:$J$305&gt;=AH$4+6)))</f>
        <v>0</v>
      </c>
      <c r="AI28" s="67">
        <f>MAX(SUMPRODUCT((INDEX(Timeline!$P$5:$AN$305,0,MATCH($A28,Timeline!$P$4:$AN$4,0))="x")*(Timeline!$K$5:$K$305="Task")*ISNUMBER(Timeline!$I$5:$I$305)*ISNUMBER(Timeline!$J$5:$J$305)*(Timeline!$I$5:$I$305&lt;=AI$4+0)*(Timeline!$J$5:$J$305&gt;=AI$4+0)),SUMPRODUCT((INDEX(Timeline!$P$5:$AN$305,0,MATCH($A28,Timeline!$P$4:$AN$4,0))="x")*(Timeline!$K$5:$K$305="Task")*ISNUMBER(Timeline!$I$5:$I$305)*ISNUMBER(Timeline!$J$5:$J$305)*(Timeline!$I$5:$I$305&lt;=AI$4+1)*(Timeline!$J$5:$J$305&gt;=AI$4+1)),SUMPRODUCT((INDEX(Timeline!$P$5:$AN$305,0,MATCH($A28,Timeline!$P$4:$AN$4,0))="x")*(Timeline!$K$5:$K$305="Task")*ISNUMBER(Timeline!$I$5:$I$305)*ISNUMBER(Timeline!$J$5:$J$305)*(Timeline!$I$5:$I$305&lt;=AI$4+2)*(Timeline!$J$5:$J$305&gt;=AI$4+2)),SUMPRODUCT((INDEX(Timeline!$P$5:$AN$305,0,MATCH($A28,Timeline!$P$4:$AN$4,0))="x")*(Timeline!$K$5:$K$305="Task")*ISNUMBER(Timeline!$I$5:$I$305)*ISNUMBER(Timeline!$J$5:$J$305)*(Timeline!$I$5:$I$305&lt;=AI$4+3)*(Timeline!$J$5:$J$305&gt;=AI$4+3)),SUMPRODUCT((INDEX(Timeline!$P$5:$AN$305,0,MATCH($A28,Timeline!$P$4:$AN$4,0))="x")*(Timeline!$K$5:$K$305="Task")*ISNUMBER(Timeline!$I$5:$I$305)*ISNUMBER(Timeline!$J$5:$J$305)*(Timeline!$I$5:$I$305&lt;=AI$4+4)*(Timeline!$J$5:$J$305&gt;=AI$4+4)),SUMPRODUCT((INDEX(Timeline!$P$5:$AN$305,0,MATCH($A28,Timeline!$P$4:$AN$4,0))="x")*(Timeline!$K$5:$K$305="Task")*ISNUMBER(Timeline!$I$5:$I$305)*ISNUMBER(Timeline!$J$5:$J$305)*(Timeline!$I$5:$I$305&lt;=AI$4+5)*(Timeline!$J$5:$J$305&gt;=AI$4+5)),SUMPRODUCT((INDEX(Timeline!$P$5:$AN$305,0,MATCH($A28,Timeline!$P$4:$AN$4,0))="x")*(Timeline!$K$5:$K$305="Task")*ISNUMBER(Timeline!$I$5:$I$305)*ISNUMBER(Timeline!$J$5:$J$305)*(Timeline!$I$5:$I$305&lt;=AI$4+6)*(Timeline!$J$5:$J$305&gt;=AI$4+6)))</f>
        <v>0</v>
      </c>
      <c r="AJ28" s="67">
        <f>MAX(SUMPRODUCT((INDEX(Timeline!$P$5:$AN$305,0,MATCH($A28,Timeline!$P$4:$AN$4,0))="x")*(Timeline!$K$5:$K$305="Task")*ISNUMBER(Timeline!$I$5:$I$305)*ISNUMBER(Timeline!$J$5:$J$305)*(Timeline!$I$5:$I$305&lt;=AJ$4+0)*(Timeline!$J$5:$J$305&gt;=AJ$4+0)),SUMPRODUCT((INDEX(Timeline!$P$5:$AN$305,0,MATCH($A28,Timeline!$P$4:$AN$4,0))="x")*(Timeline!$K$5:$K$305="Task")*ISNUMBER(Timeline!$I$5:$I$305)*ISNUMBER(Timeline!$J$5:$J$305)*(Timeline!$I$5:$I$305&lt;=AJ$4+1)*(Timeline!$J$5:$J$305&gt;=AJ$4+1)),SUMPRODUCT((INDEX(Timeline!$P$5:$AN$305,0,MATCH($A28,Timeline!$P$4:$AN$4,0))="x")*(Timeline!$K$5:$K$305="Task")*ISNUMBER(Timeline!$I$5:$I$305)*ISNUMBER(Timeline!$J$5:$J$305)*(Timeline!$I$5:$I$305&lt;=AJ$4+2)*(Timeline!$J$5:$J$305&gt;=AJ$4+2)),SUMPRODUCT((INDEX(Timeline!$P$5:$AN$305,0,MATCH($A28,Timeline!$P$4:$AN$4,0))="x")*(Timeline!$K$5:$K$305="Task")*ISNUMBER(Timeline!$I$5:$I$305)*ISNUMBER(Timeline!$J$5:$J$305)*(Timeline!$I$5:$I$305&lt;=AJ$4+3)*(Timeline!$J$5:$J$305&gt;=AJ$4+3)),SUMPRODUCT((INDEX(Timeline!$P$5:$AN$305,0,MATCH($A28,Timeline!$P$4:$AN$4,0))="x")*(Timeline!$K$5:$K$305="Task")*ISNUMBER(Timeline!$I$5:$I$305)*ISNUMBER(Timeline!$J$5:$J$305)*(Timeline!$I$5:$I$305&lt;=AJ$4+4)*(Timeline!$J$5:$J$305&gt;=AJ$4+4)),SUMPRODUCT((INDEX(Timeline!$P$5:$AN$305,0,MATCH($A28,Timeline!$P$4:$AN$4,0))="x")*(Timeline!$K$5:$K$305="Task")*ISNUMBER(Timeline!$I$5:$I$305)*ISNUMBER(Timeline!$J$5:$J$305)*(Timeline!$I$5:$I$305&lt;=AJ$4+5)*(Timeline!$J$5:$J$305&gt;=AJ$4+5)),SUMPRODUCT((INDEX(Timeline!$P$5:$AN$305,0,MATCH($A28,Timeline!$P$4:$AN$4,0))="x")*(Timeline!$K$5:$K$305="Task")*ISNUMBER(Timeline!$I$5:$I$305)*ISNUMBER(Timeline!$J$5:$J$305)*(Timeline!$I$5:$I$305&lt;=AJ$4+6)*(Timeline!$J$5:$J$305&gt;=AJ$4+6)))</f>
        <v>0</v>
      </c>
      <c r="AK28" s="67">
        <f>MAX(SUMPRODUCT((INDEX(Timeline!$P$5:$AN$305,0,MATCH($A28,Timeline!$P$4:$AN$4,0))="x")*(Timeline!$K$5:$K$305="Task")*ISNUMBER(Timeline!$I$5:$I$305)*ISNUMBER(Timeline!$J$5:$J$305)*(Timeline!$I$5:$I$305&lt;=AK$4+0)*(Timeline!$J$5:$J$305&gt;=AK$4+0)),SUMPRODUCT((INDEX(Timeline!$P$5:$AN$305,0,MATCH($A28,Timeline!$P$4:$AN$4,0))="x")*(Timeline!$K$5:$K$305="Task")*ISNUMBER(Timeline!$I$5:$I$305)*ISNUMBER(Timeline!$J$5:$J$305)*(Timeline!$I$5:$I$305&lt;=AK$4+1)*(Timeline!$J$5:$J$305&gt;=AK$4+1)),SUMPRODUCT((INDEX(Timeline!$P$5:$AN$305,0,MATCH($A28,Timeline!$P$4:$AN$4,0))="x")*(Timeline!$K$5:$K$305="Task")*ISNUMBER(Timeline!$I$5:$I$305)*ISNUMBER(Timeline!$J$5:$J$305)*(Timeline!$I$5:$I$305&lt;=AK$4+2)*(Timeline!$J$5:$J$305&gt;=AK$4+2)),SUMPRODUCT((INDEX(Timeline!$P$5:$AN$305,0,MATCH($A28,Timeline!$P$4:$AN$4,0))="x")*(Timeline!$K$5:$K$305="Task")*ISNUMBER(Timeline!$I$5:$I$305)*ISNUMBER(Timeline!$J$5:$J$305)*(Timeline!$I$5:$I$305&lt;=AK$4+3)*(Timeline!$J$5:$J$305&gt;=AK$4+3)),SUMPRODUCT((INDEX(Timeline!$P$5:$AN$305,0,MATCH($A28,Timeline!$P$4:$AN$4,0))="x")*(Timeline!$K$5:$K$305="Task")*ISNUMBER(Timeline!$I$5:$I$305)*ISNUMBER(Timeline!$J$5:$J$305)*(Timeline!$I$5:$I$305&lt;=AK$4+4)*(Timeline!$J$5:$J$305&gt;=AK$4+4)),SUMPRODUCT((INDEX(Timeline!$P$5:$AN$305,0,MATCH($A28,Timeline!$P$4:$AN$4,0))="x")*(Timeline!$K$5:$K$305="Task")*ISNUMBER(Timeline!$I$5:$I$305)*ISNUMBER(Timeline!$J$5:$J$305)*(Timeline!$I$5:$I$305&lt;=AK$4+5)*(Timeline!$J$5:$J$305&gt;=AK$4+5)),SUMPRODUCT((INDEX(Timeline!$P$5:$AN$305,0,MATCH($A28,Timeline!$P$4:$AN$4,0))="x")*(Timeline!$K$5:$K$305="Task")*ISNUMBER(Timeline!$I$5:$I$305)*ISNUMBER(Timeline!$J$5:$J$305)*(Timeline!$I$5:$I$305&lt;=AK$4+6)*(Timeline!$J$5:$J$305&gt;=AK$4+6)))</f>
        <v>0</v>
      </c>
      <c r="AL28" s="67">
        <f>MAX(SUMPRODUCT((INDEX(Timeline!$P$5:$AN$305,0,MATCH($A28,Timeline!$P$4:$AN$4,0))="x")*(Timeline!$K$5:$K$305="Task")*ISNUMBER(Timeline!$I$5:$I$305)*ISNUMBER(Timeline!$J$5:$J$305)*(Timeline!$I$5:$I$305&lt;=AL$4+0)*(Timeline!$J$5:$J$305&gt;=AL$4+0)),SUMPRODUCT((INDEX(Timeline!$P$5:$AN$305,0,MATCH($A28,Timeline!$P$4:$AN$4,0))="x")*(Timeline!$K$5:$K$305="Task")*ISNUMBER(Timeline!$I$5:$I$305)*ISNUMBER(Timeline!$J$5:$J$305)*(Timeline!$I$5:$I$305&lt;=AL$4+1)*(Timeline!$J$5:$J$305&gt;=AL$4+1)),SUMPRODUCT((INDEX(Timeline!$P$5:$AN$305,0,MATCH($A28,Timeline!$P$4:$AN$4,0))="x")*(Timeline!$K$5:$K$305="Task")*ISNUMBER(Timeline!$I$5:$I$305)*ISNUMBER(Timeline!$J$5:$J$305)*(Timeline!$I$5:$I$305&lt;=AL$4+2)*(Timeline!$J$5:$J$305&gt;=AL$4+2)),SUMPRODUCT((INDEX(Timeline!$P$5:$AN$305,0,MATCH($A28,Timeline!$P$4:$AN$4,0))="x")*(Timeline!$K$5:$K$305="Task")*ISNUMBER(Timeline!$I$5:$I$305)*ISNUMBER(Timeline!$J$5:$J$305)*(Timeline!$I$5:$I$305&lt;=AL$4+3)*(Timeline!$J$5:$J$305&gt;=AL$4+3)),SUMPRODUCT((INDEX(Timeline!$P$5:$AN$305,0,MATCH($A28,Timeline!$P$4:$AN$4,0))="x")*(Timeline!$K$5:$K$305="Task")*ISNUMBER(Timeline!$I$5:$I$305)*ISNUMBER(Timeline!$J$5:$J$305)*(Timeline!$I$5:$I$305&lt;=AL$4+4)*(Timeline!$J$5:$J$305&gt;=AL$4+4)),SUMPRODUCT((INDEX(Timeline!$P$5:$AN$305,0,MATCH($A28,Timeline!$P$4:$AN$4,0))="x")*(Timeline!$K$5:$K$305="Task")*ISNUMBER(Timeline!$I$5:$I$305)*ISNUMBER(Timeline!$J$5:$J$305)*(Timeline!$I$5:$I$305&lt;=AL$4+5)*(Timeline!$J$5:$J$305&gt;=AL$4+5)),SUMPRODUCT((INDEX(Timeline!$P$5:$AN$305,0,MATCH($A28,Timeline!$P$4:$AN$4,0))="x")*(Timeline!$K$5:$K$305="Task")*ISNUMBER(Timeline!$I$5:$I$305)*ISNUMBER(Timeline!$J$5:$J$305)*(Timeline!$I$5:$I$305&lt;=AL$4+6)*(Timeline!$J$5:$J$305&gt;=AL$4+6)))</f>
        <v>0</v>
      </c>
      <c r="AM28" s="67">
        <f>MAX(SUMPRODUCT((INDEX(Timeline!$P$5:$AN$305,0,MATCH($A28,Timeline!$P$4:$AN$4,0))="x")*(Timeline!$K$5:$K$305="Task")*ISNUMBER(Timeline!$I$5:$I$305)*ISNUMBER(Timeline!$J$5:$J$305)*(Timeline!$I$5:$I$305&lt;=AM$4+0)*(Timeline!$J$5:$J$305&gt;=AM$4+0)),SUMPRODUCT((INDEX(Timeline!$P$5:$AN$305,0,MATCH($A28,Timeline!$P$4:$AN$4,0))="x")*(Timeline!$K$5:$K$305="Task")*ISNUMBER(Timeline!$I$5:$I$305)*ISNUMBER(Timeline!$J$5:$J$305)*(Timeline!$I$5:$I$305&lt;=AM$4+1)*(Timeline!$J$5:$J$305&gt;=AM$4+1)),SUMPRODUCT((INDEX(Timeline!$P$5:$AN$305,0,MATCH($A28,Timeline!$P$4:$AN$4,0))="x")*(Timeline!$K$5:$K$305="Task")*ISNUMBER(Timeline!$I$5:$I$305)*ISNUMBER(Timeline!$J$5:$J$305)*(Timeline!$I$5:$I$305&lt;=AM$4+2)*(Timeline!$J$5:$J$305&gt;=AM$4+2)),SUMPRODUCT((INDEX(Timeline!$P$5:$AN$305,0,MATCH($A28,Timeline!$P$4:$AN$4,0))="x")*(Timeline!$K$5:$K$305="Task")*ISNUMBER(Timeline!$I$5:$I$305)*ISNUMBER(Timeline!$J$5:$J$305)*(Timeline!$I$5:$I$305&lt;=AM$4+3)*(Timeline!$J$5:$J$305&gt;=AM$4+3)),SUMPRODUCT((INDEX(Timeline!$P$5:$AN$305,0,MATCH($A28,Timeline!$P$4:$AN$4,0))="x")*(Timeline!$K$5:$K$305="Task")*ISNUMBER(Timeline!$I$5:$I$305)*ISNUMBER(Timeline!$J$5:$J$305)*(Timeline!$I$5:$I$305&lt;=AM$4+4)*(Timeline!$J$5:$J$305&gt;=AM$4+4)),SUMPRODUCT((INDEX(Timeline!$P$5:$AN$305,0,MATCH($A28,Timeline!$P$4:$AN$4,0))="x")*(Timeline!$K$5:$K$305="Task")*ISNUMBER(Timeline!$I$5:$I$305)*ISNUMBER(Timeline!$J$5:$J$305)*(Timeline!$I$5:$I$305&lt;=AM$4+5)*(Timeline!$J$5:$J$305&gt;=AM$4+5)),SUMPRODUCT((INDEX(Timeline!$P$5:$AN$305,0,MATCH($A28,Timeline!$P$4:$AN$4,0))="x")*(Timeline!$K$5:$K$305="Task")*ISNUMBER(Timeline!$I$5:$I$305)*ISNUMBER(Timeline!$J$5:$J$305)*(Timeline!$I$5:$I$305&lt;=AM$4+6)*(Timeline!$J$5:$J$305&gt;=AM$4+6)))</f>
        <v>0</v>
      </c>
      <c r="AN28" s="67">
        <f>MAX(SUMPRODUCT((INDEX(Timeline!$P$5:$AN$305,0,MATCH($A28,Timeline!$P$4:$AN$4,0))="x")*(Timeline!$K$5:$K$305="Task")*ISNUMBER(Timeline!$I$5:$I$305)*ISNUMBER(Timeline!$J$5:$J$305)*(Timeline!$I$5:$I$305&lt;=AN$4+0)*(Timeline!$J$5:$J$305&gt;=AN$4+0)),SUMPRODUCT((INDEX(Timeline!$P$5:$AN$305,0,MATCH($A28,Timeline!$P$4:$AN$4,0))="x")*(Timeline!$K$5:$K$305="Task")*ISNUMBER(Timeline!$I$5:$I$305)*ISNUMBER(Timeline!$J$5:$J$305)*(Timeline!$I$5:$I$305&lt;=AN$4+1)*(Timeline!$J$5:$J$305&gt;=AN$4+1)),SUMPRODUCT((INDEX(Timeline!$P$5:$AN$305,0,MATCH($A28,Timeline!$P$4:$AN$4,0))="x")*(Timeline!$K$5:$K$305="Task")*ISNUMBER(Timeline!$I$5:$I$305)*ISNUMBER(Timeline!$J$5:$J$305)*(Timeline!$I$5:$I$305&lt;=AN$4+2)*(Timeline!$J$5:$J$305&gt;=AN$4+2)),SUMPRODUCT((INDEX(Timeline!$P$5:$AN$305,0,MATCH($A28,Timeline!$P$4:$AN$4,0))="x")*(Timeline!$K$5:$K$305="Task")*ISNUMBER(Timeline!$I$5:$I$305)*ISNUMBER(Timeline!$J$5:$J$305)*(Timeline!$I$5:$I$305&lt;=AN$4+3)*(Timeline!$J$5:$J$305&gt;=AN$4+3)),SUMPRODUCT((INDEX(Timeline!$P$5:$AN$305,0,MATCH($A28,Timeline!$P$4:$AN$4,0))="x")*(Timeline!$K$5:$K$305="Task")*ISNUMBER(Timeline!$I$5:$I$305)*ISNUMBER(Timeline!$J$5:$J$305)*(Timeline!$I$5:$I$305&lt;=AN$4+4)*(Timeline!$J$5:$J$305&gt;=AN$4+4)),SUMPRODUCT((INDEX(Timeline!$P$5:$AN$305,0,MATCH($A28,Timeline!$P$4:$AN$4,0))="x")*(Timeline!$K$5:$K$305="Task")*ISNUMBER(Timeline!$I$5:$I$305)*ISNUMBER(Timeline!$J$5:$J$305)*(Timeline!$I$5:$I$305&lt;=AN$4+5)*(Timeline!$J$5:$J$305&gt;=AN$4+5)),SUMPRODUCT((INDEX(Timeline!$P$5:$AN$305,0,MATCH($A28,Timeline!$P$4:$AN$4,0))="x")*(Timeline!$K$5:$K$305="Task")*ISNUMBER(Timeline!$I$5:$I$305)*ISNUMBER(Timeline!$J$5:$J$305)*(Timeline!$I$5:$I$305&lt;=AN$4+6)*(Timeline!$J$5:$J$305&gt;=AN$4+6)))</f>
        <v>0</v>
      </c>
      <c r="AO28" s="67">
        <f>MAX(SUMPRODUCT((INDEX(Timeline!$P$5:$AN$305,0,MATCH($A28,Timeline!$P$4:$AN$4,0))="x")*(Timeline!$K$5:$K$305="Task")*ISNUMBER(Timeline!$I$5:$I$305)*ISNUMBER(Timeline!$J$5:$J$305)*(Timeline!$I$5:$I$305&lt;=AO$4+0)*(Timeline!$J$5:$J$305&gt;=AO$4+0)),SUMPRODUCT((INDEX(Timeline!$P$5:$AN$305,0,MATCH($A28,Timeline!$P$4:$AN$4,0))="x")*(Timeline!$K$5:$K$305="Task")*ISNUMBER(Timeline!$I$5:$I$305)*ISNUMBER(Timeline!$J$5:$J$305)*(Timeline!$I$5:$I$305&lt;=AO$4+1)*(Timeline!$J$5:$J$305&gt;=AO$4+1)),SUMPRODUCT((INDEX(Timeline!$P$5:$AN$305,0,MATCH($A28,Timeline!$P$4:$AN$4,0))="x")*(Timeline!$K$5:$K$305="Task")*ISNUMBER(Timeline!$I$5:$I$305)*ISNUMBER(Timeline!$J$5:$J$305)*(Timeline!$I$5:$I$305&lt;=AO$4+2)*(Timeline!$J$5:$J$305&gt;=AO$4+2)),SUMPRODUCT((INDEX(Timeline!$P$5:$AN$305,0,MATCH($A28,Timeline!$P$4:$AN$4,0))="x")*(Timeline!$K$5:$K$305="Task")*ISNUMBER(Timeline!$I$5:$I$305)*ISNUMBER(Timeline!$J$5:$J$305)*(Timeline!$I$5:$I$305&lt;=AO$4+3)*(Timeline!$J$5:$J$305&gt;=AO$4+3)),SUMPRODUCT((INDEX(Timeline!$P$5:$AN$305,0,MATCH($A28,Timeline!$P$4:$AN$4,0))="x")*(Timeline!$K$5:$K$305="Task")*ISNUMBER(Timeline!$I$5:$I$305)*ISNUMBER(Timeline!$J$5:$J$305)*(Timeline!$I$5:$I$305&lt;=AO$4+4)*(Timeline!$J$5:$J$305&gt;=AO$4+4)),SUMPRODUCT((INDEX(Timeline!$P$5:$AN$305,0,MATCH($A28,Timeline!$P$4:$AN$4,0))="x")*(Timeline!$K$5:$K$305="Task")*ISNUMBER(Timeline!$I$5:$I$305)*ISNUMBER(Timeline!$J$5:$J$305)*(Timeline!$I$5:$I$305&lt;=AO$4+5)*(Timeline!$J$5:$J$305&gt;=AO$4+5)),SUMPRODUCT((INDEX(Timeline!$P$5:$AN$305,0,MATCH($A28,Timeline!$P$4:$AN$4,0))="x")*(Timeline!$K$5:$K$305="Task")*ISNUMBER(Timeline!$I$5:$I$305)*ISNUMBER(Timeline!$J$5:$J$305)*(Timeline!$I$5:$I$305&lt;=AO$4+6)*(Timeline!$J$5:$J$305&gt;=AO$4+6)))</f>
        <v>0</v>
      </c>
      <c r="AP28" s="67">
        <f>MAX(SUMPRODUCT((INDEX(Timeline!$P$5:$AN$305,0,MATCH($A28,Timeline!$P$4:$AN$4,0))="x")*(Timeline!$K$5:$K$305="Task")*ISNUMBER(Timeline!$I$5:$I$305)*ISNUMBER(Timeline!$J$5:$J$305)*(Timeline!$I$5:$I$305&lt;=AP$4+0)*(Timeline!$J$5:$J$305&gt;=AP$4+0)),SUMPRODUCT((INDEX(Timeline!$P$5:$AN$305,0,MATCH($A28,Timeline!$P$4:$AN$4,0))="x")*(Timeline!$K$5:$K$305="Task")*ISNUMBER(Timeline!$I$5:$I$305)*ISNUMBER(Timeline!$J$5:$J$305)*(Timeline!$I$5:$I$305&lt;=AP$4+1)*(Timeline!$J$5:$J$305&gt;=AP$4+1)),SUMPRODUCT((INDEX(Timeline!$P$5:$AN$305,0,MATCH($A28,Timeline!$P$4:$AN$4,0))="x")*(Timeline!$K$5:$K$305="Task")*ISNUMBER(Timeline!$I$5:$I$305)*ISNUMBER(Timeline!$J$5:$J$305)*(Timeline!$I$5:$I$305&lt;=AP$4+2)*(Timeline!$J$5:$J$305&gt;=AP$4+2)),SUMPRODUCT((INDEX(Timeline!$P$5:$AN$305,0,MATCH($A28,Timeline!$P$4:$AN$4,0))="x")*(Timeline!$K$5:$K$305="Task")*ISNUMBER(Timeline!$I$5:$I$305)*ISNUMBER(Timeline!$J$5:$J$305)*(Timeline!$I$5:$I$305&lt;=AP$4+3)*(Timeline!$J$5:$J$305&gt;=AP$4+3)),SUMPRODUCT((INDEX(Timeline!$P$5:$AN$305,0,MATCH($A28,Timeline!$P$4:$AN$4,0))="x")*(Timeline!$K$5:$K$305="Task")*ISNUMBER(Timeline!$I$5:$I$305)*ISNUMBER(Timeline!$J$5:$J$305)*(Timeline!$I$5:$I$305&lt;=AP$4+4)*(Timeline!$J$5:$J$305&gt;=AP$4+4)),SUMPRODUCT((INDEX(Timeline!$P$5:$AN$305,0,MATCH($A28,Timeline!$P$4:$AN$4,0))="x")*(Timeline!$K$5:$K$305="Task")*ISNUMBER(Timeline!$I$5:$I$305)*ISNUMBER(Timeline!$J$5:$J$305)*(Timeline!$I$5:$I$305&lt;=AP$4+5)*(Timeline!$J$5:$J$305&gt;=AP$4+5)),SUMPRODUCT((INDEX(Timeline!$P$5:$AN$305,0,MATCH($A28,Timeline!$P$4:$AN$4,0))="x")*(Timeline!$K$5:$K$305="Task")*ISNUMBER(Timeline!$I$5:$I$305)*ISNUMBER(Timeline!$J$5:$J$305)*(Timeline!$I$5:$I$305&lt;=AP$4+6)*(Timeline!$J$5:$J$305&gt;=AP$4+6)))</f>
        <v>0</v>
      </c>
      <c r="AQ28" s="67">
        <f>MAX(SUMPRODUCT((INDEX(Timeline!$P$5:$AN$305,0,MATCH($A28,Timeline!$P$4:$AN$4,0))="x")*(Timeline!$K$5:$K$305="Task")*ISNUMBER(Timeline!$I$5:$I$305)*ISNUMBER(Timeline!$J$5:$J$305)*(Timeline!$I$5:$I$305&lt;=AQ$4+0)*(Timeline!$J$5:$J$305&gt;=AQ$4+0)),SUMPRODUCT((INDEX(Timeline!$P$5:$AN$305,0,MATCH($A28,Timeline!$P$4:$AN$4,0))="x")*(Timeline!$K$5:$K$305="Task")*ISNUMBER(Timeline!$I$5:$I$305)*ISNUMBER(Timeline!$J$5:$J$305)*(Timeline!$I$5:$I$305&lt;=AQ$4+1)*(Timeline!$J$5:$J$305&gt;=AQ$4+1)),SUMPRODUCT((INDEX(Timeline!$P$5:$AN$305,0,MATCH($A28,Timeline!$P$4:$AN$4,0))="x")*(Timeline!$K$5:$K$305="Task")*ISNUMBER(Timeline!$I$5:$I$305)*ISNUMBER(Timeline!$J$5:$J$305)*(Timeline!$I$5:$I$305&lt;=AQ$4+2)*(Timeline!$J$5:$J$305&gt;=AQ$4+2)),SUMPRODUCT((INDEX(Timeline!$P$5:$AN$305,0,MATCH($A28,Timeline!$P$4:$AN$4,0))="x")*(Timeline!$K$5:$K$305="Task")*ISNUMBER(Timeline!$I$5:$I$305)*ISNUMBER(Timeline!$J$5:$J$305)*(Timeline!$I$5:$I$305&lt;=AQ$4+3)*(Timeline!$J$5:$J$305&gt;=AQ$4+3)),SUMPRODUCT((INDEX(Timeline!$P$5:$AN$305,0,MATCH($A28,Timeline!$P$4:$AN$4,0))="x")*(Timeline!$K$5:$K$305="Task")*ISNUMBER(Timeline!$I$5:$I$305)*ISNUMBER(Timeline!$J$5:$J$305)*(Timeline!$I$5:$I$305&lt;=AQ$4+4)*(Timeline!$J$5:$J$305&gt;=AQ$4+4)),SUMPRODUCT((INDEX(Timeline!$P$5:$AN$305,0,MATCH($A28,Timeline!$P$4:$AN$4,0))="x")*(Timeline!$K$5:$K$305="Task")*ISNUMBER(Timeline!$I$5:$I$305)*ISNUMBER(Timeline!$J$5:$J$305)*(Timeline!$I$5:$I$305&lt;=AQ$4+5)*(Timeline!$J$5:$J$305&gt;=AQ$4+5)),SUMPRODUCT((INDEX(Timeline!$P$5:$AN$305,0,MATCH($A28,Timeline!$P$4:$AN$4,0))="x")*(Timeline!$K$5:$K$305="Task")*ISNUMBER(Timeline!$I$5:$I$305)*ISNUMBER(Timeline!$J$5:$J$305)*(Timeline!$I$5:$I$305&lt;=AQ$4+6)*(Timeline!$J$5:$J$305&gt;=AQ$4+6)))</f>
        <v>0</v>
      </c>
      <c r="AR28" s="67">
        <f>MAX(SUMPRODUCT((INDEX(Timeline!$P$5:$AN$305,0,MATCH($A28,Timeline!$P$4:$AN$4,0))="x")*(Timeline!$K$5:$K$305="Task")*ISNUMBER(Timeline!$I$5:$I$305)*ISNUMBER(Timeline!$J$5:$J$305)*(Timeline!$I$5:$I$305&lt;=AR$4+0)*(Timeline!$J$5:$J$305&gt;=AR$4+0)),SUMPRODUCT((INDEX(Timeline!$P$5:$AN$305,0,MATCH($A28,Timeline!$P$4:$AN$4,0))="x")*(Timeline!$K$5:$K$305="Task")*ISNUMBER(Timeline!$I$5:$I$305)*ISNUMBER(Timeline!$J$5:$J$305)*(Timeline!$I$5:$I$305&lt;=AR$4+1)*(Timeline!$J$5:$J$305&gt;=AR$4+1)),SUMPRODUCT((INDEX(Timeline!$P$5:$AN$305,0,MATCH($A28,Timeline!$P$4:$AN$4,0))="x")*(Timeline!$K$5:$K$305="Task")*ISNUMBER(Timeline!$I$5:$I$305)*ISNUMBER(Timeline!$J$5:$J$305)*(Timeline!$I$5:$I$305&lt;=AR$4+2)*(Timeline!$J$5:$J$305&gt;=AR$4+2)),SUMPRODUCT((INDEX(Timeline!$P$5:$AN$305,0,MATCH($A28,Timeline!$P$4:$AN$4,0))="x")*(Timeline!$K$5:$K$305="Task")*ISNUMBER(Timeline!$I$5:$I$305)*ISNUMBER(Timeline!$J$5:$J$305)*(Timeline!$I$5:$I$305&lt;=AR$4+3)*(Timeline!$J$5:$J$305&gt;=AR$4+3)),SUMPRODUCT((INDEX(Timeline!$P$5:$AN$305,0,MATCH($A28,Timeline!$P$4:$AN$4,0))="x")*(Timeline!$K$5:$K$305="Task")*ISNUMBER(Timeline!$I$5:$I$305)*ISNUMBER(Timeline!$J$5:$J$305)*(Timeline!$I$5:$I$305&lt;=AR$4+4)*(Timeline!$J$5:$J$305&gt;=AR$4+4)),SUMPRODUCT((INDEX(Timeline!$P$5:$AN$305,0,MATCH($A28,Timeline!$P$4:$AN$4,0))="x")*(Timeline!$K$5:$K$305="Task")*ISNUMBER(Timeline!$I$5:$I$305)*ISNUMBER(Timeline!$J$5:$J$305)*(Timeline!$I$5:$I$305&lt;=AR$4+5)*(Timeline!$J$5:$J$305&gt;=AR$4+5)),SUMPRODUCT((INDEX(Timeline!$P$5:$AN$305,0,MATCH($A28,Timeline!$P$4:$AN$4,0))="x")*(Timeline!$K$5:$K$305="Task")*ISNUMBER(Timeline!$I$5:$I$305)*ISNUMBER(Timeline!$J$5:$J$305)*(Timeline!$I$5:$I$305&lt;=AR$4+6)*(Timeline!$J$5:$J$305&gt;=AR$4+6)))</f>
        <v>0</v>
      </c>
      <c r="AS28" s="67">
        <f>MAX(SUMPRODUCT((INDEX(Timeline!$P$5:$AN$305,0,MATCH($A28,Timeline!$P$4:$AN$4,0))="x")*(Timeline!$K$5:$K$305="Task")*ISNUMBER(Timeline!$I$5:$I$305)*ISNUMBER(Timeline!$J$5:$J$305)*(Timeline!$I$5:$I$305&lt;=AS$4+0)*(Timeline!$J$5:$J$305&gt;=AS$4+0)),SUMPRODUCT((INDEX(Timeline!$P$5:$AN$305,0,MATCH($A28,Timeline!$P$4:$AN$4,0))="x")*(Timeline!$K$5:$K$305="Task")*ISNUMBER(Timeline!$I$5:$I$305)*ISNUMBER(Timeline!$J$5:$J$305)*(Timeline!$I$5:$I$305&lt;=AS$4+1)*(Timeline!$J$5:$J$305&gt;=AS$4+1)),SUMPRODUCT((INDEX(Timeline!$P$5:$AN$305,0,MATCH($A28,Timeline!$P$4:$AN$4,0))="x")*(Timeline!$K$5:$K$305="Task")*ISNUMBER(Timeline!$I$5:$I$305)*ISNUMBER(Timeline!$J$5:$J$305)*(Timeline!$I$5:$I$305&lt;=AS$4+2)*(Timeline!$J$5:$J$305&gt;=AS$4+2)),SUMPRODUCT((INDEX(Timeline!$P$5:$AN$305,0,MATCH($A28,Timeline!$P$4:$AN$4,0))="x")*(Timeline!$K$5:$K$305="Task")*ISNUMBER(Timeline!$I$5:$I$305)*ISNUMBER(Timeline!$J$5:$J$305)*(Timeline!$I$5:$I$305&lt;=AS$4+3)*(Timeline!$J$5:$J$305&gt;=AS$4+3)),SUMPRODUCT((INDEX(Timeline!$P$5:$AN$305,0,MATCH($A28,Timeline!$P$4:$AN$4,0))="x")*(Timeline!$K$5:$K$305="Task")*ISNUMBER(Timeline!$I$5:$I$305)*ISNUMBER(Timeline!$J$5:$J$305)*(Timeline!$I$5:$I$305&lt;=AS$4+4)*(Timeline!$J$5:$J$305&gt;=AS$4+4)),SUMPRODUCT((INDEX(Timeline!$P$5:$AN$305,0,MATCH($A28,Timeline!$P$4:$AN$4,0))="x")*(Timeline!$K$5:$K$305="Task")*ISNUMBER(Timeline!$I$5:$I$305)*ISNUMBER(Timeline!$J$5:$J$305)*(Timeline!$I$5:$I$305&lt;=AS$4+5)*(Timeline!$J$5:$J$305&gt;=AS$4+5)),SUMPRODUCT((INDEX(Timeline!$P$5:$AN$305,0,MATCH($A28,Timeline!$P$4:$AN$4,0))="x")*(Timeline!$K$5:$K$305="Task")*ISNUMBER(Timeline!$I$5:$I$305)*ISNUMBER(Timeline!$J$5:$J$305)*(Timeline!$I$5:$I$305&lt;=AS$4+6)*(Timeline!$J$5:$J$305&gt;=AS$4+6)))</f>
        <v>0</v>
      </c>
      <c r="AT28" s="67">
        <f>MAX(SUMPRODUCT((INDEX(Timeline!$P$5:$AN$305,0,MATCH($A28,Timeline!$P$4:$AN$4,0))="x")*(Timeline!$K$5:$K$305="Task")*ISNUMBER(Timeline!$I$5:$I$305)*ISNUMBER(Timeline!$J$5:$J$305)*(Timeline!$I$5:$I$305&lt;=AT$4+0)*(Timeline!$J$5:$J$305&gt;=AT$4+0)),SUMPRODUCT((INDEX(Timeline!$P$5:$AN$305,0,MATCH($A28,Timeline!$P$4:$AN$4,0))="x")*(Timeline!$K$5:$K$305="Task")*ISNUMBER(Timeline!$I$5:$I$305)*ISNUMBER(Timeline!$J$5:$J$305)*(Timeline!$I$5:$I$305&lt;=AT$4+1)*(Timeline!$J$5:$J$305&gt;=AT$4+1)),SUMPRODUCT((INDEX(Timeline!$P$5:$AN$305,0,MATCH($A28,Timeline!$P$4:$AN$4,0))="x")*(Timeline!$K$5:$K$305="Task")*ISNUMBER(Timeline!$I$5:$I$305)*ISNUMBER(Timeline!$J$5:$J$305)*(Timeline!$I$5:$I$305&lt;=AT$4+2)*(Timeline!$J$5:$J$305&gt;=AT$4+2)),SUMPRODUCT((INDEX(Timeline!$P$5:$AN$305,0,MATCH($A28,Timeline!$P$4:$AN$4,0))="x")*(Timeline!$K$5:$K$305="Task")*ISNUMBER(Timeline!$I$5:$I$305)*ISNUMBER(Timeline!$J$5:$J$305)*(Timeline!$I$5:$I$305&lt;=AT$4+3)*(Timeline!$J$5:$J$305&gt;=AT$4+3)),SUMPRODUCT((INDEX(Timeline!$P$5:$AN$305,0,MATCH($A28,Timeline!$P$4:$AN$4,0))="x")*(Timeline!$K$5:$K$305="Task")*ISNUMBER(Timeline!$I$5:$I$305)*ISNUMBER(Timeline!$J$5:$J$305)*(Timeline!$I$5:$I$305&lt;=AT$4+4)*(Timeline!$J$5:$J$305&gt;=AT$4+4)),SUMPRODUCT((INDEX(Timeline!$P$5:$AN$305,0,MATCH($A28,Timeline!$P$4:$AN$4,0))="x")*(Timeline!$K$5:$K$305="Task")*ISNUMBER(Timeline!$I$5:$I$305)*ISNUMBER(Timeline!$J$5:$J$305)*(Timeline!$I$5:$I$305&lt;=AT$4+5)*(Timeline!$J$5:$J$305&gt;=AT$4+5)),SUMPRODUCT((INDEX(Timeline!$P$5:$AN$305,0,MATCH($A28,Timeline!$P$4:$AN$4,0))="x")*(Timeline!$K$5:$K$305="Task")*ISNUMBER(Timeline!$I$5:$I$305)*ISNUMBER(Timeline!$J$5:$J$305)*(Timeline!$I$5:$I$305&lt;=AT$4+6)*(Timeline!$J$5:$J$305&gt;=AT$4+6)))</f>
        <v>0</v>
      </c>
      <c r="AU28" s="67">
        <f>MAX(SUMPRODUCT((INDEX(Timeline!$P$5:$AN$305,0,MATCH($A28,Timeline!$P$4:$AN$4,0))="x")*(Timeline!$K$5:$K$305="Task")*ISNUMBER(Timeline!$I$5:$I$305)*ISNUMBER(Timeline!$J$5:$J$305)*(Timeline!$I$5:$I$305&lt;=AU$4+0)*(Timeline!$J$5:$J$305&gt;=AU$4+0)),SUMPRODUCT((INDEX(Timeline!$P$5:$AN$305,0,MATCH($A28,Timeline!$P$4:$AN$4,0))="x")*(Timeline!$K$5:$K$305="Task")*ISNUMBER(Timeline!$I$5:$I$305)*ISNUMBER(Timeline!$J$5:$J$305)*(Timeline!$I$5:$I$305&lt;=AU$4+1)*(Timeline!$J$5:$J$305&gt;=AU$4+1)),SUMPRODUCT((INDEX(Timeline!$P$5:$AN$305,0,MATCH($A28,Timeline!$P$4:$AN$4,0))="x")*(Timeline!$K$5:$K$305="Task")*ISNUMBER(Timeline!$I$5:$I$305)*ISNUMBER(Timeline!$J$5:$J$305)*(Timeline!$I$5:$I$305&lt;=AU$4+2)*(Timeline!$J$5:$J$305&gt;=AU$4+2)),SUMPRODUCT((INDEX(Timeline!$P$5:$AN$305,0,MATCH($A28,Timeline!$P$4:$AN$4,0))="x")*(Timeline!$K$5:$K$305="Task")*ISNUMBER(Timeline!$I$5:$I$305)*ISNUMBER(Timeline!$J$5:$J$305)*(Timeline!$I$5:$I$305&lt;=AU$4+3)*(Timeline!$J$5:$J$305&gt;=AU$4+3)),SUMPRODUCT((INDEX(Timeline!$P$5:$AN$305,0,MATCH($A28,Timeline!$P$4:$AN$4,0))="x")*(Timeline!$K$5:$K$305="Task")*ISNUMBER(Timeline!$I$5:$I$305)*ISNUMBER(Timeline!$J$5:$J$305)*(Timeline!$I$5:$I$305&lt;=AU$4+4)*(Timeline!$J$5:$J$305&gt;=AU$4+4)),SUMPRODUCT((INDEX(Timeline!$P$5:$AN$305,0,MATCH($A28,Timeline!$P$4:$AN$4,0))="x")*(Timeline!$K$5:$K$305="Task")*ISNUMBER(Timeline!$I$5:$I$305)*ISNUMBER(Timeline!$J$5:$J$305)*(Timeline!$I$5:$I$305&lt;=AU$4+5)*(Timeline!$J$5:$J$305&gt;=AU$4+5)),SUMPRODUCT((INDEX(Timeline!$P$5:$AN$305,0,MATCH($A28,Timeline!$P$4:$AN$4,0))="x")*(Timeline!$K$5:$K$305="Task")*ISNUMBER(Timeline!$I$5:$I$305)*ISNUMBER(Timeline!$J$5:$J$305)*(Timeline!$I$5:$I$305&lt;=AU$4+6)*(Timeline!$J$5:$J$305&gt;=AU$4+6)))</f>
        <v>0</v>
      </c>
      <c r="AV28" s="67">
        <f>MAX(SUMPRODUCT((INDEX(Timeline!$P$5:$AN$305,0,MATCH($A28,Timeline!$P$4:$AN$4,0))="x")*(Timeline!$K$5:$K$305="Task")*ISNUMBER(Timeline!$I$5:$I$305)*ISNUMBER(Timeline!$J$5:$J$305)*(Timeline!$I$5:$I$305&lt;=AV$4+0)*(Timeline!$J$5:$J$305&gt;=AV$4+0)),SUMPRODUCT((INDEX(Timeline!$P$5:$AN$305,0,MATCH($A28,Timeline!$P$4:$AN$4,0))="x")*(Timeline!$K$5:$K$305="Task")*ISNUMBER(Timeline!$I$5:$I$305)*ISNUMBER(Timeline!$J$5:$J$305)*(Timeline!$I$5:$I$305&lt;=AV$4+1)*(Timeline!$J$5:$J$305&gt;=AV$4+1)),SUMPRODUCT((INDEX(Timeline!$P$5:$AN$305,0,MATCH($A28,Timeline!$P$4:$AN$4,0))="x")*(Timeline!$K$5:$K$305="Task")*ISNUMBER(Timeline!$I$5:$I$305)*ISNUMBER(Timeline!$J$5:$J$305)*(Timeline!$I$5:$I$305&lt;=AV$4+2)*(Timeline!$J$5:$J$305&gt;=AV$4+2)),SUMPRODUCT((INDEX(Timeline!$P$5:$AN$305,0,MATCH($A28,Timeline!$P$4:$AN$4,0))="x")*(Timeline!$K$5:$K$305="Task")*ISNUMBER(Timeline!$I$5:$I$305)*ISNUMBER(Timeline!$J$5:$J$305)*(Timeline!$I$5:$I$305&lt;=AV$4+3)*(Timeline!$J$5:$J$305&gt;=AV$4+3)),SUMPRODUCT((INDEX(Timeline!$P$5:$AN$305,0,MATCH($A28,Timeline!$P$4:$AN$4,0))="x")*(Timeline!$K$5:$K$305="Task")*ISNUMBER(Timeline!$I$5:$I$305)*ISNUMBER(Timeline!$J$5:$J$305)*(Timeline!$I$5:$I$305&lt;=AV$4+4)*(Timeline!$J$5:$J$305&gt;=AV$4+4)),SUMPRODUCT((INDEX(Timeline!$P$5:$AN$305,0,MATCH($A28,Timeline!$P$4:$AN$4,0))="x")*(Timeline!$K$5:$K$305="Task")*ISNUMBER(Timeline!$I$5:$I$305)*ISNUMBER(Timeline!$J$5:$J$305)*(Timeline!$I$5:$I$305&lt;=AV$4+5)*(Timeline!$J$5:$J$305&gt;=AV$4+5)),SUMPRODUCT((INDEX(Timeline!$P$5:$AN$305,0,MATCH($A28,Timeline!$P$4:$AN$4,0))="x")*(Timeline!$K$5:$K$305="Task")*ISNUMBER(Timeline!$I$5:$I$305)*ISNUMBER(Timeline!$J$5:$J$305)*(Timeline!$I$5:$I$305&lt;=AV$4+6)*(Timeline!$J$5:$J$305&gt;=AV$4+6)))</f>
        <v>0</v>
      </c>
      <c r="AW28" s="67">
        <f>MAX(SUMPRODUCT((INDEX(Timeline!$P$5:$AN$305,0,MATCH($A28,Timeline!$P$4:$AN$4,0))="x")*(Timeline!$K$5:$K$305="Task")*ISNUMBER(Timeline!$I$5:$I$305)*ISNUMBER(Timeline!$J$5:$J$305)*(Timeline!$I$5:$I$305&lt;=AW$4+0)*(Timeline!$J$5:$J$305&gt;=AW$4+0)),SUMPRODUCT((INDEX(Timeline!$P$5:$AN$305,0,MATCH($A28,Timeline!$P$4:$AN$4,0))="x")*(Timeline!$K$5:$K$305="Task")*ISNUMBER(Timeline!$I$5:$I$305)*ISNUMBER(Timeline!$J$5:$J$305)*(Timeline!$I$5:$I$305&lt;=AW$4+1)*(Timeline!$J$5:$J$305&gt;=AW$4+1)),SUMPRODUCT((INDEX(Timeline!$P$5:$AN$305,0,MATCH($A28,Timeline!$P$4:$AN$4,0))="x")*(Timeline!$K$5:$K$305="Task")*ISNUMBER(Timeline!$I$5:$I$305)*ISNUMBER(Timeline!$J$5:$J$305)*(Timeline!$I$5:$I$305&lt;=AW$4+2)*(Timeline!$J$5:$J$305&gt;=AW$4+2)),SUMPRODUCT((INDEX(Timeline!$P$5:$AN$305,0,MATCH($A28,Timeline!$P$4:$AN$4,0))="x")*(Timeline!$K$5:$K$305="Task")*ISNUMBER(Timeline!$I$5:$I$305)*ISNUMBER(Timeline!$J$5:$J$305)*(Timeline!$I$5:$I$305&lt;=AW$4+3)*(Timeline!$J$5:$J$305&gt;=AW$4+3)),SUMPRODUCT((INDEX(Timeline!$P$5:$AN$305,0,MATCH($A28,Timeline!$P$4:$AN$4,0))="x")*(Timeline!$K$5:$K$305="Task")*ISNUMBER(Timeline!$I$5:$I$305)*ISNUMBER(Timeline!$J$5:$J$305)*(Timeline!$I$5:$I$305&lt;=AW$4+4)*(Timeline!$J$5:$J$305&gt;=AW$4+4)),SUMPRODUCT((INDEX(Timeline!$P$5:$AN$305,0,MATCH($A28,Timeline!$P$4:$AN$4,0))="x")*(Timeline!$K$5:$K$305="Task")*ISNUMBER(Timeline!$I$5:$I$305)*ISNUMBER(Timeline!$J$5:$J$305)*(Timeline!$I$5:$I$305&lt;=AW$4+5)*(Timeline!$J$5:$J$305&gt;=AW$4+5)),SUMPRODUCT((INDEX(Timeline!$P$5:$AN$305,0,MATCH($A28,Timeline!$P$4:$AN$4,0))="x")*(Timeline!$K$5:$K$305="Task")*ISNUMBER(Timeline!$I$5:$I$305)*ISNUMBER(Timeline!$J$5:$J$305)*(Timeline!$I$5:$I$305&lt;=AW$4+6)*(Timeline!$J$5:$J$305&gt;=AW$4+6)))</f>
        <v>0</v>
      </c>
      <c r="AX28" s="67">
        <f>MAX(SUMPRODUCT((INDEX(Timeline!$P$5:$AN$305,0,MATCH($A28,Timeline!$P$4:$AN$4,0))="x")*(Timeline!$K$5:$K$305="Task")*ISNUMBER(Timeline!$I$5:$I$305)*ISNUMBER(Timeline!$J$5:$J$305)*(Timeline!$I$5:$I$305&lt;=AX$4+0)*(Timeline!$J$5:$J$305&gt;=AX$4+0)),SUMPRODUCT((INDEX(Timeline!$P$5:$AN$305,0,MATCH($A28,Timeline!$P$4:$AN$4,0))="x")*(Timeline!$K$5:$K$305="Task")*ISNUMBER(Timeline!$I$5:$I$305)*ISNUMBER(Timeline!$J$5:$J$305)*(Timeline!$I$5:$I$305&lt;=AX$4+1)*(Timeline!$J$5:$J$305&gt;=AX$4+1)),SUMPRODUCT((INDEX(Timeline!$P$5:$AN$305,0,MATCH($A28,Timeline!$P$4:$AN$4,0))="x")*(Timeline!$K$5:$K$305="Task")*ISNUMBER(Timeline!$I$5:$I$305)*ISNUMBER(Timeline!$J$5:$J$305)*(Timeline!$I$5:$I$305&lt;=AX$4+2)*(Timeline!$J$5:$J$305&gt;=AX$4+2)),SUMPRODUCT((INDEX(Timeline!$P$5:$AN$305,0,MATCH($A28,Timeline!$P$4:$AN$4,0))="x")*(Timeline!$K$5:$K$305="Task")*ISNUMBER(Timeline!$I$5:$I$305)*ISNUMBER(Timeline!$J$5:$J$305)*(Timeline!$I$5:$I$305&lt;=AX$4+3)*(Timeline!$J$5:$J$305&gt;=AX$4+3)),SUMPRODUCT((INDEX(Timeline!$P$5:$AN$305,0,MATCH($A28,Timeline!$P$4:$AN$4,0))="x")*(Timeline!$K$5:$K$305="Task")*ISNUMBER(Timeline!$I$5:$I$305)*ISNUMBER(Timeline!$J$5:$J$305)*(Timeline!$I$5:$I$305&lt;=AX$4+4)*(Timeline!$J$5:$J$305&gt;=AX$4+4)),SUMPRODUCT((INDEX(Timeline!$P$5:$AN$305,0,MATCH($A28,Timeline!$P$4:$AN$4,0))="x")*(Timeline!$K$5:$K$305="Task")*ISNUMBER(Timeline!$I$5:$I$305)*ISNUMBER(Timeline!$J$5:$J$305)*(Timeline!$I$5:$I$305&lt;=AX$4+5)*(Timeline!$J$5:$J$305&gt;=AX$4+5)),SUMPRODUCT((INDEX(Timeline!$P$5:$AN$305,0,MATCH($A28,Timeline!$P$4:$AN$4,0))="x")*(Timeline!$K$5:$K$305="Task")*ISNUMBER(Timeline!$I$5:$I$305)*ISNUMBER(Timeline!$J$5:$J$305)*(Timeline!$I$5:$I$305&lt;=AX$4+6)*(Timeline!$J$5:$J$305&gt;=AX$4+6)))</f>
        <v>0</v>
      </c>
      <c r="AY28" s="67">
        <f>MAX(SUMPRODUCT((INDEX(Timeline!$P$5:$AN$305,0,MATCH($A28,Timeline!$P$4:$AN$4,0))="x")*(Timeline!$K$5:$K$305="Task")*ISNUMBER(Timeline!$I$5:$I$305)*ISNUMBER(Timeline!$J$5:$J$305)*(Timeline!$I$5:$I$305&lt;=AY$4+0)*(Timeline!$J$5:$J$305&gt;=AY$4+0)),SUMPRODUCT((INDEX(Timeline!$P$5:$AN$305,0,MATCH($A28,Timeline!$P$4:$AN$4,0))="x")*(Timeline!$K$5:$K$305="Task")*ISNUMBER(Timeline!$I$5:$I$305)*ISNUMBER(Timeline!$J$5:$J$305)*(Timeline!$I$5:$I$305&lt;=AY$4+1)*(Timeline!$J$5:$J$305&gt;=AY$4+1)),SUMPRODUCT((INDEX(Timeline!$P$5:$AN$305,0,MATCH($A28,Timeline!$P$4:$AN$4,0))="x")*(Timeline!$K$5:$K$305="Task")*ISNUMBER(Timeline!$I$5:$I$305)*ISNUMBER(Timeline!$J$5:$J$305)*(Timeline!$I$5:$I$305&lt;=AY$4+2)*(Timeline!$J$5:$J$305&gt;=AY$4+2)),SUMPRODUCT((INDEX(Timeline!$P$5:$AN$305,0,MATCH($A28,Timeline!$P$4:$AN$4,0))="x")*(Timeline!$K$5:$K$305="Task")*ISNUMBER(Timeline!$I$5:$I$305)*ISNUMBER(Timeline!$J$5:$J$305)*(Timeline!$I$5:$I$305&lt;=AY$4+3)*(Timeline!$J$5:$J$305&gt;=AY$4+3)),SUMPRODUCT((INDEX(Timeline!$P$5:$AN$305,0,MATCH($A28,Timeline!$P$4:$AN$4,0))="x")*(Timeline!$K$5:$K$305="Task")*ISNUMBER(Timeline!$I$5:$I$305)*ISNUMBER(Timeline!$J$5:$J$305)*(Timeline!$I$5:$I$305&lt;=AY$4+4)*(Timeline!$J$5:$J$305&gt;=AY$4+4)),SUMPRODUCT((INDEX(Timeline!$P$5:$AN$305,0,MATCH($A28,Timeline!$P$4:$AN$4,0))="x")*(Timeline!$K$5:$K$305="Task")*ISNUMBER(Timeline!$I$5:$I$305)*ISNUMBER(Timeline!$J$5:$J$305)*(Timeline!$I$5:$I$305&lt;=AY$4+5)*(Timeline!$J$5:$J$305&gt;=AY$4+5)),SUMPRODUCT((INDEX(Timeline!$P$5:$AN$305,0,MATCH($A28,Timeline!$P$4:$AN$4,0))="x")*(Timeline!$K$5:$K$305="Task")*ISNUMBER(Timeline!$I$5:$I$305)*ISNUMBER(Timeline!$J$5:$J$305)*(Timeline!$I$5:$I$305&lt;=AY$4+6)*(Timeline!$J$5:$J$305&gt;=AY$4+6)))</f>
        <v>0</v>
      </c>
      <c r="AZ28" s="67">
        <f>MAX(SUMPRODUCT((INDEX(Timeline!$P$5:$AN$305,0,MATCH($A28,Timeline!$P$4:$AN$4,0))="x")*(Timeline!$K$5:$K$305="Task")*ISNUMBER(Timeline!$I$5:$I$305)*ISNUMBER(Timeline!$J$5:$J$305)*(Timeline!$I$5:$I$305&lt;=AZ$4+0)*(Timeline!$J$5:$J$305&gt;=AZ$4+0)),SUMPRODUCT((INDEX(Timeline!$P$5:$AN$305,0,MATCH($A28,Timeline!$P$4:$AN$4,0))="x")*(Timeline!$K$5:$K$305="Task")*ISNUMBER(Timeline!$I$5:$I$305)*ISNUMBER(Timeline!$J$5:$J$305)*(Timeline!$I$5:$I$305&lt;=AZ$4+1)*(Timeline!$J$5:$J$305&gt;=AZ$4+1)),SUMPRODUCT((INDEX(Timeline!$P$5:$AN$305,0,MATCH($A28,Timeline!$P$4:$AN$4,0))="x")*(Timeline!$K$5:$K$305="Task")*ISNUMBER(Timeline!$I$5:$I$305)*ISNUMBER(Timeline!$J$5:$J$305)*(Timeline!$I$5:$I$305&lt;=AZ$4+2)*(Timeline!$J$5:$J$305&gt;=AZ$4+2)),SUMPRODUCT((INDEX(Timeline!$P$5:$AN$305,0,MATCH($A28,Timeline!$P$4:$AN$4,0))="x")*(Timeline!$K$5:$K$305="Task")*ISNUMBER(Timeline!$I$5:$I$305)*ISNUMBER(Timeline!$J$5:$J$305)*(Timeline!$I$5:$I$305&lt;=AZ$4+3)*(Timeline!$J$5:$J$305&gt;=AZ$4+3)),SUMPRODUCT((INDEX(Timeline!$P$5:$AN$305,0,MATCH($A28,Timeline!$P$4:$AN$4,0))="x")*(Timeline!$K$5:$K$305="Task")*ISNUMBER(Timeline!$I$5:$I$305)*ISNUMBER(Timeline!$J$5:$J$305)*(Timeline!$I$5:$I$305&lt;=AZ$4+4)*(Timeline!$J$5:$J$305&gt;=AZ$4+4)),SUMPRODUCT((INDEX(Timeline!$P$5:$AN$305,0,MATCH($A28,Timeline!$P$4:$AN$4,0))="x")*(Timeline!$K$5:$K$305="Task")*ISNUMBER(Timeline!$I$5:$I$305)*ISNUMBER(Timeline!$J$5:$J$305)*(Timeline!$I$5:$I$305&lt;=AZ$4+5)*(Timeline!$J$5:$J$305&gt;=AZ$4+5)),SUMPRODUCT((INDEX(Timeline!$P$5:$AN$305,0,MATCH($A28,Timeline!$P$4:$AN$4,0))="x")*(Timeline!$K$5:$K$305="Task")*ISNUMBER(Timeline!$I$5:$I$305)*ISNUMBER(Timeline!$J$5:$J$305)*(Timeline!$I$5:$I$305&lt;=AZ$4+6)*(Timeline!$J$5:$J$305&gt;=AZ$4+6)))</f>
        <v>0</v>
      </c>
      <c r="BA28" s="67">
        <f>MAX(SUMPRODUCT((INDEX(Timeline!$P$5:$AN$305,0,MATCH($A28,Timeline!$P$4:$AN$4,0))="x")*(Timeline!$K$5:$K$305="Task")*ISNUMBER(Timeline!$I$5:$I$305)*ISNUMBER(Timeline!$J$5:$J$305)*(Timeline!$I$5:$I$305&lt;=BA$4+0)*(Timeline!$J$5:$J$305&gt;=BA$4+0)),SUMPRODUCT((INDEX(Timeline!$P$5:$AN$305,0,MATCH($A28,Timeline!$P$4:$AN$4,0))="x")*(Timeline!$K$5:$K$305="Task")*ISNUMBER(Timeline!$I$5:$I$305)*ISNUMBER(Timeline!$J$5:$J$305)*(Timeline!$I$5:$I$305&lt;=BA$4+1)*(Timeline!$J$5:$J$305&gt;=BA$4+1)),SUMPRODUCT((INDEX(Timeline!$P$5:$AN$305,0,MATCH($A28,Timeline!$P$4:$AN$4,0))="x")*(Timeline!$K$5:$K$305="Task")*ISNUMBER(Timeline!$I$5:$I$305)*ISNUMBER(Timeline!$J$5:$J$305)*(Timeline!$I$5:$I$305&lt;=BA$4+2)*(Timeline!$J$5:$J$305&gt;=BA$4+2)),SUMPRODUCT((INDEX(Timeline!$P$5:$AN$305,0,MATCH($A28,Timeline!$P$4:$AN$4,0))="x")*(Timeline!$K$5:$K$305="Task")*ISNUMBER(Timeline!$I$5:$I$305)*ISNUMBER(Timeline!$J$5:$J$305)*(Timeline!$I$5:$I$305&lt;=BA$4+3)*(Timeline!$J$5:$J$305&gt;=BA$4+3)),SUMPRODUCT((INDEX(Timeline!$P$5:$AN$305,0,MATCH($A28,Timeline!$P$4:$AN$4,0))="x")*(Timeline!$K$5:$K$305="Task")*ISNUMBER(Timeline!$I$5:$I$305)*ISNUMBER(Timeline!$J$5:$J$305)*(Timeline!$I$5:$I$305&lt;=BA$4+4)*(Timeline!$J$5:$J$305&gt;=BA$4+4)),SUMPRODUCT((INDEX(Timeline!$P$5:$AN$305,0,MATCH($A28,Timeline!$P$4:$AN$4,0))="x")*(Timeline!$K$5:$K$305="Task")*ISNUMBER(Timeline!$I$5:$I$305)*ISNUMBER(Timeline!$J$5:$J$305)*(Timeline!$I$5:$I$305&lt;=BA$4+5)*(Timeline!$J$5:$J$305&gt;=BA$4+5)),SUMPRODUCT((INDEX(Timeline!$P$5:$AN$305,0,MATCH($A28,Timeline!$P$4:$AN$4,0))="x")*(Timeline!$K$5:$K$305="Task")*ISNUMBER(Timeline!$I$5:$I$305)*ISNUMBER(Timeline!$J$5:$J$305)*(Timeline!$I$5:$I$305&lt;=BA$4+6)*(Timeline!$J$5:$J$305&gt;=BA$4+6)))</f>
        <v>0</v>
      </c>
    </row>
    <row r="29" spans="1:53">
      <c r="A29" s="66" t="s">
        <v>60</v>
      </c>
      <c r="B29" s="66" t="s">
        <v>20</v>
      </c>
      <c r="C29" s="67">
        <f>MAX(SUMPRODUCT((INDEX(Timeline!$P$5:$AN$305,0,MATCH($A29,Timeline!$P$4:$AN$4,0))="x")*(Timeline!$K$5:$K$305="Task")*ISNUMBER(Timeline!$I$5:$I$305)*ISNUMBER(Timeline!$J$5:$J$305)*(Timeline!$I$5:$I$305&lt;=C$4+0)*(Timeline!$J$5:$J$305&gt;=C$4+0)),SUMPRODUCT((INDEX(Timeline!$P$5:$AN$305,0,MATCH($A29,Timeline!$P$4:$AN$4,0))="x")*(Timeline!$K$5:$K$305="Task")*ISNUMBER(Timeline!$I$5:$I$305)*ISNUMBER(Timeline!$J$5:$J$305)*(Timeline!$I$5:$I$305&lt;=C$4+1)*(Timeline!$J$5:$J$305&gt;=C$4+1)),SUMPRODUCT((INDEX(Timeline!$P$5:$AN$305,0,MATCH($A29,Timeline!$P$4:$AN$4,0))="x")*(Timeline!$K$5:$K$305="Task")*ISNUMBER(Timeline!$I$5:$I$305)*ISNUMBER(Timeline!$J$5:$J$305)*(Timeline!$I$5:$I$305&lt;=C$4+2)*(Timeline!$J$5:$J$305&gt;=C$4+2)),SUMPRODUCT((INDEX(Timeline!$P$5:$AN$305,0,MATCH($A29,Timeline!$P$4:$AN$4,0))="x")*(Timeline!$K$5:$K$305="Task")*ISNUMBER(Timeline!$I$5:$I$305)*ISNUMBER(Timeline!$J$5:$J$305)*(Timeline!$I$5:$I$305&lt;=C$4+3)*(Timeline!$J$5:$J$305&gt;=C$4+3)),SUMPRODUCT((INDEX(Timeline!$P$5:$AN$305,0,MATCH($A29,Timeline!$P$4:$AN$4,0))="x")*(Timeline!$K$5:$K$305="Task")*ISNUMBER(Timeline!$I$5:$I$305)*ISNUMBER(Timeline!$J$5:$J$305)*(Timeline!$I$5:$I$305&lt;=C$4+4)*(Timeline!$J$5:$J$305&gt;=C$4+4)),SUMPRODUCT((INDEX(Timeline!$P$5:$AN$305,0,MATCH($A29,Timeline!$P$4:$AN$4,0))="x")*(Timeline!$K$5:$K$305="Task")*ISNUMBER(Timeline!$I$5:$I$305)*ISNUMBER(Timeline!$J$5:$J$305)*(Timeline!$I$5:$I$305&lt;=C$4+5)*(Timeline!$J$5:$J$305&gt;=C$4+5)),SUMPRODUCT((INDEX(Timeline!$P$5:$AN$305,0,MATCH($A29,Timeline!$P$4:$AN$4,0))="x")*(Timeline!$K$5:$K$305="Task")*ISNUMBER(Timeline!$I$5:$I$305)*ISNUMBER(Timeline!$J$5:$J$305)*(Timeline!$I$5:$I$305&lt;=C$4+6)*(Timeline!$J$5:$J$305&gt;=C$4+6)))</f>
        <v>0</v>
      </c>
      <c r="D29" s="67">
        <f>MAX(SUMPRODUCT((INDEX(Timeline!$P$5:$AN$305,0,MATCH($A29,Timeline!$P$4:$AN$4,0))="x")*(Timeline!$K$5:$K$305="Task")*ISNUMBER(Timeline!$I$5:$I$305)*ISNUMBER(Timeline!$J$5:$J$305)*(Timeline!$I$5:$I$305&lt;=D$4+0)*(Timeline!$J$5:$J$305&gt;=D$4+0)),SUMPRODUCT((INDEX(Timeline!$P$5:$AN$305,0,MATCH($A29,Timeline!$P$4:$AN$4,0))="x")*(Timeline!$K$5:$K$305="Task")*ISNUMBER(Timeline!$I$5:$I$305)*ISNUMBER(Timeline!$J$5:$J$305)*(Timeline!$I$5:$I$305&lt;=D$4+1)*(Timeline!$J$5:$J$305&gt;=D$4+1)),SUMPRODUCT((INDEX(Timeline!$P$5:$AN$305,0,MATCH($A29,Timeline!$P$4:$AN$4,0))="x")*(Timeline!$K$5:$K$305="Task")*ISNUMBER(Timeline!$I$5:$I$305)*ISNUMBER(Timeline!$J$5:$J$305)*(Timeline!$I$5:$I$305&lt;=D$4+2)*(Timeline!$J$5:$J$305&gt;=D$4+2)),SUMPRODUCT((INDEX(Timeline!$P$5:$AN$305,0,MATCH($A29,Timeline!$P$4:$AN$4,0))="x")*(Timeline!$K$5:$K$305="Task")*ISNUMBER(Timeline!$I$5:$I$305)*ISNUMBER(Timeline!$J$5:$J$305)*(Timeline!$I$5:$I$305&lt;=D$4+3)*(Timeline!$J$5:$J$305&gt;=D$4+3)),SUMPRODUCT((INDEX(Timeline!$P$5:$AN$305,0,MATCH($A29,Timeline!$P$4:$AN$4,0))="x")*(Timeline!$K$5:$K$305="Task")*ISNUMBER(Timeline!$I$5:$I$305)*ISNUMBER(Timeline!$J$5:$J$305)*(Timeline!$I$5:$I$305&lt;=D$4+4)*(Timeline!$J$5:$J$305&gt;=D$4+4)),SUMPRODUCT((INDEX(Timeline!$P$5:$AN$305,0,MATCH($A29,Timeline!$P$4:$AN$4,0))="x")*(Timeline!$K$5:$K$305="Task")*ISNUMBER(Timeline!$I$5:$I$305)*ISNUMBER(Timeline!$J$5:$J$305)*(Timeline!$I$5:$I$305&lt;=D$4+5)*(Timeline!$J$5:$J$305&gt;=D$4+5)),SUMPRODUCT((INDEX(Timeline!$P$5:$AN$305,0,MATCH($A29,Timeline!$P$4:$AN$4,0))="x")*(Timeline!$K$5:$K$305="Task")*ISNUMBER(Timeline!$I$5:$I$305)*ISNUMBER(Timeline!$J$5:$J$305)*(Timeline!$I$5:$I$305&lt;=D$4+6)*(Timeline!$J$5:$J$305&gt;=D$4+6)))</f>
        <v>0</v>
      </c>
      <c r="E29" s="67">
        <f>MAX(SUMPRODUCT((INDEX(Timeline!$P$5:$AN$305,0,MATCH($A29,Timeline!$P$4:$AN$4,0))="x")*(Timeline!$K$5:$K$305="Task")*ISNUMBER(Timeline!$I$5:$I$305)*ISNUMBER(Timeline!$J$5:$J$305)*(Timeline!$I$5:$I$305&lt;=E$4+0)*(Timeline!$J$5:$J$305&gt;=E$4+0)),SUMPRODUCT((INDEX(Timeline!$P$5:$AN$305,0,MATCH($A29,Timeline!$P$4:$AN$4,0))="x")*(Timeline!$K$5:$K$305="Task")*ISNUMBER(Timeline!$I$5:$I$305)*ISNUMBER(Timeline!$J$5:$J$305)*(Timeline!$I$5:$I$305&lt;=E$4+1)*(Timeline!$J$5:$J$305&gt;=E$4+1)),SUMPRODUCT((INDEX(Timeline!$P$5:$AN$305,0,MATCH($A29,Timeline!$P$4:$AN$4,0))="x")*(Timeline!$K$5:$K$305="Task")*ISNUMBER(Timeline!$I$5:$I$305)*ISNUMBER(Timeline!$J$5:$J$305)*(Timeline!$I$5:$I$305&lt;=E$4+2)*(Timeline!$J$5:$J$305&gt;=E$4+2)),SUMPRODUCT((INDEX(Timeline!$P$5:$AN$305,0,MATCH($A29,Timeline!$P$4:$AN$4,0))="x")*(Timeline!$K$5:$K$305="Task")*ISNUMBER(Timeline!$I$5:$I$305)*ISNUMBER(Timeline!$J$5:$J$305)*(Timeline!$I$5:$I$305&lt;=E$4+3)*(Timeline!$J$5:$J$305&gt;=E$4+3)),SUMPRODUCT((INDEX(Timeline!$P$5:$AN$305,0,MATCH($A29,Timeline!$P$4:$AN$4,0))="x")*(Timeline!$K$5:$K$305="Task")*ISNUMBER(Timeline!$I$5:$I$305)*ISNUMBER(Timeline!$J$5:$J$305)*(Timeline!$I$5:$I$305&lt;=E$4+4)*(Timeline!$J$5:$J$305&gt;=E$4+4)),SUMPRODUCT((INDEX(Timeline!$P$5:$AN$305,0,MATCH($A29,Timeline!$P$4:$AN$4,0))="x")*(Timeline!$K$5:$K$305="Task")*ISNUMBER(Timeline!$I$5:$I$305)*ISNUMBER(Timeline!$J$5:$J$305)*(Timeline!$I$5:$I$305&lt;=E$4+5)*(Timeline!$J$5:$J$305&gt;=E$4+5)),SUMPRODUCT((INDEX(Timeline!$P$5:$AN$305,0,MATCH($A29,Timeline!$P$4:$AN$4,0))="x")*(Timeline!$K$5:$K$305="Task")*ISNUMBER(Timeline!$I$5:$I$305)*ISNUMBER(Timeline!$J$5:$J$305)*(Timeline!$I$5:$I$305&lt;=E$4+6)*(Timeline!$J$5:$J$305&gt;=E$4+6)))</f>
        <v>0</v>
      </c>
      <c r="F29" s="67">
        <f>MAX(SUMPRODUCT((INDEX(Timeline!$P$5:$AN$305,0,MATCH($A29,Timeline!$P$4:$AN$4,0))="x")*(Timeline!$K$5:$K$305="Task")*ISNUMBER(Timeline!$I$5:$I$305)*ISNUMBER(Timeline!$J$5:$J$305)*(Timeline!$I$5:$I$305&lt;=F$4+0)*(Timeline!$J$5:$J$305&gt;=F$4+0)),SUMPRODUCT((INDEX(Timeline!$P$5:$AN$305,0,MATCH($A29,Timeline!$P$4:$AN$4,0))="x")*(Timeline!$K$5:$K$305="Task")*ISNUMBER(Timeline!$I$5:$I$305)*ISNUMBER(Timeline!$J$5:$J$305)*(Timeline!$I$5:$I$305&lt;=F$4+1)*(Timeline!$J$5:$J$305&gt;=F$4+1)),SUMPRODUCT((INDEX(Timeline!$P$5:$AN$305,0,MATCH($A29,Timeline!$P$4:$AN$4,0))="x")*(Timeline!$K$5:$K$305="Task")*ISNUMBER(Timeline!$I$5:$I$305)*ISNUMBER(Timeline!$J$5:$J$305)*(Timeline!$I$5:$I$305&lt;=F$4+2)*(Timeline!$J$5:$J$305&gt;=F$4+2)),SUMPRODUCT((INDEX(Timeline!$P$5:$AN$305,0,MATCH($A29,Timeline!$P$4:$AN$4,0))="x")*(Timeline!$K$5:$K$305="Task")*ISNUMBER(Timeline!$I$5:$I$305)*ISNUMBER(Timeline!$J$5:$J$305)*(Timeline!$I$5:$I$305&lt;=F$4+3)*(Timeline!$J$5:$J$305&gt;=F$4+3)),SUMPRODUCT((INDEX(Timeline!$P$5:$AN$305,0,MATCH($A29,Timeline!$P$4:$AN$4,0))="x")*(Timeline!$K$5:$K$305="Task")*ISNUMBER(Timeline!$I$5:$I$305)*ISNUMBER(Timeline!$J$5:$J$305)*(Timeline!$I$5:$I$305&lt;=F$4+4)*(Timeline!$J$5:$J$305&gt;=F$4+4)),SUMPRODUCT((INDEX(Timeline!$P$5:$AN$305,0,MATCH($A29,Timeline!$P$4:$AN$4,0))="x")*(Timeline!$K$5:$K$305="Task")*ISNUMBER(Timeline!$I$5:$I$305)*ISNUMBER(Timeline!$J$5:$J$305)*(Timeline!$I$5:$I$305&lt;=F$4+5)*(Timeline!$J$5:$J$305&gt;=F$4+5)),SUMPRODUCT((INDEX(Timeline!$P$5:$AN$305,0,MATCH($A29,Timeline!$P$4:$AN$4,0))="x")*(Timeline!$K$5:$K$305="Task")*ISNUMBER(Timeline!$I$5:$I$305)*ISNUMBER(Timeline!$J$5:$J$305)*(Timeline!$I$5:$I$305&lt;=F$4+6)*(Timeline!$J$5:$J$305&gt;=F$4+6)))</f>
        <v>0</v>
      </c>
      <c r="G29" s="67">
        <f>MAX(SUMPRODUCT((INDEX(Timeline!$P$5:$AN$305,0,MATCH($A29,Timeline!$P$4:$AN$4,0))="x")*(Timeline!$K$5:$K$305="Task")*ISNUMBER(Timeline!$I$5:$I$305)*ISNUMBER(Timeline!$J$5:$J$305)*(Timeline!$I$5:$I$305&lt;=G$4+0)*(Timeline!$J$5:$J$305&gt;=G$4+0)),SUMPRODUCT((INDEX(Timeline!$P$5:$AN$305,0,MATCH($A29,Timeline!$P$4:$AN$4,0))="x")*(Timeline!$K$5:$K$305="Task")*ISNUMBER(Timeline!$I$5:$I$305)*ISNUMBER(Timeline!$J$5:$J$305)*(Timeline!$I$5:$I$305&lt;=G$4+1)*(Timeline!$J$5:$J$305&gt;=G$4+1)),SUMPRODUCT((INDEX(Timeline!$P$5:$AN$305,0,MATCH($A29,Timeline!$P$4:$AN$4,0))="x")*(Timeline!$K$5:$K$305="Task")*ISNUMBER(Timeline!$I$5:$I$305)*ISNUMBER(Timeline!$J$5:$J$305)*(Timeline!$I$5:$I$305&lt;=G$4+2)*(Timeline!$J$5:$J$305&gt;=G$4+2)),SUMPRODUCT((INDEX(Timeline!$P$5:$AN$305,0,MATCH($A29,Timeline!$P$4:$AN$4,0))="x")*(Timeline!$K$5:$K$305="Task")*ISNUMBER(Timeline!$I$5:$I$305)*ISNUMBER(Timeline!$J$5:$J$305)*(Timeline!$I$5:$I$305&lt;=G$4+3)*(Timeline!$J$5:$J$305&gt;=G$4+3)),SUMPRODUCT((INDEX(Timeline!$P$5:$AN$305,0,MATCH($A29,Timeline!$P$4:$AN$4,0))="x")*(Timeline!$K$5:$K$305="Task")*ISNUMBER(Timeline!$I$5:$I$305)*ISNUMBER(Timeline!$J$5:$J$305)*(Timeline!$I$5:$I$305&lt;=G$4+4)*(Timeline!$J$5:$J$305&gt;=G$4+4)),SUMPRODUCT((INDEX(Timeline!$P$5:$AN$305,0,MATCH($A29,Timeline!$P$4:$AN$4,0))="x")*(Timeline!$K$5:$K$305="Task")*ISNUMBER(Timeline!$I$5:$I$305)*ISNUMBER(Timeline!$J$5:$J$305)*(Timeline!$I$5:$I$305&lt;=G$4+5)*(Timeline!$J$5:$J$305&gt;=G$4+5)),SUMPRODUCT((INDEX(Timeline!$P$5:$AN$305,0,MATCH($A29,Timeline!$P$4:$AN$4,0))="x")*(Timeline!$K$5:$K$305="Task")*ISNUMBER(Timeline!$I$5:$I$305)*ISNUMBER(Timeline!$J$5:$J$305)*(Timeline!$I$5:$I$305&lt;=G$4+6)*(Timeline!$J$5:$J$305&gt;=G$4+6)))</f>
        <v>0</v>
      </c>
      <c r="H29" s="67">
        <f>MAX(SUMPRODUCT((INDEX(Timeline!$P$5:$AN$305,0,MATCH($A29,Timeline!$P$4:$AN$4,0))="x")*(Timeline!$K$5:$K$305="Task")*ISNUMBER(Timeline!$I$5:$I$305)*ISNUMBER(Timeline!$J$5:$J$305)*(Timeline!$I$5:$I$305&lt;=H$4+0)*(Timeline!$J$5:$J$305&gt;=H$4+0)),SUMPRODUCT((INDEX(Timeline!$P$5:$AN$305,0,MATCH($A29,Timeline!$P$4:$AN$4,0))="x")*(Timeline!$K$5:$K$305="Task")*ISNUMBER(Timeline!$I$5:$I$305)*ISNUMBER(Timeline!$J$5:$J$305)*(Timeline!$I$5:$I$305&lt;=H$4+1)*(Timeline!$J$5:$J$305&gt;=H$4+1)),SUMPRODUCT((INDEX(Timeline!$P$5:$AN$305,0,MATCH($A29,Timeline!$P$4:$AN$4,0))="x")*(Timeline!$K$5:$K$305="Task")*ISNUMBER(Timeline!$I$5:$I$305)*ISNUMBER(Timeline!$J$5:$J$305)*(Timeline!$I$5:$I$305&lt;=H$4+2)*(Timeline!$J$5:$J$305&gt;=H$4+2)),SUMPRODUCT((INDEX(Timeline!$P$5:$AN$305,0,MATCH($A29,Timeline!$P$4:$AN$4,0))="x")*(Timeline!$K$5:$K$305="Task")*ISNUMBER(Timeline!$I$5:$I$305)*ISNUMBER(Timeline!$J$5:$J$305)*(Timeline!$I$5:$I$305&lt;=H$4+3)*(Timeline!$J$5:$J$305&gt;=H$4+3)),SUMPRODUCT((INDEX(Timeline!$P$5:$AN$305,0,MATCH($A29,Timeline!$P$4:$AN$4,0))="x")*(Timeline!$K$5:$K$305="Task")*ISNUMBER(Timeline!$I$5:$I$305)*ISNUMBER(Timeline!$J$5:$J$305)*(Timeline!$I$5:$I$305&lt;=H$4+4)*(Timeline!$J$5:$J$305&gt;=H$4+4)),SUMPRODUCT((INDEX(Timeline!$P$5:$AN$305,0,MATCH($A29,Timeline!$P$4:$AN$4,0))="x")*(Timeline!$K$5:$K$305="Task")*ISNUMBER(Timeline!$I$5:$I$305)*ISNUMBER(Timeline!$J$5:$J$305)*(Timeline!$I$5:$I$305&lt;=H$4+5)*(Timeline!$J$5:$J$305&gt;=H$4+5)),SUMPRODUCT((INDEX(Timeline!$P$5:$AN$305,0,MATCH($A29,Timeline!$P$4:$AN$4,0))="x")*(Timeline!$K$5:$K$305="Task")*ISNUMBER(Timeline!$I$5:$I$305)*ISNUMBER(Timeline!$J$5:$J$305)*(Timeline!$I$5:$I$305&lt;=H$4+6)*(Timeline!$J$5:$J$305&gt;=H$4+6)))</f>
        <v>0</v>
      </c>
      <c r="I29" s="67">
        <f>MAX(SUMPRODUCT((INDEX(Timeline!$P$5:$AN$305,0,MATCH($A29,Timeline!$P$4:$AN$4,0))="x")*(Timeline!$K$5:$K$305="Task")*ISNUMBER(Timeline!$I$5:$I$305)*ISNUMBER(Timeline!$J$5:$J$305)*(Timeline!$I$5:$I$305&lt;=I$4+0)*(Timeline!$J$5:$J$305&gt;=I$4+0)),SUMPRODUCT((INDEX(Timeline!$P$5:$AN$305,0,MATCH($A29,Timeline!$P$4:$AN$4,0))="x")*(Timeline!$K$5:$K$305="Task")*ISNUMBER(Timeline!$I$5:$I$305)*ISNUMBER(Timeline!$J$5:$J$305)*(Timeline!$I$5:$I$305&lt;=I$4+1)*(Timeline!$J$5:$J$305&gt;=I$4+1)),SUMPRODUCT((INDEX(Timeline!$P$5:$AN$305,0,MATCH($A29,Timeline!$P$4:$AN$4,0))="x")*(Timeline!$K$5:$K$305="Task")*ISNUMBER(Timeline!$I$5:$I$305)*ISNUMBER(Timeline!$J$5:$J$305)*(Timeline!$I$5:$I$305&lt;=I$4+2)*(Timeline!$J$5:$J$305&gt;=I$4+2)),SUMPRODUCT((INDEX(Timeline!$P$5:$AN$305,0,MATCH($A29,Timeline!$P$4:$AN$4,0))="x")*(Timeline!$K$5:$K$305="Task")*ISNUMBER(Timeline!$I$5:$I$305)*ISNUMBER(Timeline!$J$5:$J$305)*(Timeline!$I$5:$I$305&lt;=I$4+3)*(Timeline!$J$5:$J$305&gt;=I$4+3)),SUMPRODUCT((INDEX(Timeline!$P$5:$AN$305,0,MATCH($A29,Timeline!$P$4:$AN$4,0))="x")*(Timeline!$K$5:$K$305="Task")*ISNUMBER(Timeline!$I$5:$I$305)*ISNUMBER(Timeline!$J$5:$J$305)*(Timeline!$I$5:$I$305&lt;=I$4+4)*(Timeline!$J$5:$J$305&gt;=I$4+4)),SUMPRODUCT((INDEX(Timeline!$P$5:$AN$305,0,MATCH($A29,Timeline!$P$4:$AN$4,0))="x")*(Timeline!$K$5:$K$305="Task")*ISNUMBER(Timeline!$I$5:$I$305)*ISNUMBER(Timeline!$J$5:$J$305)*(Timeline!$I$5:$I$305&lt;=I$4+5)*(Timeline!$J$5:$J$305&gt;=I$4+5)),SUMPRODUCT((INDEX(Timeline!$P$5:$AN$305,0,MATCH($A29,Timeline!$P$4:$AN$4,0))="x")*(Timeline!$K$5:$K$305="Task")*ISNUMBER(Timeline!$I$5:$I$305)*ISNUMBER(Timeline!$J$5:$J$305)*(Timeline!$I$5:$I$305&lt;=I$4+6)*(Timeline!$J$5:$J$305&gt;=I$4+6)))</f>
        <v>0</v>
      </c>
      <c r="J29" s="67">
        <f>MAX(SUMPRODUCT((INDEX(Timeline!$P$5:$AN$305,0,MATCH($A29,Timeline!$P$4:$AN$4,0))="x")*(Timeline!$K$5:$K$305="Task")*ISNUMBER(Timeline!$I$5:$I$305)*ISNUMBER(Timeline!$J$5:$J$305)*(Timeline!$I$5:$I$305&lt;=J$4+0)*(Timeline!$J$5:$J$305&gt;=J$4+0)),SUMPRODUCT((INDEX(Timeline!$P$5:$AN$305,0,MATCH($A29,Timeline!$P$4:$AN$4,0))="x")*(Timeline!$K$5:$K$305="Task")*ISNUMBER(Timeline!$I$5:$I$305)*ISNUMBER(Timeline!$J$5:$J$305)*(Timeline!$I$5:$I$305&lt;=J$4+1)*(Timeline!$J$5:$J$305&gt;=J$4+1)),SUMPRODUCT((INDEX(Timeline!$P$5:$AN$305,0,MATCH($A29,Timeline!$P$4:$AN$4,0))="x")*(Timeline!$K$5:$K$305="Task")*ISNUMBER(Timeline!$I$5:$I$305)*ISNUMBER(Timeline!$J$5:$J$305)*(Timeline!$I$5:$I$305&lt;=J$4+2)*(Timeline!$J$5:$J$305&gt;=J$4+2)),SUMPRODUCT((INDEX(Timeline!$P$5:$AN$305,0,MATCH($A29,Timeline!$P$4:$AN$4,0))="x")*(Timeline!$K$5:$K$305="Task")*ISNUMBER(Timeline!$I$5:$I$305)*ISNUMBER(Timeline!$J$5:$J$305)*(Timeline!$I$5:$I$305&lt;=J$4+3)*(Timeline!$J$5:$J$305&gt;=J$4+3)),SUMPRODUCT((INDEX(Timeline!$P$5:$AN$305,0,MATCH($A29,Timeline!$P$4:$AN$4,0))="x")*(Timeline!$K$5:$K$305="Task")*ISNUMBER(Timeline!$I$5:$I$305)*ISNUMBER(Timeline!$J$5:$J$305)*(Timeline!$I$5:$I$305&lt;=J$4+4)*(Timeline!$J$5:$J$305&gt;=J$4+4)),SUMPRODUCT((INDEX(Timeline!$P$5:$AN$305,0,MATCH($A29,Timeline!$P$4:$AN$4,0))="x")*(Timeline!$K$5:$K$305="Task")*ISNUMBER(Timeline!$I$5:$I$305)*ISNUMBER(Timeline!$J$5:$J$305)*(Timeline!$I$5:$I$305&lt;=J$4+5)*(Timeline!$J$5:$J$305&gt;=J$4+5)),SUMPRODUCT((INDEX(Timeline!$P$5:$AN$305,0,MATCH($A29,Timeline!$P$4:$AN$4,0))="x")*(Timeline!$K$5:$K$305="Task")*ISNUMBER(Timeline!$I$5:$I$305)*ISNUMBER(Timeline!$J$5:$J$305)*(Timeline!$I$5:$I$305&lt;=J$4+6)*(Timeline!$J$5:$J$305&gt;=J$4+6)))</f>
        <v>0</v>
      </c>
      <c r="K29" s="67">
        <f>MAX(SUMPRODUCT((INDEX(Timeline!$P$5:$AN$305,0,MATCH($A29,Timeline!$P$4:$AN$4,0))="x")*(Timeline!$K$5:$K$305="Task")*ISNUMBER(Timeline!$I$5:$I$305)*ISNUMBER(Timeline!$J$5:$J$305)*(Timeline!$I$5:$I$305&lt;=K$4+0)*(Timeline!$J$5:$J$305&gt;=K$4+0)),SUMPRODUCT((INDEX(Timeline!$P$5:$AN$305,0,MATCH($A29,Timeline!$P$4:$AN$4,0))="x")*(Timeline!$K$5:$K$305="Task")*ISNUMBER(Timeline!$I$5:$I$305)*ISNUMBER(Timeline!$J$5:$J$305)*(Timeline!$I$5:$I$305&lt;=K$4+1)*(Timeline!$J$5:$J$305&gt;=K$4+1)),SUMPRODUCT((INDEX(Timeline!$P$5:$AN$305,0,MATCH($A29,Timeline!$P$4:$AN$4,0))="x")*(Timeline!$K$5:$K$305="Task")*ISNUMBER(Timeline!$I$5:$I$305)*ISNUMBER(Timeline!$J$5:$J$305)*(Timeline!$I$5:$I$305&lt;=K$4+2)*(Timeline!$J$5:$J$305&gt;=K$4+2)),SUMPRODUCT((INDEX(Timeline!$P$5:$AN$305,0,MATCH($A29,Timeline!$P$4:$AN$4,0))="x")*(Timeline!$K$5:$K$305="Task")*ISNUMBER(Timeline!$I$5:$I$305)*ISNUMBER(Timeline!$J$5:$J$305)*(Timeline!$I$5:$I$305&lt;=K$4+3)*(Timeline!$J$5:$J$305&gt;=K$4+3)),SUMPRODUCT((INDEX(Timeline!$P$5:$AN$305,0,MATCH($A29,Timeline!$P$4:$AN$4,0))="x")*(Timeline!$K$5:$K$305="Task")*ISNUMBER(Timeline!$I$5:$I$305)*ISNUMBER(Timeline!$J$5:$J$305)*(Timeline!$I$5:$I$305&lt;=K$4+4)*(Timeline!$J$5:$J$305&gt;=K$4+4)),SUMPRODUCT((INDEX(Timeline!$P$5:$AN$305,0,MATCH($A29,Timeline!$P$4:$AN$4,0))="x")*(Timeline!$K$5:$K$305="Task")*ISNUMBER(Timeline!$I$5:$I$305)*ISNUMBER(Timeline!$J$5:$J$305)*(Timeline!$I$5:$I$305&lt;=K$4+5)*(Timeline!$J$5:$J$305&gt;=K$4+5)),SUMPRODUCT((INDEX(Timeline!$P$5:$AN$305,0,MATCH($A29,Timeline!$P$4:$AN$4,0))="x")*(Timeline!$K$5:$K$305="Task")*ISNUMBER(Timeline!$I$5:$I$305)*ISNUMBER(Timeline!$J$5:$J$305)*(Timeline!$I$5:$I$305&lt;=K$4+6)*(Timeline!$J$5:$J$305&gt;=K$4+6)))</f>
        <v>0</v>
      </c>
      <c r="L29" s="67">
        <f>MAX(SUMPRODUCT((INDEX(Timeline!$P$5:$AN$305,0,MATCH($A29,Timeline!$P$4:$AN$4,0))="x")*(Timeline!$K$5:$K$305="Task")*ISNUMBER(Timeline!$I$5:$I$305)*ISNUMBER(Timeline!$J$5:$J$305)*(Timeline!$I$5:$I$305&lt;=L$4+0)*(Timeline!$J$5:$J$305&gt;=L$4+0)),SUMPRODUCT((INDEX(Timeline!$P$5:$AN$305,0,MATCH($A29,Timeline!$P$4:$AN$4,0))="x")*(Timeline!$K$5:$K$305="Task")*ISNUMBER(Timeline!$I$5:$I$305)*ISNUMBER(Timeline!$J$5:$J$305)*(Timeline!$I$5:$I$305&lt;=L$4+1)*(Timeline!$J$5:$J$305&gt;=L$4+1)),SUMPRODUCT((INDEX(Timeline!$P$5:$AN$305,0,MATCH($A29,Timeline!$P$4:$AN$4,0))="x")*(Timeline!$K$5:$K$305="Task")*ISNUMBER(Timeline!$I$5:$I$305)*ISNUMBER(Timeline!$J$5:$J$305)*(Timeline!$I$5:$I$305&lt;=L$4+2)*(Timeline!$J$5:$J$305&gt;=L$4+2)),SUMPRODUCT((INDEX(Timeline!$P$5:$AN$305,0,MATCH($A29,Timeline!$P$4:$AN$4,0))="x")*(Timeline!$K$5:$K$305="Task")*ISNUMBER(Timeline!$I$5:$I$305)*ISNUMBER(Timeline!$J$5:$J$305)*(Timeline!$I$5:$I$305&lt;=L$4+3)*(Timeline!$J$5:$J$305&gt;=L$4+3)),SUMPRODUCT((INDEX(Timeline!$P$5:$AN$305,0,MATCH($A29,Timeline!$P$4:$AN$4,0))="x")*(Timeline!$K$5:$K$305="Task")*ISNUMBER(Timeline!$I$5:$I$305)*ISNUMBER(Timeline!$J$5:$J$305)*(Timeline!$I$5:$I$305&lt;=L$4+4)*(Timeline!$J$5:$J$305&gt;=L$4+4)),SUMPRODUCT((INDEX(Timeline!$P$5:$AN$305,0,MATCH($A29,Timeline!$P$4:$AN$4,0))="x")*(Timeline!$K$5:$K$305="Task")*ISNUMBER(Timeline!$I$5:$I$305)*ISNUMBER(Timeline!$J$5:$J$305)*(Timeline!$I$5:$I$305&lt;=L$4+5)*(Timeline!$J$5:$J$305&gt;=L$4+5)),SUMPRODUCT((INDEX(Timeline!$P$5:$AN$305,0,MATCH($A29,Timeline!$P$4:$AN$4,0))="x")*(Timeline!$K$5:$K$305="Task")*ISNUMBER(Timeline!$I$5:$I$305)*ISNUMBER(Timeline!$J$5:$J$305)*(Timeline!$I$5:$I$305&lt;=L$4+6)*(Timeline!$J$5:$J$305&gt;=L$4+6)))</f>
        <v>0</v>
      </c>
      <c r="M29" s="67">
        <f>MAX(SUMPRODUCT((INDEX(Timeline!$P$5:$AN$305,0,MATCH($A29,Timeline!$P$4:$AN$4,0))="x")*(Timeline!$K$5:$K$305="Task")*ISNUMBER(Timeline!$I$5:$I$305)*ISNUMBER(Timeline!$J$5:$J$305)*(Timeline!$I$5:$I$305&lt;=M$4+0)*(Timeline!$J$5:$J$305&gt;=M$4+0)),SUMPRODUCT((INDEX(Timeline!$P$5:$AN$305,0,MATCH($A29,Timeline!$P$4:$AN$4,0))="x")*(Timeline!$K$5:$K$305="Task")*ISNUMBER(Timeline!$I$5:$I$305)*ISNUMBER(Timeline!$J$5:$J$305)*(Timeline!$I$5:$I$305&lt;=M$4+1)*(Timeline!$J$5:$J$305&gt;=M$4+1)),SUMPRODUCT((INDEX(Timeline!$P$5:$AN$305,0,MATCH($A29,Timeline!$P$4:$AN$4,0))="x")*(Timeline!$K$5:$K$305="Task")*ISNUMBER(Timeline!$I$5:$I$305)*ISNUMBER(Timeline!$J$5:$J$305)*(Timeline!$I$5:$I$305&lt;=M$4+2)*(Timeline!$J$5:$J$305&gt;=M$4+2)),SUMPRODUCT((INDEX(Timeline!$P$5:$AN$305,0,MATCH($A29,Timeline!$P$4:$AN$4,0))="x")*(Timeline!$K$5:$K$305="Task")*ISNUMBER(Timeline!$I$5:$I$305)*ISNUMBER(Timeline!$J$5:$J$305)*(Timeline!$I$5:$I$305&lt;=M$4+3)*(Timeline!$J$5:$J$305&gt;=M$4+3)),SUMPRODUCT((INDEX(Timeline!$P$5:$AN$305,0,MATCH($A29,Timeline!$P$4:$AN$4,0))="x")*(Timeline!$K$5:$K$305="Task")*ISNUMBER(Timeline!$I$5:$I$305)*ISNUMBER(Timeline!$J$5:$J$305)*(Timeline!$I$5:$I$305&lt;=M$4+4)*(Timeline!$J$5:$J$305&gt;=M$4+4)),SUMPRODUCT((INDEX(Timeline!$P$5:$AN$305,0,MATCH($A29,Timeline!$P$4:$AN$4,0))="x")*(Timeline!$K$5:$K$305="Task")*ISNUMBER(Timeline!$I$5:$I$305)*ISNUMBER(Timeline!$J$5:$J$305)*(Timeline!$I$5:$I$305&lt;=M$4+5)*(Timeline!$J$5:$J$305&gt;=M$4+5)),SUMPRODUCT((INDEX(Timeline!$P$5:$AN$305,0,MATCH($A29,Timeline!$P$4:$AN$4,0))="x")*(Timeline!$K$5:$K$305="Task")*ISNUMBER(Timeline!$I$5:$I$305)*ISNUMBER(Timeline!$J$5:$J$305)*(Timeline!$I$5:$I$305&lt;=M$4+6)*(Timeline!$J$5:$J$305&gt;=M$4+6)))</f>
        <v>0</v>
      </c>
      <c r="N29" s="67">
        <f>MAX(SUMPRODUCT((INDEX(Timeline!$P$5:$AN$305,0,MATCH($A29,Timeline!$P$4:$AN$4,0))="x")*(Timeline!$K$5:$K$305="Task")*ISNUMBER(Timeline!$I$5:$I$305)*ISNUMBER(Timeline!$J$5:$J$305)*(Timeline!$I$5:$I$305&lt;=N$4+0)*(Timeline!$J$5:$J$305&gt;=N$4+0)),SUMPRODUCT((INDEX(Timeline!$P$5:$AN$305,0,MATCH($A29,Timeline!$P$4:$AN$4,0))="x")*(Timeline!$K$5:$K$305="Task")*ISNUMBER(Timeline!$I$5:$I$305)*ISNUMBER(Timeline!$J$5:$J$305)*(Timeline!$I$5:$I$305&lt;=N$4+1)*(Timeline!$J$5:$J$305&gt;=N$4+1)),SUMPRODUCT((INDEX(Timeline!$P$5:$AN$305,0,MATCH($A29,Timeline!$P$4:$AN$4,0))="x")*(Timeline!$K$5:$K$305="Task")*ISNUMBER(Timeline!$I$5:$I$305)*ISNUMBER(Timeline!$J$5:$J$305)*(Timeline!$I$5:$I$305&lt;=N$4+2)*(Timeline!$J$5:$J$305&gt;=N$4+2)),SUMPRODUCT((INDEX(Timeline!$P$5:$AN$305,0,MATCH($A29,Timeline!$P$4:$AN$4,0))="x")*(Timeline!$K$5:$K$305="Task")*ISNUMBER(Timeline!$I$5:$I$305)*ISNUMBER(Timeline!$J$5:$J$305)*(Timeline!$I$5:$I$305&lt;=N$4+3)*(Timeline!$J$5:$J$305&gt;=N$4+3)),SUMPRODUCT((INDEX(Timeline!$P$5:$AN$305,0,MATCH($A29,Timeline!$P$4:$AN$4,0))="x")*(Timeline!$K$5:$K$305="Task")*ISNUMBER(Timeline!$I$5:$I$305)*ISNUMBER(Timeline!$J$5:$J$305)*(Timeline!$I$5:$I$305&lt;=N$4+4)*(Timeline!$J$5:$J$305&gt;=N$4+4)),SUMPRODUCT((INDEX(Timeline!$P$5:$AN$305,0,MATCH($A29,Timeline!$P$4:$AN$4,0))="x")*(Timeline!$K$5:$K$305="Task")*ISNUMBER(Timeline!$I$5:$I$305)*ISNUMBER(Timeline!$J$5:$J$305)*(Timeline!$I$5:$I$305&lt;=N$4+5)*(Timeline!$J$5:$J$305&gt;=N$4+5)),SUMPRODUCT((INDEX(Timeline!$P$5:$AN$305,0,MATCH($A29,Timeline!$P$4:$AN$4,0))="x")*(Timeline!$K$5:$K$305="Task")*ISNUMBER(Timeline!$I$5:$I$305)*ISNUMBER(Timeline!$J$5:$J$305)*(Timeline!$I$5:$I$305&lt;=N$4+6)*(Timeline!$J$5:$J$305&gt;=N$4+6)))</f>
        <v>0</v>
      </c>
      <c r="O29" s="67">
        <f>MAX(SUMPRODUCT((INDEX(Timeline!$P$5:$AN$305,0,MATCH($A29,Timeline!$P$4:$AN$4,0))="x")*(Timeline!$K$5:$K$305="Task")*ISNUMBER(Timeline!$I$5:$I$305)*ISNUMBER(Timeline!$J$5:$J$305)*(Timeline!$I$5:$I$305&lt;=O$4+0)*(Timeline!$J$5:$J$305&gt;=O$4+0)),SUMPRODUCT((INDEX(Timeline!$P$5:$AN$305,0,MATCH($A29,Timeline!$P$4:$AN$4,0))="x")*(Timeline!$K$5:$K$305="Task")*ISNUMBER(Timeline!$I$5:$I$305)*ISNUMBER(Timeline!$J$5:$J$305)*(Timeline!$I$5:$I$305&lt;=O$4+1)*(Timeline!$J$5:$J$305&gt;=O$4+1)),SUMPRODUCT((INDEX(Timeline!$P$5:$AN$305,0,MATCH($A29,Timeline!$P$4:$AN$4,0))="x")*(Timeline!$K$5:$K$305="Task")*ISNUMBER(Timeline!$I$5:$I$305)*ISNUMBER(Timeline!$J$5:$J$305)*(Timeline!$I$5:$I$305&lt;=O$4+2)*(Timeline!$J$5:$J$305&gt;=O$4+2)),SUMPRODUCT((INDEX(Timeline!$P$5:$AN$305,0,MATCH($A29,Timeline!$P$4:$AN$4,0))="x")*(Timeline!$K$5:$K$305="Task")*ISNUMBER(Timeline!$I$5:$I$305)*ISNUMBER(Timeline!$J$5:$J$305)*(Timeline!$I$5:$I$305&lt;=O$4+3)*(Timeline!$J$5:$J$305&gt;=O$4+3)),SUMPRODUCT((INDEX(Timeline!$P$5:$AN$305,0,MATCH($A29,Timeline!$P$4:$AN$4,0))="x")*(Timeline!$K$5:$K$305="Task")*ISNUMBER(Timeline!$I$5:$I$305)*ISNUMBER(Timeline!$J$5:$J$305)*(Timeline!$I$5:$I$305&lt;=O$4+4)*(Timeline!$J$5:$J$305&gt;=O$4+4)),SUMPRODUCT((INDEX(Timeline!$P$5:$AN$305,0,MATCH($A29,Timeline!$P$4:$AN$4,0))="x")*(Timeline!$K$5:$K$305="Task")*ISNUMBER(Timeline!$I$5:$I$305)*ISNUMBER(Timeline!$J$5:$J$305)*(Timeline!$I$5:$I$305&lt;=O$4+5)*(Timeline!$J$5:$J$305&gt;=O$4+5)),SUMPRODUCT((INDEX(Timeline!$P$5:$AN$305,0,MATCH($A29,Timeline!$P$4:$AN$4,0))="x")*(Timeline!$K$5:$K$305="Task")*ISNUMBER(Timeline!$I$5:$I$305)*ISNUMBER(Timeline!$J$5:$J$305)*(Timeline!$I$5:$I$305&lt;=O$4+6)*(Timeline!$J$5:$J$305&gt;=O$4+6)))</f>
        <v>0</v>
      </c>
      <c r="P29" s="67">
        <f>MAX(SUMPRODUCT((INDEX(Timeline!$P$5:$AN$305,0,MATCH($A29,Timeline!$P$4:$AN$4,0))="x")*(Timeline!$K$5:$K$305="Task")*ISNUMBER(Timeline!$I$5:$I$305)*ISNUMBER(Timeline!$J$5:$J$305)*(Timeline!$I$5:$I$305&lt;=P$4+0)*(Timeline!$J$5:$J$305&gt;=P$4+0)),SUMPRODUCT((INDEX(Timeline!$P$5:$AN$305,0,MATCH($A29,Timeline!$P$4:$AN$4,0))="x")*(Timeline!$K$5:$K$305="Task")*ISNUMBER(Timeline!$I$5:$I$305)*ISNUMBER(Timeline!$J$5:$J$305)*(Timeline!$I$5:$I$305&lt;=P$4+1)*(Timeline!$J$5:$J$305&gt;=P$4+1)),SUMPRODUCT((INDEX(Timeline!$P$5:$AN$305,0,MATCH($A29,Timeline!$P$4:$AN$4,0))="x")*(Timeline!$K$5:$K$305="Task")*ISNUMBER(Timeline!$I$5:$I$305)*ISNUMBER(Timeline!$J$5:$J$305)*(Timeline!$I$5:$I$305&lt;=P$4+2)*(Timeline!$J$5:$J$305&gt;=P$4+2)),SUMPRODUCT((INDEX(Timeline!$P$5:$AN$305,0,MATCH($A29,Timeline!$P$4:$AN$4,0))="x")*(Timeline!$K$5:$K$305="Task")*ISNUMBER(Timeline!$I$5:$I$305)*ISNUMBER(Timeline!$J$5:$J$305)*(Timeline!$I$5:$I$305&lt;=P$4+3)*(Timeline!$J$5:$J$305&gt;=P$4+3)),SUMPRODUCT((INDEX(Timeline!$P$5:$AN$305,0,MATCH($A29,Timeline!$P$4:$AN$4,0))="x")*(Timeline!$K$5:$K$305="Task")*ISNUMBER(Timeline!$I$5:$I$305)*ISNUMBER(Timeline!$J$5:$J$305)*(Timeline!$I$5:$I$305&lt;=P$4+4)*(Timeline!$J$5:$J$305&gt;=P$4+4)),SUMPRODUCT((INDEX(Timeline!$P$5:$AN$305,0,MATCH($A29,Timeline!$P$4:$AN$4,0))="x")*(Timeline!$K$5:$K$305="Task")*ISNUMBER(Timeline!$I$5:$I$305)*ISNUMBER(Timeline!$J$5:$J$305)*(Timeline!$I$5:$I$305&lt;=P$4+5)*(Timeline!$J$5:$J$305&gt;=P$4+5)),SUMPRODUCT((INDEX(Timeline!$P$5:$AN$305,0,MATCH($A29,Timeline!$P$4:$AN$4,0))="x")*(Timeline!$K$5:$K$305="Task")*ISNUMBER(Timeline!$I$5:$I$305)*ISNUMBER(Timeline!$J$5:$J$305)*(Timeline!$I$5:$I$305&lt;=P$4+6)*(Timeline!$J$5:$J$305&gt;=P$4+6)))</f>
        <v>0</v>
      </c>
      <c r="Q29" s="67">
        <f>MAX(SUMPRODUCT((INDEX(Timeline!$P$5:$AN$305,0,MATCH($A29,Timeline!$P$4:$AN$4,0))="x")*(Timeline!$K$5:$K$305="Task")*ISNUMBER(Timeline!$I$5:$I$305)*ISNUMBER(Timeline!$J$5:$J$305)*(Timeline!$I$5:$I$305&lt;=Q$4+0)*(Timeline!$J$5:$J$305&gt;=Q$4+0)),SUMPRODUCT((INDEX(Timeline!$P$5:$AN$305,0,MATCH($A29,Timeline!$P$4:$AN$4,0))="x")*(Timeline!$K$5:$K$305="Task")*ISNUMBER(Timeline!$I$5:$I$305)*ISNUMBER(Timeline!$J$5:$J$305)*(Timeline!$I$5:$I$305&lt;=Q$4+1)*(Timeline!$J$5:$J$305&gt;=Q$4+1)),SUMPRODUCT((INDEX(Timeline!$P$5:$AN$305,0,MATCH($A29,Timeline!$P$4:$AN$4,0))="x")*(Timeline!$K$5:$K$305="Task")*ISNUMBER(Timeline!$I$5:$I$305)*ISNUMBER(Timeline!$J$5:$J$305)*(Timeline!$I$5:$I$305&lt;=Q$4+2)*(Timeline!$J$5:$J$305&gt;=Q$4+2)),SUMPRODUCT((INDEX(Timeline!$P$5:$AN$305,0,MATCH($A29,Timeline!$P$4:$AN$4,0))="x")*(Timeline!$K$5:$K$305="Task")*ISNUMBER(Timeline!$I$5:$I$305)*ISNUMBER(Timeline!$J$5:$J$305)*(Timeline!$I$5:$I$305&lt;=Q$4+3)*(Timeline!$J$5:$J$305&gt;=Q$4+3)),SUMPRODUCT((INDEX(Timeline!$P$5:$AN$305,0,MATCH($A29,Timeline!$P$4:$AN$4,0))="x")*(Timeline!$K$5:$K$305="Task")*ISNUMBER(Timeline!$I$5:$I$305)*ISNUMBER(Timeline!$J$5:$J$305)*(Timeline!$I$5:$I$305&lt;=Q$4+4)*(Timeline!$J$5:$J$305&gt;=Q$4+4)),SUMPRODUCT((INDEX(Timeline!$P$5:$AN$305,0,MATCH($A29,Timeline!$P$4:$AN$4,0))="x")*(Timeline!$K$5:$K$305="Task")*ISNUMBER(Timeline!$I$5:$I$305)*ISNUMBER(Timeline!$J$5:$J$305)*(Timeline!$I$5:$I$305&lt;=Q$4+5)*(Timeline!$J$5:$J$305&gt;=Q$4+5)),SUMPRODUCT((INDEX(Timeline!$P$5:$AN$305,0,MATCH($A29,Timeline!$P$4:$AN$4,0))="x")*(Timeline!$K$5:$K$305="Task")*ISNUMBER(Timeline!$I$5:$I$305)*ISNUMBER(Timeline!$J$5:$J$305)*(Timeline!$I$5:$I$305&lt;=Q$4+6)*(Timeline!$J$5:$J$305&gt;=Q$4+6)))</f>
        <v>0</v>
      </c>
      <c r="R29" s="67">
        <f>MAX(SUMPRODUCT((INDEX(Timeline!$P$5:$AN$305,0,MATCH($A29,Timeline!$P$4:$AN$4,0))="x")*(Timeline!$K$5:$K$305="Task")*ISNUMBER(Timeline!$I$5:$I$305)*ISNUMBER(Timeline!$J$5:$J$305)*(Timeline!$I$5:$I$305&lt;=R$4+0)*(Timeline!$J$5:$J$305&gt;=R$4+0)),SUMPRODUCT((INDEX(Timeline!$P$5:$AN$305,0,MATCH($A29,Timeline!$P$4:$AN$4,0))="x")*(Timeline!$K$5:$K$305="Task")*ISNUMBER(Timeline!$I$5:$I$305)*ISNUMBER(Timeline!$J$5:$J$305)*(Timeline!$I$5:$I$305&lt;=R$4+1)*(Timeline!$J$5:$J$305&gt;=R$4+1)),SUMPRODUCT((INDEX(Timeline!$P$5:$AN$305,0,MATCH($A29,Timeline!$P$4:$AN$4,0))="x")*(Timeline!$K$5:$K$305="Task")*ISNUMBER(Timeline!$I$5:$I$305)*ISNUMBER(Timeline!$J$5:$J$305)*(Timeline!$I$5:$I$305&lt;=R$4+2)*(Timeline!$J$5:$J$305&gt;=R$4+2)),SUMPRODUCT((INDEX(Timeline!$P$5:$AN$305,0,MATCH($A29,Timeline!$P$4:$AN$4,0))="x")*(Timeline!$K$5:$K$305="Task")*ISNUMBER(Timeline!$I$5:$I$305)*ISNUMBER(Timeline!$J$5:$J$305)*(Timeline!$I$5:$I$305&lt;=R$4+3)*(Timeline!$J$5:$J$305&gt;=R$4+3)),SUMPRODUCT((INDEX(Timeline!$P$5:$AN$305,0,MATCH($A29,Timeline!$P$4:$AN$4,0))="x")*(Timeline!$K$5:$K$305="Task")*ISNUMBER(Timeline!$I$5:$I$305)*ISNUMBER(Timeline!$J$5:$J$305)*(Timeline!$I$5:$I$305&lt;=R$4+4)*(Timeline!$J$5:$J$305&gt;=R$4+4)),SUMPRODUCT((INDEX(Timeline!$P$5:$AN$305,0,MATCH($A29,Timeline!$P$4:$AN$4,0))="x")*(Timeline!$K$5:$K$305="Task")*ISNUMBER(Timeline!$I$5:$I$305)*ISNUMBER(Timeline!$J$5:$J$305)*(Timeline!$I$5:$I$305&lt;=R$4+5)*(Timeline!$J$5:$J$305&gt;=R$4+5)),SUMPRODUCT((INDEX(Timeline!$P$5:$AN$305,0,MATCH($A29,Timeline!$P$4:$AN$4,0))="x")*(Timeline!$K$5:$K$305="Task")*ISNUMBER(Timeline!$I$5:$I$305)*ISNUMBER(Timeline!$J$5:$J$305)*(Timeline!$I$5:$I$305&lt;=R$4+6)*(Timeline!$J$5:$J$305&gt;=R$4+6)))</f>
        <v>0</v>
      </c>
      <c r="S29" s="67">
        <f>MAX(SUMPRODUCT((INDEX(Timeline!$P$5:$AN$305,0,MATCH($A29,Timeline!$P$4:$AN$4,0))="x")*(Timeline!$K$5:$K$305="Task")*ISNUMBER(Timeline!$I$5:$I$305)*ISNUMBER(Timeline!$J$5:$J$305)*(Timeline!$I$5:$I$305&lt;=S$4+0)*(Timeline!$J$5:$J$305&gt;=S$4+0)),SUMPRODUCT((INDEX(Timeline!$P$5:$AN$305,0,MATCH($A29,Timeline!$P$4:$AN$4,0))="x")*(Timeline!$K$5:$K$305="Task")*ISNUMBER(Timeline!$I$5:$I$305)*ISNUMBER(Timeline!$J$5:$J$305)*(Timeline!$I$5:$I$305&lt;=S$4+1)*(Timeline!$J$5:$J$305&gt;=S$4+1)),SUMPRODUCT((INDEX(Timeline!$P$5:$AN$305,0,MATCH($A29,Timeline!$P$4:$AN$4,0))="x")*(Timeline!$K$5:$K$305="Task")*ISNUMBER(Timeline!$I$5:$I$305)*ISNUMBER(Timeline!$J$5:$J$305)*(Timeline!$I$5:$I$305&lt;=S$4+2)*(Timeline!$J$5:$J$305&gt;=S$4+2)),SUMPRODUCT((INDEX(Timeline!$P$5:$AN$305,0,MATCH($A29,Timeline!$P$4:$AN$4,0))="x")*(Timeline!$K$5:$K$305="Task")*ISNUMBER(Timeline!$I$5:$I$305)*ISNUMBER(Timeline!$J$5:$J$305)*(Timeline!$I$5:$I$305&lt;=S$4+3)*(Timeline!$J$5:$J$305&gt;=S$4+3)),SUMPRODUCT((INDEX(Timeline!$P$5:$AN$305,0,MATCH($A29,Timeline!$P$4:$AN$4,0))="x")*(Timeline!$K$5:$K$305="Task")*ISNUMBER(Timeline!$I$5:$I$305)*ISNUMBER(Timeline!$J$5:$J$305)*(Timeline!$I$5:$I$305&lt;=S$4+4)*(Timeline!$J$5:$J$305&gt;=S$4+4)),SUMPRODUCT((INDEX(Timeline!$P$5:$AN$305,0,MATCH($A29,Timeline!$P$4:$AN$4,0))="x")*(Timeline!$K$5:$K$305="Task")*ISNUMBER(Timeline!$I$5:$I$305)*ISNUMBER(Timeline!$J$5:$J$305)*(Timeline!$I$5:$I$305&lt;=S$4+5)*(Timeline!$J$5:$J$305&gt;=S$4+5)),SUMPRODUCT((INDEX(Timeline!$P$5:$AN$305,0,MATCH($A29,Timeline!$P$4:$AN$4,0))="x")*(Timeline!$K$5:$K$305="Task")*ISNUMBER(Timeline!$I$5:$I$305)*ISNUMBER(Timeline!$J$5:$J$305)*(Timeline!$I$5:$I$305&lt;=S$4+6)*(Timeline!$J$5:$J$305&gt;=S$4+6)))</f>
        <v>0</v>
      </c>
      <c r="T29" s="67">
        <f>MAX(SUMPRODUCT((INDEX(Timeline!$P$5:$AN$305,0,MATCH($A29,Timeline!$P$4:$AN$4,0))="x")*(Timeline!$K$5:$K$305="Task")*ISNUMBER(Timeline!$I$5:$I$305)*ISNUMBER(Timeline!$J$5:$J$305)*(Timeline!$I$5:$I$305&lt;=T$4+0)*(Timeline!$J$5:$J$305&gt;=T$4+0)),SUMPRODUCT((INDEX(Timeline!$P$5:$AN$305,0,MATCH($A29,Timeline!$P$4:$AN$4,0))="x")*(Timeline!$K$5:$K$305="Task")*ISNUMBER(Timeline!$I$5:$I$305)*ISNUMBER(Timeline!$J$5:$J$305)*(Timeline!$I$5:$I$305&lt;=T$4+1)*(Timeline!$J$5:$J$305&gt;=T$4+1)),SUMPRODUCT((INDEX(Timeline!$P$5:$AN$305,0,MATCH($A29,Timeline!$P$4:$AN$4,0))="x")*(Timeline!$K$5:$K$305="Task")*ISNUMBER(Timeline!$I$5:$I$305)*ISNUMBER(Timeline!$J$5:$J$305)*(Timeline!$I$5:$I$305&lt;=T$4+2)*(Timeline!$J$5:$J$305&gt;=T$4+2)),SUMPRODUCT((INDEX(Timeline!$P$5:$AN$305,0,MATCH($A29,Timeline!$P$4:$AN$4,0))="x")*(Timeline!$K$5:$K$305="Task")*ISNUMBER(Timeline!$I$5:$I$305)*ISNUMBER(Timeline!$J$5:$J$305)*(Timeline!$I$5:$I$305&lt;=T$4+3)*(Timeline!$J$5:$J$305&gt;=T$4+3)),SUMPRODUCT((INDEX(Timeline!$P$5:$AN$305,0,MATCH($A29,Timeline!$P$4:$AN$4,0))="x")*(Timeline!$K$5:$K$305="Task")*ISNUMBER(Timeline!$I$5:$I$305)*ISNUMBER(Timeline!$J$5:$J$305)*(Timeline!$I$5:$I$305&lt;=T$4+4)*(Timeline!$J$5:$J$305&gt;=T$4+4)),SUMPRODUCT((INDEX(Timeline!$P$5:$AN$305,0,MATCH($A29,Timeline!$P$4:$AN$4,0))="x")*(Timeline!$K$5:$K$305="Task")*ISNUMBER(Timeline!$I$5:$I$305)*ISNUMBER(Timeline!$J$5:$J$305)*(Timeline!$I$5:$I$305&lt;=T$4+5)*(Timeline!$J$5:$J$305&gt;=T$4+5)),SUMPRODUCT((INDEX(Timeline!$P$5:$AN$305,0,MATCH($A29,Timeline!$P$4:$AN$4,0))="x")*(Timeline!$K$5:$K$305="Task")*ISNUMBER(Timeline!$I$5:$I$305)*ISNUMBER(Timeline!$J$5:$J$305)*(Timeline!$I$5:$I$305&lt;=T$4+6)*(Timeline!$J$5:$J$305&gt;=T$4+6)))</f>
        <v>0</v>
      </c>
      <c r="U29" s="67">
        <f>MAX(SUMPRODUCT((INDEX(Timeline!$P$5:$AN$305,0,MATCH($A29,Timeline!$P$4:$AN$4,0))="x")*(Timeline!$K$5:$K$305="Task")*ISNUMBER(Timeline!$I$5:$I$305)*ISNUMBER(Timeline!$J$5:$J$305)*(Timeline!$I$5:$I$305&lt;=U$4+0)*(Timeline!$J$5:$J$305&gt;=U$4+0)),SUMPRODUCT((INDEX(Timeline!$P$5:$AN$305,0,MATCH($A29,Timeline!$P$4:$AN$4,0))="x")*(Timeline!$K$5:$K$305="Task")*ISNUMBER(Timeline!$I$5:$I$305)*ISNUMBER(Timeline!$J$5:$J$305)*(Timeline!$I$5:$I$305&lt;=U$4+1)*(Timeline!$J$5:$J$305&gt;=U$4+1)),SUMPRODUCT((INDEX(Timeline!$P$5:$AN$305,0,MATCH($A29,Timeline!$P$4:$AN$4,0))="x")*(Timeline!$K$5:$K$305="Task")*ISNUMBER(Timeline!$I$5:$I$305)*ISNUMBER(Timeline!$J$5:$J$305)*(Timeline!$I$5:$I$305&lt;=U$4+2)*(Timeline!$J$5:$J$305&gt;=U$4+2)),SUMPRODUCT((INDEX(Timeline!$P$5:$AN$305,0,MATCH($A29,Timeline!$P$4:$AN$4,0))="x")*(Timeline!$K$5:$K$305="Task")*ISNUMBER(Timeline!$I$5:$I$305)*ISNUMBER(Timeline!$J$5:$J$305)*(Timeline!$I$5:$I$305&lt;=U$4+3)*(Timeline!$J$5:$J$305&gt;=U$4+3)),SUMPRODUCT((INDEX(Timeline!$P$5:$AN$305,0,MATCH($A29,Timeline!$P$4:$AN$4,0))="x")*(Timeline!$K$5:$K$305="Task")*ISNUMBER(Timeline!$I$5:$I$305)*ISNUMBER(Timeline!$J$5:$J$305)*(Timeline!$I$5:$I$305&lt;=U$4+4)*(Timeline!$J$5:$J$305&gt;=U$4+4)),SUMPRODUCT((INDEX(Timeline!$P$5:$AN$305,0,MATCH($A29,Timeline!$P$4:$AN$4,0))="x")*(Timeline!$K$5:$K$305="Task")*ISNUMBER(Timeline!$I$5:$I$305)*ISNUMBER(Timeline!$J$5:$J$305)*(Timeline!$I$5:$I$305&lt;=U$4+5)*(Timeline!$J$5:$J$305&gt;=U$4+5)),SUMPRODUCT((INDEX(Timeline!$P$5:$AN$305,0,MATCH($A29,Timeline!$P$4:$AN$4,0))="x")*(Timeline!$K$5:$K$305="Task")*ISNUMBER(Timeline!$I$5:$I$305)*ISNUMBER(Timeline!$J$5:$J$305)*(Timeline!$I$5:$I$305&lt;=U$4+6)*(Timeline!$J$5:$J$305&gt;=U$4+6)))</f>
        <v>0</v>
      </c>
      <c r="V29" s="67">
        <f>MAX(SUMPRODUCT((INDEX(Timeline!$P$5:$AN$305,0,MATCH($A29,Timeline!$P$4:$AN$4,0))="x")*(Timeline!$K$5:$K$305="Task")*ISNUMBER(Timeline!$I$5:$I$305)*ISNUMBER(Timeline!$J$5:$J$305)*(Timeline!$I$5:$I$305&lt;=V$4+0)*(Timeline!$J$5:$J$305&gt;=V$4+0)),SUMPRODUCT((INDEX(Timeline!$P$5:$AN$305,0,MATCH($A29,Timeline!$P$4:$AN$4,0))="x")*(Timeline!$K$5:$K$305="Task")*ISNUMBER(Timeline!$I$5:$I$305)*ISNUMBER(Timeline!$J$5:$J$305)*(Timeline!$I$5:$I$305&lt;=V$4+1)*(Timeline!$J$5:$J$305&gt;=V$4+1)),SUMPRODUCT((INDEX(Timeline!$P$5:$AN$305,0,MATCH($A29,Timeline!$P$4:$AN$4,0))="x")*(Timeline!$K$5:$K$305="Task")*ISNUMBER(Timeline!$I$5:$I$305)*ISNUMBER(Timeline!$J$5:$J$305)*(Timeline!$I$5:$I$305&lt;=V$4+2)*(Timeline!$J$5:$J$305&gt;=V$4+2)),SUMPRODUCT((INDEX(Timeline!$P$5:$AN$305,0,MATCH($A29,Timeline!$P$4:$AN$4,0))="x")*(Timeline!$K$5:$K$305="Task")*ISNUMBER(Timeline!$I$5:$I$305)*ISNUMBER(Timeline!$J$5:$J$305)*(Timeline!$I$5:$I$305&lt;=V$4+3)*(Timeline!$J$5:$J$305&gt;=V$4+3)),SUMPRODUCT((INDEX(Timeline!$P$5:$AN$305,0,MATCH($A29,Timeline!$P$4:$AN$4,0))="x")*(Timeline!$K$5:$K$305="Task")*ISNUMBER(Timeline!$I$5:$I$305)*ISNUMBER(Timeline!$J$5:$J$305)*(Timeline!$I$5:$I$305&lt;=V$4+4)*(Timeline!$J$5:$J$305&gt;=V$4+4)),SUMPRODUCT((INDEX(Timeline!$P$5:$AN$305,0,MATCH($A29,Timeline!$P$4:$AN$4,0))="x")*(Timeline!$K$5:$K$305="Task")*ISNUMBER(Timeline!$I$5:$I$305)*ISNUMBER(Timeline!$J$5:$J$305)*(Timeline!$I$5:$I$305&lt;=V$4+5)*(Timeline!$J$5:$J$305&gt;=V$4+5)),SUMPRODUCT((INDEX(Timeline!$P$5:$AN$305,0,MATCH($A29,Timeline!$P$4:$AN$4,0))="x")*(Timeline!$K$5:$K$305="Task")*ISNUMBER(Timeline!$I$5:$I$305)*ISNUMBER(Timeline!$J$5:$J$305)*(Timeline!$I$5:$I$305&lt;=V$4+6)*(Timeline!$J$5:$J$305&gt;=V$4+6)))</f>
        <v>0</v>
      </c>
      <c r="W29" s="67">
        <f>MAX(SUMPRODUCT((INDEX(Timeline!$P$5:$AN$305,0,MATCH($A29,Timeline!$P$4:$AN$4,0))="x")*(Timeline!$K$5:$K$305="Task")*ISNUMBER(Timeline!$I$5:$I$305)*ISNUMBER(Timeline!$J$5:$J$305)*(Timeline!$I$5:$I$305&lt;=W$4+0)*(Timeline!$J$5:$J$305&gt;=W$4+0)),SUMPRODUCT((INDEX(Timeline!$P$5:$AN$305,0,MATCH($A29,Timeline!$P$4:$AN$4,0))="x")*(Timeline!$K$5:$K$305="Task")*ISNUMBER(Timeline!$I$5:$I$305)*ISNUMBER(Timeline!$J$5:$J$305)*(Timeline!$I$5:$I$305&lt;=W$4+1)*(Timeline!$J$5:$J$305&gt;=W$4+1)),SUMPRODUCT((INDEX(Timeline!$P$5:$AN$305,0,MATCH($A29,Timeline!$P$4:$AN$4,0))="x")*(Timeline!$K$5:$K$305="Task")*ISNUMBER(Timeline!$I$5:$I$305)*ISNUMBER(Timeline!$J$5:$J$305)*(Timeline!$I$5:$I$305&lt;=W$4+2)*(Timeline!$J$5:$J$305&gt;=W$4+2)),SUMPRODUCT((INDEX(Timeline!$P$5:$AN$305,0,MATCH($A29,Timeline!$P$4:$AN$4,0))="x")*(Timeline!$K$5:$K$305="Task")*ISNUMBER(Timeline!$I$5:$I$305)*ISNUMBER(Timeline!$J$5:$J$305)*(Timeline!$I$5:$I$305&lt;=W$4+3)*(Timeline!$J$5:$J$305&gt;=W$4+3)),SUMPRODUCT((INDEX(Timeline!$P$5:$AN$305,0,MATCH($A29,Timeline!$P$4:$AN$4,0))="x")*(Timeline!$K$5:$K$305="Task")*ISNUMBER(Timeline!$I$5:$I$305)*ISNUMBER(Timeline!$J$5:$J$305)*(Timeline!$I$5:$I$305&lt;=W$4+4)*(Timeline!$J$5:$J$305&gt;=W$4+4)),SUMPRODUCT((INDEX(Timeline!$P$5:$AN$305,0,MATCH($A29,Timeline!$P$4:$AN$4,0))="x")*(Timeline!$K$5:$K$305="Task")*ISNUMBER(Timeline!$I$5:$I$305)*ISNUMBER(Timeline!$J$5:$J$305)*(Timeline!$I$5:$I$305&lt;=W$4+5)*(Timeline!$J$5:$J$305&gt;=W$4+5)),SUMPRODUCT((INDEX(Timeline!$P$5:$AN$305,0,MATCH($A29,Timeline!$P$4:$AN$4,0))="x")*(Timeline!$K$5:$K$305="Task")*ISNUMBER(Timeline!$I$5:$I$305)*ISNUMBER(Timeline!$J$5:$J$305)*(Timeline!$I$5:$I$305&lt;=W$4+6)*(Timeline!$J$5:$J$305&gt;=W$4+6)))</f>
        <v>0</v>
      </c>
      <c r="X29" s="67">
        <f>MAX(SUMPRODUCT((INDEX(Timeline!$P$5:$AN$305,0,MATCH($A29,Timeline!$P$4:$AN$4,0))="x")*(Timeline!$K$5:$K$305="Task")*ISNUMBER(Timeline!$I$5:$I$305)*ISNUMBER(Timeline!$J$5:$J$305)*(Timeline!$I$5:$I$305&lt;=X$4+0)*(Timeline!$J$5:$J$305&gt;=X$4+0)),SUMPRODUCT((INDEX(Timeline!$P$5:$AN$305,0,MATCH($A29,Timeline!$P$4:$AN$4,0))="x")*(Timeline!$K$5:$K$305="Task")*ISNUMBER(Timeline!$I$5:$I$305)*ISNUMBER(Timeline!$J$5:$J$305)*(Timeline!$I$5:$I$305&lt;=X$4+1)*(Timeline!$J$5:$J$305&gt;=X$4+1)),SUMPRODUCT((INDEX(Timeline!$P$5:$AN$305,0,MATCH($A29,Timeline!$P$4:$AN$4,0))="x")*(Timeline!$K$5:$K$305="Task")*ISNUMBER(Timeline!$I$5:$I$305)*ISNUMBER(Timeline!$J$5:$J$305)*(Timeline!$I$5:$I$305&lt;=X$4+2)*(Timeline!$J$5:$J$305&gt;=X$4+2)),SUMPRODUCT((INDEX(Timeline!$P$5:$AN$305,0,MATCH($A29,Timeline!$P$4:$AN$4,0))="x")*(Timeline!$K$5:$K$305="Task")*ISNUMBER(Timeline!$I$5:$I$305)*ISNUMBER(Timeline!$J$5:$J$305)*(Timeline!$I$5:$I$305&lt;=X$4+3)*(Timeline!$J$5:$J$305&gt;=X$4+3)),SUMPRODUCT((INDEX(Timeline!$P$5:$AN$305,0,MATCH($A29,Timeline!$P$4:$AN$4,0))="x")*(Timeline!$K$5:$K$305="Task")*ISNUMBER(Timeline!$I$5:$I$305)*ISNUMBER(Timeline!$J$5:$J$305)*(Timeline!$I$5:$I$305&lt;=X$4+4)*(Timeline!$J$5:$J$305&gt;=X$4+4)),SUMPRODUCT((INDEX(Timeline!$P$5:$AN$305,0,MATCH($A29,Timeline!$P$4:$AN$4,0))="x")*(Timeline!$K$5:$K$305="Task")*ISNUMBER(Timeline!$I$5:$I$305)*ISNUMBER(Timeline!$J$5:$J$305)*(Timeline!$I$5:$I$305&lt;=X$4+5)*(Timeline!$J$5:$J$305&gt;=X$4+5)),SUMPRODUCT((INDEX(Timeline!$P$5:$AN$305,0,MATCH($A29,Timeline!$P$4:$AN$4,0))="x")*(Timeline!$K$5:$K$305="Task")*ISNUMBER(Timeline!$I$5:$I$305)*ISNUMBER(Timeline!$J$5:$J$305)*(Timeline!$I$5:$I$305&lt;=X$4+6)*(Timeline!$J$5:$J$305&gt;=X$4+6)))</f>
        <v>0</v>
      </c>
      <c r="Y29" s="67">
        <f>MAX(SUMPRODUCT((INDEX(Timeline!$P$5:$AN$305,0,MATCH($A29,Timeline!$P$4:$AN$4,0))="x")*(Timeline!$K$5:$K$305="Task")*ISNUMBER(Timeline!$I$5:$I$305)*ISNUMBER(Timeline!$J$5:$J$305)*(Timeline!$I$5:$I$305&lt;=Y$4+0)*(Timeline!$J$5:$J$305&gt;=Y$4+0)),SUMPRODUCT((INDEX(Timeline!$P$5:$AN$305,0,MATCH($A29,Timeline!$P$4:$AN$4,0))="x")*(Timeline!$K$5:$K$305="Task")*ISNUMBER(Timeline!$I$5:$I$305)*ISNUMBER(Timeline!$J$5:$J$305)*(Timeline!$I$5:$I$305&lt;=Y$4+1)*(Timeline!$J$5:$J$305&gt;=Y$4+1)),SUMPRODUCT((INDEX(Timeline!$P$5:$AN$305,0,MATCH($A29,Timeline!$P$4:$AN$4,0))="x")*(Timeline!$K$5:$K$305="Task")*ISNUMBER(Timeline!$I$5:$I$305)*ISNUMBER(Timeline!$J$5:$J$305)*(Timeline!$I$5:$I$305&lt;=Y$4+2)*(Timeline!$J$5:$J$305&gt;=Y$4+2)),SUMPRODUCT((INDEX(Timeline!$P$5:$AN$305,0,MATCH($A29,Timeline!$P$4:$AN$4,0))="x")*(Timeline!$K$5:$K$305="Task")*ISNUMBER(Timeline!$I$5:$I$305)*ISNUMBER(Timeline!$J$5:$J$305)*(Timeline!$I$5:$I$305&lt;=Y$4+3)*(Timeline!$J$5:$J$305&gt;=Y$4+3)),SUMPRODUCT((INDEX(Timeline!$P$5:$AN$305,0,MATCH($A29,Timeline!$P$4:$AN$4,0))="x")*(Timeline!$K$5:$K$305="Task")*ISNUMBER(Timeline!$I$5:$I$305)*ISNUMBER(Timeline!$J$5:$J$305)*(Timeline!$I$5:$I$305&lt;=Y$4+4)*(Timeline!$J$5:$J$305&gt;=Y$4+4)),SUMPRODUCT((INDEX(Timeline!$P$5:$AN$305,0,MATCH($A29,Timeline!$P$4:$AN$4,0))="x")*(Timeline!$K$5:$K$305="Task")*ISNUMBER(Timeline!$I$5:$I$305)*ISNUMBER(Timeline!$J$5:$J$305)*(Timeline!$I$5:$I$305&lt;=Y$4+5)*(Timeline!$J$5:$J$305&gt;=Y$4+5)),SUMPRODUCT((INDEX(Timeline!$P$5:$AN$305,0,MATCH($A29,Timeline!$P$4:$AN$4,0))="x")*(Timeline!$K$5:$K$305="Task")*ISNUMBER(Timeline!$I$5:$I$305)*ISNUMBER(Timeline!$J$5:$J$305)*(Timeline!$I$5:$I$305&lt;=Y$4+6)*(Timeline!$J$5:$J$305&gt;=Y$4+6)))</f>
        <v>0</v>
      </c>
      <c r="Z29" s="67">
        <f>MAX(SUMPRODUCT((INDEX(Timeline!$P$5:$AN$305,0,MATCH($A29,Timeline!$P$4:$AN$4,0))="x")*(Timeline!$K$5:$K$305="Task")*ISNUMBER(Timeline!$I$5:$I$305)*ISNUMBER(Timeline!$J$5:$J$305)*(Timeline!$I$5:$I$305&lt;=Z$4+0)*(Timeline!$J$5:$J$305&gt;=Z$4+0)),SUMPRODUCT((INDEX(Timeline!$P$5:$AN$305,0,MATCH($A29,Timeline!$P$4:$AN$4,0))="x")*(Timeline!$K$5:$K$305="Task")*ISNUMBER(Timeline!$I$5:$I$305)*ISNUMBER(Timeline!$J$5:$J$305)*(Timeline!$I$5:$I$305&lt;=Z$4+1)*(Timeline!$J$5:$J$305&gt;=Z$4+1)),SUMPRODUCT((INDEX(Timeline!$P$5:$AN$305,0,MATCH($A29,Timeline!$P$4:$AN$4,0))="x")*(Timeline!$K$5:$K$305="Task")*ISNUMBER(Timeline!$I$5:$I$305)*ISNUMBER(Timeline!$J$5:$J$305)*(Timeline!$I$5:$I$305&lt;=Z$4+2)*(Timeline!$J$5:$J$305&gt;=Z$4+2)),SUMPRODUCT((INDEX(Timeline!$P$5:$AN$305,0,MATCH($A29,Timeline!$P$4:$AN$4,0))="x")*(Timeline!$K$5:$K$305="Task")*ISNUMBER(Timeline!$I$5:$I$305)*ISNUMBER(Timeline!$J$5:$J$305)*(Timeline!$I$5:$I$305&lt;=Z$4+3)*(Timeline!$J$5:$J$305&gt;=Z$4+3)),SUMPRODUCT((INDEX(Timeline!$P$5:$AN$305,0,MATCH($A29,Timeline!$P$4:$AN$4,0))="x")*(Timeline!$K$5:$K$305="Task")*ISNUMBER(Timeline!$I$5:$I$305)*ISNUMBER(Timeline!$J$5:$J$305)*(Timeline!$I$5:$I$305&lt;=Z$4+4)*(Timeline!$J$5:$J$305&gt;=Z$4+4)),SUMPRODUCT((INDEX(Timeline!$P$5:$AN$305,0,MATCH($A29,Timeline!$P$4:$AN$4,0))="x")*(Timeline!$K$5:$K$305="Task")*ISNUMBER(Timeline!$I$5:$I$305)*ISNUMBER(Timeline!$J$5:$J$305)*(Timeline!$I$5:$I$305&lt;=Z$4+5)*(Timeline!$J$5:$J$305&gt;=Z$4+5)),SUMPRODUCT((INDEX(Timeline!$P$5:$AN$305,0,MATCH($A29,Timeline!$P$4:$AN$4,0))="x")*(Timeline!$K$5:$K$305="Task")*ISNUMBER(Timeline!$I$5:$I$305)*ISNUMBER(Timeline!$J$5:$J$305)*(Timeline!$I$5:$I$305&lt;=Z$4+6)*(Timeline!$J$5:$J$305&gt;=Z$4+6)))</f>
        <v>0</v>
      </c>
      <c r="AA29" s="67">
        <f>MAX(SUMPRODUCT((INDEX(Timeline!$P$5:$AN$305,0,MATCH($A29,Timeline!$P$4:$AN$4,0))="x")*(Timeline!$K$5:$K$305="Task")*ISNUMBER(Timeline!$I$5:$I$305)*ISNUMBER(Timeline!$J$5:$J$305)*(Timeline!$I$5:$I$305&lt;=AA$4+0)*(Timeline!$J$5:$J$305&gt;=AA$4+0)),SUMPRODUCT((INDEX(Timeline!$P$5:$AN$305,0,MATCH($A29,Timeline!$P$4:$AN$4,0))="x")*(Timeline!$K$5:$K$305="Task")*ISNUMBER(Timeline!$I$5:$I$305)*ISNUMBER(Timeline!$J$5:$J$305)*(Timeline!$I$5:$I$305&lt;=AA$4+1)*(Timeline!$J$5:$J$305&gt;=AA$4+1)),SUMPRODUCT((INDEX(Timeline!$P$5:$AN$305,0,MATCH($A29,Timeline!$P$4:$AN$4,0))="x")*(Timeline!$K$5:$K$305="Task")*ISNUMBER(Timeline!$I$5:$I$305)*ISNUMBER(Timeline!$J$5:$J$305)*(Timeline!$I$5:$I$305&lt;=AA$4+2)*(Timeline!$J$5:$J$305&gt;=AA$4+2)),SUMPRODUCT((INDEX(Timeline!$P$5:$AN$305,0,MATCH($A29,Timeline!$P$4:$AN$4,0))="x")*(Timeline!$K$5:$K$305="Task")*ISNUMBER(Timeline!$I$5:$I$305)*ISNUMBER(Timeline!$J$5:$J$305)*(Timeline!$I$5:$I$305&lt;=AA$4+3)*(Timeline!$J$5:$J$305&gt;=AA$4+3)),SUMPRODUCT((INDEX(Timeline!$P$5:$AN$305,0,MATCH($A29,Timeline!$P$4:$AN$4,0))="x")*(Timeline!$K$5:$K$305="Task")*ISNUMBER(Timeline!$I$5:$I$305)*ISNUMBER(Timeline!$J$5:$J$305)*(Timeline!$I$5:$I$305&lt;=AA$4+4)*(Timeline!$J$5:$J$305&gt;=AA$4+4)),SUMPRODUCT((INDEX(Timeline!$P$5:$AN$305,0,MATCH($A29,Timeline!$P$4:$AN$4,0))="x")*(Timeline!$K$5:$K$305="Task")*ISNUMBER(Timeline!$I$5:$I$305)*ISNUMBER(Timeline!$J$5:$J$305)*(Timeline!$I$5:$I$305&lt;=AA$4+5)*(Timeline!$J$5:$J$305&gt;=AA$4+5)),SUMPRODUCT((INDEX(Timeline!$P$5:$AN$305,0,MATCH($A29,Timeline!$P$4:$AN$4,0))="x")*(Timeline!$K$5:$K$305="Task")*ISNUMBER(Timeline!$I$5:$I$305)*ISNUMBER(Timeline!$J$5:$J$305)*(Timeline!$I$5:$I$305&lt;=AA$4+6)*(Timeline!$J$5:$J$305&gt;=AA$4+6)))</f>
        <v>0</v>
      </c>
      <c r="AB29" s="67">
        <f>MAX(SUMPRODUCT((INDEX(Timeline!$P$5:$AN$305,0,MATCH($A29,Timeline!$P$4:$AN$4,0))="x")*(Timeline!$K$5:$K$305="Task")*ISNUMBER(Timeline!$I$5:$I$305)*ISNUMBER(Timeline!$J$5:$J$305)*(Timeline!$I$5:$I$305&lt;=AB$4+0)*(Timeline!$J$5:$J$305&gt;=AB$4+0)),SUMPRODUCT((INDEX(Timeline!$P$5:$AN$305,0,MATCH($A29,Timeline!$P$4:$AN$4,0))="x")*(Timeline!$K$5:$K$305="Task")*ISNUMBER(Timeline!$I$5:$I$305)*ISNUMBER(Timeline!$J$5:$J$305)*(Timeline!$I$5:$I$305&lt;=AB$4+1)*(Timeline!$J$5:$J$305&gt;=AB$4+1)),SUMPRODUCT((INDEX(Timeline!$P$5:$AN$305,0,MATCH($A29,Timeline!$P$4:$AN$4,0))="x")*(Timeline!$K$5:$K$305="Task")*ISNUMBER(Timeline!$I$5:$I$305)*ISNUMBER(Timeline!$J$5:$J$305)*(Timeline!$I$5:$I$305&lt;=AB$4+2)*(Timeline!$J$5:$J$305&gt;=AB$4+2)),SUMPRODUCT((INDEX(Timeline!$P$5:$AN$305,0,MATCH($A29,Timeline!$P$4:$AN$4,0))="x")*(Timeline!$K$5:$K$305="Task")*ISNUMBER(Timeline!$I$5:$I$305)*ISNUMBER(Timeline!$J$5:$J$305)*(Timeline!$I$5:$I$305&lt;=AB$4+3)*(Timeline!$J$5:$J$305&gt;=AB$4+3)),SUMPRODUCT((INDEX(Timeline!$P$5:$AN$305,0,MATCH($A29,Timeline!$P$4:$AN$4,0))="x")*(Timeline!$K$5:$K$305="Task")*ISNUMBER(Timeline!$I$5:$I$305)*ISNUMBER(Timeline!$J$5:$J$305)*(Timeline!$I$5:$I$305&lt;=AB$4+4)*(Timeline!$J$5:$J$305&gt;=AB$4+4)),SUMPRODUCT((INDEX(Timeline!$P$5:$AN$305,0,MATCH($A29,Timeline!$P$4:$AN$4,0))="x")*(Timeline!$K$5:$K$305="Task")*ISNUMBER(Timeline!$I$5:$I$305)*ISNUMBER(Timeline!$J$5:$J$305)*(Timeline!$I$5:$I$305&lt;=AB$4+5)*(Timeline!$J$5:$J$305&gt;=AB$4+5)),SUMPRODUCT((INDEX(Timeline!$P$5:$AN$305,0,MATCH($A29,Timeline!$P$4:$AN$4,0))="x")*(Timeline!$K$5:$K$305="Task")*ISNUMBER(Timeline!$I$5:$I$305)*ISNUMBER(Timeline!$J$5:$J$305)*(Timeline!$I$5:$I$305&lt;=AB$4+6)*(Timeline!$J$5:$J$305&gt;=AB$4+6)))</f>
        <v>0</v>
      </c>
      <c r="AC29" s="67">
        <f>MAX(SUMPRODUCT((INDEX(Timeline!$P$5:$AN$305,0,MATCH($A29,Timeline!$P$4:$AN$4,0))="x")*(Timeline!$K$5:$K$305="Task")*ISNUMBER(Timeline!$I$5:$I$305)*ISNUMBER(Timeline!$J$5:$J$305)*(Timeline!$I$5:$I$305&lt;=AC$4+0)*(Timeline!$J$5:$J$305&gt;=AC$4+0)),SUMPRODUCT((INDEX(Timeline!$P$5:$AN$305,0,MATCH($A29,Timeline!$P$4:$AN$4,0))="x")*(Timeline!$K$5:$K$305="Task")*ISNUMBER(Timeline!$I$5:$I$305)*ISNUMBER(Timeline!$J$5:$J$305)*(Timeline!$I$5:$I$305&lt;=AC$4+1)*(Timeline!$J$5:$J$305&gt;=AC$4+1)),SUMPRODUCT((INDEX(Timeline!$P$5:$AN$305,0,MATCH($A29,Timeline!$P$4:$AN$4,0))="x")*(Timeline!$K$5:$K$305="Task")*ISNUMBER(Timeline!$I$5:$I$305)*ISNUMBER(Timeline!$J$5:$J$305)*(Timeline!$I$5:$I$305&lt;=AC$4+2)*(Timeline!$J$5:$J$305&gt;=AC$4+2)),SUMPRODUCT((INDEX(Timeline!$P$5:$AN$305,0,MATCH($A29,Timeline!$P$4:$AN$4,0))="x")*(Timeline!$K$5:$K$305="Task")*ISNUMBER(Timeline!$I$5:$I$305)*ISNUMBER(Timeline!$J$5:$J$305)*(Timeline!$I$5:$I$305&lt;=AC$4+3)*(Timeline!$J$5:$J$305&gt;=AC$4+3)),SUMPRODUCT((INDEX(Timeline!$P$5:$AN$305,0,MATCH($A29,Timeline!$P$4:$AN$4,0))="x")*(Timeline!$K$5:$K$305="Task")*ISNUMBER(Timeline!$I$5:$I$305)*ISNUMBER(Timeline!$J$5:$J$305)*(Timeline!$I$5:$I$305&lt;=AC$4+4)*(Timeline!$J$5:$J$305&gt;=AC$4+4)),SUMPRODUCT((INDEX(Timeline!$P$5:$AN$305,0,MATCH($A29,Timeline!$P$4:$AN$4,0))="x")*(Timeline!$K$5:$K$305="Task")*ISNUMBER(Timeline!$I$5:$I$305)*ISNUMBER(Timeline!$J$5:$J$305)*(Timeline!$I$5:$I$305&lt;=AC$4+5)*(Timeline!$J$5:$J$305&gt;=AC$4+5)),SUMPRODUCT((INDEX(Timeline!$P$5:$AN$305,0,MATCH($A29,Timeline!$P$4:$AN$4,0))="x")*(Timeline!$K$5:$K$305="Task")*ISNUMBER(Timeline!$I$5:$I$305)*ISNUMBER(Timeline!$J$5:$J$305)*(Timeline!$I$5:$I$305&lt;=AC$4+6)*(Timeline!$J$5:$J$305&gt;=AC$4+6)))</f>
        <v>0</v>
      </c>
      <c r="AD29" s="67">
        <f>MAX(SUMPRODUCT((INDEX(Timeline!$P$5:$AN$305,0,MATCH($A29,Timeline!$P$4:$AN$4,0))="x")*(Timeline!$K$5:$K$305="Task")*ISNUMBER(Timeline!$I$5:$I$305)*ISNUMBER(Timeline!$J$5:$J$305)*(Timeline!$I$5:$I$305&lt;=AD$4+0)*(Timeline!$J$5:$J$305&gt;=AD$4+0)),SUMPRODUCT((INDEX(Timeline!$P$5:$AN$305,0,MATCH($A29,Timeline!$P$4:$AN$4,0))="x")*(Timeline!$K$5:$K$305="Task")*ISNUMBER(Timeline!$I$5:$I$305)*ISNUMBER(Timeline!$J$5:$J$305)*(Timeline!$I$5:$I$305&lt;=AD$4+1)*(Timeline!$J$5:$J$305&gt;=AD$4+1)),SUMPRODUCT((INDEX(Timeline!$P$5:$AN$305,0,MATCH($A29,Timeline!$P$4:$AN$4,0))="x")*(Timeline!$K$5:$K$305="Task")*ISNUMBER(Timeline!$I$5:$I$305)*ISNUMBER(Timeline!$J$5:$J$305)*(Timeline!$I$5:$I$305&lt;=AD$4+2)*(Timeline!$J$5:$J$305&gt;=AD$4+2)),SUMPRODUCT((INDEX(Timeline!$P$5:$AN$305,0,MATCH($A29,Timeline!$P$4:$AN$4,0))="x")*(Timeline!$K$5:$K$305="Task")*ISNUMBER(Timeline!$I$5:$I$305)*ISNUMBER(Timeline!$J$5:$J$305)*(Timeline!$I$5:$I$305&lt;=AD$4+3)*(Timeline!$J$5:$J$305&gt;=AD$4+3)),SUMPRODUCT((INDEX(Timeline!$P$5:$AN$305,0,MATCH($A29,Timeline!$P$4:$AN$4,0))="x")*(Timeline!$K$5:$K$305="Task")*ISNUMBER(Timeline!$I$5:$I$305)*ISNUMBER(Timeline!$J$5:$J$305)*(Timeline!$I$5:$I$305&lt;=AD$4+4)*(Timeline!$J$5:$J$305&gt;=AD$4+4)),SUMPRODUCT((INDEX(Timeline!$P$5:$AN$305,0,MATCH($A29,Timeline!$P$4:$AN$4,0))="x")*(Timeline!$K$5:$K$305="Task")*ISNUMBER(Timeline!$I$5:$I$305)*ISNUMBER(Timeline!$J$5:$J$305)*(Timeline!$I$5:$I$305&lt;=AD$4+5)*(Timeline!$J$5:$J$305&gt;=AD$4+5)),SUMPRODUCT((INDEX(Timeline!$P$5:$AN$305,0,MATCH($A29,Timeline!$P$4:$AN$4,0))="x")*(Timeline!$K$5:$K$305="Task")*ISNUMBER(Timeline!$I$5:$I$305)*ISNUMBER(Timeline!$J$5:$J$305)*(Timeline!$I$5:$I$305&lt;=AD$4+6)*(Timeline!$J$5:$J$305&gt;=AD$4+6)))</f>
        <v>0</v>
      </c>
      <c r="AE29" s="67">
        <f>MAX(SUMPRODUCT((INDEX(Timeline!$P$5:$AN$305,0,MATCH($A29,Timeline!$P$4:$AN$4,0))="x")*(Timeline!$K$5:$K$305="Task")*ISNUMBER(Timeline!$I$5:$I$305)*ISNUMBER(Timeline!$J$5:$J$305)*(Timeline!$I$5:$I$305&lt;=AE$4+0)*(Timeline!$J$5:$J$305&gt;=AE$4+0)),SUMPRODUCT((INDEX(Timeline!$P$5:$AN$305,0,MATCH($A29,Timeline!$P$4:$AN$4,0))="x")*(Timeline!$K$5:$K$305="Task")*ISNUMBER(Timeline!$I$5:$I$305)*ISNUMBER(Timeline!$J$5:$J$305)*(Timeline!$I$5:$I$305&lt;=AE$4+1)*(Timeline!$J$5:$J$305&gt;=AE$4+1)),SUMPRODUCT((INDEX(Timeline!$P$5:$AN$305,0,MATCH($A29,Timeline!$P$4:$AN$4,0))="x")*(Timeline!$K$5:$K$305="Task")*ISNUMBER(Timeline!$I$5:$I$305)*ISNUMBER(Timeline!$J$5:$J$305)*(Timeline!$I$5:$I$305&lt;=AE$4+2)*(Timeline!$J$5:$J$305&gt;=AE$4+2)),SUMPRODUCT((INDEX(Timeline!$P$5:$AN$305,0,MATCH($A29,Timeline!$P$4:$AN$4,0))="x")*(Timeline!$K$5:$K$305="Task")*ISNUMBER(Timeline!$I$5:$I$305)*ISNUMBER(Timeline!$J$5:$J$305)*(Timeline!$I$5:$I$305&lt;=AE$4+3)*(Timeline!$J$5:$J$305&gt;=AE$4+3)),SUMPRODUCT((INDEX(Timeline!$P$5:$AN$305,0,MATCH($A29,Timeline!$P$4:$AN$4,0))="x")*(Timeline!$K$5:$K$305="Task")*ISNUMBER(Timeline!$I$5:$I$305)*ISNUMBER(Timeline!$J$5:$J$305)*(Timeline!$I$5:$I$305&lt;=AE$4+4)*(Timeline!$J$5:$J$305&gt;=AE$4+4)),SUMPRODUCT((INDEX(Timeline!$P$5:$AN$305,0,MATCH($A29,Timeline!$P$4:$AN$4,0))="x")*(Timeline!$K$5:$K$305="Task")*ISNUMBER(Timeline!$I$5:$I$305)*ISNUMBER(Timeline!$J$5:$J$305)*(Timeline!$I$5:$I$305&lt;=AE$4+5)*(Timeline!$J$5:$J$305&gt;=AE$4+5)),SUMPRODUCT((INDEX(Timeline!$P$5:$AN$305,0,MATCH($A29,Timeline!$P$4:$AN$4,0))="x")*(Timeline!$K$5:$K$305="Task")*ISNUMBER(Timeline!$I$5:$I$305)*ISNUMBER(Timeline!$J$5:$J$305)*(Timeline!$I$5:$I$305&lt;=AE$4+6)*(Timeline!$J$5:$J$305&gt;=AE$4+6)))</f>
        <v>0</v>
      </c>
      <c r="AF29" s="67">
        <f>MAX(SUMPRODUCT((INDEX(Timeline!$P$5:$AN$305,0,MATCH($A29,Timeline!$P$4:$AN$4,0))="x")*(Timeline!$K$5:$K$305="Task")*ISNUMBER(Timeline!$I$5:$I$305)*ISNUMBER(Timeline!$J$5:$J$305)*(Timeline!$I$5:$I$305&lt;=AF$4+0)*(Timeline!$J$5:$J$305&gt;=AF$4+0)),SUMPRODUCT((INDEX(Timeline!$P$5:$AN$305,0,MATCH($A29,Timeline!$P$4:$AN$4,0))="x")*(Timeline!$K$5:$K$305="Task")*ISNUMBER(Timeline!$I$5:$I$305)*ISNUMBER(Timeline!$J$5:$J$305)*(Timeline!$I$5:$I$305&lt;=AF$4+1)*(Timeline!$J$5:$J$305&gt;=AF$4+1)),SUMPRODUCT((INDEX(Timeline!$P$5:$AN$305,0,MATCH($A29,Timeline!$P$4:$AN$4,0))="x")*(Timeline!$K$5:$K$305="Task")*ISNUMBER(Timeline!$I$5:$I$305)*ISNUMBER(Timeline!$J$5:$J$305)*(Timeline!$I$5:$I$305&lt;=AF$4+2)*(Timeline!$J$5:$J$305&gt;=AF$4+2)),SUMPRODUCT((INDEX(Timeline!$P$5:$AN$305,0,MATCH($A29,Timeline!$P$4:$AN$4,0))="x")*(Timeline!$K$5:$K$305="Task")*ISNUMBER(Timeline!$I$5:$I$305)*ISNUMBER(Timeline!$J$5:$J$305)*(Timeline!$I$5:$I$305&lt;=AF$4+3)*(Timeline!$J$5:$J$305&gt;=AF$4+3)),SUMPRODUCT((INDEX(Timeline!$P$5:$AN$305,0,MATCH($A29,Timeline!$P$4:$AN$4,0))="x")*(Timeline!$K$5:$K$305="Task")*ISNUMBER(Timeline!$I$5:$I$305)*ISNUMBER(Timeline!$J$5:$J$305)*(Timeline!$I$5:$I$305&lt;=AF$4+4)*(Timeline!$J$5:$J$305&gt;=AF$4+4)),SUMPRODUCT((INDEX(Timeline!$P$5:$AN$305,0,MATCH($A29,Timeline!$P$4:$AN$4,0))="x")*(Timeline!$K$5:$K$305="Task")*ISNUMBER(Timeline!$I$5:$I$305)*ISNUMBER(Timeline!$J$5:$J$305)*(Timeline!$I$5:$I$305&lt;=AF$4+5)*(Timeline!$J$5:$J$305&gt;=AF$4+5)),SUMPRODUCT((INDEX(Timeline!$P$5:$AN$305,0,MATCH($A29,Timeline!$P$4:$AN$4,0))="x")*(Timeline!$K$5:$K$305="Task")*ISNUMBER(Timeline!$I$5:$I$305)*ISNUMBER(Timeline!$J$5:$J$305)*(Timeline!$I$5:$I$305&lt;=AF$4+6)*(Timeline!$J$5:$J$305&gt;=AF$4+6)))</f>
        <v>0</v>
      </c>
      <c r="AG29" s="67">
        <f>MAX(SUMPRODUCT((INDEX(Timeline!$P$5:$AN$305,0,MATCH($A29,Timeline!$P$4:$AN$4,0))="x")*(Timeline!$K$5:$K$305="Task")*ISNUMBER(Timeline!$I$5:$I$305)*ISNUMBER(Timeline!$J$5:$J$305)*(Timeline!$I$5:$I$305&lt;=AG$4+0)*(Timeline!$J$5:$J$305&gt;=AG$4+0)),SUMPRODUCT((INDEX(Timeline!$P$5:$AN$305,0,MATCH($A29,Timeline!$P$4:$AN$4,0))="x")*(Timeline!$K$5:$K$305="Task")*ISNUMBER(Timeline!$I$5:$I$305)*ISNUMBER(Timeline!$J$5:$J$305)*(Timeline!$I$5:$I$305&lt;=AG$4+1)*(Timeline!$J$5:$J$305&gt;=AG$4+1)),SUMPRODUCT((INDEX(Timeline!$P$5:$AN$305,0,MATCH($A29,Timeline!$P$4:$AN$4,0))="x")*(Timeline!$K$5:$K$305="Task")*ISNUMBER(Timeline!$I$5:$I$305)*ISNUMBER(Timeline!$J$5:$J$305)*(Timeline!$I$5:$I$305&lt;=AG$4+2)*(Timeline!$J$5:$J$305&gt;=AG$4+2)),SUMPRODUCT((INDEX(Timeline!$P$5:$AN$305,0,MATCH($A29,Timeline!$P$4:$AN$4,0))="x")*(Timeline!$K$5:$K$305="Task")*ISNUMBER(Timeline!$I$5:$I$305)*ISNUMBER(Timeline!$J$5:$J$305)*(Timeline!$I$5:$I$305&lt;=AG$4+3)*(Timeline!$J$5:$J$305&gt;=AG$4+3)),SUMPRODUCT((INDEX(Timeline!$P$5:$AN$305,0,MATCH($A29,Timeline!$P$4:$AN$4,0))="x")*(Timeline!$K$5:$K$305="Task")*ISNUMBER(Timeline!$I$5:$I$305)*ISNUMBER(Timeline!$J$5:$J$305)*(Timeline!$I$5:$I$305&lt;=AG$4+4)*(Timeline!$J$5:$J$305&gt;=AG$4+4)),SUMPRODUCT((INDEX(Timeline!$P$5:$AN$305,0,MATCH($A29,Timeline!$P$4:$AN$4,0))="x")*(Timeline!$K$5:$K$305="Task")*ISNUMBER(Timeline!$I$5:$I$305)*ISNUMBER(Timeline!$J$5:$J$305)*(Timeline!$I$5:$I$305&lt;=AG$4+5)*(Timeline!$J$5:$J$305&gt;=AG$4+5)),SUMPRODUCT((INDEX(Timeline!$P$5:$AN$305,0,MATCH($A29,Timeline!$P$4:$AN$4,0))="x")*(Timeline!$K$5:$K$305="Task")*ISNUMBER(Timeline!$I$5:$I$305)*ISNUMBER(Timeline!$J$5:$J$305)*(Timeline!$I$5:$I$305&lt;=AG$4+6)*(Timeline!$J$5:$J$305&gt;=AG$4+6)))</f>
        <v>0</v>
      </c>
      <c r="AH29" s="67">
        <f>MAX(SUMPRODUCT((INDEX(Timeline!$P$5:$AN$305,0,MATCH($A29,Timeline!$P$4:$AN$4,0))="x")*(Timeline!$K$5:$K$305="Task")*ISNUMBER(Timeline!$I$5:$I$305)*ISNUMBER(Timeline!$J$5:$J$305)*(Timeline!$I$5:$I$305&lt;=AH$4+0)*(Timeline!$J$5:$J$305&gt;=AH$4+0)),SUMPRODUCT((INDEX(Timeline!$P$5:$AN$305,0,MATCH($A29,Timeline!$P$4:$AN$4,0))="x")*(Timeline!$K$5:$K$305="Task")*ISNUMBER(Timeline!$I$5:$I$305)*ISNUMBER(Timeline!$J$5:$J$305)*(Timeline!$I$5:$I$305&lt;=AH$4+1)*(Timeline!$J$5:$J$305&gt;=AH$4+1)),SUMPRODUCT((INDEX(Timeline!$P$5:$AN$305,0,MATCH($A29,Timeline!$P$4:$AN$4,0))="x")*(Timeline!$K$5:$K$305="Task")*ISNUMBER(Timeline!$I$5:$I$305)*ISNUMBER(Timeline!$J$5:$J$305)*(Timeline!$I$5:$I$305&lt;=AH$4+2)*(Timeline!$J$5:$J$305&gt;=AH$4+2)),SUMPRODUCT((INDEX(Timeline!$P$5:$AN$305,0,MATCH($A29,Timeline!$P$4:$AN$4,0))="x")*(Timeline!$K$5:$K$305="Task")*ISNUMBER(Timeline!$I$5:$I$305)*ISNUMBER(Timeline!$J$5:$J$305)*(Timeline!$I$5:$I$305&lt;=AH$4+3)*(Timeline!$J$5:$J$305&gt;=AH$4+3)),SUMPRODUCT((INDEX(Timeline!$P$5:$AN$305,0,MATCH($A29,Timeline!$P$4:$AN$4,0))="x")*(Timeline!$K$5:$K$305="Task")*ISNUMBER(Timeline!$I$5:$I$305)*ISNUMBER(Timeline!$J$5:$J$305)*(Timeline!$I$5:$I$305&lt;=AH$4+4)*(Timeline!$J$5:$J$305&gt;=AH$4+4)),SUMPRODUCT((INDEX(Timeline!$P$5:$AN$305,0,MATCH($A29,Timeline!$P$4:$AN$4,0))="x")*(Timeline!$K$5:$K$305="Task")*ISNUMBER(Timeline!$I$5:$I$305)*ISNUMBER(Timeline!$J$5:$J$305)*(Timeline!$I$5:$I$305&lt;=AH$4+5)*(Timeline!$J$5:$J$305&gt;=AH$4+5)),SUMPRODUCT((INDEX(Timeline!$P$5:$AN$305,0,MATCH($A29,Timeline!$P$4:$AN$4,0))="x")*(Timeline!$K$5:$K$305="Task")*ISNUMBER(Timeline!$I$5:$I$305)*ISNUMBER(Timeline!$J$5:$J$305)*(Timeline!$I$5:$I$305&lt;=AH$4+6)*(Timeline!$J$5:$J$305&gt;=AH$4+6)))</f>
        <v>0</v>
      </c>
      <c r="AI29" s="67">
        <f>MAX(SUMPRODUCT((INDEX(Timeline!$P$5:$AN$305,0,MATCH($A29,Timeline!$P$4:$AN$4,0))="x")*(Timeline!$K$5:$K$305="Task")*ISNUMBER(Timeline!$I$5:$I$305)*ISNUMBER(Timeline!$J$5:$J$305)*(Timeline!$I$5:$I$305&lt;=AI$4+0)*(Timeline!$J$5:$J$305&gt;=AI$4+0)),SUMPRODUCT((INDEX(Timeline!$P$5:$AN$305,0,MATCH($A29,Timeline!$P$4:$AN$4,0))="x")*(Timeline!$K$5:$K$305="Task")*ISNUMBER(Timeline!$I$5:$I$305)*ISNUMBER(Timeline!$J$5:$J$305)*(Timeline!$I$5:$I$305&lt;=AI$4+1)*(Timeline!$J$5:$J$305&gt;=AI$4+1)),SUMPRODUCT((INDEX(Timeline!$P$5:$AN$305,0,MATCH($A29,Timeline!$P$4:$AN$4,0))="x")*(Timeline!$K$5:$K$305="Task")*ISNUMBER(Timeline!$I$5:$I$305)*ISNUMBER(Timeline!$J$5:$J$305)*(Timeline!$I$5:$I$305&lt;=AI$4+2)*(Timeline!$J$5:$J$305&gt;=AI$4+2)),SUMPRODUCT((INDEX(Timeline!$P$5:$AN$305,0,MATCH($A29,Timeline!$P$4:$AN$4,0))="x")*(Timeline!$K$5:$K$305="Task")*ISNUMBER(Timeline!$I$5:$I$305)*ISNUMBER(Timeline!$J$5:$J$305)*(Timeline!$I$5:$I$305&lt;=AI$4+3)*(Timeline!$J$5:$J$305&gt;=AI$4+3)),SUMPRODUCT((INDEX(Timeline!$P$5:$AN$305,0,MATCH($A29,Timeline!$P$4:$AN$4,0))="x")*(Timeline!$K$5:$K$305="Task")*ISNUMBER(Timeline!$I$5:$I$305)*ISNUMBER(Timeline!$J$5:$J$305)*(Timeline!$I$5:$I$305&lt;=AI$4+4)*(Timeline!$J$5:$J$305&gt;=AI$4+4)),SUMPRODUCT((INDEX(Timeline!$P$5:$AN$305,0,MATCH($A29,Timeline!$P$4:$AN$4,0))="x")*(Timeline!$K$5:$K$305="Task")*ISNUMBER(Timeline!$I$5:$I$305)*ISNUMBER(Timeline!$J$5:$J$305)*(Timeline!$I$5:$I$305&lt;=AI$4+5)*(Timeline!$J$5:$J$305&gt;=AI$4+5)),SUMPRODUCT((INDEX(Timeline!$P$5:$AN$305,0,MATCH($A29,Timeline!$P$4:$AN$4,0))="x")*(Timeline!$K$5:$K$305="Task")*ISNUMBER(Timeline!$I$5:$I$305)*ISNUMBER(Timeline!$J$5:$J$305)*(Timeline!$I$5:$I$305&lt;=AI$4+6)*(Timeline!$J$5:$J$305&gt;=AI$4+6)))</f>
        <v>0</v>
      </c>
      <c r="AJ29" s="67">
        <f>MAX(SUMPRODUCT((INDEX(Timeline!$P$5:$AN$305,0,MATCH($A29,Timeline!$P$4:$AN$4,0))="x")*(Timeline!$K$5:$K$305="Task")*ISNUMBER(Timeline!$I$5:$I$305)*ISNUMBER(Timeline!$J$5:$J$305)*(Timeline!$I$5:$I$305&lt;=AJ$4+0)*(Timeline!$J$5:$J$305&gt;=AJ$4+0)),SUMPRODUCT((INDEX(Timeline!$P$5:$AN$305,0,MATCH($A29,Timeline!$P$4:$AN$4,0))="x")*(Timeline!$K$5:$K$305="Task")*ISNUMBER(Timeline!$I$5:$I$305)*ISNUMBER(Timeline!$J$5:$J$305)*(Timeline!$I$5:$I$305&lt;=AJ$4+1)*(Timeline!$J$5:$J$305&gt;=AJ$4+1)),SUMPRODUCT((INDEX(Timeline!$P$5:$AN$305,0,MATCH($A29,Timeline!$P$4:$AN$4,0))="x")*(Timeline!$K$5:$K$305="Task")*ISNUMBER(Timeline!$I$5:$I$305)*ISNUMBER(Timeline!$J$5:$J$305)*(Timeline!$I$5:$I$305&lt;=AJ$4+2)*(Timeline!$J$5:$J$305&gt;=AJ$4+2)),SUMPRODUCT((INDEX(Timeline!$P$5:$AN$305,0,MATCH($A29,Timeline!$P$4:$AN$4,0))="x")*(Timeline!$K$5:$K$305="Task")*ISNUMBER(Timeline!$I$5:$I$305)*ISNUMBER(Timeline!$J$5:$J$305)*(Timeline!$I$5:$I$305&lt;=AJ$4+3)*(Timeline!$J$5:$J$305&gt;=AJ$4+3)),SUMPRODUCT((INDEX(Timeline!$P$5:$AN$305,0,MATCH($A29,Timeline!$P$4:$AN$4,0))="x")*(Timeline!$K$5:$K$305="Task")*ISNUMBER(Timeline!$I$5:$I$305)*ISNUMBER(Timeline!$J$5:$J$305)*(Timeline!$I$5:$I$305&lt;=AJ$4+4)*(Timeline!$J$5:$J$305&gt;=AJ$4+4)),SUMPRODUCT((INDEX(Timeline!$P$5:$AN$305,0,MATCH($A29,Timeline!$P$4:$AN$4,0))="x")*(Timeline!$K$5:$K$305="Task")*ISNUMBER(Timeline!$I$5:$I$305)*ISNUMBER(Timeline!$J$5:$J$305)*(Timeline!$I$5:$I$305&lt;=AJ$4+5)*(Timeline!$J$5:$J$305&gt;=AJ$4+5)),SUMPRODUCT((INDEX(Timeline!$P$5:$AN$305,0,MATCH($A29,Timeline!$P$4:$AN$4,0))="x")*(Timeline!$K$5:$K$305="Task")*ISNUMBER(Timeline!$I$5:$I$305)*ISNUMBER(Timeline!$J$5:$J$305)*(Timeline!$I$5:$I$305&lt;=AJ$4+6)*(Timeline!$J$5:$J$305&gt;=AJ$4+6)))</f>
        <v>0</v>
      </c>
      <c r="AK29" s="67">
        <f>MAX(SUMPRODUCT((INDEX(Timeline!$P$5:$AN$305,0,MATCH($A29,Timeline!$P$4:$AN$4,0))="x")*(Timeline!$K$5:$K$305="Task")*ISNUMBER(Timeline!$I$5:$I$305)*ISNUMBER(Timeline!$J$5:$J$305)*(Timeline!$I$5:$I$305&lt;=AK$4+0)*(Timeline!$J$5:$J$305&gt;=AK$4+0)),SUMPRODUCT((INDEX(Timeline!$P$5:$AN$305,0,MATCH($A29,Timeline!$P$4:$AN$4,0))="x")*(Timeline!$K$5:$K$305="Task")*ISNUMBER(Timeline!$I$5:$I$305)*ISNUMBER(Timeline!$J$5:$J$305)*(Timeline!$I$5:$I$305&lt;=AK$4+1)*(Timeline!$J$5:$J$305&gt;=AK$4+1)),SUMPRODUCT((INDEX(Timeline!$P$5:$AN$305,0,MATCH($A29,Timeline!$P$4:$AN$4,0))="x")*(Timeline!$K$5:$K$305="Task")*ISNUMBER(Timeline!$I$5:$I$305)*ISNUMBER(Timeline!$J$5:$J$305)*(Timeline!$I$5:$I$305&lt;=AK$4+2)*(Timeline!$J$5:$J$305&gt;=AK$4+2)),SUMPRODUCT((INDEX(Timeline!$P$5:$AN$305,0,MATCH($A29,Timeline!$P$4:$AN$4,0))="x")*(Timeline!$K$5:$K$305="Task")*ISNUMBER(Timeline!$I$5:$I$305)*ISNUMBER(Timeline!$J$5:$J$305)*(Timeline!$I$5:$I$305&lt;=AK$4+3)*(Timeline!$J$5:$J$305&gt;=AK$4+3)),SUMPRODUCT((INDEX(Timeline!$P$5:$AN$305,0,MATCH($A29,Timeline!$P$4:$AN$4,0))="x")*(Timeline!$K$5:$K$305="Task")*ISNUMBER(Timeline!$I$5:$I$305)*ISNUMBER(Timeline!$J$5:$J$305)*(Timeline!$I$5:$I$305&lt;=AK$4+4)*(Timeline!$J$5:$J$305&gt;=AK$4+4)),SUMPRODUCT((INDEX(Timeline!$P$5:$AN$305,0,MATCH($A29,Timeline!$P$4:$AN$4,0))="x")*(Timeline!$K$5:$K$305="Task")*ISNUMBER(Timeline!$I$5:$I$305)*ISNUMBER(Timeline!$J$5:$J$305)*(Timeline!$I$5:$I$305&lt;=AK$4+5)*(Timeline!$J$5:$J$305&gt;=AK$4+5)),SUMPRODUCT((INDEX(Timeline!$P$5:$AN$305,0,MATCH($A29,Timeline!$P$4:$AN$4,0))="x")*(Timeline!$K$5:$K$305="Task")*ISNUMBER(Timeline!$I$5:$I$305)*ISNUMBER(Timeline!$J$5:$J$305)*(Timeline!$I$5:$I$305&lt;=AK$4+6)*(Timeline!$J$5:$J$305&gt;=AK$4+6)))</f>
        <v>0</v>
      </c>
      <c r="AL29" s="67">
        <f>MAX(SUMPRODUCT((INDEX(Timeline!$P$5:$AN$305,0,MATCH($A29,Timeline!$P$4:$AN$4,0))="x")*(Timeline!$K$5:$K$305="Task")*ISNUMBER(Timeline!$I$5:$I$305)*ISNUMBER(Timeline!$J$5:$J$305)*(Timeline!$I$5:$I$305&lt;=AL$4+0)*(Timeline!$J$5:$J$305&gt;=AL$4+0)),SUMPRODUCT((INDEX(Timeline!$P$5:$AN$305,0,MATCH($A29,Timeline!$P$4:$AN$4,0))="x")*(Timeline!$K$5:$K$305="Task")*ISNUMBER(Timeline!$I$5:$I$305)*ISNUMBER(Timeline!$J$5:$J$305)*(Timeline!$I$5:$I$305&lt;=AL$4+1)*(Timeline!$J$5:$J$305&gt;=AL$4+1)),SUMPRODUCT((INDEX(Timeline!$P$5:$AN$305,0,MATCH($A29,Timeline!$P$4:$AN$4,0))="x")*(Timeline!$K$5:$K$305="Task")*ISNUMBER(Timeline!$I$5:$I$305)*ISNUMBER(Timeline!$J$5:$J$305)*(Timeline!$I$5:$I$305&lt;=AL$4+2)*(Timeline!$J$5:$J$305&gt;=AL$4+2)),SUMPRODUCT((INDEX(Timeline!$P$5:$AN$305,0,MATCH($A29,Timeline!$P$4:$AN$4,0))="x")*(Timeline!$K$5:$K$305="Task")*ISNUMBER(Timeline!$I$5:$I$305)*ISNUMBER(Timeline!$J$5:$J$305)*(Timeline!$I$5:$I$305&lt;=AL$4+3)*(Timeline!$J$5:$J$305&gt;=AL$4+3)),SUMPRODUCT((INDEX(Timeline!$P$5:$AN$305,0,MATCH($A29,Timeline!$P$4:$AN$4,0))="x")*(Timeline!$K$5:$K$305="Task")*ISNUMBER(Timeline!$I$5:$I$305)*ISNUMBER(Timeline!$J$5:$J$305)*(Timeline!$I$5:$I$305&lt;=AL$4+4)*(Timeline!$J$5:$J$305&gt;=AL$4+4)),SUMPRODUCT((INDEX(Timeline!$P$5:$AN$305,0,MATCH($A29,Timeline!$P$4:$AN$4,0))="x")*(Timeline!$K$5:$K$305="Task")*ISNUMBER(Timeline!$I$5:$I$305)*ISNUMBER(Timeline!$J$5:$J$305)*(Timeline!$I$5:$I$305&lt;=AL$4+5)*(Timeline!$J$5:$J$305&gt;=AL$4+5)),SUMPRODUCT((INDEX(Timeline!$P$5:$AN$305,0,MATCH($A29,Timeline!$P$4:$AN$4,0))="x")*(Timeline!$K$5:$K$305="Task")*ISNUMBER(Timeline!$I$5:$I$305)*ISNUMBER(Timeline!$J$5:$J$305)*(Timeline!$I$5:$I$305&lt;=AL$4+6)*(Timeline!$J$5:$J$305&gt;=AL$4+6)))</f>
        <v>0</v>
      </c>
      <c r="AM29" s="67">
        <f>MAX(SUMPRODUCT((INDEX(Timeline!$P$5:$AN$305,0,MATCH($A29,Timeline!$P$4:$AN$4,0))="x")*(Timeline!$K$5:$K$305="Task")*ISNUMBER(Timeline!$I$5:$I$305)*ISNUMBER(Timeline!$J$5:$J$305)*(Timeline!$I$5:$I$305&lt;=AM$4+0)*(Timeline!$J$5:$J$305&gt;=AM$4+0)),SUMPRODUCT((INDEX(Timeline!$P$5:$AN$305,0,MATCH($A29,Timeline!$P$4:$AN$4,0))="x")*(Timeline!$K$5:$K$305="Task")*ISNUMBER(Timeline!$I$5:$I$305)*ISNUMBER(Timeline!$J$5:$J$305)*(Timeline!$I$5:$I$305&lt;=AM$4+1)*(Timeline!$J$5:$J$305&gt;=AM$4+1)),SUMPRODUCT((INDEX(Timeline!$P$5:$AN$305,0,MATCH($A29,Timeline!$P$4:$AN$4,0))="x")*(Timeline!$K$5:$K$305="Task")*ISNUMBER(Timeline!$I$5:$I$305)*ISNUMBER(Timeline!$J$5:$J$305)*(Timeline!$I$5:$I$305&lt;=AM$4+2)*(Timeline!$J$5:$J$305&gt;=AM$4+2)),SUMPRODUCT((INDEX(Timeline!$P$5:$AN$305,0,MATCH($A29,Timeline!$P$4:$AN$4,0))="x")*(Timeline!$K$5:$K$305="Task")*ISNUMBER(Timeline!$I$5:$I$305)*ISNUMBER(Timeline!$J$5:$J$305)*(Timeline!$I$5:$I$305&lt;=AM$4+3)*(Timeline!$J$5:$J$305&gt;=AM$4+3)),SUMPRODUCT((INDEX(Timeline!$P$5:$AN$305,0,MATCH($A29,Timeline!$P$4:$AN$4,0))="x")*(Timeline!$K$5:$K$305="Task")*ISNUMBER(Timeline!$I$5:$I$305)*ISNUMBER(Timeline!$J$5:$J$305)*(Timeline!$I$5:$I$305&lt;=AM$4+4)*(Timeline!$J$5:$J$305&gt;=AM$4+4)),SUMPRODUCT((INDEX(Timeline!$P$5:$AN$305,0,MATCH($A29,Timeline!$P$4:$AN$4,0))="x")*(Timeline!$K$5:$K$305="Task")*ISNUMBER(Timeline!$I$5:$I$305)*ISNUMBER(Timeline!$J$5:$J$305)*(Timeline!$I$5:$I$305&lt;=AM$4+5)*(Timeline!$J$5:$J$305&gt;=AM$4+5)),SUMPRODUCT((INDEX(Timeline!$P$5:$AN$305,0,MATCH($A29,Timeline!$P$4:$AN$4,0))="x")*(Timeline!$K$5:$K$305="Task")*ISNUMBER(Timeline!$I$5:$I$305)*ISNUMBER(Timeline!$J$5:$J$305)*(Timeline!$I$5:$I$305&lt;=AM$4+6)*(Timeline!$J$5:$J$305&gt;=AM$4+6)))</f>
        <v>0</v>
      </c>
      <c r="AN29" s="67">
        <f>MAX(SUMPRODUCT((INDEX(Timeline!$P$5:$AN$305,0,MATCH($A29,Timeline!$P$4:$AN$4,0))="x")*(Timeline!$K$5:$K$305="Task")*ISNUMBER(Timeline!$I$5:$I$305)*ISNUMBER(Timeline!$J$5:$J$305)*(Timeline!$I$5:$I$305&lt;=AN$4+0)*(Timeline!$J$5:$J$305&gt;=AN$4+0)),SUMPRODUCT((INDEX(Timeline!$P$5:$AN$305,0,MATCH($A29,Timeline!$P$4:$AN$4,0))="x")*(Timeline!$K$5:$K$305="Task")*ISNUMBER(Timeline!$I$5:$I$305)*ISNUMBER(Timeline!$J$5:$J$305)*(Timeline!$I$5:$I$305&lt;=AN$4+1)*(Timeline!$J$5:$J$305&gt;=AN$4+1)),SUMPRODUCT((INDEX(Timeline!$P$5:$AN$305,0,MATCH($A29,Timeline!$P$4:$AN$4,0))="x")*(Timeline!$K$5:$K$305="Task")*ISNUMBER(Timeline!$I$5:$I$305)*ISNUMBER(Timeline!$J$5:$J$305)*(Timeline!$I$5:$I$305&lt;=AN$4+2)*(Timeline!$J$5:$J$305&gt;=AN$4+2)),SUMPRODUCT((INDEX(Timeline!$P$5:$AN$305,0,MATCH($A29,Timeline!$P$4:$AN$4,0))="x")*(Timeline!$K$5:$K$305="Task")*ISNUMBER(Timeline!$I$5:$I$305)*ISNUMBER(Timeline!$J$5:$J$305)*(Timeline!$I$5:$I$305&lt;=AN$4+3)*(Timeline!$J$5:$J$305&gt;=AN$4+3)),SUMPRODUCT((INDEX(Timeline!$P$5:$AN$305,0,MATCH($A29,Timeline!$P$4:$AN$4,0))="x")*(Timeline!$K$5:$K$305="Task")*ISNUMBER(Timeline!$I$5:$I$305)*ISNUMBER(Timeline!$J$5:$J$305)*(Timeline!$I$5:$I$305&lt;=AN$4+4)*(Timeline!$J$5:$J$305&gt;=AN$4+4)),SUMPRODUCT((INDEX(Timeline!$P$5:$AN$305,0,MATCH($A29,Timeline!$P$4:$AN$4,0))="x")*(Timeline!$K$5:$K$305="Task")*ISNUMBER(Timeline!$I$5:$I$305)*ISNUMBER(Timeline!$J$5:$J$305)*(Timeline!$I$5:$I$305&lt;=AN$4+5)*(Timeline!$J$5:$J$305&gt;=AN$4+5)),SUMPRODUCT((INDEX(Timeline!$P$5:$AN$305,0,MATCH($A29,Timeline!$P$4:$AN$4,0))="x")*(Timeline!$K$5:$K$305="Task")*ISNUMBER(Timeline!$I$5:$I$305)*ISNUMBER(Timeline!$J$5:$J$305)*(Timeline!$I$5:$I$305&lt;=AN$4+6)*(Timeline!$J$5:$J$305&gt;=AN$4+6)))</f>
        <v>0</v>
      </c>
      <c r="AO29" s="67">
        <f>MAX(SUMPRODUCT((INDEX(Timeline!$P$5:$AN$305,0,MATCH($A29,Timeline!$P$4:$AN$4,0))="x")*(Timeline!$K$5:$K$305="Task")*ISNUMBER(Timeline!$I$5:$I$305)*ISNUMBER(Timeline!$J$5:$J$305)*(Timeline!$I$5:$I$305&lt;=AO$4+0)*(Timeline!$J$5:$J$305&gt;=AO$4+0)),SUMPRODUCT((INDEX(Timeline!$P$5:$AN$305,0,MATCH($A29,Timeline!$P$4:$AN$4,0))="x")*(Timeline!$K$5:$K$305="Task")*ISNUMBER(Timeline!$I$5:$I$305)*ISNUMBER(Timeline!$J$5:$J$305)*(Timeline!$I$5:$I$305&lt;=AO$4+1)*(Timeline!$J$5:$J$305&gt;=AO$4+1)),SUMPRODUCT((INDEX(Timeline!$P$5:$AN$305,0,MATCH($A29,Timeline!$P$4:$AN$4,0))="x")*(Timeline!$K$5:$K$305="Task")*ISNUMBER(Timeline!$I$5:$I$305)*ISNUMBER(Timeline!$J$5:$J$305)*(Timeline!$I$5:$I$305&lt;=AO$4+2)*(Timeline!$J$5:$J$305&gt;=AO$4+2)),SUMPRODUCT((INDEX(Timeline!$P$5:$AN$305,0,MATCH($A29,Timeline!$P$4:$AN$4,0))="x")*(Timeline!$K$5:$K$305="Task")*ISNUMBER(Timeline!$I$5:$I$305)*ISNUMBER(Timeline!$J$5:$J$305)*(Timeline!$I$5:$I$305&lt;=AO$4+3)*(Timeline!$J$5:$J$305&gt;=AO$4+3)),SUMPRODUCT((INDEX(Timeline!$P$5:$AN$305,0,MATCH($A29,Timeline!$P$4:$AN$4,0))="x")*(Timeline!$K$5:$K$305="Task")*ISNUMBER(Timeline!$I$5:$I$305)*ISNUMBER(Timeline!$J$5:$J$305)*(Timeline!$I$5:$I$305&lt;=AO$4+4)*(Timeline!$J$5:$J$305&gt;=AO$4+4)),SUMPRODUCT((INDEX(Timeline!$P$5:$AN$305,0,MATCH($A29,Timeline!$P$4:$AN$4,0))="x")*(Timeline!$K$5:$K$305="Task")*ISNUMBER(Timeline!$I$5:$I$305)*ISNUMBER(Timeline!$J$5:$J$305)*(Timeline!$I$5:$I$305&lt;=AO$4+5)*(Timeline!$J$5:$J$305&gt;=AO$4+5)),SUMPRODUCT((INDEX(Timeline!$P$5:$AN$305,0,MATCH($A29,Timeline!$P$4:$AN$4,0))="x")*(Timeline!$K$5:$K$305="Task")*ISNUMBER(Timeline!$I$5:$I$305)*ISNUMBER(Timeline!$J$5:$J$305)*(Timeline!$I$5:$I$305&lt;=AO$4+6)*(Timeline!$J$5:$J$305&gt;=AO$4+6)))</f>
        <v>0</v>
      </c>
      <c r="AP29" s="67">
        <f>MAX(SUMPRODUCT((INDEX(Timeline!$P$5:$AN$305,0,MATCH($A29,Timeline!$P$4:$AN$4,0))="x")*(Timeline!$K$5:$K$305="Task")*ISNUMBER(Timeline!$I$5:$I$305)*ISNUMBER(Timeline!$J$5:$J$305)*(Timeline!$I$5:$I$305&lt;=AP$4+0)*(Timeline!$J$5:$J$305&gt;=AP$4+0)),SUMPRODUCT((INDEX(Timeline!$P$5:$AN$305,0,MATCH($A29,Timeline!$P$4:$AN$4,0))="x")*(Timeline!$K$5:$K$305="Task")*ISNUMBER(Timeline!$I$5:$I$305)*ISNUMBER(Timeline!$J$5:$J$305)*(Timeline!$I$5:$I$305&lt;=AP$4+1)*(Timeline!$J$5:$J$305&gt;=AP$4+1)),SUMPRODUCT((INDEX(Timeline!$P$5:$AN$305,0,MATCH($A29,Timeline!$P$4:$AN$4,0))="x")*(Timeline!$K$5:$K$305="Task")*ISNUMBER(Timeline!$I$5:$I$305)*ISNUMBER(Timeline!$J$5:$J$305)*(Timeline!$I$5:$I$305&lt;=AP$4+2)*(Timeline!$J$5:$J$305&gt;=AP$4+2)),SUMPRODUCT((INDEX(Timeline!$P$5:$AN$305,0,MATCH($A29,Timeline!$P$4:$AN$4,0))="x")*(Timeline!$K$5:$K$305="Task")*ISNUMBER(Timeline!$I$5:$I$305)*ISNUMBER(Timeline!$J$5:$J$305)*(Timeline!$I$5:$I$305&lt;=AP$4+3)*(Timeline!$J$5:$J$305&gt;=AP$4+3)),SUMPRODUCT((INDEX(Timeline!$P$5:$AN$305,0,MATCH($A29,Timeline!$P$4:$AN$4,0))="x")*(Timeline!$K$5:$K$305="Task")*ISNUMBER(Timeline!$I$5:$I$305)*ISNUMBER(Timeline!$J$5:$J$305)*(Timeline!$I$5:$I$305&lt;=AP$4+4)*(Timeline!$J$5:$J$305&gt;=AP$4+4)),SUMPRODUCT((INDEX(Timeline!$P$5:$AN$305,0,MATCH($A29,Timeline!$P$4:$AN$4,0))="x")*(Timeline!$K$5:$K$305="Task")*ISNUMBER(Timeline!$I$5:$I$305)*ISNUMBER(Timeline!$J$5:$J$305)*(Timeline!$I$5:$I$305&lt;=AP$4+5)*(Timeline!$J$5:$J$305&gt;=AP$4+5)),SUMPRODUCT((INDEX(Timeline!$P$5:$AN$305,0,MATCH($A29,Timeline!$P$4:$AN$4,0))="x")*(Timeline!$K$5:$K$305="Task")*ISNUMBER(Timeline!$I$5:$I$305)*ISNUMBER(Timeline!$J$5:$J$305)*(Timeline!$I$5:$I$305&lt;=AP$4+6)*(Timeline!$J$5:$J$305&gt;=AP$4+6)))</f>
        <v>0</v>
      </c>
      <c r="AQ29" s="67">
        <f>MAX(SUMPRODUCT((INDEX(Timeline!$P$5:$AN$305,0,MATCH($A29,Timeline!$P$4:$AN$4,0))="x")*(Timeline!$K$5:$K$305="Task")*ISNUMBER(Timeline!$I$5:$I$305)*ISNUMBER(Timeline!$J$5:$J$305)*(Timeline!$I$5:$I$305&lt;=AQ$4+0)*(Timeline!$J$5:$J$305&gt;=AQ$4+0)),SUMPRODUCT((INDEX(Timeline!$P$5:$AN$305,0,MATCH($A29,Timeline!$P$4:$AN$4,0))="x")*(Timeline!$K$5:$K$305="Task")*ISNUMBER(Timeline!$I$5:$I$305)*ISNUMBER(Timeline!$J$5:$J$305)*(Timeline!$I$5:$I$305&lt;=AQ$4+1)*(Timeline!$J$5:$J$305&gt;=AQ$4+1)),SUMPRODUCT((INDEX(Timeline!$P$5:$AN$305,0,MATCH($A29,Timeline!$P$4:$AN$4,0))="x")*(Timeline!$K$5:$K$305="Task")*ISNUMBER(Timeline!$I$5:$I$305)*ISNUMBER(Timeline!$J$5:$J$305)*(Timeline!$I$5:$I$305&lt;=AQ$4+2)*(Timeline!$J$5:$J$305&gt;=AQ$4+2)),SUMPRODUCT((INDEX(Timeline!$P$5:$AN$305,0,MATCH($A29,Timeline!$P$4:$AN$4,0))="x")*(Timeline!$K$5:$K$305="Task")*ISNUMBER(Timeline!$I$5:$I$305)*ISNUMBER(Timeline!$J$5:$J$305)*(Timeline!$I$5:$I$305&lt;=AQ$4+3)*(Timeline!$J$5:$J$305&gt;=AQ$4+3)),SUMPRODUCT((INDEX(Timeline!$P$5:$AN$305,0,MATCH($A29,Timeline!$P$4:$AN$4,0))="x")*(Timeline!$K$5:$K$305="Task")*ISNUMBER(Timeline!$I$5:$I$305)*ISNUMBER(Timeline!$J$5:$J$305)*(Timeline!$I$5:$I$305&lt;=AQ$4+4)*(Timeline!$J$5:$J$305&gt;=AQ$4+4)),SUMPRODUCT((INDEX(Timeline!$P$5:$AN$305,0,MATCH($A29,Timeline!$P$4:$AN$4,0))="x")*(Timeline!$K$5:$K$305="Task")*ISNUMBER(Timeline!$I$5:$I$305)*ISNUMBER(Timeline!$J$5:$J$305)*(Timeline!$I$5:$I$305&lt;=AQ$4+5)*(Timeline!$J$5:$J$305&gt;=AQ$4+5)),SUMPRODUCT((INDEX(Timeline!$P$5:$AN$305,0,MATCH($A29,Timeline!$P$4:$AN$4,0))="x")*(Timeline!$K$5:$K$305="Task")*ISNUMBER(Timeline!$I$5:$I$305)*ISNUMBER(Timeline!$J$5:$J$305)*(Timeline!$I$5:$I$305&lt;=AQ$4+6)*(Timeline!$J$5:$J$305&gt;=AQ$4+6)))</f>
        <v>0</v>
      </c>
      <c r="AR29" s="67">
        <f>MAX(SUMPRODUCT((INDEX(Timeline!$P$5:$AN$305,0,MATCH($A29,Timeline!$P$4:$AN$4,0))="x")*(Timeline!$K$5:$K$305="Task")*ISNUMBER(Timeline!$I$5:$I$305)*ISNUMBER(Timeline!$J$5:$J$305)*(Timeline!$I$5:$I$305&lt;=AR$4+0)*(Timeline!$J$5:$J$305&gt;=AR$4+0)),SUMPRODUCT((INDEX(Timeline!$P$5:$AN$305,0,MATCH($A29,Timeline!$P$4:$AN$4,0))="x")*(Timeline!$K$5:$K$305="Task")*ISNUMBER(Timeline!$I$5:$I$305)*ISNUMBER(Timeline!$J$5:$J$305)*(Timeline!$I$5:$I$305&lt;=AR$4+1)*(Timeline!$J$5:$J$305&gt;=AR$4+1)),SUMPRODUCT((INDEX(Timeline!$P$5:$AN$305,0,MATCH($A29,Timeline!$P$4:$AN$4,0))="x")*(Timeline!$K$5:$K$305="Task")*ISNUMBER(Timeline!$I$5:$I$305)*ISNUMBER(Timeline!$J$5:$J$305)*(Timeline!$I$5:$I$305&lt;=AR$4+2)*(Timeline!$J$5:$J$305&gt;=AR$4+2)),SUMPRODUCT((INDEX(Timeline!$P$5:$AN$305,0,MATCH($A29,Timeline!$P$4:$AN$4,0))="x")*(Timeline!$K$5:$K$305="Task")*ISNUMBER(Timeline!$I$5:$I$305)*ISNUMBER(Timeline!$J$5:$J$305)*(Timeline!$I$5:$I$305&lt;=AR$4+3)*(Timeline!$J$5:$J$305&gt;=AR$4+3)),SUMPRODUCT((INDEX(Timeline!$P$5:$AN$305,0,MATCH($A29,Timeline!$P$4:$AN$4,0))="x")*(Timeline!$K$5:$K$305="Task")*ISNUMBER(Timeline!$I$5:$I$305)*ISNUMBER(Timeline!$J$5:$J$305)*(Timeline!$I$5:$I$305&lt;=AR$4+4)*(Timeline!$J$5:$J$305&gt;=AR$4+4)),SUMPRODUCT((INDEX(Timeline!$P$5:$AN$305,0,MATCH($A29,Timeline!$P$4:$AN$4,0))="x")*(Timeline!$K$5:$K$305="Task")*ISNUMBER(Timeline!$I$5:$I$305)*ISNUMBER(Timeline!$J$5:$J$305)*(Timeline!$I$5:$I$305&lt;=AR$4+5)*(Timeline!$J$5:$J$305&gt;=AR$4+5)),SUMPRODUCT((INDEX(Timeline!$P$5:$AN$305,0,MATCH($A29,Timeline!$P$4:$AN$4,0))="x")*(Timeline!$K$5:$K$305="Task")*ISNUMBER(Timeline!$I$5:$I$305)*ISNUMBER(Timeline!$J$5:$J$305)*(Timeline!$I$5:$I$305&lt;=AR$4+6)*(Timeline!$J$5:$J$305&gt;=AR$4+6)))</f>
        <v>0</v>
      </c>
      <c r="AS29" s="67">
        <f>MAX(SUMPRODUCT((INDEX(Timeline!$P$5:$AN$305,0,MATCH($A29,Timeline!$P$4:$AN$4,0))="x")*(Timeline!$K$5:$K$305="Task")*ISNUMBER(Timeline!$I$5:$I$305)*ISNUMBER(Timeline!$J$5:$J$305)*(Timeline!$I$5:$I$305&lt;=AS$4+0)*(Timeline!$J$5:$J$305&gt;=AS$4+0)),SUMPRODUCT((INDEX(Timeline!$P$5:$AN$305,0,MATCH($A29,Timeline!$P$4:$AN$4,0))="x")*(Timeline!$K$5:$K$305="Task")*ISNUMBER(Timeline!$I$5:$I$305)*ISNUMBER(Timeline!$J$5:$J$305)*(Timeline!$I$5:$I$305&lt;=AS$4+1)*(Timeline!$J$5:$J$305&gt;=AS$4+1)),SUMPRODUCT((INDEX(Timeline!$P$5:$AN$305,0,MATCH($A29,Timeline!$P$4:$AN$4,0))="x")*(Timeline!$K$5:$K$305="Task")*ISNUMBER(Timeline!$I$5:$I$305)*ISNUMBER(Timeline!$J$5:$J$305)*(Timeline!$I$5:$I$305&lt;=AS$4+2)*(Timeline!$J$5:$J$305&gt;=AS$4+2)),SUMPRODUCT((INDEX(Timeline!$P$5:$AN$305,0,MATCH($A29,Timeline!$P$4:$AN$4,0))="x")*(Timeline!$K$5:$K$305="Task")*ISNUMBER(Timeline!$I$5:$I$305)*ISNUMBER(Timeline!$J$5:$J$305)*(Timeline!$I$5:$I$305&lt;=AS$4+3)*(Timeline!$J$5:$J$305&gt;=AS$4+3)),SUMPRODUCT((INDEX(Timeline!$P$5:$AN$305,0,MATCH($A29,Timeline!$P$4:$AN$4,0))="x")*(Timeline!$K$5:$K$305="Task")*ISNUMBER(Timeline!$I$5:$I$305)*ISNUMBER(Timeline!$J$5:$J$305)*(Timeline!$I$5:$I$305&lt;=AS$4+4)*(Timeline!$J$5:$J$305&gt;=AS$4+4)),SUMPRODUCT((INDEX(Timeline!$P$5:$AN$305,0,MATCH($A29,Timeline!$P$4:$AN$4,0))="x")*(Timeline!$K$5:$K$305="Task")*ISNUMBER(Timeline!$I$5:$I$305)*ISNUMBER(Timeline!$J$5:$J$305)*(Timeline!$I$5:$I$305&lt;=AS$4+5)*(Timeline!$J$5:$J$305&gt;=AS$4+5)),SUMPRODUCT((INDEX(Timeline!$P$5:$AN$305,0,MATCH($A29,Timeline!$P$4:$AN$4,0))="x")*(Timeline!$K$5:$K$305="Task")*ISNUMBER(Timeline!$I$5:$I$305)*ISNUMBER(Timeline!$J$5:$J$305)*(Timeline!$I$5:$I$305&lt;=AS$4+6)*(Timeline!$J$5:$J$305&gt;=AS$4+6)))</f>
        <v>0</v>
      </c>
      <c r="AT29" s="67">
        <f>MAX(SUMPRODUCT((INDEX(Timeline!$P$5:$AN$305,0,MATCH($A29,Timeline!$P$4:$AN$4,0))="x")*(Timeline!$K$5:$K$305="Task")*ISNUMBER(Timeline!$I$5:$I$305)*ISNUMBER(Timeline!$J$5:$J$305)*(Timeline!$I$5:$I$305&lt;=AT$4+0)*(Timeline!$J$5:$J$305&gt;=AT$4+0)),SUMPRODUCT((INDEX(Timeline!$P$5:$AN$305,0,MATCH($A29,Timeline!$P$4:$AN$4,0))="x")*(Timeline!$K$5:$K$305="Task")*ISNUMBER(Timeline!$I$5:$I$305)*ISNUMBER(Timeline!$J$5:$J$305)*(Timeline!$I$5:$I$305&lt;=AT$4+1)*(Timeline!$J$5:$J$305&gt;=AT$4+1)),SUMPRODUCT((INDEX(Timeline!$P$5:$AN$305,0,MATCH($A29,Timeline!$P$4:$AN$4,0))="x")*(Timeline!$K$5:$K$305="Task")*ISNUMBER(Timeline!$I$5:$I$305)*ISNUMBER(Timeline!$J$5:$J$305)*(Timeline!$I$5:$I$305&lt;=AT$4+2)*(Timeline!$J$5:$J$305&gt;=AT$4+2)),SUMPRODUCT((INDEX(Timeline!$P$5:$AN$305,0,MATCH($A29,Timeline!$P$4:$AN$4,0))="x")*(Timeline!$K$5:$K$305="Task")*ISNUMBER(Timeline!$I$5:$I$305)*ISNUMBER(Timeline!$J$5:$J$305)*(Timeline!$I$5:$I$305&lt;=AT$4+3)*(Timeline!$J$5:$J$305&gt;=AT$4+3)),SUMPRODUCT((INDEX(Timeline!$P$5:$AN$305,0,MATCH($A29,Timeline!$P$4:$AN$4,0))="x")*(Timeline!$K$5:$K$305="Task")*ISNUMBER(Timeline!$I$5:$I$305)*ISNUMBER(Timeline!$J$5:$J$305)*(Timeline!$I$5:$I$305&lt;=AT$4+4)*(Timeline!$J$5:$J$305&gt;=AT$4+4)),SUMPRODUCT((INDEX(Timeline!$P$5:$AN$305,0,MATCH($A29,Timeline!$P$4:$AN$4,0))="x")*(Timeline!$K$5:$K$305="Task")*ISNUMBER(Timeline!$I$5:$I$305)*ISNUMBER(Timeline!$J$5:$J$305)*(Timeline!$I$5:$I$305&lt;=AT$4+5)*(Timeline!$J$5:$J$305&gt;=AT$4+5)),SUMPRODUCT((INDEX(Timeline!$P$5:$AN$305,0,MATCH($A29,Timeline!$P$4:$AN$4,0))="x")*(Timeline!$K$5:$K$305="Task")*ISNUMBER(Timeline!$I$5:$I$305)*ISNUMBER(Timeline!$J$5:$J$305)*(Timeline!$I$5:$I$305&lt;=AT$4+6)*(Timeline!$J$5:$J$305&gt;=AT$4+6)))</f>
        <v>0</v>
      </c>
      <c r="AU29" s="67">
        <f>MAX(SUMPRODUCT((INDEX(Timeline!$P$5:$AN$305,0,MATCH($A29,Timeline!$P$4:$AN$4,0))="x")*(Timeline!$K$5:$K$305="Task")*ISNUMBER(Timeline!$I$5:$I$305)*ISNUMBER(Timeline!$J$5:$J$305)*(Timeline!$I$5:$I$305&lt;=AU$4+0)*(Timeline!$J$5:$J$305&gt;=AU$4+0)),SUMPRODUCT((INDEX(Timeline!$P$5:$AN$305,0,MATCH($A29,Timeline!$P$4:$AN$4,0))="x")*(Timeline!$K$5:$K$305="Task")*ISNUMBER(Timeline!$I$5:$I$305)*ISNUMBER(Timeline!$J$5:$J$305)*(Timeline!$I$5:$I$305&lt;=AU$4+1)*(Timeline!$J$5:$J$305&gt;=AU$4+1)),SUMPRODUCT((INDEX(Timeline!$P$5:$AN$305,0,MATCH($A29,Timeline!$P$4:$AN$4,0))="x")*(Timeline!$K$5:$K$305="Task")*ISNUMBER(Timeline!$I$5:$I$305)*ISNUMBER(Timeline!$J$5:$J$305)*(Timeline!$I$5:$I$305&lt;=AU$4+2)*(Timeline!$J$5:$J$305&gt;=AU$4+2)),SUMPRODUCT((INDEX(Timeline!$P$5:$AN$305,0,MATCH($A29,Timeline!$P$4:$AN$4,0))="x")*(Timeline!$K$5:$K$305="Task")*ISNUMBER(Timeline!$I$5:$I$305)*ISNUMBER(Timeline!$J$5:$J$305)*(Timeline!$I$5:$I$305&lt;=AU$4+3)*(Timeline!$J$5:$J$305&gt;=AU$4+3)),SUMPRODUCT((INDEX(Timeline!$P$5:$AN$305,0,MATCH($A29,Timeline!$P$4:$AN$4,0))="x")*(Timeline!$K$5:$K$305="Task")*ISNUMBER(Timeline!$I$5:$I$305)*ISNUMBER(Timeline!$J$5:$J$305)*(Timeline!$I$5:$I$305&lt;=AU$4+4)*(Timeline!$J$5:$J$305&gt;=AU$4+4)),SUMPRODUCT((INDEX(Timeline!$P$5:$AN$305,0,MATCH($A29,Timeline!$P$4:$AN$4,0))="x")*(Timeline!$K$5:$K$305="Task")*ISNUMBER(Timeline!$I$5:$I$305)*ISNUMBER(Timeline!$J$5:$J$305)*(Timeline!$I$5:$I$305&lt;=AU$4+5)*(Timeline!$J$5:$J$305&gt;=AU$4+5)),SUMPRODUCT((INDEX(Timeline!$P$5:$AN$305,0,MATCH($A29,Timeline!$P$4:$AN$4,0))="x")*(Timeline!$K$5:$K$305="Task")*ISNUMBER(Timeline!$I$5:$I$305)*ISNUMBER(Timeline!$J$5:$J$305)*(Timeline!$I$5:$I$305&lt;=AU$4+6)*(Timeline!$J$5:$J$305&gt;=AU$4+6)))</f>
        <v>0</v>
      </c>
      <c r="AV29" s="67">
        <f>MAX(SUMPRODUCT((INDEX(Timeline!$P$5:$AN$305,0,MATCH($A29,Timeline!$P$4:$AN$4,0))="x")*(Timeline!$K$5:$K$305="Task")*ISNUMBER(Timeline!$I$5:$I$305)*ISNUMBER(Timeline!$J$5:$J$305)*(Timeline!$I$5:$I$305&lt;=AV$4+0)*(Timeline!$J$5:$J$305&gt;=AV$4+0)),SUMPRODUCT((INDEX(Timeline!$P$5:$AN$305,0,MATCH($A29,Timeline!$P$4:$AN$4,0))="x")*(Timeline!$K$5:$K$305="Task")*ISNUMBER(Timeline!$I$5:$I$305)*ISNUMBER(Timeline!$J$5:$J$305)*(Timeline!$I$5:$I$305&lt;=AV$4+1)*(Timeline!$J$5:$J$305&gt;=AV$4+1)),SUMPRODUCT((INDEX(Timeline!$P$5:$AN$305,0,MATCH($A29,Timeline!$P$4:$AN$4,0))="x")*(Timeline!$K$5:$K$305="Task")*ISNUMBER(Timeline!$I$5:$I$305)*ISNUMBER(Timeline!$J$5:$J$305)*(Timeline!$I$5:$I$305&lt;=AV$4+2)*(Timeline!$J$5:$J$305&gt;=AV$4+2)),SUMPRODUCT((INDEX(Timeline!$P$5:$AN$305,0,MATCH($A29,Timeline!$P$4:$AN$4,0))="x")*(Timeline!$K$5:$K$305="Task")*ISNUMBER(Timeline!$I$5:$I$305)*ISNUMBER(Timeline!$J$5:$J$305)*(Timeline!$I$5:$I$305&lt;=AV$4+3)*(Timeline!$J$5:$J$305&gt;=AV$4+3)),SUMPRODUCT((INDEX(Timeline!$P$5:$AN$305,0,MATCH($A29,Timeline!$P$4:$AN$4,0))="x")*(Timeline!$K$5:$K$305="Task")*ISNUMBER(Timeline!$I$5:$I$305)*ISNUMBER(Timeline!$J$5:$J$305)*(Timeline!$I$5:$I$305&lt;=AV$4+4)*(Timeline!$J$5:$J$305&gt;=AV$4+4)),SUMPRODUCT((INDEX(Timeline!$P$5:$AN$305,0,MATCH($A29,Timeline!$P$4:$AN$4,0))="x")*(Timeline!$K$5:$K$305="Task")*ISNUMBER(Timeline!$I$5:$I$305)*ISNUMBER(Timeline!$J$5:$J$305)*(Timeline!$I$5:$I$305&lt;=AV$4+5)*(Timeline!$J$5:$J$305&gt;=AV$4+5)),SUMPRODUCT((INDEX(Timeline!$P$5:$AN$305,0,MATCH($A29,Timeline!$P$4:$AN$4,0))="x")*(Timeline!$K$5:$K$305="Task")*ISNUMBER(Timeline!$I$5:$I$305)*ISNUMBER(Timeline!$J$5:$J$305)*(Timeline!$I$5:$I$305&lt;=AV$4+6)*(Timeline!$J$5:$J$305&gt;=AV$4+6)))</f>
        <v>0</v>
      </c>
      <c r="AW29" s="67">
        <f>MAX(SUMPRODUCT((INDEX(Timeline!$P$5:$AN$305,0,MATCH($A29,Timeline!$P$4:$AN$4,0))="x")*(Timeline!$K$5:$K$305="Task")*ISNUMBER(Timeline!$I$5:$I$305)*ISNUMBER(Timeline!$J$5:$J$305)*(Timeline!$I$5:$I$305&lt;=AW$4+0)*(Timeline!$J$5:$J$305&gt;=AW$4+0)),SUMPRODUCT((INDEX(Timeline!$P$5:$AN$305,0,MATCH($A29,Timeline!$P$4:$AN$4,0))="x")*(Timeline!$K$5:$K$305="Task")*ISNUMBER(Timeline!$I$5:$I$305)*ISNUMBER(Timeline!$J$5:$J$305)*(Timeline!$I$5:$I$305&lt;=AW$4+1)*(Timeline!$J$5:$J$305&gt;=AW$4+1)),SUMPRODUCT((INDEX(Timeline!$P$5:$AN$305,0,MATCH($A29,Timeline!$P$4:$AN$4,0))="x")*(Timeline!$K$5:$K$305="Task")*ISNUMBER(Timeline!$I$5:$I$305)*ISNUMBER(Timeline!$J$5:$J$305)*(Timeline!$I$5:$I$305&lt;=AW$4+2)*(Timeline!$J$5:$J$305&gt;=AW$4+2)),SUMPRODUCT((INDEX(Timeline!$P$5:$AN$305,0,MATCH($A29,Timeline!$P$4:$AN$4,0))="x")*(Timeline!$K$5:$K$305="Task")*ISNUMBER(Timeline!$I$5:$I$305)*ISNUMBER(Timeline!$J$5:$J$305)*(Timeline!$I$5:$I$305&lt;=AW$4+3)*(Timeline!$J$5:$J$305&gt;=AW$4+3)),SUMPRODUCT((INDEX(Timeline!$P$5:$AN$305,0,MATCH($A29,Timeline!$P$4:$AN$4,0))="x")*(Timeline!$K$5:$K$305="Task")*ISNUMBER(Timeline!$I$5:$I$305)*ISNUMBER(Timeline!$J$5:$J$305)*(Timeline!$I$5:$I$305&lt;=AW$4+4)*(Timeline!$J$5:$J$305&gt;=AW$4+4)),SUMPRODUCT((INDEX(Timeline!$P$5:$AN$305,0,MATCH($A29,Timeline!$P$4:$AN$4,0))="x")*(Timeline!$K$5:$K$305="Task")*ISNUMBER(Timeline!$I$5:$I$305)*ISNUMBER(Timeline!$J$5:$J$305)*(Timeline!$I$5:$I$305&lt;=AW$4+5)*(Timeline!$J$5:$J$305&gt;=AW$4+5)),SUMPRODUCT((INDEX(Timeline!$P$5:$AN$305,0,MATCH($A29,Timeline!$P$4:$AN$4,0))="x")*(Timeline!$K$5:$K$305="Task")*ISNUMBER(Timeline!$I$5:$I$305)*ISNUMBER(Timeline!$J$5:$J$305)*(Timeline!$I$5:$I$305&lt;=AW$4+6)*(Timeline!$J$5:$J$305&gt;=AW$4+6)))</f>
        <v>0</v>
      </c>
      <c r="AX29" s="67">
        <f>MAX(SUMPRODUCT((INDEX(Timeline!$P$5:$AN$305,0,MATCH($A29,Timeline!$P$4:$AN$4,0))="x")*(Timeline!$K$5:$K$305="Task")*ISNUMBER(Timeline!$I$5:$I$305)*ISNUMBER(Timeline!$J$5:$J$305)*(Timeline!$I$5:$I$305&lt;=AX$4+0)*(Timeline!$J$5:$J$305&gt;=AX$4+0)),SUMPRODUCT((INDEX(Timeline!$P$5:$AN$305,0,MATCH($A29,Timeline!$P$4:$AN$4,0))="x")*(Timeline!$K$5:$K$305="Task")*ISNUMBER(Timeline!$I$5:$I$305)*ISNUMBER(Timeline!$J$5:$J$305)*(Timeline!$I$5:$I$305&lt;=AX$4+1)*(Timeline!$J$5:$J$305&gt;=AX$4+1)),SUMPRODUCT((INDEX(Timeline!$P$5:$AN$305,0,MATCH($A29,Timeline!$P$4:$AN$4,0))="x")*(Timeline!$K$5:$K$305="Task")*ISNUMBER(Timeline!$I$5:$I$305)*ISNUMBER(Timeline!$J$5:$J$305)*(Timeline!$I$5:$I$305&lt;=AX$4+2)*(Timeline!$J$5:$J$305&gt;=AX$4+2)),SUMPRODUCT((INDEX(Timeline!$P$5:$AN$305,0,MATCH($A29,Timeline!$P$4:$AN$4,0))="x")*(Timeline!$K$5:$K$305="Task")*ISNUMBER(Timeline!$I$5:$I$305)*ISNUMBER(Timeline!$J$5:$J$305)*(Timeline!$I$5:$I$305&lt;=AX$4+3)*(Timeline!$J$5:$J$305&gt;=AX$4+3)),SUMPRODUCT((INDEX(Timeline!$P$5:$AN$305,0,MATCH($A29,Timeline!$P$4:$AN$4,0))="x")*(Timeline!$K$5:$K$305="Task")*ISNUMBER(Timeline!$I$5:$I$305)*ISNUMBER(Timeline!$J$5:$J$305)*(Timeline!$I$5:$I$305&lt;=AX$4+4)*(Timeline!$J$5:$J$305&gt;=AX$4+4)),SUMPRODUCT((INDEX(Timeline!$P$5:$AN$305,0,MATCH($A29,Timeline!$P$4:$AN$4,0))="x")*(Timeline!$K$5:$K$305="Task")*ISNUMBER(Timeline!$I$5:$I$305)*ISNUMBER(Timeline!$J$5:$J$305)*(Timeline!$I$5:$I$305&lt;=AX$4+5)*(Timeline!$J$5:$J$305&gt;=AX$4+5)),SUMPRODUCT((INDEX(Timeline!$P$5:$AN$305,0,MATCH($A29,Timeline!$P$4:$AN$4,0))="x")*(Timeline!$K$5:$K$305="Task")*ISNUMBER(Timeline!$I$5:$I$305)*ISNUMBER(Timeline!$J$5:$J$305)*(Timeline!$I$5:$I$305&lt;=AX$4+6)*(Timeline!$J$5:$J$305&gt;=AX$4+6)))</f>
        <v>0</v>
      </c>
      <c r="AY29" s="67">
        <f>MAX(SUMPRODUCT((INDEX(Timeline!$P$5:$AN$305,0,MATCH($A29,Timeline!$P$4:$AN$4,0))="x")*(Timeline!$K$5:$K$305="Task")*ISNUMBER(Timeline!$I$5:$I$305)*ISNUMBER(Timeline!$J$5:$J$305)*(Timeline!$I$5:$I$305&lt;=AY$4+0)*(Timeline!$J$5:$J$305&gt;=AY$4+0)),SUMPRODUCT((INDEX(Timeline!$P$5:$AN$305,0,MATCH($A29,Timeline!$P$4:$AN$4,0))="x")*(Timeline!$K$5:$K$305="Task")*ISNUMBER(Timeline!$I$5:$I$305)*ISNUMBER(Timeline!$J$5:$J$305)*(Timeline!$I$5:$I$305&lt;=AY$4+1)*(Timeline!$J$5:$J$305&gt;=AY$4+1)),SUMPRODUCT((INDEX(Timeline!$P$5:$AN$305,0,MATCH($A29,Timeline!$P$4:$AN$4,0))="x")*(Timeline!$K$5:$K$305="Task")*ISNUMBER(Timeline!$I$5:$I$305)*ISNUMBER(Timeline!$J$5:$J$305)*(Timeline!$I$5:$I$305&lt;=AY$4+2)*(Timeline!$J$5:$J$305&gt;=AY$4+2)),SUMPRODUCT((INDEX(Timeline!$P$5:$AN$305,0,MATCH($A29,Timeline!$P$4:$AN$4,0))="x")*(Timeline!$K$5:$K$305="Task")*ISNUMBER(Timeline!$I$5:$I$305)*ISNUMBER(Timeline!$J$5:$J$305)*(Timeline!$I$5:$I$305&lt;=AY$4+3)*(Timeline!$J$5:$J$305&gt;=AY$4+3)),SUMPRODUCT((INDEX(Timeline!$P$5:$AN$305,0,MATCH($A29,Timeline!$P$4:$AN$4,0))="x")*(Timeline!$K$5:$K$305="Task")*ISNUMBER(Timeline!$I$5:$I$305)*ISNUMBER(Timeline!$J$5:$J$305)*(Timeline!$I$5:$I$305&lt;=AY$4+4)*(Timeline!$J$5:$J$305&gt;=AY$4+4)),SUMPRODUCT((INDEX(Timeline!$P$5:$AN$305,0,MATCH($A29,Timeline!$P$4:$AN$4,0))="x")*(Timeline!$K$5:$K$305="Task")*ISNUMBER(Timeline!$I$5:$I$305)*ISNUMBER(Timeline!$J$5:$J$305)*(Timeline!$I$5:$I$305&lt;=AY$4+5)*(Timeline!$J$5:$J$305&gt;=AY$4+5)),SUMPRODUCT((INDEX(Timeline!$P$5:$AN$305,0,MATCH($A29,Timeline!$P$4:$AN$4,0))="x")*(Timeline!$K$5:$K$305="Task")*ISNUMBER(Timeline!$I$5:$I$305)*ISNUMBER(Timeline!$J$5:$J$305)*(Timeline!$I$5:$I$305&lt;=AY$4+6)*(Timeline!$J$5:$J$305&gt;=AY$4+6)))</f>
        <v>0</v>
      </c>
      <c r="AZ29" s="67">
        <f>MAX(SUMPRODUCT((INDEX(Timeline!$P$5:$AN$305,0,MATCH($A29,Timeline!$P$4:$AN$4,0))="x")*(Timeline!$K$5:$K$305="Task")*ISNUMBER(Timeline!$I$5:$I$305)*ISNUMBER(Timeline!$J$5:$J$305)*(Timeline!$I$5:$I$305&lt;=AZ$4+0)*(Timeline!$J$5:$J$305&gt;=AZ$4+0)),SUMPRODUCT((INDEX(Timeline!$P$5:$AN$305,0,MATCH($A29,Timeline!$P$4:$AN$4,0))="x")*(Timeline!$K$5:$K$305="Task")*ISNUMBER(Timeline!$I$5:$I$305)*ISNUMBER(Timeline!$J$5:$J$305)*(Timeline!$I$5:$I$305&lt;=AZ$4+1)*(Timeline!$J$5:$J$305&gt;=AZ$4+1)),SUMPRODUCT((INDEX(Timeline!$P$5:$AN$305,0,MATCH($A29,Timeline!$P$4:$AN$4,0))="x")*(Timeline!$K$5:$K$305="Task")*ISNUMBER(Timeline!$I$5:$I$305)*ISNUMBER(Timeline!$J$5:$J$305)*(Timeline!$I$5:$I$305&lt;=AZ$4+2)*(Timeline!$J$5:$J$305&gt;=AZ$4+2)),SUMPRODUCT((INDEX(Timeline!$P$5:$AN$305,0,MATCH($A29,Timeline!$P$4:$AN$4,0))="x")*(Timeline!$K$5:$K$305="Task")*ISNUMBER(Timeline!$I$5:$I$305)*ISNUMBER(Timeline!$J$5:$J$305)*(Timeline!$I$5:$I$305&lt;=AZ$4+3)*(Timeline!$J$5:$J$305&gt;=AZ$4+3)),SUMPRODUCT((INDEX(Timeline!$P$5:$AN$305,0,MATCH($A29,Timeline!$P$4:$AN$4,0))="x")*(Timeline!$K$5:$K$305="Task")*ISNUMBER(Timeline!$I$5:$I$305)*ISNUMBER(Timeline!$J$5:$J$305)*(Timeline!$I$5:$I$305&lt;=AZ$4+4)*(Timeline!$J$5:$J$305&gt;=AZ$4+4)),SUMPRODUCT((INDEX(Timeline!$P$5:$AN$305,0,MATCH($A29,Timeline!$P$4:$AN$4,0))="x")*(Timeline!$K$5:$K$305="Task")*ISNUMBER(Timeline!$I$5:$I$305)*ISNUMBER(Timeline!$J$5:$J$305)*(Timeline!$I$5:$I$305&lt;=AZ$4+5)*(Timeline!$J$5:$J$305&gt;=AZ$4+5)),SUMPRODUCT((INDEX(Timeline!$P$5:$AN$305,0,MATCH($A29,Timeline!$P$4:$AN$4,0))="x")*(Timeline!$K$5:$K$305="Task")*ISNUMBER(Timeline!$I$5:$I$305)*ISNUMBER(Timeline!$J$5:$J$305)*(Timeline!$I$5:$I$305&lt;=AZ$4+6)*(Timeline!$J$5:$J$305&gt;=AZ$4+6)))</f>
        <v>0</v>
      </c>
      <c r="BA29" s="67">
        <f>MAX(SUMPRODUCT((INDEX(Timeline!$P$5:$AN$305,0,MATCH($A29,Timeline!$P$4:$AN$4,0))="x")*(Timeline!$K$5:$K$305="Task")*ISNUMBER(Timeline!$I$5:$I$305)*ISNUMBER(Timeline!$J$5:$J$305)*(Timeline!$I$5:$I$305&lt;=BA$4+0)*(Timeline!$J$5:$J$305&gt;=BA$4+0)),SUMPRODUCT((INDEX(Timeline!$P$5:$AN$305,0,MATCH($A29,Timeline!$P$4:$AN$4,0))="x")*(Timeline!$K$5:$K$305="Task")*ISNUMBER(Timeline!$I$5:$I$305)*ISNUMBER(Timeline!$J$5:$J$305)*(Timeline!$I$5:$I$305&lt;=BA$4+1)*(Timeline!$J$5:$J$305&gt;=BA$4+1)),SUMPRODUCT((INDEX(Timeline!$P$5:$AN$305,0,MATCH($A29,Timeline!$P$4:$AN$4,0))="x")*(Timeline!$K$5:$K$305="Task")*ISNUMBER(Timeline!$I$5:$I$305)*ISNUMBER(Timeline!$J$5:$J$305)*(Timeline!$I$5:$I$305&lt;=BA$4+2)*(Timeline!$J$5:$J$305&gt;=BA$4+2)),SUMPRODUCT((INDEX(Timeline!$P$5:$AN$305,0,MATCH($A29,Timeline!$P$4:$AN$4,0))="x")*(Timeline!$K$5:$K$305="Task")*ISNUMBER(Timeline!$I$5:$I$305)*ISNUMBER(Timeline!$J$5:$J$305)*(Timeline!$I$5:$I$305&lt;=BA$4+3)*(Timeline!$J$5:$J$305&gt;=BA$4+3)),SUMPRODUCT((INDEX(Timeline!$P$5:$AN$305,0,MATCH($A29,Timeline!$P$4:$AN$4,0))="x")*(Timeline!$K$5:$K$305="Task")*ISNUMBER(Timeline!$I$5:$I$305)*ISNUMBER(Timeline!$J$5:$J$305)*(Timeline!$I$5:$I$305&lt;=BA$4+4)*(Timeline!$J$5:$J$305&gt;=BA$4+4)),SUMPRODUCT((INDEX(Timeline!$P$5:$AN$305,0,MATCH($A29,Timeline!$P$4:$AN$4,0))="x")*(Timeline!$K$5:$K$305="Task")*ISNUMBER(Timeline!$I$5:$I$305)*ISNUMBER(Timeline!$J$5:$J$305)*(Timeline!$I$5:$I$305&lt;=BA$4+5)*(Timeline!$J$5:$J$305&gt;=BA$4+5)),SUMPRODUCT((INDEX(Timeline!$P$5:$AN$305,0,MATCH($A29,Timeline!$P$4:$AN$4,0))="x")*(Timeline!$K$5:$K$305="Task")*ISNUMBER(Timeline!$I$5:$I$305)*ISNUMBER(Timeline!$J$5:$J$305)*(Timeline!$I$5:$I$305&lt;=BA$4+6)*(Timeline!$J$5:$J$305&gt;=BA$4+6)))</f>
        <v>0</v>
      </c>
    </row>
  </sheetData>
  <conditionalFormatting sqref="C5:BA29">
    <cfRule type="colorScale" priority="2">
      <colorScale>
        <cfvo type="num" val="0"/>
        <cfvo type="num" val="5"/>
        <cfvo type="num" val="15"/>
        <color rgb="FFFFFFFF"/>
        <color rgb="FF85B7EB"/>
        <color rgb="FF0C447C"/>
      </colorScale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>0</cp:revision>
  <dcterms:created xsi:type="dcterms:W3CDTF">2026-10-19T07:06:56Z</dcterms:created>
  <dcterms:modified xsi:type="dcterms:W3CDTF">2026-10-26T11:11:20Z</dcterms:modified>
  <cp:category/>
  <cp:contentStatus/>
</cp:coreProperties>
</file>